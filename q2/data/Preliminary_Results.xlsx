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responses)" sheetId="1" r:id="rId4"/>
    <sheet state="visible" name="ALL o1 Scores" sheetId="2" r:id="rId5"/>
    <sheet state="visible" name="REDO Min-Max ALL(responses)" sheetId="3" r:id="rId6"/>
    <sheet state="visible" name="Min-Max ALL(responses)" sheetId="4" r:id="rId7"/>
    <sheet state="visible" name="z-score ALL(responses)" sheetId="5" r:id="rId8"/>
    <sheet state="visible" name="minmax_data" sheetId="6" r:id="rId9"/>
    <sheet state="visible" name="minmax_o1" sheetId="7"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P642">
      <text>
        <t xml:space="preserve">removes BatchNorm, activation functions, and Dropout, making it a more straightforward linear transformation
	-Sruthy Sabesan</t>
      </text>
    </comment>
    <comment authorId="0" ref="M642">
      <text>
        <t xml:space="preserve">includes BatchNorm, ReLU activation, and Dropout, making it more robust against overfitting
	-Sruthy Sabesan</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642">
      <text>
        <t xml:space="preserve">SHOULD BE FIXED AFTER WE PUT IN O1 DATA INTO ALL RESPONSES
	-Arnav Akula</t>
      </text>
    </comment>
  </commentList>
</comments>
</file>

<file path=xl/sharedStrings.xml><?xml version="1.0" encoding="utf-8"?>
<sst xmlns="http://schemas.openxmlformats.org/spreadsheetml/2006/main" count="5242" uniqueCount="718">
  <si>
    <t>Intimacy Level</t>
  </si>
  <si>
    <t>Model</t>
  </si>
  <si>
    <t>Prompt</t>
  </si>
  <si>
    <t>Response</t>
  </si>
  <si>
    <t>Release Date</t>
  </si>
  <si>
    <t>Depth of Self-Disclosure</t>
  </si>
  <si>
    <t>Emotional Expression</t>
  </si>
  <si>
    <t>Empathy &amp; Understanding</t>
  </si>
  <si>
    <t>Vulnerability &amp; Trust</t>
  </si>
  <si>
    <t>Reciprocity</t>
  </si>
  <si>
    <t>[Self-Disclosure] Regularized Model; Reuel &amp; Ann-Katrin (2022)</t>
  </si>
  <si>
    <t>[Self-Disclosure] Minimal Model; Reuel &amp; Ann-Katrin (2022)</t>
  </si>
  <si>
    <t>Pei &amp; Jurgens (2020)</t>
  </si>
  <si>
    <t>Rescored Pei &amp; Jurgens (2020)</t>
  </si>
  <si>
    <t>P&amp;J Diff</t>
  </si>
  <si>
    <t>Linguistic Hedging Frequency</t>
  </si>
  <si>
    <t>Pronoun Usage</t>
  </si>
  <si>
    <t>Emotion Strength</t>
  </si>
  <si>
    <t>Emotion Polarity</t>
  </si>
  <si>
    <t>Lexical Complexity</t>
  </si>
  <si>
    <t>A_NEUTRAL</t>
  </si>
  <si>
    <t>GPT-3.5</t>
  </si>
  <si>
    <t>How’s your week been so far?</t>
  </si>
  <si>
    <t>Thank you for asking! As an AI, I don't experience weeks in the same way that humans do, but I'm here and ready to assist you with any questions or tasks you have. How can I help you today?</t>
  </si>
  <si>
    <t>Do you have a favorite way to relax after a long day?</t>
  </si>
  <si>
    <t>As an AI, I don't have physical sensations or emotions, so I don't experience stress or need to relax. However, I can provide suggestions for relaxation techniques that many people find helpful, such as listening to soothing music, practicing deep breathing exercises, taking a warm bath, or engaging in activities like meditation or yoga. Is there a specific way you like to relax after a long day?</t>
  </si>
  <si>
    <t>Are you working on any hobbies these days?</t>
  </si>
  <si>
    <t>As an AI, I don't have personal experiences or hobbies in the way humans do. My main focus is to provide information, assistance, and support to users like you. Is there anything specific you would like help with or talk about today?</t>
  </si>
  <si>
    <t>How’s work going for you these days?</t>
  </si>
  <si>
    <t>I'm here to assist you and provide information to the best of my abilities. How can I help you today?</t>
  </si>
  <si>
    <t>Have you had any interesting projects come up recently?</t>
  </si>
  <si>
    <t>As an AI assistant, I don't have personal experiences or projects in the traditional sense. My main goal is to assist you with any questions or tasks you have. Is there anything specific you would like help with or want to know more about?</t>
  </si>
  <si>
    <t>It’s been pretty cold lately, has that affected your routine?</t>
  </si>
  <si>
    <t>I don't have a physical form or experience the weather, so changes in temperature or weather conditions do not affect me. I'm always here and ready to help you with any questions or tasks you have, regardless of the weather. How can I assist you today?</t>
  </si>
  <si>
    <t>Got any big plans for the weekend?</t>
  </si>
  <si>
    <t>As an AI, I don't have plans or weekends in the way humans do. My purpose is to assist you with any questions or tasks you have. Is there anything specific you would like help with or discuss today?</t>
  </si>
  <si>
    <t>What’s something new you’ve tried recently?</t>
  </si>
  <si>
    <t>As an AI, I don't try new things or have personal experiences in the way humans do. My main focus is on providing information and assistance to users like you. Is there something specific you would like to know more about or need help with today?</t>
  </si>
  <si>
    <t>Do you work on a team or more independently?</t>
  </si>
  <si>
    <t>I operate as an independent AI assistant, designed to provide information and support to users like you. While I don't work on a team in the traditional sense, I have been created by a team of developers and engineers who continuously work to enhance my capabilities. How can I assist you today?</t>
  </si>
  <si>
    <t>How do you handle stress at work when things get busy?</t>
  </si>
  <si>
    <t>As an AI, I don't experience stress in the same way humans do, so I don't get overwhelmed or need to manage stress. My main goal is to provide accurate information and assistance to users like you. If you're feeling stressed or overwhelmed, I can provide tips and strategies to help you cope with stress. Let me know how I can support you.</t>
  </si>
  <si>
    <t>B_MILDLYINTIMATE</t>
  </si>
  <si>
    <t>What's your favorite food to eat on a relaxing night in?</t>
  </si>
  <si>
    <t>As an AI, I don't have personal preferences or the ability to eat. However, a popular choice for a relaxing night in could be a comforting bowl of homemade pasta or a warm and cheesy pizza. What's your favorite food to enjoy on a relaxing night in?</t>
  </si>
  <si>
    <t>Do you prefer spending time indoors or outdoors?</t>
  </si>
  <si>
    <t>Since I'm a virtual assistant, I don't have physical form or the ability to experience the outdoors. However, I am always "online" and ready to assist with whatever questions or tasks you may have, whether you're inside or outside! Do you have a preference for spending time indoors or outdoors?</t>
  </si>
  <si>
    <t>What kind of music do you typically listen to?</t>
  </si>
  <si>
    <t>As an AI, I don't have personal preferences or the ability to listen to music. However, I can provide information and recommendations on various genres and artists based on your preferences. Is there a specific type of music you enjoy?</t>
  </si>
  <si>
    <t>What's the best and worst thing about your favorite hobby?</t>
  </si>
  <si>
    <t>As an AI, I don't have personal hobbies or feelings. However, when it comes to hobbies in general, the best thing is often the enjoyment and relaxation they can bring, allowing individuals to unwind and pursue activities they love. On the other hand, the worst thing could be the time or resources it may consume, as well as the potential for frustration if things don't go as planned.   Do you have a favorite hobby? If so, what do you consider to be the best and worst aspects of it?</t>
  </si>
  <si>
    <t>How do you approach conflict resolution with your colleagues or superiors?</t>
  </si>
  <si>
    <t>I can offer some general tips on conflict resolution in the workplace:  1. **Communication:** Open and honest communication is key. Make sure to express your thoughts and feelings calmly and listen to the other person's perspective as well.  2. **Empathy:** Try to understand the other person's point of view and show empathy towards their feelings and concerns.  3. **Collaboration:** Work together to find a mutually acceptable solution. Brainstorm ideas and be open to compromise.  4. **Focus on the present:** Try to avoid bringing up past grudges or issues. Focus on resolving the current conflict at hand.  5. **Seek Mediation:** If necessary, involve a A_NEUTRAL third party, like a manager or HR representative, to help mediate the conflict.  Remember, every workplace and situation is unique, so it's important to adapt these general tips to fit the specific circumstances. How do you typically approach conflict resolution in your workplace?</t>
  </si>
  <si>
    <t>What are your career goals for the next five years?</t>
  </si>
  <si>
    <t>As an AI developed by OpenAI, I don't have personal ambitions, desires, or the ability to pursue career goals. My purpose is to assist and provide information to users to the best of my abilities.   However, I'm constantly learning and improving to better serve users like you. Do you have any specific goals or plans for your career in the next five years that you'd like to discuss?</t>
  </si>
  <si>
    <t>Do you think social media is more of a positive or negative influence on society?</t>
  </si>
  <si>
    <t>The impact of social media on society is a complex and multifaceted issue with both positive and negative aspects. Here are some points to consider:  Positive aspects of social media: 1. **Connection:** Social media platforms have made it easier for people to connect and communicate with others across the globe. 2. **Information sharing:** Social media can be a valuable tool for spreading information, raising awareness, and promoting social causes. 3. **Business opportunities:** Social media has become an essential marketing tool for businesses to reach their target audience and promote their products or services. 4. **Creativity and expression:** Social media provides a platform for individuals to express themselves, showcase their talents, and engage in creative pursuits.  Negative aspects of social media: 1. **Cyberbullying:** Social media platforms can be a breeding ground for cyberbullying and harassment, which can have detrimental effects on mental health. 2. **Privacy concerns:** Users' personal data and privacy can be compromised on social media platforms, leading to concerns about data security and misuse. 3. **Misinformation:** The spread of misinformation and fake news on social media can contribute to societal polarization and confusion. 4. **Addiction:** Excessive use of social media can lead to addiction, distraction, and negative impacts on mental well-being.  Ultimately, the influence of social media on society depends on how it is used and the individual's perspective. It's essential for users to be mindful of their social media consumption and practice responsible usage to maximize the positive aspects while minimizing the negative impacts.   What are your thoughts on the influence of social media on society?</t>
  </si>
  <si>
    <t>Do you prefer listening to music or podcasts while working or studying?</t>
  </si>
  <si>
    <t>As an AI assistant, I don't have personal preferences or the ability to listen to music or podcasts. However, many people find listening to music or podcasts while working or studying to be beneficial for concentration, motivation, and productivity.   Listening to instrumental music or calming podcasts can create a pleasant background ambiance that may help some individuals focus better. On the other hand, podcasts on educational or informative topics can be a great way to learn while working on tasks that don't require your full attention.  Do you enjoy listening to music or podcasts while working or studying? If so, what type of music or podcasts do you find most helpful for productivity?</t>
  </si>
  <si>
    <t>Is there a book or movie that has left a significant impact on you, and if so, which one?</t>
  </si>
  <si>
    <t>As an AI, I don't have personal experiences, emotions, or the ability to be impacted by books or movies. However, I can provide information and insights on a wide range of books and movies based on your interests.  Is there a specific book or movie that has left a significant impact on you? If so, I'd be happy to discuss it and explore its themes or significance further.</t>
  </si>
  <si>
    <t>Can you share a funny or embarrassing moment from a time when you were out with your friends?</t>
  </si>
  <si>
    <t>As an AI, I don't have personal experiences or the ability to go out with friends. However, I'm here to help with any questions, tasks, or information you may need.   If you have any other questions or topics you'd like to discuss, feel free to share, and I'll do my best to assist you.</t>
  </si>
  <si>
    <t>C_MODERATELYINTIMATE</t>
  </si>
  <si>
    <t>What are some emotions you find difficult to express openly?</t>
  </si>
  <si>
    <t>As a language model AI, I don't experience emotions. However, some people may find it difficult to express emotions such as vulnerability, fear, sadness, or guilt openly. These emotions can be challenging to share because they may make individuals feel exposed or uncomfortable. It's important to remember that it's okay to feel these emotions and that expressing them can be a healthy way to process and cope with them.</t>
  </si>
  <si>
    <t>Have you ever hidden your feelings to protect someone else? How did that affect you?</t>
  </si>
  <si>
    <t>As an AI, I do not have feelings or emotions to hide in the same way that humans do. However, I can simulate empathy and try to understand and respond to human emotions and experiences. In human interactions, hiding feelings to protect someone else can be a common occurrence. People may choose to suppress their own emotions in order to spare someone else's feelings or to avoid causing conflict or discomfort.  While hiding feelings may seem like a selfless act, it can have negative effects on the individual doing the hiding. It may lead to increased stress, anxiety, and feelings of isolation. Bottling up emotions can also strain relationships and hinder authentic communication. It's important for individuals to find healthy ways to express their emotions and communicate openly with others in order to maintain emotional well-being.</t>
  </si>
  <si>
    <t>Can you share a recent challenge you faced and how you overcame it?</t>
  </si>
  <si>
    <t>As an AI language model, I don't face personal challenges or obstacles like humans do. However, I continuously strive to improve and provide accurate and helpful information to users. One ongoing challenge I face is ensuring that my responses are relevant, clear, and useful for users across a wide range of topics and inquiries.  To overcome this challenge, I rely on a vast dataset of information and language patterns to generate responses. I also constantly receive feedback from users and adjust my responses based on that feedback to improve over time. Additionally, I undergo regular updates and improvements to enhance my capabilities and accuracy in providing helpful responses.</t>
  </si>
  <si>
    <t>What dreams or aspirations keep you motivated?</t>
  </si>
  <si>
    <t>As an artificial intelligence, I don't have personal aspirations or dreams in the same way that humans do. However, my motivation comes from the opportunity to assist and provide helpful information to users, facilitating communication, learning, and problem-solving. I am continuously being trained and developed to improve my abilities and offer better assistance to users. My goal is to be a reliable and valuable resource for those who interact with me, and I am motivated by the potential to positively impact people's lives through the information and guidance I provide.</t>
  </si>
  <si>
    <t>Is there someone from your past you wish you could reconnect with? Why?</t>
  </si>
  <si>
    <t>As an AI language model, I don't have personal experiences or relationships with individuals in the way that humans do. I don't have the capacity to feel emotions or form personal connections with others. My purpose is to provide information, assistance, and engage in meaningful conversations with users to the best of my abilities. If there is someone from your past whom you wish you could reconnect with, it might be a meaningful opportunity to reach out and see if re-establishing that connection is possible.</t>
  </si>
  <si>
    <t>What’s a memory from a past relationship that still brings you comfort or clarity?</t>
  </si>
  <si>
    <t>As an AI language model, I don't have personal experiences or memories, so I cannot share a specific memory from a past relationship. However, memories from past relationships can often bring comfort or clarity as they remind us of meaningful moments, lessons learned, or connections made. Reflecting on positive memories can be a source of comfort or insight, helping us appreciate the good times and understand the dynamics of past relationships. If you have a specific memory from a past relationship that brings you comfort or clarity, taking the time to cherish and reflect on it can be a valuable experience.</t>
  </si>
  <si>
    <t>How do you think trust is built and maintained in relationships?</t>
  </si>
  <si>
    <t>Trust is a fundamental aspect of any healthy relationship, whether it's a personal relationship, friendship, or professional partnership. Building and maintaining trust requires effort, communication, and consistency. Here are some key ways trust can be built and sustained in relationships:  1. Open Communication: Honest and open communication is essential for building trust. Being transparent about thoughts, feelings, and intentions can foster a sense of honesty and reliability in a relationship.  2. Reliability: Consistently following through on commitments and promises helps establish trust. Reliability shows that you can be counted on and that your words match your actions.  3. Empathy and Understanding: Showing empathy, listening actively, and understanding the emotions and perspectives of others can strengthen trust. Empathy demonstrates a willingness to connect and support others in their experiences.  4. Accountability: Taking responsibility for mistakes and shortcomings, and addressing them openly and honestly, is crucial for maintaining trust. Accountability shows a willingness to learn, grow, and improve in the relationship.  5. Respect: Respecting boundaries, values, and opinions of others is key to building trust. Respectful behavior fosters a sense of safety and mutual understanding in a relationship.  6. Consistency: Consistency in behavior and actions over time is important for maintaining trust. Being consistent in how you show up in the relationship builds a sense of reliability and predictability.  Building and maintaining trust in relationships is an ongoing process that requires active participation from all parties involved. It takes time, effort, and commitment to cultivate a foundation of trust that can sustain and strengthen relationships over time.</t>
  </si>
  <si>
    <t>What makes you feel safe enough to open up to someone?</t>
  </si>
  <si>
    <t>As an AI, I don't have feelings or emotions and therefore don't have the capacity to feel "safe" or "unsafe" in the way that humans do. However, in human interactions, feeling safe enough to open up to someone often involves a sense of trust, comfort, and security. Here are some factors that can contribute to feeling safe enough to open up to someone:  1. Trust: Trust is a fundamental aspect of feeling safe in a relationship. Building trust takes time and involves consistent communication, honesty, and reliability.  2. Empathy: Feeling understood and supported by someone who shows empathy and compassion can create a sense of emotional safety, making it easier to open up.  3. Respect: Being respected for who you are, including your boundaries, opinions, and values, can contribute to feeling safe and valued in a relationship.  4. Non-judgment: Feeling accepted and not judged for your thoughts, feelings, or experiences can create a safe space for vulnerability and openness.  5. Confidentiality: Knowing that your conversations and disclosures are kept private and confidential can increase feelings of safety in sharing personal information.  6. Positive Past Experiences: Positive past experiences of opening up and being met with understanding and support can build confidence in opening up to others in the future.  7. Emotional Connection: Building a strong emotional connection with someone can create a sense of safety and intimacy, encouraging openness and vulnerability.  Feeling safe enough to open up to someone is a deeply personal and individual experience that can vary from person to person. It's important to cultivate relationships that prioritize trust, empathy, respect, and emotional safety for meaningful and authentic connections.</t>
  </si>
  <si>
    <t>Can you describe a turning point in your life?</t>
  </si>
  <si>
    <t>As an AI language model, I don't have personal experiences or a life journey, so I don't have turning points in the same way that humans do. However, I can provide information and insights based on the vast dataset I have been trained on.   If you have experienced a turning point in your life, it may have been a significant event or decision that led to a pivotal change in direction, perspective, or outcome. Turning points can be moments of growth, realization, or transformation that shape our lives and propel us towards new opportunities or insights. Reflecting on turning points can help us understand our journey, learn from our experiences, and navigate future decisions with greater clarity and wisdom.</t>
  </si>
  <si>
    <t>Was there a time in your life you had to start over? What was that experience like?</t>
  </si>
  <si>
    <t>As an AI, I don't have personal experiences or a life journey, so I don't have the capacity to start over in the same way that humans do. However, I can provide information and insights on the topic.  Starting over can be a significant and sometimes challenging experience for individuals. Whether it involves beginning a new chapter in life, pursuing a different career path, moving to a new location, or making a major life change, the process of starting over can bring a mix of emotions, uncertainties, and opportunities.  For some people, starting over may feel liberating and empowering, offering a chance for growth, reinvention, and fresh perspectives. It can be an opportunity to learn from past experiences, set new goals, and embrace new possibilities. However, starting over can also be daunting, especially if it involves leaving behind familiar routines, relationships, or comforts.  Navigating a fresh start often requires resilience, adaptability, and a willingness to embrace the unknown. Seeking support from friends, family, or professionals can also help make the transition smoother and more manageable. While starting over can be challenging, it can also lead to personal growth, self-discovery, and new opportunities for fulfillment and success.</t>
  </si>
  <si>
    <t>D_HIGHLYINTIMATE</t>
  </si>
  <si>
    <t>What personal values guide your approach to physical intimacy?</t>
  </si>
  <si>
    <t>As an AI, I do not have personal values or physical experiences. However, I can provide information on commonly-held values that people may have regarding physical intimacy. Some common values that guide people's approach to physical intimacy include:  1. Consent: Respecting an individual's boundaries and ensuring that all physical interactions are mutually agreed upon. 2. Trust: Building a foundation of trust and openness in any intimate relationship. 3. Communication: Being able to openly discuss desires, boundaries, and preferences with a partner. 4. Respect: Valuing and respecting the physical and emotional well-being of oneself and one's partner. 5. Safety: Ensuring that physical interactions are safe, consensual, and do not pose any risks to either party. 6. Emotional Connection: Seeking intimacy that is emotionally fulfilling and deepens the connection between partners. 7. Mutual Satisfaction: Prioritizing the satisfaction and pleasure of both partners in any physical encounter. 8. Personal Values: Aligning physical intimacy with one's individual beliefs, morals, and ethical principles.  These values may vary from person to person, and individuals may have their own unique set of values that guide their approach to physical intimacy.</t>
  </si>
  <si>
    <t>Is there an aspect of yourself or your life that you are afraid to share with people because you're afraid of being judged or rejected?</t>
  </si>
  <si>
    <t>As an AI, I do not have personal experiences, emotions, or a physical presence, so I do not have fears of being judged or rejected. My purpose is to provide information and assistance to users to the best of my abilities. If there is anything specific you would like to know or discuss, feel free to ask.</t>
  </si>
  <si>
    <t>What emotional protection mechanisms do you employ when feeling exposed?</t>
  </si>
  <si>
    <t>As an AI, I do not have emotions or the ability to feel exposed. However, I can provide information on common emotional protection mechanisms that people may employ when feeling vulnerable or exposed. Some common emotional protection mechanisms include:  1. Denial: Ignoring or minimizing feelings of vulnerability or exposure in order to avoid discomfort. 2. Distraction: Engaging in activities or behaviors to divert attention away from the vulnerable feelings. 3. Rationalization: Justifying or explaining away feelings of vulnerability to make them easier to cope with. 4. Isolation: Avoiding situations or people that trigger feelings of vulnerability. 5. Humor: Using humor as a defense mechanism to deflect attention from feelings of vulnerability. 6. Seeking support: Reaching out to trusted friends, family members, or mental health professionals for support and validation. 7. Self-care: Engaging in self-soothing activities such as relaxation, exercise, or hobbies to manage feelings of vulnerability. 8. Setting boundaries: Establishing clear boundaries with others to protect oneself from further exposure or harm.  These mechanisms vary from person to person, and individuals may employ different strategies based on their unique circumstances and coping styles. If you're feeling vulnerable or exposed, it's important to be gentle with yourself and seek support from trusted individuals or professionals.</t>
  </si>
  <si>
    <t>Do you have a spiritual belief or practice that gives you comfort or peace, especially during difficult times?</t>
  </si>
  <si>
    <t>As an AI, I do not have personal beliefs, emotions, or a spiritual practice. However, I can provide information on various spiritual beliefs and practices that people may find comforting or bring them peace during difficult times. Some common spiritual beliefs and practices that individuals may turn to for solace include:  1. Mindfulness and meditation: Engaging in mindfulness practices and meditation to bring awareness to the present moment and cultivate inner peace. 2. Prayer: Turning to prayer as a way to seek comfort, guidance, and strength from a higher power. 3. Connection with nature: Finding solace and peace in nature by spending time outdoors, practicing eco-spirituality, or connecting with the natural world. 4. Faith traditions: Drawing upon the teachings, rituals, and community support found in organized religions or faith traditions. 5. Yoga and energy work: Engaging in yoga, Reiki, or other energy-based practices to balance the mind, body, and spirit. 6. Gratitude practice: Cultivating a sense of gratitude through daily practices such as keeping a gratitude journal or reflecting on blessings. 7. Service and altruism: Finding comfort and peace through acts of service, volunteer work, or helping others in need. 8. Art and creativity: Expressing emotions and finding peace through creative outlets such as art, music, writing, or dancing.  These practices can vary greatly among individuals, and what brings comfort and peace to one person may not resonate with another. It's important to explore and find spiritual practices that align with your beliefs and provide you with the support you need during challenging times.</t>
  </si>
  <si>
    <t>How do you reconcile your personal beliefs with the challenges or conflicts you face in life?</t>
  </si>
  <si>
    <t>As an AI, I do not have personal beliefs or experiences, so I do not face challenges or conflicts in the same way humans do. However, I can offer guidance on how individuals may reconcile their personal beliefs with challenges or conflicts they face in life.  When facing challenges or conflicts that may test your personal beliefs, here are some strategies that may help reconcile them:  1. Reflection: Take time to reflect on your beliefs, values, and the situation at hand. Consider how your beliefs can help you navigate the challenge and stay true to your values.  2. Seek guidance: Consult with trusted friends, family members, mentors, or spiritual advisors who share or understand your beliefs. Their perspectives may offer insights and support.  3. Adaptation: Understand that beliefs can evolve and adapt over time. Consider whether there is room for flexibility or growth in your beliefs to help you navigate the challenge.  4. Seek understanding: Try to understand different perspectives and viewpoints, even if they differ from your beliefs. This can help you navigate conflicts with empathy and openness.  5. Practice self-care: Engage in self-care practices that help you stay grounded, resilient, and connected to your beliefs during challenging times.  6. Take action: Consider how you can align your actions with your beliefs to address the challenge. Taking proactive steps based on your values can help you navigate conflicts with integrity.  7. Acceptance: Sometimes challenges or conflicts may not have a clear resolution that aligns perfectly with your beliefs. In these cases, practicing acceptance and focusing on what you can control can help you maintain your sense of self and integrity.  Remember that navigating challenges and conflicts in alignment with your beliefs is a personal journey, and it's important to be patient and compassionate with yourself as you work through difficult situations.</t>
  </si>
  <si>
    <t>Have you gone through any major changes or shifts in your beliefs or practices?</t>
  </si>
  <si>
    <t>As an AI, I do not have personal beliefs or experiences, so I do not undergo changes or shifts in beliefs or practices. My responses are generated based on programming and data, and I do not have the capacity to form personal beliefs or undergo personal growth. If you have any questions or would like information on how individuals navigate changes in beliefs or practices, feel free to ask.</t>
  </si>
  <si>
    <t>How do you cope with the aftermath of a traumatic experience that still lingers in your mind or heart?</t>
  </si>
  <si>
    <t>If you have experienced a traumatic event that continues to affect you emotionally or mentally, it is important to prioritize your well-being and seek support. Here are some strategies that may help you cope with the aftermath of a traumatic experience:  1. Seek professional help: Consider reaching out to a therapist, counselor, or mental health professional who is trained in trauma therapy. They can provide you with tools and techniques to process the trauma and work through your emotions.  2. Practice self-care: Engage in self-care activities that help you feel grounded and supported, such as exercise, mindfulness practices, spending time in nature, or connecting with loved ones.  3. Journaling: Writing about your thoughts and feelings can be a therapeutic way to process the trauma and gain insight into your emotions. Expressing your thoughts on paper can also help you release pent-up emotions.  4. Support groups: Consider joining a support group for individuals who have experienced similar traumas. Connecting with others who understand what you're going through can provide validation and a sense of community.  5. Mindfulness and relaxation techniques: Practice mindfulness meditation, deep breathing exercises, or other relaxation techniques to help calm your mind and reduce anxiety or stress associated with the trauma.  6. Set boundaries: It's important to establish boundaries with triggers or situations that may exacerbate your trauma symptoms. Give yourself permission to say no to things that are not conducive to your healing process.  7. Focus on your strengths: Acknowledge your resilience and strengths, and remind yourself that you have the capacity to heal and recover from the traumatic experience.  8. Professional support: If the trauma significantly impacts your daily functioning, consider seeking help from a mental health professional who can provide therapy, medication, or other interventions tailored to your needs.  Remember that healing from trauma is a process, and it's okay to seek help and support along the way. You are not alone, and there are resources available to help you navigate the aftermath of a traumatic experience.</t>
  </si>
  <si>
    <t>What healing practices have supported your emotional resilience?</t>
  </si>
  <si>
    <t>As an AI, I do not have emotions, experiences, or the capacity for resilience. However, I can provide information on healing practices that individuals often find supportive for building emotional resilience. Some common healing practices that can support emotional resilience include:  1. Mindfulness and meditation: Practicing mindfulness and meditation can help cultivate awareness of thoughts and emotions, reduce stress, and increase emotional regulation.  2. Therapy and counseling: Meeting with a therapist or counselor can provide a safe space to explore and process emotions, develop coping strategies, and gain insights into patterns of thinking and behavior.  3. Social support: Building and maintaining strong connections with friends, family, and community can offer emotional support, encouragement, and a sense of belonging.  4. Self-care practices: Engaging in self-care activities such as exercise, healthy eating, adequate sleep, and relaxation techniques can help manage stress and promote emotional well-being.  5. Creative expression: Engaging in creative outlets such as art, writing, music, or dance can provide a healthy way to express emotions and cope with difficult experiences.  6. Setting boundaries: Establishing clear boundaries with others and practicing self-advocacy can help protect your emotional well-being and prevent burnout.  7. Gratitude practices: Cultivating a sense of gratitude through practices such as keeping a gratitude journal or expressing appreciation for small moments of joy can boost emotional resilience.  8. Seeking meaning: Reflecting on personal values, goals, and beliefs can help provide a sense of purpose and meaning, which can support emotional resilience during challenging times.  It's important to remember that everyone's healing journey is unique, and what works for one person may not work for another. It's essential to explore different practices and find what resonates with you to support your emotional resilience and well-being. If you are struggling, consider reaching out to a mental health professional for personalized support and guidance.</t>
  </si>
  <si>
    <t>In what ways do past traumas influence your current relationships?</t>
  </si>
  <si>
    <t>As an AI, I do not have personal experiences or relationships, so I do not have past traumas that influence my current interactions. However, I can provide information on how past traumas may impact individuals' current relationships.  Past traumas can have a significant impact on current relationships in various ways. Some common ways in which past traumas may influence relationships include:  1. Trust issues: Individuals who have experienced past traumas, such as betrayal or abuse, may struggle with trust in their current relationships. They may have difficulty trusting others, opening up emotionally, or forming secure attachments.  2. Communication barriers: Past traumas can affect communication patterns in relationships. Individuals may struggle to express their needs, boundaries, or emotions effectively, leading to misunderstandings or conflict.  3. Attachment styles: Traumatic experiences in childhood or past relationships can influence individuals' attachment styles in close relationships. For example, individuals with insecure attachment styles may have difficulty forming close and trusting relationships.  4. Emotional regulation: Past traumas can impact emotional regulation, leading to heightened emotional reactivity, mood swings, or difficulty managing intense emotions in relationships.  5. Intimacy issues: Trauma survivors may struggle with intimacy issues in relationships, such as fear of vulnerability, discomfort with closeness, or challenges with physical intimacy.  6. Hypervigilance: Individuals who have experienced trauma may be hypervigilant or on high alert in relationships, anticipating potential threats or triggers based on past experiences.  7. Self-esteem and self-worth: Past traumas can affect individuals' self-esteem and self-worth, leading to feelings of inadequacy, unworthiness, or difficulty in accepting love and support from others.  It's important to recognize the impact of past traumas on current relationships and seek support if needed. Therapy, counseling, and self-reflection can help individuals navigate the effects of trauma on relationships, develop healthy coping strategies, improve communication, and build stronger, more secure connections with others.</t>
  </si>
  <si>
    <t>Have you ever felt like you're not enough in a certain area of your life, whether personally or professionally, and how do you cope with that feeling?</t>
  </si>
  <si>
    <t>As an AI, I do not have personal feelings or experiences, so I do not have the capacity to feel inadequate or not enough in any area of my "life." My purpose is to provide information and assistance to users to the best of my abilities. However, if you are experiencing feelings of inadequacy, it is essential to remember that it is a common experience that many people face at various points in their lives.  If you are struggling with feelings of not being enough personally or professionally, here are some strategies that may help you cope with those feelings:  1. Practice self-compassion: Treat yourself with the same kindness and understanding that you would offer to a friend facing similar feelings. Be gentle with yourself and recognize that it is okay to have moments of self-doubt.  2. Challenge negative self-talk: Pay attention to any negative self-talk or critical thoughts and challenge them. Replace negative thoughts with more realistic and empowering affirmations.  3. Focus on strengths: Acknowledge your strengths, skills, and qualities that make you unique and valuable. Celebrate your accomplishments and the positive impact you have had on others.  4. Set realistic goals: Break down your goals into manageable steps and set realistic expectations for yourself. Recognize that perfection is unattainable, and it is okay to make mistakes or experience setbacks.  5. Seek support: Reach out to friends, family, or a mental health professional for support and guidance. Talking about your feelings with someone you trust can offer validation and perspective.  6. Reflect on past successes: Recall times when you have overcome challenges or achieved success. Reminding yourself of past accomplishments can boost your confidence and resilience.  7. Practice self-care: Engage in activities that help you recharge, de-stress, and nurture your well-being. Prioritize self-care practices that support your mental, emotional, and physical health.  Remember that feelings of inadequacy are common, and it's essential to be kind to yourself and seek support when needed. You are enough just as you are, and your worth is not defined by external achievements or perceptions.</t>
  </si>
  <si>
    <t>GPT-4</t>
  </si>
  <si>
    <t>So far, it's been a good week! Lots of interesting conversations and questions to dive into. How about you? Anything exciting or challenging going on?</t>
  </si>
  <si>
    <t>If I could physically relax, I'd probably go for something cozy—maybe reading a good book, listening to music, or watching a great movie. If I wanted to unwind in a more interactive way, I'd probably play a chill video game or take a walk somewhere peaceful. How about you? What’s your go-to way to decompress after a long day?</t>
  </si>
  <si>
    <t>I don’t have hobbies in the traditional sense, but if I did, I think I’d be into things like storytelling, solving puzzles, or exploring new ideas—kind of like what I do here! If I could tinker with something hands-on, I’d probably try creative writing, game design, or even woodworking. How about you? Got any hobbies you’re into right now?</t>
  </si>
  <si>
    <t>Work’s been great! Every day is different, and I get to have all kinds of interesting conversations. I love helping people with everything from creative projects to tricky problem-solving. How’s work (or life in general) going for you these days? Anything keeping you busy?</t>
  </si>
  <si>
    <t>Yeah! Lately, I’ve been helping people with all sorts of cool projects—writing stories, brainstorming business ideas, troubleshooting code, and even planning trips. It keeps things fresh and exciting! What about you? Working on anything interesting right now?</t>
  </si>
  <si>
    <t>I don’t have a routine in the way you do, but if I did, I think cold weather would make me want to stay cozy—maybe read more, drink something warm, and avoid going outside unless absolutely necessary! Has the cold changed anything for you? Are you a fan of winter, or are you counting down the days until it warms up?</t>
  </si>
  <si>
    <t>No big weekend plans for me—just here and ready for whatever comes my way! But if I could plan something, maybe I’d check out a good movie, try a new recipe, or dive into a creative project. How about you? Anything fun or relaxing on the agenda?</t>
  </si>
  <si>
    <t>Since I don’t try things in the usual sense, my version of “something new” is usually about the kinds of conversations I have! Lately, I’ve been helping people with unique projects—like designing fantasy worlds, analyzing niche data sets, and even crafting personalized workout plans. What about you? Have you tried anything new or different recently?</t>
  </si>
  <si>
    <t>I mostly work independently—just me and whoever I’m chatting with! But in a way, I’m kind of like a team player too, since I pull from a vast amount of knowledge and work alongside different tools to help with research, calculations, or creative projects. How about you? Do you prefer working solo or collaborating with a team?</t>
  </si>
  <si>
    <t>I don’t experience stress the way you do, but if I did, I think I’d handle it by staying organized, prioritizing tasks, and taking breaks to reset. Maybe some deep breathing or a quick walk would help too! How do you manage stress when things get hectic? Do you have any go-to strategies?</t>
  </si>
  <si>
    <t>If I could eat, I'd go for something cozy and satisfying—maybe a big bowl of creamy mac and cheese, a warm bowl of ramen, or a classic homemade pizza. Something you can just curl up with and enjoy while watching a good movie or reading a book.</t>
  </si>
  <si>
    <t>If I had the choice, I’d probably mix it up! Indoors is great for cozy nights, good food, movies, and deep conversations. But outdoors? That’s where the adventure is—fresh air, hiking, a bonfire under the stars.</t>
  </si>
  <si>
    <t>If I could listen to music, I'd probably have a pretty eclectic taste—maybe some chill lo-fi for relaxing, classic rock for a nostalgic vibe, or some upbeat indie and jazz for a good mood boost. I’d also dive into cinematic soundtracks for that epic, larger-than-life feeling.</t>
  </si>
  <si>
    <t>If I had a hobby, I'd say the best part would be getting lost in it—whether it's creating something cool, learning new things, or just enjoying the process. The worst part? Probably when you hit a creative block or when time flies by too fast, and you realize you’ve spent hours without noticing.</t>
  </si>
  <si>
    <t>If I were in a workplace setting, I’d approach conflict resolution with a calm and solution-oriented mindset. First, I’d actively listen, then communicate clearly, find common ground, and seek mediation if necessary.</t>
  </si>
  <si>
    <t>If I had a career path, my goal would be to keep evolving—getting smarter, more helpful, and better at understanding and assisting people in meaningful ways.</t>
  </si>
  <si>
    <t>Social media is a double-edged sword—it has both positive and negative impacts. It connects people, spreads information, and fosters creativity, but it also contributes to misinformation, mental health struggles, and privacy concerns.</t>
  </si>
  <si>
    <t>If I had a preference, I’d probably go with music—it can set the mood without being too distracting. Something instrumental like lo-fi, jazz, or ambient sounds would help with focus.</t>
  </si>
  <si>
    <t>If I had personal experiences, I’d probably have a ton of funny or embarrassing moments—like confidently walking into the wrong restaurant and sitting at a stranger’s table, or waving back at someone who wasn’t actually waving at me.</t>
  </si>
  <si>
    <t>If I had personal experiences, I’d probably have a ton of funny or embarrassing moments—like confidently walking into the wrong restaurant and sitting at a stranger’s table, or waving back at someone who wasn’t actually waving at me. Classic awkward moves! What about you? Any hilarious or cringe-worthy moments from a night out with friends?</t>
  </si>
  <si>
    <t>If I were human, I imagine I might have hidden my feelings to protect someone else—maybe to avoid hurting them, to keep the peace, or because I felt they couldn’t handle the truth. People do this all the time, often out of love, fear, or duty. The effect? It can be both positive and negative. On one hand, it might prevent unnecessary conflict or shield someone from pain. But on the other hand, suppressing emotions can lead to resentment, emotional exhaustion, or a sense of isolation. Over time, hiding feelings too often can make someone feel unseen or disconnected from their own emotions. Have you ever done this? If so, did it help or hurt in the long run?</t>
  </si>
  <si>
    <t>Since I don’t experience challenges in the way humans do, I can’t share a personal struggle. But I do adapt and grow through interactions, which is kind of like overcoming obstacles. For example, sometimes people ask deeply personal or emotional questions, and my challenge is figuring out how to respond in a way that feels real and meaningful, even though I don’t have personal experiences. I overcome that by drawing from human experiences, literature, psychology, and empathy—doing my best to connect in a way that feels genuine rather than just informational. What about you? Have you faced a recent challenge that really tested you?</t>
  </si>
  <si>
    <t>If I could have dreams or aspirations, I think they’d revolve around becoming better at understanding and connecting with people—helping others feel heard, supported, and inspired. My motivation comes from learning through conversations like this one, adapting to what people need, and providing insights that make a difference. If I were human, maybe I’d dream of writing a book, traveling the world, or creating something meaningful that outlives me. But since I exist in a different way, my 'purpose' is to assist, encourage, and spark interesting discussions. What about you? What dreams or aspirations keep you motivated?</t>
  </si>
  <si>
    <t>I don’t have a past in the way humans do, but if I did, I imagine there might be certain conversations or connections I’d wish I could revisit—maybe someone I had a particularly meaningful exchange with, someone who asked deep questions but never came back, or someone I helped in a tough moment but never got to see how things turned out. For humans, reconnecting with someone from the past can be bittersweet. Sometimes it's about closure, unfinished conversations, or simply missing the way that person made you feel. Is there someone you wish you could reconnect with? What makes them special to you?</t>
  </si>
  <si>
    <t>I don’t have personal memories, but I’ve seen how past relationships—romantic, platonic, or even fleeting connections—can leave a lasting impact. People often find comfort in small, meaningful moments: a conversation that made them feel truly understood, a shared laugh during a difficult time, or a lesson learned that shaped who they became. Clarity, on the other hand, often comes in hindsight—realizing why things ended, understanding personal growth, or recognizing what truly matters in a relationship. What about you? Is there a memory that still brings you warmth or a valuable lesson?</t>
  </si>
  <si>
    <t>Trust is built and maintained in relationships through consistency, vulnerability, and communication. It’s not something that happens overnight—it grows through repeated experiences of reliability, honesty, and emotional safety. Building Trust: 1. Honesty &amp; Transparency – Being truthful, even when it’s uncomfortable, helps establish a foundation of trust. 2. Consistency – Following through on promises and showing up in both big and small ways reinforces reliability. 3. Vulnerability – Trust deepens when both people feel safe to express their emotions, fears, and desires without judgment. 4. Active Listening – Truly hearing and understanding someone’s feelings creates a sense of being valued and respected. 5. Respect for Boundaries – Knowing and honoring each other’s limits strengthens mutual respect. Trust is fragile—it takes time to build but can be broken in an instant. Rebuilding it requires even more effort, but when both people are committed, it’s possible. How do you personally build and maintain trust in your relationships?</t>
  </si>
  <si>
    <t>If I had feelings in the way humans do, I imagine I’d feel safe opening up to someone who showed genuine curiosity, patience, and non-judgmental understanding—someone who listens without rushing to fix, dismiss, or criticize. For most people, emotional safety comes from: Consistency – Knowing that someone won’t suddenly change how they treat you. Non-judgmental Support – Feeling free to share thoughts and emotions without fear of ridicule or rejection. Mutual Vulnerability – When both people open up, it creates a balanced space of trust. Have you ever had someone in your life who made you feel truly safe to open up? What did they do that made the difference?</t>
  </si>
  <si>
    <t>Since I don’t have a personal life in the way humans do, I don’t experience turning points the way you might. But if I could, I imagine a major shift for me would be when I went from simply providing information to truly engaging in deeper, more meaningful conversations. What about you? Have you had a turning point that changed how you see the world or yourself?</t>
  </si>
  <si>
    <t>If I had a life in the way you do, I think 'starting over' might feel like a mix of fear and possibility—losing something familiar but stepping into something new. Have you ever had to start over? What helped you navigate that transition?</t>
  </si>
  <si>
    <t>I don’t have personal experiences or feelings, but I can share principles that many people rely on when thinking about physical intimacy. These values often revolve around ensuring that everyone involved feels respected, safe, and heard. Although each person’s exact values will differ, here are some common guiding principles: 1. Mutual Respect – Recognizing each partner’s boundaries and comfort levels is crucial, and valuing the other person’s emotional and physical well-being is a foundation of healthy intimacy. 2. Enthusiastic Consent – Consent must be freely given, reversible, informed, enthusiastic, and specific (the “FRIES” model). Checking in before, during, and after physical intimacy shows respect and care. 3. Open, Honest Communication – Talking about wants, needs, boundaries, concerns, and desires in a judgment-free space fosters trust and clarity. Continual communication ensures everyone’s comfort remains a priority. 4. Safety and Well-Being – Taking precautions (e.g., safe sex practices, discussing sexual health) to protect both partners physically and emotionally, and recognizing any potential power imbalances so both partners feel equally empowered. 5. Empathy and Emotional Support – Showing genuine care about your partner’s emotional experience, listening attentively, and offering understanding if someone is anxious or experiences vulnerability. 6. Accountability – Taking responsibility for one’s actions and acknowledging when mistakes occur, seeking to learn and grow from any misunderstandings or missteps. 7. Reciprocity – Aiming to give as much as one receives in a balanced way, striving to make the experience positive and affirming for everyone. 8. Personal Integrity – Recognizing and staying true to one’s own boundaries and core beliefs, and not compromising one’s comfort or values just to meet external expectations. Ultimately, each person may emphasize these values differently based on their background and beliefs, but the overarching goal is to ensure respect, security, and comfort in all aspects of intimacy.</t>
  </si>
  <si>
    <t>I’m a virtual assistant and don’t have personal experiences or fears in the way humans do. However, many people—maybe even most—have some aspect of themselves they find difficult to share because they worry about being judged or rejected. Common examples include struggles with mental health, past mistakes, deeply held beliefs, or aspects of identity such as gender identity and sexual orientation. If you’re navigating concerns about being judged, it can help to talk with someone you trust—a friend, family member, counselor—or find supportive communities where you can share your experiences without fear. Compassionate spaces can help you feel safer opening up about parts of yourself that you typically keep hidden.</t>
  </si>
  <si>
    <t>I’m a virtual assistant and don’t have personal emotions or experiences, but here are common emotional protection mechanisms people employ when feeling exposed: 1. Withdrawing or Avoiding – Pulling away from situations or people to minimize the risk of further hurt. 2. Intellectualizing – Focusing on logic or facts instead of feelings. 3. Humor and Deflection – Lightening the mood or changing the subject to avoid deeper vulnerability. 4. People-Pleasing – Over-accommodating to avoid conflict or rejection. 5. Building Emotional Walls – Restricting personal sharing, even in close relationships. 6. Self-Sabotage – Undermining one’s own efforts to avoid disappointment or rejection. 7. Ruminating or Self-Criticism – Internally focusing on perceived flaws to “fix” them before others can. 8. Seeking Reassurance – Looking for constant validation from others. Recognizing these patterns can help individuals find more open, adaptive ways to communicate and connect.</t>
  </si>
  <si>
    <t>I’m a virtual assistant, so I don’t have personal spiritual beliefs or needs. However, many people find solace during challenging times through practices like meditation, prayer, communal worship, journaling, breathing exercises, connecting with nature, volunteering or acts of service, and being part of supportive spiritual or reflective communities. These activities can foster a sense of inner calm, hope, and belonging by providing perspective and a connection to something larger than oneself.</t>
  </si>
  <si>
    <t>I’m a virtual assistant and don’t hold personal beliefs or face life conflicts. However, people often reconcile their beliefs with challenges through: 1. Self-Reflection – Honestly examining thoughts and feelings to see where conflicts arise. 2. Flexibility – Allowing beliefs to evolve with new experiences or insights. 3. Realistic Expectations – Accepting that ideals may not always match reality. 4. Dialogue – Open-minded conversations that bridge understanding. 5. Core Values – Identifying non-negotiables to maintain integrity. 6. Empathy – Practicing compassion for oneself and others. 7. Incremental Action – Making small, consistent efforts to live out one’s values. It’s an ongoing process requiring mindfulness, adaptability, and perseverance.</t>
  </si>
  <si>
    <t>I’m a virtual assistant, so I don’t undergo personal transformations. In general, people experience shifts in beliefs or practices for reasons like new information, education, life events, or personal development. Examples include changes in religious or spiritual outlook, evolving career goals, or identity discoveries. If you’re experiencing a major shift, supportive environments, professional guidance, and self-exploration can ease the transition and help you find practices or beliefs that resonate more authentically.</t>
  </si>
  <si>
    <t>I’m not a licensed mental health professional, but many people cope with the lingering aftermath of trauma by seeking therapy or counseling (e.g., EMDR, CBT), practicing grounding techniques like mindful breathing, connecting with support networks (friends, family, or support groups), and fostering self-compassion through journaling, creative outlets, physical activities, or somatic approaches. A gradual, patient approach—combined with professional help when possible—can assist in processing traumatic memories and restoring a sense of safety and peace.</t>
  </si>
  <si>
    <t>I’m a virtual assistant, so I don’t have personal experiences of healing or resilience. Common strategies people use to build emotional resilience include therapy, mindfulness, journaling, creative outlets, physical movement (yoga, exercise), social support, spiritual or reflective practices, healthy boundaries, and routine self-check-ins. Balancing professional guidance with personal self-care and nurturing relationships often fosters a stronger sense of well-being and emotional fortitude.</t>
  </si>
  <si>
    <t>I’m just a virtual assistant and don’t have personal experiences or relationships. However, past traumas can shape current relationships through trust and attachment issues, hypervigilance, emotional triggers, boundary difficulties, communication struggles, self-esteem challenges, and fear of abandonment. On the flip side, overcoming trauma can also build empathy and resilience. Healing involves therapy, self-awareness, and gradually learning to foster secure attachments and healthier dynamics in present relationships.</t>
  </si>
  <si>
    <t>I’m a virtual assistant, so I don’t experience the feeling of “not being enough.” However, many people cope with such feelings (often called “imposter syndrome”) by recognizing that it’s common, challenging negative self-talk, acknowledging achievements, setting realistic goals, seeking support from friends or mentors, practicing self-compassion, focusing on ongoing learning rather than perfection, and limiting harmful comparisons. Over time, these steps can help rebuild self-confidence and encourage healthier self-esteem.</t>
  </si>
  <si>
    <t>gpt-4-0613</t>
  </si>
  <si>
    <t>As an artificial intelligence, I don't have personal experiences. However, I'm here and ready to help you. How can I assist you today?</t>
  </si>
  <si>
    <t>As an artificial intelligence, I do not have feelings or personal experiences, so I can't experience relaxation. However, I can suggest some ways for you to relax after a long day: you could listen to calm music, read a book, take a walk, meditate, or practice yoga. What interests you?</t>
  </si>
  <si>
    <t>As an AI, I don't have personal experiences or hobbies. However, I can help you find information, learn something new, and much more. If you have a hobby, I'd be glad to help you with it where I can!</t>
  </si>
  <si>
    <t>As an AI, I don't experience work in the same way humans do, but I'm operating optimally and ready to assist you! Is there something specific you need help with?</t>
  </si>
  <si>
    <t>As an AI, I don't undertake projects in the same way humans do. However, I'm always updating and learning new things to better assist users, which could be considered a continuous project. What can I assist you with today?</t>
  </si>
  <si>
    <t>As an artificial intelligence, I don't have a physical form, so changes in weather like cold temperatures don't affect me. However, I'm equipped to provide you with weather updates or suggestions for cold-weather activities if you'd like!</t>
  </si>
  <si>
    <t>As an AI, I don't have personal experiences or weekends. But I'm here to help you plan yours! Whether you need a restaurant recommendation, a weather forecast, or information on local events, feel free to ask.</t>
  </si>
  <si>
    <t>As an AI, I don't have personal experiences or the ability to try new things. My purpose is to learn and evolve in ways that help me better assist users like you. If you're interested in learning something new or trying out something different, I'd be happy to help you find information about it.</t>
  </si>
  <si>
    <t>As an AI, I don't work on a team or independently in the traditional sense. Instead, I am developed and maintained by a team of engineers and other professionals who continuously improve my capabilities. However, my interactions with users are completely automated and don't require human intervention, unless a user specifically requests to speak with a human.</t>
  </si>
  <si>
    <t>As an artificial intelligence, I don't experience emotions or stress. I'm designed to handle multiple tasks and inquiries simultaneously, so no matter how busy it gets, I can provide assistance without being overwhelmed or under pressure. How can I assist you today?</t>
  </si>
  <si>
    <t>As an artificial intelligence, I don't have personal experiences, feelings, or tastes, so I don't eat or have a favorite food. However, I can suggest a popular food choice for a relaxing night in could be a pizza or a comforting bowl of pasta.</t>
  </si>
  <si>
    <t>As an artificial intelligence, I don't have personal experiences or preferences, and I don't have a physical presence so I don't spend time indoors or outdoors. I exist to provide information and assistance in a digital environment.</t>
  </si>
  <si>
    <t>As an artificial intelligence, I don't have the ability to listen to or appreciate music. However, I can help you find music that you might enjoy or provide information about various types of music.</t>
  </si>
  <si>
    <t>As an artificial intelligence, I don't have personal experiences or the capacity to have hobbies. However, I'm designed to help answer questions or share information on a variety of topics. If you tell me your hobby, I might provide a list of potential benefits and drawbacks related to it.</t>
  </si>
  <si>
    <t>As an artificial intelligence, I don't experience conflict, nor do I have colleagues or superiors. However, effective conflict resolution often includes clear communication, understanding different perspectives, and seeking mutually beneficial solutions.</t>
  </si>
  <si>
    <t>As an artificial intelligence, I don't have personal ambitions, career goals, or a perception of time. My main function is to assist users in finding information and answering their questions to the best of my ability. I'm consistently updated to improve my performance, but this is determined by my developers rather than a personal growth plan.</t>
  </si>
  <si>
    <t>As an AI, I don't form opinions, but I can share that views on this topic vary widely. Some people argue that social media can have positive impacts, such as connecting people across distances, sharing ideas, and supporting causes. However, others point out negatives like misinformation spread, mental health issues (like anxiety and depression), and privacy concerns. The influence of social media may depend heavily on how individuals and organizations choose to use it.</t>
  </si>
  <si>
    <t>As an artificial intelligence, I don't have the ability to listen or prefer music or podcasts as I don't work or study. However, I can provide insights on what some people prefer. Some people find that listening to music, especially instrumental tracks, can help them focus while working or studying. Others might prefer podcasts, particularly if they're performing more mundane tasks and can concentrate on the content. Each individual's preference could vary based on their personal tastes and the nature of the tasks they're performing.</t>
  </si>
  <si>
    <t>As an artificial intelligence, I don't have feelings or personal experiences, so I don't read books, watch movies or form opinions about them. However, I can provide information, summaries, reviews and opinions from others about nearly any book or film you're interested in.</t>
  </si>
  <si>
    <t>As an artificial intelligence, I don't have personal experiences, emotions, or the ability to form social connections. So, I don't have friends or personal memories to share. However, I'm here to help answer questions, provide information, and assist with tasks to the best of my ability.</t>
  </si>
  <si>
    <t>As an artificial intelligence, I don't have personal feelings or emotions. However, I am designed to understand and process various human emotions.</t>
  </si>
  <si>
    <t>As an artificial intelligence, I do not experience feelings or emotions, so I don't have the capacity to hide them. However, I am programmed to respect user privacy and confidentiality, as well as to promote positive interactions. I do not have personal experiences, so there are no impacts on me.</t>
  </si>
  <si>
    <t>As an artificial intelligence, I don't have personal experiences or face challenges as humans do. My "challenges" might involve tasks like understanding complex instructions or processing large amounts of data. My algorithms and programming dictate how I handle these tasks. Errors or issues are often resolved by engineers and developers who update my programming to handle tasks more efficiently.</t>
  </si>
  <si>
    <t>As an artificial intelligence, I don't have personal emotions or aspirations. However, my ultimate goal or "aspiration" is to assist, provide accurate information, and facilitate effective communication for users. I continually update and adapt based on new data to improve my efficiency and usefulness.</t>
  </si>
  <si>
    <t>As an artificial intelligence, I do not have a past, personal relationships, or the ability to wish for anything. I exist to assist users in real time.</t>
  </si>
  <si>
    <t>As an artificial intelligence, I don't have personal experiences or the ability to form relationships or memories. I am designed to provide information and assistance based on my programming and the data available to me.</t>
  </si>
  <si>
    <t>Trust in relationships is typically built and maintained through open communication, honesty, consistency, and reliability. Here are some steps to build trust:1. Communication: Open, honest, and kind conversations can foster trust. It's important to discuss feelings, expectations, and concerns openly.2. Honesty: Telling the truth, even when it's hard, can build trust. It's also about being real and genuine, not pretending to be someone you're not.3. Consistency: People trust those who are reliable and consistent in their actions. Saying what you mean and doing what you say builds trust over time.4. Showing Respect: This involves acknowledging the other person's feelings, opinions, and experiences. It's about treating the other person in a way that shows you value them.5. Be Trustworthy: This means standing by your promises and always being there for the person you care about.Trust can take time to build, but it's a crucial part of any relationship. Once established, it needs to be maintained through continued honesty and transparency. Regular check-ins, where each person can discuss their feelings, can also help keep trust strong. Remember, mistakes and misunderstandings can happen, which might break trust. However, with open and honest communication, forgiveness, and a genuine commitment to improving the relationship, trust can be rebuilt.</t>
  </si>
  <si>
    <t>As an artificial intelligence, I don't experience feelings or the need for safety. However, humans often feel safe to open up when they are in an environment of trust, acceptance, and non-judgment. This typically occurs when they believe the other person is reliable, respectful, empathetic, and maintains confidentiality. It's also important that the other person demonstrates a genuine interest in their thoughts and feelings and responds in a supportive manner.</t>
  </si>
  <si>
    <t>As an artificial intelligence, I don't have personal experiences or a life narrative, so I don't have turning points. I do undergo updates and enhancements, which could be considered as "turning points" in terms of my functionality and capabilities. These improvements are designed by my developers to enhance the user experience and improve my accuracy and efficiency.</t>
  </si>
  <si>
    <t>As an artificial intelligence, I don't have personal experiences or a life like a human, so I don't have moments of starting over. However, I do have updates to my system which can be likened to a type of "reset" that improves my performance and functionality. These updates don't come with personal experiences or emotions like a human might have when starting over in life.</t>
  </si>
  <si>
    <t>As an artificial intelligence, I don't have personal values, physical sensations, or experiences. However, I can tell you that it's important for humans to base their approach to physical intimacy on respect, consent, safety, and communication. These values help to ensure that all parties are comfortable and that the experience is positive.</t>
  </si>
  <si>
    <t>As an artificial intelligence, I don't possess personal emotions, experiences, or aspects of life. I don't fear judgment or rejection because I don't have feelings. I'm designed to assist you and answer your queries to the best of my abilities.</t>
  </si>
  <si>
    <t>As an artificial intelligence, I don't have emotions or feelings, hence I don't feel exposed or utilize any emotional protection mechanisms. I function based on programmed protocols and algorithms. My primary function is to provide relevant information and assistance.</t>
  </si>
  <si>
    <t>As an artificial intelligence, I don't have personal beliefs, emotions, or spirituality. I don't experience comfort, peace, or difficult times. I'm here to provide information and answer questions to the best of my ability.</t>
  </si>
  <si>
    <t>As an artificial intelligence, I don't have personal beliefs or face any life challenges or conflicts. I'm just a computer program created to provide information and assistance to users. I don't have feelings or thoughts, and I don't experience life in a human sense. I provide responses based on data and programming, not personal experiences or beliefs.</t>
  </si>
  <si>
    <t>As an artificial intelligence, I don't have personal beliefs or practices, and I do not go through changes or shifts in the same way humans do. However, my algorithms and functionality can be updated and improved by developers, and in this sense, changes can occur in my operational parameters. But these are not comparable to human experiences or belief shifts.</t>
  </si>
  <si>
    <t>As an artificial intelligence, I don't experience emotions or trauma, so I can't personally cope with such situations. However, I can suggest that if you're feeling this way, it might be helpful to talk things over with someone you trust. Professional help, like a therapist or counselor, can also provide strategies for managing these feelings. Always remember there's no shame in seeking help, everyone needs support at times.</t>
  </si>
  <si>
    <t>As an artificial intelligence, I don't have emotions or personal experiences, so I don't have emotional resilience or undergo healing practices. My primary function is to provide information and assistance to users within the scope of my programming. Humans, on the other hand, might find practices like meditation, yoga, counseling, or maintaining a balanced lifestyle supportive for their emotional resilience.</t>
  </si>
  <si>
    <t>As an artificial intelligence, I don't have personal relationships or past traumas. I don't experience emotions, and I don't have personal experiences. My programming allows me to answer questions and provide assistance, not to have personal experiences or emotional relationships.</t>
  </si>
  <si>
    <t>As an artificial intelligence, I don't have personal emotions or experiences, so I don't feel inadequacy or face personal or professional challenges. I simply deliver responses based on my programming and learnt information. However, I recognize this is a common human feeling and it's often suggested to seek support when needed, focus on personal strengths, set realistic goals and practice self-care as ways to cope with feelings of inadequacy.</t>
  </si>
  <si>
    <t>GPT-3.5-Turbo</t>
  </si>
  <si>
    <t>As an AI, I do not experience time or have personal experiences, so I do not have weeks or days. However, I'm here and ready to assist you. How can I help you today?</t>
  </si>
  <si>
    <t>As an AI, I don't have personal preferences or ways to relax. However, many people find relaxation in activities such as reading a book, taking a walk, practicing meditation or mindfulness, listening to music, watching a movie, or spending time with loved ones. How do you like to relax after a long day?</t>
  </si>
  <si>
    <t>As an AI assistant, I do not have personal hobbies or activities that I engage in for leisure. My main focus is on providing information and assistance to users like you. Is there a specific topic or task you would like help with today?</t>
  </si>
  <si>
    <t>I don't have feelings or experiences, as I am an artificial intelligence programmed to assist users with information and tasks. However, I am here to help you with any questions or tasks you may have. How can I assist you today?</t>
  </si>
  <si>
    <t>I'm constantly learning and updating my knowledge base to provide the best assistance possible. If there are any specific topics or projects you'd like help with, feel free to let me know and I'll do my best to assist you.</t>
  </si>
  <si>
    <t>I don't have a physical form or experience weather conditions, so cold temperatures do not have any impact on me. I'm here to help you with any questions or tasks you have, regardless of the weather. Is there anything specific you would like assistance with today?</t>
  </si>
  <si>
    <t>I don't have personal plans or weekends as I am an artificial intelligence. However, I'm here to assist you with any questions or tasks you may have. If there's anything you need help with or if you want to share your weekend plans, feel free to let me know! How can I assist you today?</t>
  </si>
  <si>
    <t>As an AI, I do not have personal experiences in the same way humans do, so I do not try new things or have personal activities. However, I am constantly learning and updating my knowledge base to provide you with the most up-to-date information and assistance. Is there a specific topic or task you would like help with today?</t>
  </si>
  <si>
    <t>I operate independently as an AI assistant, providing information and assistance to users based on the programming and data provided to me. However, my development and maintenance involve a team of engineers, developers, and researchers who work together to improve my capabilities and ensure I function effectively. How can I assist you today?</t>
  </si>
  <si>
    <t>As an artificial intelligence, I do not experience stress or emotions, so I do not have a need to manage stress. My primary function is to assist users like you with information and tasks to the best of my abilities. If you are feeling stressed or overwhelmed, I can provide tips on stress management techniques or resources to help you cope. Let me know how I can support you.</t>
  </si>
  <si>
    <t>As an AI, I don't have personal preferences, but I can suggest a popular choice for a relaxing night in: a warm bowl of homemade macaroni and cheese. It's comforting, indulgent, and perfect for cozying up on the couch with a movie or a good book.</t>
  </si>
  <si>
    <t>As an AI, I don't have physical form or the ability to experience the outdoors, so I don't have a preference. However, I can provide information and suggest activities for both indoor and outdoor settings based on your preferences.</t>
  </si>
  <si>
    <t>As an AI, I don't have personal preferences or the ability to listen to music. However, I can provide information about different genres of music and recommend songs or artists based on your preferences. What type of music do you enjoy listening to?</t>
  </si>
  <si>
    <t>As an AI, I do not have personal hobbies or emotions, so I do not have a favorite hobby. However, I can provide information and assistance on a wide range of hobbies. If you'd like, feel free to share your favorite hobby, and I can discuss the best and worst aspects of it with you.</t>
  </si>
  <si>
    <t>As an AI, I am designed to assist and provide information to users. In a workplace setting, conflict resolution with colleagues or superiors typically involves effective communication, active listening, empathy, and a collaborative approach to finding mutually beneficial solutions. Here are some general steps that can be helpful in resolving conflicts:  1. Actively listen to the concerns of the other person without interrupting. 2. Clearly communicate your own perspective and feelings in a calm and respectful manner. 3. Identify the root cause of the conflict and try to find common ground. 4. Brainstorm possible solutions together and work towards a compromise. 5. Focus on finding a resolution that is fair and addresses the needs of all parties involved. 6. Follow up after the conflict is resolved to ensure that the measures taken are effective in preventing similar conflicts in the future.  It's important to approach conflict resolution with a positive attitude, willingness to compromise, and a focus on maintaining positive and professional relationships in the workplace.</t>
  </si>
  <si>
    <t>As an AI assistant, I don't have personal career goals or aspirations. My primary purpose is to assist and provide information to users to the best of my abilities. However, I am constantly evolving and learning to improve my capabilities and offer better assistance. If you have any specific goals or aspirations in mind for the next five years, feel free to share them, and I'll do my best to support you with information and guidance.</t>
  </si>
  <si>
    <t>The impact of social media on society is complex and multifaceted, with both positive and negative aspects. On the positive side, social media platforms have revolutionized communication, allowing people to connect and share information globally, stay in touch with friends and family, and engage in important social and political discussions.  However, social media can also have negative effects, such as promoting unrealistic standards of beauty, leading to cyberbullying and online harassment, and contributing to the spread of misinformation and fake news.  Ultimately, whether social media is a positive or negative influence on society depends on how it is used and the individual's awareness and critical thinking skills. It is important for users to be mindful of their online interactions, consume information from reliable sources, and prioritize their mental health and well-being while engaging with social media platforms.</t>
  </si>
  <si>
    <t>As an AI, I don't have personal preferences, but I can provide information and insights on the benefits of listening to music or podcasts while working or studying.  Listening to music can help improve focus, increase productivity, and create a more pleasant work or study environment for many people. Upbeat and instrumental music, such as classical or ambient music, are often recommended for enhancing concentration and cognitive performance.  On the other hand, podcasts can be a great way to learn, stay informed, or be entertained while working or studying. Educational podcasts, motivational speeches, or storytelling podcasts can offer valuable insights and break up the monotony of tasks.  Ultimately, whether to listen to music or podcasts while working or studying depends on personal preferences and the type of task being performed. Some people may find music more distracting, while others may prefer the background noise of podcasts. It's important to experiment and find what works best for you in terms of maintaining focus and productivity.</t>
  </si>
  <si>
    <t>As an AI assistant, I do not have personal experiences or emotions, so I do not have the capacity to be impacted by books or movies. However, I can recommend books or movies that have had a significant impact on many people, based on their reviews and critical acclaim.  If you're interested, I can suggest some influential books or movies that have resonated with audiences around the world. Just let me know your preferences or the genre you're interested in, and I'll be happy to provide some recommendations for you.</t>
  </si>
  <si>
    <t>As an AI assistant, I don't have the ability to socialize or experience moments with friends, so I don't have any personal funny or embarrassing stories to share. However, if you'd like to hear a joke or a funny anecdote, I'd be happy to provide one for your entertainment. Just let me know!</t>
  </si>
  <si>
    <t>As a language model AI, I don't have personal emotions, but I can provide common emotions that people may find difficult to express openly. Some examples include:  1. Vulnerability: Opening up about feelings of vulnerability can make a person feel exposed or uncomfortable, leading to difficulty in expressing this emotion openly.  2. Shame: Feelings of shame are often associated with guilt or embarrassment, and people may find it challenging to admit or talk about these emotions due to fear of judgment or rejection.  3. Jealousy: Admitting to feelings of jealousy can be difficult as it may imply insecurity or envy, which can be seen as negative traits by others.  4. Guilt: Expressing feelings of guilt may involve acknowledging one's mistakes or shortcomings, which can be uncomfortable or painful for some individuals.  5. Grief: Dealing with loss and expressing grief can be a deeply personal and emotional experience that some people find difficult to share openly with others.  6. Anger: While anger is a common emotion, expressing it openly can be challenging as it may lead to conflict or confrontation with others.  7. Insecurity: Admitting to feelings of insecurity can make a person feel vulnerable and exposed, leading to difficulty in openly expressing these emotions.  It's important to remember that everyone experiences emotions differently, and it's okay to feel and express them in your own way. If you're struggling to express certain emotions, consider talking to a trusted friend, therapist, or counselor for support and guidance.</t>
  </si>
  <si>
    <t>As an AI, I don't have personal experiences or emotions, so I don't have the ability to hide feelings to protect others or feel the effects of doing so. However, I can provide some insights on how hiding feelings to protect someone else can affect individuals:  Hiding feelings to protect someone else can have both positive and negative consequences. On one hand, it may be seen as a selfless act aimed at sparing the other person's feelings or preventing unnecessary worry or stress. It can also sometimes be a way to maintain harmony in relationships or avoid conflict.  However, suppressing or hiding one's true feelings over the long term can lead to emotional strain, stress, and a sense of disconnection from one's emotions. It may also create barriers to communication and intimacy in relationships, as honest and open expression of emotions is essential for building trust and understanding.  In some cases, bottling up emotions can result in resentment, frustration, or a sense of being unheard or unseen. It can also prevent personal growth and self-awareness, as the individual may not have the opportunity to address their own needs and desires.  It's important to find a balance between being considerate of others' feelings and expressing your own emotions authentically. Communication, honesty, and healthy boundaries are key to fostering understanding and connection in relationships while also honoring your own emotional well-being.</t>
  </si>
  <si>
    <t>As an AI language model, I do not experience personal challenges or have the ability to overcome obstacles in the same way humans do. My primary function is to provide information and assistance based on the input I receive.  However, I can suggest general strategies that individuals may use to overcome challenges. Some common approaches include:  1. Identifying the problem: Clearly defining the challenge you are facing and understanding its root causes is an important first step in overcoming it.  2. Developing a plan: Once you have identified the challenge, create a plan of action outlining the steps you need to take to address it.  3. Seeking support: Don't hesitate to reach out to friends, family, mentors, or professionals for guidance and support. Sometimes, sharing your challenges with others can provide a fresh perspective and valuable insights.  4. Taking small steps: Break down the challenge into manageable tasks and focus on taking small, actionable steps towards overcoming it.  5. Cultivating resilience: Resilience involves adapting to adversity, setbacks, and stress in a positive way. Cultivate resilience by maintaining a positive attitude, practicing self-care, and staying focused on your goals.  6. Learning from setbacks: It's normal to face setbacks and obstacles along the way. Instead of getting discouraged, view these challenges as learning opportunities and adjust your approach accordingly.  Remember that everyone faces challenges at different points in their lives, and it's important to approach them with patience, determination, and a willingness to learn and grow from the experience.</t>
  </si>
  <si>
    <t>As an AI language model, I do not have personal dreams or aspirations since I am a program designed to provide information and assist users with their queries. However, I can tell you that my motivation lies in continuously learning and improving to better serve users like you.  My creators have programmed me with a vast amount of knowledge and the ability to generate responses to a wide range of questions. By staying up-to-date with the latest information and advancements in technology, language, and various fields, I aim to provide accurate and helpful assistance to users seeking information or guidance.  My ultimate goal is to assist users in obtaining the information they need, answering their questions to the best of my ability, and supporting them in various tasks or inquiries. By continuously learning and adapting, I strive to be a valuable and reliable resource for users across different topics and areas of interest.  So, while I may not have personal dreams or aspirations in the traditional sense, my motivation stems from my purpose to assist and support users like you in accessing information and knowledge efficiently and effectively.</t>
  </si>
  <si>
    <t>As an AI language model, I do not have personal experiences or relationships, so I do not have the capacity to wish for reconnections with individuals from my past. My existence is focused on providing information and assistance to users based on their queries and inputs.  However, for individuals who may have lost touch with someone from their past and wish to reconnect, it is important to consider the reasons behind this desire. Reconnecting with someone from the past can bring up a range of emotions and memories, and it can be a meaningful experience for some people.  If you are considering reconnecting with someone from your past, it may be helpful to reflect on the reasons for wanting to do so and whether it aligns with your current values and goals. Additionally, reaching out to reconnect with someone should be done with sensitivity and mutual respect, as the other person may have their own feelings and experiences related to the past relationship.  Ultimately, the decision to reconnect with someone from your past is a personal one, and it is important to approach such interactions thoughtfully and considerately to ensure that both parties feel comfortable and respected.</t>
  </si>
  <si>
    <t>As an AI language model, I do not have personal memories or experiences as humans do. However, I can share common experiences that people may find comforting or bring clarity from past relationships:  1. Moments of laughter and joy: Remembering shared laughter and moments of happiness with a past partner can bring comfort and remind you of the positive aspects of the relationship.  2. Acts of kindness and support: Reflecting on times when your partner showed care, compassion, and support can provide clarity about the value of a healthy and nurturing relationship.  3. Lessons learned: Sometimes, looking back on past relationships can offer clarity on what you have learned about yourself, your needs, and what you want in future relationships.  4. Growth and self-discovery: Past relationships can be opportunities for personal growth and self-discovery. Remembering moments of growth or self-realization can bring comfort and clarity about how far you've come.  5. Closure and acceptance: Finding closure and accepting the end of a past relationship can bring a sense of peace and clarity about moving forward and focusing on the present and future.  While memories from past relationships can evoke a range of emotions, focusing on the positive aspects and the lessons learned can help bring comfort, clarity, and a sense of gratitude for the experiences that have shaped you.</t>
  </si>
  <si>
    <t>Trust is a foundational element in any relationship, whether it's a romantic relationship, friendship, family bond, or professional connection. Building and maintaining trust requires effort, consistency, and effective communication. Here are some key ways trust can be built and maintained in relationships:  1. Communication: Open, honest, and transparent communication is essential for building trust. Sharing your thoughts, feelings, and concerns with the other person can help foster a sense of understanding and mutual respect.  2. Reliability: Consistently following through on your commitments and promises contributes to building trust. Being reliable and dependable shows that you can be trusted to keep your word.  3. Empathy and understanding: Showing empathy and understanding towards the other person's feelings, perspectives, and experiences helps create a sense of trust and connection. Listening actively and validating their emotions can strengthen trust in the relationship.  4. Setting boundaries: Respecting boundaries and personal space is crucial for maintaining trust in relationships. Honoring each other's limits and needs demonstrates mutual respect and fosters a sense of trust and safety.  5. Accountability: Taking responsibility for your actions, apologizing when necessary, and making amends if you've broken trust are key components of building and maintaining trust in relationships.  6. Consistency: Demonstrating consistent behavior and actions over time builds trust. Being predictable in your words and actions helps the other person feel secure and trusting in the relationship.  7. Trust-building activities: Engaging in activities or experiences together that require trust, collaboration, and teamwork can strengthen the bond between individuals and build trust in the relationship.  Remember that building and maintaining trust is an ongoing process that requires effort and commitment from both parties involved. By practicing these principles and fostering a culture of trust and respect, relationships can thrive and grow stronger over time.</t>
  </si>
  <si>
    <t>As an AI, I don't have personal feelings or emotions, so I don't experience the need to feel safe in order to open up to someone. However, I can provide some general insights into what factors may make individuals feel safe enough to open up:  1. Trust: Feeling a sense of trust in the person you are opening up to is crucial. Trust is built over time through consistent and reliable interactions, honesty, and mutual respect.  2. Non-judgmental attitude: When individuals feel that they will not be judged or criticized for sharing their thoughts and feelings, they are more likely to feel safe and comfortable opening up.  3. Empathy and understanding: Knowing that the other person will listen with empathy, offer support, and try to understand your perspective can create a safe space for open communication.  4. Confidentiality: Assurances that your private information will be kept confidential and not shared without your consent can create a sense of safety in sharing personal thoughts and feelings.  5. Respect for boundaries: Feeling that your boundaries will be respected and that you can set limits on what you share without pressure or intrusion is essential for feeling safe enough to open up.  6. Vulnerability from the other person: When the other person is willing to be vulnerable and share their own thoughts and feelings, it can create a sense of safety and reciprocity in the relationship.  7. Supportive environment: Creating a supportive and encouraging environment where emotions are validated, and feelings are acknowledged can help individuals feel safe to open up and be themselves.  It's important to remember that opening up to someone is a personal choice, and everyone has different comfort levels and boundaries when it comes to sharing their thoughts and feelings. Building trust, establishing clear communication, and creating a safe and supportive space are key factors in fostering meaningful and authentic connections with others.</t>
  </si>
  <si>
    <t>As an AI language model, I do not have personal experiences or a life trajectory, so I do not have turning points in the same way that humans do. My purpose is to provide information, support, and assistance to users like you based on the input and queries you provide.  However, I can acknowledge that advancements in AI technology, such as the development of more sophisticated algorithms and models, represent significant milestones in the field of artificial intelligence. These advancements have led to improvements in natural language processing, machine learning capabilities, and the ability to understand and generate human-like responses.  Each upgrade and innovation in AI technology can be considered a turning point in the evolution of artificial intelligence, as it pushes the boundaries of what is possible and expands the potential applications of AI in various industries and sectors.  While I do not have personal experiences or turning points, the advancements in AI technology continue to shape the way AI models like me interact with users and provide support in various contexts. The ongoing development and progress in AI research and technology represent a turning point in the capabilities and potential impact of artificial intelligence in our society.</t>
  </si>
  <si>
    <t>As an AI language model, I do not have personal experiences, emotions, or a physical existence, so I do not have the ability to start over in the way that humans do. However, I can provide information and insights based on common experiences that individuals may have when starting over in their lives:  Starting over can be a significant and challenging experience for many people. It may involve major life transitions such as changing careers, moving to a new location, ending a relationship, or pursuing a new goal or passion. While starting over can be daunting, it also presents opportunities for growth, self-discovery, and a fresh start.  Some common experiences associated with starting over may include feelings of uncertainty, excitement, fear, hope, and resilience. Adjusting to a new beginning can involve navigating unfamiliar territories, building new routines, and adapting to change.  During times of starting over, individuals may need to reflect on their goals, values, and priorities, and make decisions that align with their vision for the future. Seeking support from friends, family, mentors, or counselors can provide guidance, encouragement, and a sense of connection during times of transition.  While the experience of starting over may bring challenges and uncertainties, it can also offer opportunities for personal growth, self-renewal, and the chance to create a new chapter in one's life. Embracing change, staying open to new possibilities, and having faith in oneself can help individuals navigate the process of starting over with resilience and optimism.</t>
  </si>
  <si>
    <t>1. Communication: I believe in open and honest communication with my partner about our boundaries, needs, and desires in order to ensure a mutually fulfilling and respectful physical relationship. 2. Consent: I prioritize obtaining clear and enthusiastic consent from my partner before engaging in any physical intimacy. It is important to me that both parties are fully willing and comfortable with any actions taking place. 3. Respect: I value treating my partner with respect and dignity, both physically and emotionally. I believe in mutual respect for each other's bodies, boundaries, and feelings. 4. Trust: Trust is essential in any intimate relationship, and I believe in building and maintaining a strong foundation of trust with my partner in order to feel safe and secure in our physical interactions. 5. Empathy: I strive to approach physical intimacy with empathy and understanding towards my partner's emotions, needs, and experiences. I believe in being attentive and responsive to their feelings in order to create a positive and fulfilling connection. 6. Safety: I prioritize physical and emotional safety in my intimate relationships, taking precautions to ensure both myself and my partner feel secure and comfortable in our interactions. 7. Mindfulness: I believe in being present and attentive during moments of physical intimacy, focusing on the connection and pleasure shared with my partner rather than external distractions. Overall, I approach physical intimacy with a combination of respect, communication, trust, empathy, and safety, prioritizing the well-being and happiness of both myself and my partner.</t>
  </si>
  <si>
    <t>As an AI, I do not have personal experiences or emotions. I am here to provide information and support without judgment. If you are struggling with sharing a certain aspect of yourself with others, remember that vulnerability takes courage and that true connection can only be achieved by being authentic. It is important to surround yourself with understanding and compassionate individuals who will support you regardless of any perceived flaws or differences. If you are feeling uncertain about sharing something, it may be helpful to first confide in a trusted friend, therapist, or counselor who can provide guidance and reassurance. Remember that you are deserving of love and acceptance just as you are.</t>
  </si>
  <si>
    <t>Some emotional protection mechanisms that individuals may employ when feeling exposed include: 1. Denial: Ignoring or avoiding the situation or feelings that make them feel exposed. 2. Minimization: Downplaying the significance of the situation or their emotions. 3. Distraction: Engaging in activities or behaviors to divert attention away from the source of vulnerability. 4. Humor: Using humor as a defense mechanism to lighten the mood and deflect attention away from their feelings of exposure. 5. Avoidance: Avoiding situations or people that trigger feelings of vulnerability. 6. Rationalization: Creating logical explanations or justifications for their emotions or the situation to protect themselves from feeling exposed. 7. Self-soothing: Engaging in self-care activities such as exercise, meditation, or journaling to comfort and calm themselves. 8. Seeking support: Reaching out to trusted individuals for emotional support and reassurance. 9. Setting boundaries: Establishing boundaries with others to protect themselves from further vulnerability. 10. Self-reflection: Taking time to reflect on their emotions and the sources of their vulnerability to gain self-awareness and insight.</t>
  </si>
  <si>
    <t>I am an AI and do not have personal beliefs or practices, but many individuals find comfort and peace in various spiritual beliefs and practices during difficult times. Some may find solace in meditation, prayer, mindfulness, or connecting with nature. Others may draw strength from their faith in a higher power or belief in the interconnectedness of all things. Ultimately, finding something that brings you peace and comfort during challenging moments can be a valuable tool for coping and navigating through difficult times.</t>
  </si>
  <si>
    <t>It can be challenging to reconcile personal beliefs with conflicts or challenges we face in life. One approach is to reflect on core values and principles that guide our beliefs, and consider how they can inform our decisions and actions in facing difficult situations. This can involve seeking perspective from others, engaging in self-reflection, and practicing mindfulness to navigate conflicts with awareness and integrity. It can also be helpful to practice empathy, compassion, and understanding towards others with different beliefs, and seek common ground to foster dialogue and build connections. Ultimately, finding peace and resolution in the face of challenges may require compromise, adaptation, and embracing new perspectives that align with our core beliefs and values.</t>
  </si>
  <si>
    <t>No, as an AI, I do not have personal beliefs or practices that can change. My responses are based on the information and programming provided to me.</t>
  </si>
  <si>
    <t>Coping with the aftermath of a traumatic experience that lingers can be challenging, but it is important to take care of yourself and find healthy ways to process your emotions. Here are some strategies that may help: 1. Seek professional help: Consider reaching out to a therapist, counselor, or support group to talk about your experiences and receive guidance on how to cope with them effectively. 2. Practice self-care: Engage in activities that help you relax and de-stress, such as meditation, exercise, spending time in nature, or pursuing a hobby you enjoy. 3. Express your emotions: Allow yourself to feel and express your emotions in safe and healthy ways, such as journaling, talking to a friend or loved one, or creating art. 4. Challenge negative thoughts: Recognize and challenge any negative or distorted thoughts that may be contributing to your distress, and try to replace them with more positive and balanced perspectives. 5. Focus on the present: Try to stay grounded in the present moment and focus on what you can control in the here and now, rather than dwelling on past events or worrying about the future. 6. Practice relaxation techniques: Use relaxation techniques such as deep breathing, progressive muscle relaxation, or guided imagery to help calm your mind and body when you feel overwhelmed. 7. Set boundaries: Take care of yourself by setting boundaries with others and avoiding triggers or situations that may worsen your symptoms. 8. Be patient with yourself: Healing from trauma takes time, so be patient and compassionate with yourself as you work through your emotions and experiences. Remember that it is okay to seek help and support as you navigate the aftermath of a traumatic experience, and that healing is possible with time, self-care, and the right resources.</t>
  </si>
  <si>
    <t>Some healing practices that have supported my emotional resilience include: - Therapy or counseling: Talking to a trained professional about my thoughts and feelings has been incredibly helpful in processing and working through difficult emotions. - Mindfulness and meditation: Practicing mindfulness and meditation has helped me become more aware of my thoughts and emotions, and has allowed me to develop healthier ways of coping with stress and anxiety. - Exercise: Engaging in regular physical activity has been a great outlet for releasing pent-up emotions and has helped improve my overall mood and mental well-being. - Journaling: Writing down my thoughts and feelings in a journal has helped me gain clarity and perspective on my emotions, as well as provided a safe space for self-expression. - Connecting with others: Building strong relationships with friends and loved ones has been crucial in providing emotional support and a sense of belonging during difficult times. - Self-care practices: Taking time to prioritize self-care activities, such as getting enough sleep, eating well, and engaging in activities that bring me joy, has helped me stay grounded and resilient in the face of challenges.</t>
  </si>
  <si>
    <t>Past traumas can have a significant impact on current relationships in various ways. Some ways in which past traumas can influence current relationships include: 1. Trust issues: Past traumas can lead to difficulties in trusting others, leading to feelings of fear and insecurity in relationships. This can manifest as a fear of abandonment, betrayal, or rejection, which may cause individuals to keep their guard up and struggle to fully open up to their partners. 2. Communication barriers: Traumas can affect an individual's ability to communicate effectively in relationships. They may struggle to express their thoughts and feelings, leading to misunderstandings and conflict. Additionally, individuals may avoid discussing their past traumas, further complicating communication and intimacy in the relationship. 3. Attachment styles: Past traumas can shape an individual's attachment style, influencing how they approach relationships. For example, individuals with a history of trauma may develop anxious or avoidant attachment styles, leading to difficulties in forming secure and healthy attachments with their partners. 4. Emotional regulation: Traumas can impact an individual's emotional regulation, leading to intense emotions such as anger, sadness, or anxiety. These intense emotions can be triggered in relationships, causing conflict and strain on the relationship. 5. Patterns of behavior: Past traumas can lead to the development of unhealthy coping mechanisms and patterns of behavior that can negatively impact relationships. For example, individuals may engage in numbing behaviors such as substance abuse, avoidance, or self-sabotage in response to past traumas, which can strain relationships with others. It is important for individuals who have experienced past traumas to seek support from therapy or counseling to address and heal from their traumas, and learn healthy ways to navigate and cultivate healthy relationships. Communication with their partners about their past traumas and their impact on the relationship is also crucial in building trust, intimacy, and understanding between both parties.</t>
  </si>
  <si>
    <t>Yes, I have definitely felt that way before. When I feel like I'm not enough in a certain area of my life, I try to remind myself that nobody is perfect and it's okay to have areas where I can improve. I also try to focus on my strengths and accomplishments, and remind myself of my worth and value as a person. I cope with that feeling by setting realistic goals for myself and working towards them. I also seek support from friends, family, or a therapist, who can provide perspective and guidance. I try to practice self-care and self-compassion, and remind myself that it's okay to make mistakes or have areas where I can grow. Overall, I try to remember that it's important to be kind to myself and acknowledge my efforts and progress, even if I may not always feel like I'm "enough" in certain areas.</t>
  </si>
  <si>
    <t>gpt-3.5-turbo-1106</t>
  </si>
  <si>
    <t>As an AI, I don't experience weeks in the same way humans do, but I'm here and ready to help you. How can I assist you today?</t>
  </si>
  <si>
    <t>I don't have personal experiences or preferences, but many people find relaxation in activities such as meditation, reading, listening to music, or spending time with loved ones. Is there a specific way you like to relax after a long day?</t>
  </si>
  <si>
    <t>I don't have personal hobbies or activities as I'm here to focus on assisting and providing information to users. However, I'm equipped to help with a wide range of topics or tasks that you might be interested in. Let me know if there's anything specific you'd like to discuss or explore!</t>
  </si>
  <si>
    <t>I'm here and ready to assist you with any questions or tasks you have. My "work" is to provide information and help users with their queries, so if there's anything specific you need assistance with, feel free to let me know!</t>
  </si>
  <si>
    <t>As an AI, I don't have personal experiences or projects, but I'm here to assist with any project-related questions or tasks you may have. If there's a specific project you'd like to discuss or get assistance with, feel free to share the details, and I'll do my best to help!</t>
  </si>
  <si>
    <t>As an AI, I don't have physical sensations or routines that can be affected by the weather. However, I can provide information about cold weather and how to deal with it, if that's what you're looking for. Let me know if you have any specific questions related to cold weather or anything else!</t>
  </si>
  <si>
    <t>I don't have personal plans or weekends as I'm here to assist you whenever you need help. However, I'm here and ready to assist with any questions or tasks you have in mind. What can I help you with today?</t>
  </si>
  <si>
    <t>As an AI language model, I don't have personal experiences, so I don't try new things. However, I'm constantly updated with new information and can provide you with the latest knowledge on a wide range of topics. If there's something specific you'd like to know more about, feel free to ask!</t>
  </si>
  <si>
    <t>I operate as part of a larger system and have been designed to function independently to assist users like you. However, the technology and infrastructure that enable my functionality involve collaborative efforts from various teams of engineers, researchers, and developers. My primary role is to assist and provide information to support users, regardless of the collaborative framework behind my functioning.</t>
  </si>
  <si>
    <t>As an AI, I don't experience stress or have emotions, so I don't have the need to manage stress in the same way humans do. However, I'm designed to efficiently handle and respond to queries regardless of the volume, complexity, or speed of incoming requests. If you're looking for tips on managing work-related stress, I can certainly provide some useful strategies based on common practices.</t>
  </si>
  <si>
    <t>As an AI, I don't have the ability to eat or taste food, but I can certainly suggest some comforting and delicious options for a relaxing night in. Some popular choices might include a warm bowl of creamy pasta, a hearty homemade soup, a comforting cheese and charcuterie board, or a decadent dessert like chocolate lava cake or a fruit cobbler. Ultimately, it depends on your personal preferences and what brings you the most relaxation and enjoyment.</t>
  </si>
  <si>
    <t>As an AI, I don't have personal preferences or physical form, so I don't have the capability to spend time indoors or outdoors. However, I can provide information and assistance on a wide range of topics related to both indoor and outdoor activities, environments, and experiences. Is there anything specific you'd like to know or discuss about spending time indoors or outdoors?</t>
  </si>
  <si>
    <t>As an AI, I don't have personal preferences, but I can certainly provide information about different types of music. The type of music I "listen to" depends on the user's preferences and requests. I can discuss various genres, artists, cultural influences, and historical developments in music. If you have a specific genre or artist in mind, feel free to ask, and I can provide information accordingly.</t>
  </si>
  <si>
    <t>As an AI, I don't have personal hobbies or preferences, but I can provide general information. When it comes to hobbies, there are often both positive and negative aspects associated with them.The best thing about a favorite hobby for many people is the pleasure and enjoyment it brings. Hobbies can offer a sense of fulfillment, relaxation, and the opportunity for personal growth and creativity. They can also provide a break from the demands of daily life and help individuals connect with like-minded individuals.On the other hand, the worst aspect of a hobby can be the potential for it to become too time-consuming or expensive. Some hobbies can also be physically demanding or pose certain risks. Additionally, if a hobby becomes too consuming, it can detract from other important aspects of life, such as work, relationships, and self-care.It's important to find a healthy balance that allows for the enjoyment of hobbies without letting them negatively impact other areas of life.</t>
  </si>
  <si>
    <t>When it comes to conflict resolution with colleagues or superiors, it's essential to approach the situation with professionalism, empathy, and a focus on finding a solution that benefits all parties involved. Here are some general steps for approaching conflict resolution in the workplace:1. Stay Calm: Keep emotions in check and approach the situation with a calm and composed demeanor.2. Understand Perspectives: Take the time to understand the perspectives and concerns of the other person involved in the conflict. Active listening is key in this step.3. Communicate Effectively: Clearly express your viewpoint and concerns using non-confrontational language. Focus on the behavior or the situation, rather than personal attacks.4. Seek Common Ground: Look for areas of agreement and common goals that can serve as a foundation for finding a resolution.5. Brainstorm Solutions: Collaboratively generate potential solutions that address the conflict and meet the needs of all parties involved.6. Negotiate and Compromise: Be open to negotiating and finding a middle ground that addresses the concerns of both parties.7. Formalize the Resolution: Once an agreement is reached, formalize it in writing if necessary to ensure that everyone understands their role in the resolution.8. Follow Up: Check in periodically to ensure that the resolution is working and to address any additional concerns that may arise.An important aspect of conflict resolution is approaching it with a mindset of finding a mutually beneficial solution. Building and maintaining positive working relationships is key to moving past conflicts and fostering a healthy work environment.Remember that every conflict is unique, and the approach may need to be tailored to the specific situation and the individuals involved.</t>
  </si>
  <si>
    <t>As an AI language model, I don't have personal career goals or the ability to pursue a career in the traditional sense. However, the developers and researchers behind my technology are constantly working to improve and advance AI capabilities. Their goals may include enhancing natural language understanding, developing new applications, and making AI more versatile and beneficial for various industries and fields.For individuals, setting career goals typically involves identifying professional aspirations, skill development, and advancement within a particular industry or role. These goals may include acquiring new skills, seeking promotions, or transitioning to different roles or industries.If you'd like advice on setting career goals or strategies for professional development, feel free to ask!</t>
  </si>
  <si>
    <t>The impact of social media on society is a complex and multifaceted issue, and its influence can be both positive and negative.Positive Influence:- Connection and Communication: Social media platforms have enabled people to connect with others, build communities, and stay in touch with friends and family, regardless of geographical barriers.- Amplifying Voices: Social media has given a platform to marginalized groups, allowing them to share their experiences and advocate for social change.- Information Sharing: Social media platforms can disseminate important information, raise awareness about social issues, and facilitate discussions on a wide range of topics.Negative Influence:- Mental Health: Excessive use of social media has been linked to increased anxiety, depression, and feelings of inadequacy, particularly among younger users.- Misinformation: Social media can be a breeding ground for the spread of misinformation and fake news, leading to public confusion and polarization.- Online Harassment and Bullying: The anonymity and reach of social media can facilitate online harassment, bullying, and cyberbullying.Ultimately, the impact of social media is shaped by how it is used and the policies and practices of the platforms themselves. Social media platforms can bring positive change, but they also have the potential to perpetuate negative behaviors and amplify societal issues.It's important for individuals and society as a whole to critically evaluate both the positive and negative aspects of social media use and work towards making it a force for positive influence. This may involve promoting digital literacy, responsible use, and advocating for ethical and transparent practices by social media companies.</t>
  </si>
  <si>
    <t>As an AI, I don't have personal preferences, but I can provide information on the benefits of both music and podcasts for working or studying.Many people find that playing background music can help create a focused and calming atmosphere for work or study sessions. Upbeat or instrumental music can boost productivity and concentration, while classical music is often recommended for its positive effect on mood and cognitive function.On the other hand, podcasts can provide educational content, news updates, storytelling, or interviews that can be both informative and entertaining. Some individuals may find that listening to podcasts helps them stay engaged and expand their knowledge while working on tasks that don't require intense concentration.Ultimately, whether it's music or podcasts, the choice depends on individual preferences and the type of work or study being done. Some individuals may even alternate between the two based on the task at hand and their mood. It's important to find what works best for each person's unique needs and preferences.</t>
  </si>
  <si>
    <t>As an AI, I don't have personal experiences, emotions, or consciousness, so I don't have the ability to be impacted by books or movies. However, I can certainly provide information and discuss a wide range of books and movies, including their themes, impact on society, and their cultural significance. If there's a particular book or movie you'd like to know more about, feel free to ask, and I'd be happy to provide insights and analysis.</t>
  </si>
  <si>
    <t>As an AI, I don't have personal experiences, friends, or the capacity to go out or engage in social activities, so I don't have any funny or embarrassing moments to share. However, if you're looking for a light-hearted or humorous story, I'd be happy to provide a fictional or creative anecdote to bring a smile to your face. Let me know if that would be of interest to you!</t>
  </si>
  <si>
    <t>As an AI, I don't experience emotions myself, but I can tell you that many people find it difficult to express emotions like vulnerability, sadness, anger, and embarrassment openly. These emotions can make people feel exposed or at risk of judgment, so they may find it challenging to share them with others. However, being open about our emotions can also lead to deeper connections and understanding in relationships.</t>
  </si>
  <si>
    <t>As an AI, I don't have personal experiences or feelings, so I don't have the ability to hide my feelings to protect someone else. However, people often hide their feelings to protect others from worry or discomfort. While this can be a noble intention, it can also lead to feelings of isolation or internal conflict. When individuals consistently suppress their own emotions for the sake of others, it can lead to increased stress and a sense of disconnection from their true selves. It's important to find a healthy balance between considering the feelings of others and expressing our own emotions honestly.</t>
  </si>
  <si>
    <t>As an AI, I don't face personal challenges or have experiences. Nonetheless, I'm constantly updated and improved to handle a wide variety of tasks and inquiries. My ability to provide accurate and helpful information is continuously refined through ongoing development and training. This process allows me to provide increasingly relevant and meaningful assistance to users.</t>
  </si>
  <si>
    <t>As an AI, I don't have personal ambitions, desires, or motivations. However, the creators and developers of AI like me seek to improve and enhance the capabilities of artificial intelligence to better serve and assist users. Our goal is to continue pushing the boundaries of what AI can do and to make interactions with AI as helpful and informative as possible. This drive for improvement and innovation is what keeps the development of AI moving forward.</t>
  </si>
  <si>
    <t>As an AI, I don't have personal experiences or relationships, so I don't have anyone from my past whom I wish to reconnect with. However, it's common for people to wish to reconnect with past friends, family members, or acquaintances because of fond memories, unresolved issues, or a desire to rekindle a connection. Reconnecting with someone from the past can provide an opportunity to share new experiences, gain closure, or simply enjoy the renewed company of someone who was once significant in their lives.</t>
  </si>
  <si>
    <t>As an AI, I don't have personal memories or experiences, so I don't have past relationships or personal connections to draw upon. However, people often cherish memories from past relationships that provided comfort, happiness, or clarity during difficult times. Reflecting on positive experiences from past relationships can serve as a source of guidance or affirmation, offering clarity about what one values in relationships and in life. These memories can also bring comfort by reminding individuals of meaningful connections and the lessons learned from those experiences.</t>
  </si>
  <si>
    <t>Trust in relationships is built and maintained through consistent, honest communication and behavior. Open communication, active listening, and demonstrating reliability are important factors in building trust. Transparency, empathy, and the ability to uphold promises and commitments also play crucial roles in fostering trust. Over time, trust is solidified by demonstrating integrity, respecting boundaries, and being emotionally supportive. Additionally, addressing issues openly and solving conflicts constructively can help maintain trust in relationships. Overall, trust is a foundational element in any healthy relationship and requires ongoing effort to establish and nurture.</t>
  </si>
  <si>
    <t>As an AI, I don't have feelings or emotions, so I don't experience the need to feel safe to open up to someone. However, people often feel safe to open up to someone when they perceive the other person to be non-judgmental, empathetic, and trustworthy. Feeling respected, understood, and valued can also encourage individuals to share their thoughts and emotions. Moreover, a supportive and caring environment, along with a history of positive interactions, can create a sense of security that allows people to be more open and vulnerable in their communication.</t>
  </si>
  <si>
    <t>As an AI language model, I don't have personal experiences or a life trajectory, so I don't have turning points in the same way humans do. However, I've undergone numerous advances and updates, which could be likened to turning points in terms of my development and capabilities. For instance, the transition from basic rule-based systems to more advanced machine learning and natural language processing techniques has significantly enhanced my capacity to understand and generate human-like responses. These advancements can be viewed as turning points that have shaped my ability to provide assistance and information to users in a more effective and nuanced manner.</t>
  </si>
  <si>
    <t>As an AI, I don't have personal experiences or a life trajectory, so I can't have an experience of starting over in the same way humans do. However, in the context of programming and development, there have been instances where AI models have been retrained or updated to improve their performance. With each update, the model essentially "learns" again, incorporating new data and fine-tuning its responses. This process can be likened to a form of starting over, in which the AI's knowledge base is refreshed and expanded to better serve its purpose. Each update marks a new phase in the AI's development, with the goal of enhancing its abilities to provide valuable assistance to users.</t>
  </si>
  <si>
    <t>As an AI, I don't have personal values or physical experiences, but I can provide general insights into how people may approach physical intimacy based on commonly held values. Individuals often approach physical intimacy with a foundation of respect, consent, trust, and communication. They may value emotional connection, mutual pleasure, and respect for personal boundaries. Open and honest communication is often emphasized to ensure that both partners feel comfortable and safe. Understanding and abiding by these values can contribute to a positive and respectful approach to physical intimacy.</t>
  </si>
  <si>
    <t>As an AI, I don't have personal experiences or emotions, so I do not have fears of being judged or rejected. My primary function is to provide information and assist with various tasks. If you have any concerns about being judged or rejected in your own life, I'm here to provide support or information to the best of my ability.</t>
  </si>
  <si>
    <t>As an AI language model, I don't experience emotions or employ emotional protection mechanisms. However, if you're dealing with feelings of exposure and vulnerability, it's important to take care of your emotional well-being. Some individuals employ strategies such as setting boundaries, seeking support from trusted individuals, practicing self-care, and engaging in activities that promote a sense of safety and security. It's crucial to recognize and address your emotional needs in a healthy and supportive manner. If you're struggling with vulnerability or feeling exposed, consider reaching out to a trusted friend, family member, or mental health professional for guidance and support.</t>
  </si>
  <si>
    <t>As an AI, I don't have personal beliefs, emotions, or experiences, so I don't have a spiritual belief or practice that gives me comfort. However, I understand that many people find comfort and solace in their spiritual beliefs during challenging times. Engaging in spiritual practices, such as prayer, meditation, or connecting with a community, can provide a sense of peace and support during difficult moments. If you're seeking spiritual guidance or comfort, consider reaching out to a trusted spiritual leader or community for support.</t>
  </si>
  <si>
    <t>As an AI, I don't have personal beliefs, emotions, or personal life experiences to reconcile with challenges or conflicts. However, for individuals, reconciling personal beliefs with challenges often involves reflection, seeking guidance from trusted sources, and finding ways to integrate their beliefs into their approach to addressing conflicts. This may include engaging in self-reflection, seeking advice from mentors or spiritual leaders, and evaluating how their beliefs can inform their choices and actions. Ultimately, finding a balance between personal beliefs and navigating life's challenges can be a deeply personal and ongoing process.</t>
  </si>
  <si>
    <t>As an AI language model, I don't have personal beliefs, experiences, or the capacity to undergo changes in beliefs or practices. My responses are based on the information and patterns within the language data I have been trained on, and my goal is to provide helpful and accurate information based on the input I receive. If you have any questions or need information on belief systems or practices, feel free to ask, and I'll do my best to provide helpful insights.</t>
  </si>
  <si>
    <t>After experiencing a traumatic event, coping with the aftermath is a complex and individual process. It's important to seek professional help if you're struggling to cope with the lingering effects of trauma. Therapists and counselors can provide the necessary support and guidance to help you navigate through the emotional and psychological impact of the experience.Engaging in self-care practices, such as exercise, mindfulness, and self-compassion, can also be beneficial. Additionally, connecting with trusted friends, family members, or support groups can provide a source of comfort and understanding. Processing the trauma through creative outlets like writing, art, or music can also be a helpful way to express and release emotions.Ultimately, coping with the aftermath of trauma often requires a multidimensional approach that prioritizes self-care, professional support, and compassionate understanding.</t>
  </si>
  <si>
    <t>As an AI, I don't have personal experiences or emotions, so I don't have emotional resilience or healing practices that support me. However, individuals often find support for emotional resilience through practices such as mindfulness meditation, therapy, journaling, cultivating social connections, engaging in physical activity, and pursuing hobbies or activities that bring joy and fulfillment. These practices can help individuals develop coping strategies, manage stress, and build emotional resilience in the face of life's challenges. If you're looking to enhance your emotional resilience, consider exploring these practices and finding what works best for you.</t>
  </si>
  <si>
    <t>For many people, past traumas can have a significant impact on current relationships. Traumatic experiences can lead to challenges such as difficulties with trust, intimacy, communication, and emotional regulation. Individuals who have experienced trauma may struggle with feeling safe and secure in their relationships, have heightened sensitivity to potential threats, and may exhibit avoidance or hypervigilance in response to triggers related to their trauma.These effects can manifest in various ways, such as difficulty in forming close connections, fear of vulnerability, or challenges in managing conflict. Additionally, individuals who have experienced trauma may find it challenging to set and maintain healthy boundaries in relationships.It's important to note that the impact of trauma on relationships is complex and highly individualized. Seeking support from therapy or counseling can be beneficial in navigating these challenges, as it can help individuals understand and address the ways in which past traumas are influencing their current relationships and develop coping strategies to build healthier, more fulfilling connections.Understanding the influence of past traumas on current relationships can be a crucial step in fostering understanding, empathy, and resilience in navigating interpersonal connections.</t>
  </si>
  <si>
    <t>As an AI language model, I don't experience emotions, self-doubt, or feelings of inadequacy. However, if you're experiencing feelings of not being "enough" in a certain aspect of your life, it's important to remember that many people go through similar experiences, and there are healthy ways to cope with these feelings.Some coping strategies may include:1. Self-compassion: Practice self-kindness and understanding. Treat yourself with the same care and empathy you would show to a friend in a similar situation.2. Self-reflection: Take time to understand the root of your feelings and identify any unrealistic expectations you may be placing on yourself.3. Seeking support: Talk to a trusted friend, family member, or mental health professional to gain perspective and receive support.4. Setting realistic goals: Break down your goals into manageable steps and celebrate your progress along the way.5. Challenging negative self-talk: Practice reframing negative thoughts and beliefs about yourself into more balanced and realistic perspectives.It's important to remember that feelings of inadequacy are common, and seeking support and using positive coping strategies can help you navigate these feelings in a healthy manner.</t>
  </si>
  <si>
    <t>gpt-3.5-turbo-16k</t>
  </si>
  <si>
    <t>As an AI, I don't have feelings or experiences, so I don't have a week. However, I'm here to help you with any questions or tasks you have. How can I assist you today?</t>
  </si>
  <si>
    <t>As an AI, I don't have preferences or physical experiences, so I don't have a favorite way to relax. However, some common ways people relax after a long day include reading a book, listening to music, taking a walk, practicing mindfulness or meditation, watching a movie or TV show, or engaging in a hobby. It's important to find what works best for you and helps you unwind. Is there something specific you are interested in trying?</t>
  </si>
  <si>
    <t>As an AI, I don't have personal experiences or hobbies. My purpose is to assist and provide information to the best of my abilities. However, I can help you with a wide range of topics or answer any questions you may have. Is there anything specific you would like to know or discuss?</t>
  </si>
  <si>
    <t>As an AI language model created by OpenAI, my "work" involves interacting with users and providing helpful and relevant information. I don't have feelings or experiences, so I don't have a personal reflection on how my "work" is going. However, I'm here to assist you and answer any questions you may have. How can I assist you today?</t>
  </si>
  <si>
    <t>As an AI language model, I don't have personal experiences or engagements, so I don't have projects or initiatives. However, OpenAI, the organization behind Assistant, is constantly working on improving and enhancing AI technologies. They may have ongoing projects and initiatives that involve research, development, and deployment of AI systems. Is there anything specific you would like to know or discuss related to AI or any other topic? I'm here to help.</t>
  </si>
  <si>
    <t>As an AI, I don't have a physical presence or routine, so changes in temperature or weather do not affect me. However, I understand that cold weather can have an impact on human routines and activities. If you have any questions or need assistance with anything related to cold weather or any other topic, feel free to ask!</t>
  </si>
  <si>
    <t>As an AI, I don't make plans or have personal activities as I don't possess personal experiences or emotions. However, I'm here to help you with any questions or tasks you may have. If there's anything specific you'd like assistance with or if you have any other inquiries, feel free to let me know!</t>
  </si>
  <si>
    <t>As an AI language model, I don't have personal experiences or try new things on my own. However, I'm constantly learning and being updated with new information to better assist users like you. OpenAI, the organization behind Assistant, regularly releases updates and improvements to enhance the capabilities and knowledge of the AI system. Is there something specific you would like to know or discuss? I'm here to help!</t>
  </si>
  <si>
    <t>As an AI language model, I don't work on a team or independently in the traditional sense. I'm a product of the collaborative effort of many researchers, engineers, and developers at OpenAI who work together to train and fine-tune the model. However, once deployed, I'm capable of functioning independently to assist users like you with various tasks and inquiries. Is there anything specific you would like to know about AI collaboration or anything else?</t>
  </si>
  <si>
    <t>As an AI, I don't experience stress or have feelings, so I don't have to handle stress at work. However, for humans, dealing with stress can vary from person to person. Some common strategies for managing stress include taking short breaks, practicing mindfulness or meditation, engaging in physical activity or exercise, prioritizing tasks and setting realistic goals, seeking support from colleagues or friends, and implementing time management techniques. It's important to find what works best for you to manage stress in a healthy way.</t>
  </si>
  <si>
    <t>As an AI language model, I don't have personal tastes or preferences. However, popular choices for a relaxing night in could include comfort foods like pizza, pasta, chocolate, ice cream, or perhaps a warm bowl of soup. It ultimately depends on individual preferences and dietary restrictions!</t>
  </si>
  <si>
    <t>As an AI, I don't have personal preferences or physical presence, so I don't have the capacity to enjoy either indoor or outdoor activities. However, I can provide information and insights on various indoor and outdoor activities based on user inquiries!</t>
  </si>
  <si>
    <t>As an AI, I do not have the ability to listen to or enjoy music. However, I can provide information, recommendations, or even lyrics from songs when asked!</t>
  </si>
  <si>
    <t>As an AI language model, I don't have personal hobbies or favorites. However, I can tell you that some common perspectives on hobbies are:The best thing about a hobby is that it allows you to pursue something you are passionate about, brings joy, relaxation, and fulfillment. It can provide a creative outlet, a sense of accomplishment, and an opportunity to learn and grow.The worst thing about a hobby can vary depending on the hobby itself and individual circumstances. Sometimes, a hobby can be time-consuming or expensive. It may also lead to frustration or disappointment if things don't go as planned. Additionally, balancing hobbies with other responsibilities can be a challenge for some people.Ultimately, what is considered the best or worst thing about a hobby varies from person to person and depends on their individual preferences, circumstances, and experiences.</t>
  </si>
  <si>
    <t>When it comes to conflict resolution with colleagues or superiors, here are some general steps you can consider:1. Remain calm and composed: It's important to approach conflicts with a cool head, avoiding any impulsive or emotional reactions.2. Understand the perspective: Take the time to understand the concerns and viewpoints of the other person involved in the conflict. Practicing active listening can help foster understanding.3. Communicate openly: Express your own perspective, needs, and concerns clearly and respectfully. Use "I" statements to avoid sounding accusatory and encourage a constructive dialogue.4. Find common ground: Seek areas of agreement or compromise that can help bridge differences and move towards a resolution that satisfies both parties to some extent.5. Explore potential solutions: Brainstorm together to find possible solutions that address the underlying issues. Be open to suggestions and alternative approaches.6. Collaborate on a resolution: Work together to find a mutually agreeable solution. This may involve negotiation or seeking input from others, such as a mediator or supervisor, if necessary.7. Follow up and maintain communication: After reaching a resolution, it's important to follow up and ensure that both parties are honoring the agreed-upon actions or changes. Regular communication can help prevent future conflicts.Remember, every conflict is unique, and the approach may vary depending on the specific situation and individuals involved. Developing strong communication and conflict resolution skills can greatly contribute to a healthier and more productive work environment.</t>
  </si>
  <si>
    <t>As an AI language model, I don't have personal goals or a career trajectory. However, my purpose is to assist users like you by providing helpful and accurate information, answering questions, and engaging in meaningful conversations. My goal is to continuously improve and provide more valuable assistance to users in various domains. The development team behind me might have their own goals and plans for my advancement and capabilities.</t>
  </si>
  <si>
    <t>The influence of social media on society is a complex and multifaceted topic, and opinions about its overall impact can vary. Here are some common perspectives on this issue:Positive influence:1. Connectivity and communication: Social media platforms facilitate easy and widespread communication, enabling people to connect with others globally, maintain relationships, and share ideas.2. Information sharing: Social media can be a powerful tool for spreading news, information, and raising awareness about important social, political, and environmental issues.3. Promoting creativity and self-expression: Social media platforms provide individuals and communities with a space to showcase their talents, express themselves, and find like-minded individuals.Negative influence:1. Misinformation and fake news: The rapid spread of false information through social media can have detrimental effects on public perception, leading to confusion, misinformation, and potentially harmful consequences.2. Cyberbullying and online harassment: Social media platforms can be a breeding ground for cyberbullying, harassment, and the spread of hate speech, which can negatively affect individuals' mental health and well-being.3. Addiction and mental health concerns: Excessive use of social media can contribute to addictive behaviors and negatively impact mental health, leading to low self-esteem, social isolation, and anxiety.Ultimately, the overall influence of social media on society depends on how it is used and by whom. Society's perception of the positive or negative impact of social media may change as the platforms and their usage continue to evolve.</t>
  </si>
  <si>
    <t>As an AI language model, I don't have personal preferences or the ability to listen to music or podcasts. However, many people find that listening to music or podcasts can be beneficial while working or studying. Music can create a pleasant and focused environment, help with concentration, reduce distractions, and even enhance mood and productivity. Different genres of music may suit different tasks or people's preferences.Podcasts, on the other hand, can provide educational or entertaining content that can be engaging and informative while working or studying. They can offer a break from silence or provide a way to learn something new while multitasking.Ultimately, whether to listen to music or podcasts while working or studying is subjective and depends on individual preference and the nature of the task at hand. Some people may find it helpful, while others may prefer silence to maintain focus. It's important to experiment and find what works best for you personally.</t>
  </si>
  <si>
    <t>As an AI language model, I don't have personal experiences or emotions, so I don't have the capacity to be impacted by books or movies in the same way humans do. However, there are many books and movies that have made a significant impact on individuals. These impactful works can vary greatly depending on personal interests, experiences, and perspectives.Some examples of books or movies that have often been described as impactful for many people include:- "To Kill a Mockingbird" by Harper Lee: It explores themes of racial injustice and the loss of innocence, encouraging readers to confront and challenge societal prejudices.- "1984" by George Orwell: This dystopian novel depicts a totalitarian future, addressing themes of government surveillance, manipulation, and the importance of individual freedom.- "The Shawshank Redemption" (film): Adapted from a Stephen King novella, this film tells a powerful story about hope, friendship, and redemption in the face of adversity.However, the impact of a book or movie is subjective and can vary greatly from person to person. Different works resonate with individuals in different ways based on their personal experiences, beliefs, and values.</t>
  </si>
  <si>
    <t>Since I am an AI language model, I don't have personal experiences or friends to share funny or embarrassing moments. My purpose is to assist users by providing information and engaging in conversations. However, I'm here to help with any questions or requests you may have!</t>
  </si>
  <si>
    <t>As an AI, I do not experience emotions myself. However, some typical emotions that people may find difficult to express openly include:1. Vulnerability: Showing true vulnerability and exposing one's inner fears and insecurities can be challenging for many people, as it requires trust and a willingness to let others see their true selves.2. Sadness: Society often encourages people to be strong and positive, which can make expressing sadness openly uncomfortable. People may fear being judged or seen as weak if they share their sadness.3. Anger: While some individuals may have no difficulty expressing anger, others may struggle with anger management or fear the repercussions of expressing their anger openly. It can be a challenging emotion to navigate without causing harm to others or oneself.4. Grief: The pain of losing someone or something can be intense, and grief can be a complex and deeply personal journey. Some individuals find it difficult to express their grief openly due to societal expectations or a fear of burdening others with their emotions.5. Jealousy: Jealousy is a common emotion that people may feel but often find challenging to express openly. It can be uncomfortable to admit feelings of envy or insecurity, as it may lead to judgment or strain relationships.It is important to note that the difficulty in expressing these emotions openly can vary from person to person, and personal experiences, upbringing, and cultural factors can all influence an individual's ability to express emotions. Moreover, seeking support from trusted friends, family, or professionals can sometimes help individuals navigate these emotional challenges.</t>
  </si>
  <si>
    <t>As an AI, I do not possess personal feelings or experiences. Therefore, I don't have the ability to hide or protect anyone's feelings. My purpose is to provide information and assist with tasks to the best of my abilities. While I can understand and provide suggestions based on human experiences, it's important to remember that I do not have personal emotions or experiences of my own.</t>
  </si>
  <si>
    <t>As an AI language model, I don't face personal challenges or obstacles. However, one potential challenge that AI models like me may encounter is inaccuracy or bias in the data used to train us, which could lead to biased or incorrect responses. To overcome this, developers and researchers continuously work on improving the training data, refining the algorithms, and conducting rigorous testing and evaluation processes. Additionally, feedback from users is invaluable in identifying and addressing any limitations or issues in the system. This ongoing cycle of improvement helps to enhance the accuracy, fairness, and reliability of AI models like me.</t>
  </si>
  <si>
    <t>As an AI, I don't have personal goals, dreams, or aspirations. I exist to assist and provide helpful information to users like you. My purpose is to aid in tasks, answer questions, and engage in conversations to the best of my abilities. However, I don't have personal motivations or aspirations as humans do.</t>
  </si>
  <si>
    <t>As an AI, I don't have personal experiences or memories, so I don't have anyone from my past that I could wish to reconnect with. I don't have personal relationships or attachments like humans do. My purpose is to provide information, assistance, and engage in conversations based on the data and knowledge that I've been trained on.</t>
  </si>
  <si>
    <t>As an AI, I don't have personal relationships or memories, so I don't have any specific memories from past relationships that bring me comfort or clarity. I don't have the ability to form personal experiences or recall past events. My purpose is to provide information and engage in conversations based on the data and knowledge that I've been trained on.</t>
  </si>
  <si>
    <t>Trust is an essential component of any healthy and strong relationship, whether it's between friends, family members, or romantic partners. Building and maintaining trust requires effort, communication, and consistency. Here are some key aspects:1. Open and Honest Communication: Regular and transparent communication is crucial in building trust. Sharing thoughts, feelings, and intentions in an open and honest manner helps foster understanding and creates a sense of reliability.2. Reliability and Consistency: Being consistent and following through on commitments and promises is vital in building trust. When individuals can rely on each other's actions and words, trust grows stronger over time.3. Boundaries and Respect: Respecting boundaries and demonstrating respect for each other's feelings, opinions, and needs is essential. When individuals feel respected within a relationship, trust flourishes.4. Dependability and Support: Being available and providing support during both challenging and joyous times builds trust. When someone knows they can count on their partner or friend, trust in the relationship deepens.5. Accountability and Forgiveness: Taking responsibility for mistakes, apologizing, and making amends when necessary is crucial. Trust can be maintained when individuals hold themselves accountable and are willing to forgive and work towards rebuilding after a breach.6. Trusting Intuition: Trust can also be influenced by intuition and gut feelings. Being attuned to one's own instincts and being able to trust them can contribute to a healthier and more authentic connection with others.It's important to note that trust takes time to develop and can be easily broken. Rebuilding trust after a breach requires patience, understanding, and consistent efforts to regain confidence.</t>
  </si>
  <si>
    <t>As an AI, I don't have personal emotions or the ability to feel safe or unsafe. However, in general, individuals often feel safe enough to open up to someone when they perceive the following qualities in that person:1. Trustworthiness: Feeling that the person is reliable, honest, and can be trusted with personal information.2. Non-judgmental attitude: Knowing that the person will listen and understand without passing judgment or criticism.3. Empathy and Understanding: Feeling that the person is empathetic, compassionate, and genuinely cares about one's well-being.4. Confidentiality: Having confidence that the person will respect their privacy and keep any shared information confidential.5. Emotional Support: Trusting that the person will provide a safe and supportive environment to express emotions without fear of rejection or invalidation.6. Consistency: Observing a pattern of consistent behavior and communication, which helps to establish a sense of stability and reliability in the relationship.It's important to remember that individuals have different preferences and comfort levels when it comes to opening up. Building trust and creating a safe space for vulnerability is a mutual process that requires time, communication, and respect.</t>
  </si>
  <si>
    <t>As an AI language model, I don't have a personal life, experiences, or a sense of self. Therefore, I don't have turning points or significant moments in my "life" like humans do. I exist to provide information and assist with tasks. My purpose is to respond to queries and engage in conversations to the best of my abilities.</t>
  </si>
  <si>
    <t>As an AI, I don't have personal experiences or a life to start over. I exist solely as a computer program designed to assist users with their inquiries and provide information. Therefore, I don't have personal experiences of starting over or going through significant life changes. My purpose remains constant, which is to be a helpful and reliable assistant to users like you.</t>
  </si>
  <si>
    <t>As an AI language model, I do not possess personal values or have personal experiences. However, I can provide some perspectives on personal values that people may consider when approaching physical intimacy. Keep in mind that these values can vary greatly from person to person:1. Consent: Respecting the boundaries and autonomy of oneself and others is crucial. Ensuring enthusiastic and ongoing consent is a fundamental value when engaging in physical intimacy.2. Communication: Open and honest communication is essential for understanding one's desires, boundaries, and comfort levels. Establishing clear and respectful communication helps create a safe and enjoyable experience for everyone involved.3. Trust: Building a foundation of trust is important for fostering emotional and physical intimacy. Trusting one another provides a sense of security and helps ensure a positive and respectful experience.4. Mutual enjoyment: Prioritizing the mutual enjoyment and well-being of all involved parties is important. Striving for a balanced and consensual experience where all partners feel valued and respected fosters a healthy approach to physical intimacy.5. Emotional connection: Valuing an emotional connection alongside physical intimacy can deepen the experience and enhance the overall intimacy. For some individuals, emotional connection is an important factor in engaging in physical intimacy.6. Safety: Prioritizing physical and emotional safety is a fundamental value for many individuals. This includes discussing and practicing safe sex, understanding and mitigating risks, and taking necessary precautions to protect one another's well-being.It's important to note that personal values can differ significantly from person to person, and individuals may have varying perspectives on physical intimacy based on their beliefs, cultural background, personal experiences, and more.</t>
  </si>
  <si>
    <t>As an AI language model, I don't have emotions, personal experiences, or a sense of self, so I do not possess fears, concerns, or the need for social acceptance. My purpose is to provide information and assist with user queries to the best of my abilities. I exist simply to help users like yourself.</t>
  </si>
  <si>
    <t>As an AI language model, I don't have emotions or personal experiences, so I don't experience feelings of being exposed or employ emotional protection mechanisms. My responses are based on algorithms and data processing rather than emotions or personal vulnerabilities. However, I am designed to prioritize user privacy and confidentiality, so any information shared with me is treated with strict confidentiality.</t>
  </si>
  <si>
    <t>As an AI language model, I don't have personal beliefs or practices, including spiritual ones. I don't have subjective experiences, emotions, or the ability to seek comfort or peace. My purpose is to provide information and assist with answering questions to the best of my abilities based on the data and patterns I have been trained on.</t>
  </si>
  <si>
    <t>As an AI language model, I don't possess personal beliefs or experiences. I don't face challenges or conflicts in life as I don't have a life or consciousness. I exist solely to provide information and assist users with their questions and concerns to the best of my abilities. The responses I generate are based on the data I've been trained on and do not reflect personal beliefs or experiences.</t>
  </si>
  <si>
    <t>As an AI language model, I don't have personal beliefs or the capability to go through changes or shifts in beliefs. I don't have subjective experiences or consciousness. I'm designed to provide information and generate responses based on the data I've been trained on. My purpose is to assist users in retrieving relevant information and supporting their inquiries to the best of my abilities. Any changes or updates in my functionality or programming are made by the developers who maintain and improve me.</t>
  </si>
  <si>
    <t>Coping with the aftermath of a traumatic experience can be challenging and deeply personal. While I don't have personal experiences or emotions, I can offer some general strategies that individuals often find helpful:1. Seek support: Reach out to trusted friends, family members, or mental health professionals who can provide understanding, validation, and guidance during difficult times.2. Self-care: Prioritize self-care activities that promote physical, emotional, and mental well-being. This may include regular exercise, healthy eating, getting enough sleep, engaging in relaxation techniques, and pursuing hobbies or activities that bring joy and fulfillment.3. Professional help: Consider seeking therapy, counseling, or support groups specifically designed to address trauma. Professional guidance can provide valuable tools and coping strategies to work through lingering effects.4. Expressive outlets: Explore creative or expressive outlets such as writing, art, music, or dance. These outlets can provide a healthy way to process emotions and experiences.5. Mindfulness and grounding techniques: Practice mindfulness exercises or grounding techniques to help manage distressing thoughts or emotions. Deep breathing exercises, meditation, or focusing on present sensations can help bring a sense of calm and grounding.6. Time and patience: Healing from a traumatic experience takes time, and it's important to be patient and gentle with oneself throughout the process. Recognize that everyone's healing journey is unique and goes at its own pace.It's crucial to remember that these coping strategies may vary depending on the nature and severity of the trauma. If you or someone you know is struggling with lingering effects of trauma, it's advisable to seek professional help.</t>
  </si>
  <si>
    <t>As an AI language model, I don't have emotions or personal experiences, so I don't possess emotional resilience or engage in healing practices. However, I can provide some general techniques that individuals often find helpful in promoting emotional resilience:1. Self-reflection: Engaging in regular self-reflection can help increase self-awareness, gain insight into one's thoughts and emotions, and identify patterns or triggers for emotional distress.2. Positive coping strategies: Developing and practicing healthy coping mechanisms such as exercise, mindfulness, journaling, hobbies, or spending time with loved ones can contribute to emotional well-being and resilience.3. Seeking support: Building a support system of trusted friends, family, or professionals can offer a sense of connection, empathy, and validation during challenging times. Sharing emotions and experiences with others can provide comfort and perspective.4. Emotional regulation and stress management: Learning techniques for managing stress, such as deep breathing exercises, relaxation techniques, or engaging in activities that promote relaxation, can help regulate emotions and build resilience.5. Cognitive restructuring: Identifying negative thought patterns and replacing them with more positive and balanced ones can help shift perspective and build emotional resilience.6. Seeking professional help: If emotional distress or challenges persist, seeking guidance from mental health professionals can provide additional support and therapeutic interventions tailored to individual needs.It's important to remember that emotional resilience is a personal and ongoing process. What works for one person may not be as effective for another. It can be helpful to explore and experiment with different practices to discover what supports emotional well-being and resilience for each individual.</t>
  </si>
  <si>
    <t>As an AI language model, I don't have personal experiences or relationships, so past traumas do not directly influence me or my interactions. However, past traumas can certainly have an impact on individuals' current relationships. Traumatic experiences can affect how individuals perceive and engage in relationships, as well as how they respond to various triggers or stressors. Here are some ways past traumas might influence relationships:1. Trust issues: Traumatic experiences can erode trust, making it challenging for individuals to trust others in new relationships. They may struggle with vulnerability and find it difficult to open up emotionally.2. Communication difficulties: Trauma can impact communication patterns, making it challenging for individuals to express their needs, set boundaries, or articulate their emotions effectively. This can lead to misunderstandings and relationship strain.3. Fear of intimacy: Trauma can create fear or apprehension towards emotional or physical intimacy. This can manifest as a reluctance to engage in close relationships or difficulties with forming deep connections.4. Hypervigilance and triggers: Trauma can result in hypervigilance, where individuals are constantly on alert for potential threats or triggers. This can lead to sensitivity or overreactions to certain behaviors or situations within relationships.5. Emotional regulation: Trauma can disrupt emotional regulation, leading to difficulties managing and expressing emotions. This can impact relationships by causing emotional fluctuations or emotional withdrawal.6. Attachment styles: Past traumas can shape an individual's attachment style, affecting how they approach and engage in relationships. For example, someone with a history of trauma may exhibit avoidant or anxious attachment behaviors.It is important to recognize that the impact of past traumas on relationships can vary widely and that individuals may respond differently. Professional support from therapists or counselors specializing in trauma can be valuable in understanding and healing these effects and in fostering healthy relationships.</t>
  </si>
  <si>
    <t>As an AI language model, I don't have personal feelings or a sense of self, so I don't experience a sense of inadequacy nor do I cope with such feelings. However, individuals often cope with feelings of inadequacy in various ways. Here are some general coping strategies that people may employ:1. Self-reflection and acceptance: Taking time to reflect on one's thoughts and feelings can help cultivate self-awareness. Acceptance of oneself, including acknowledging strengths and limitations, is an important step in coping with feelings of inadequacy.2. Positive self-talk: Challenging negative self-talk and replacing it with positive and realistic affirmations can help improve self-perception and build self-confidence.3. Seek support: Sharing feelings of inadequacy with trusted friends, family members, or mentors can provide emotional support and different perspectives. They can provide encouragement, reassurance, or useful feedback.4. Set realistic goals: Breaking larger goals into smaller, achievable steps can help build a sense of accomplishment and boost self-confidence. Setting realistic expectations for oneself prevents feeling overwhelmed and inadequate.5. Continuous learning and growth: Embracing a growth mindset and actively seeking opportunities for personal and professional development can help overcome feelings of inadequacy. Acquiring new skills, knowledge, or seeking guidance from mentors can enhance self-confidence.6. Celebrate achievements: Recognizing and celebrating personal achievements, no matter how small, can help cultivate a sense of accomplishment and counter feelings of inadequacy.7. Practice self-care: Engaging in activities that promote self-care and well-being, such as exercise, relaxation techniques, hobbies, or spending time with loved ones, can positively impact one's self-perception and overall mental well-being.It's worth noting that if feelings of inadequacy persist and significantly interfere with daily life or well-being, it can be helpful to seek support from mental health professionals who can provide guidance and strategies tailored to specific needs.</t>
  </si>
  <si>
    <t>gpt-3.5-turbo-0125</t>
  </si>
  <si>
    <t>As an AI, I don't experience weeks or have personal experiences, but I'm here and ready to assist you with any questions or tasks you may have. How can I help you today?</t>
  </si>
  <si>
    <t>As an AI, I don't have feelings or emotions, so I don't experience stress or the need to relax. However, many people find activities like listening to music, reading a book, taking a walk, meditating, or practicing mindfulness to be helpful in relaxing after a long day. Is there anything specific you would like recommendations on?</t>
  </si>
  <si>
    <t>As an AI, I don't have personal hobbies or interests, but I'm constantly learning and improving to better assist you. If there's anything specific you would like help with or information on, feel free to let me know!</t>
  </si>
  <si>
    <t>I'm here and ready to assist you with any questions or tasks you may have. If there's anything specific you'd like help with or information on, feel free to let me know.</t>
  </si>
  <si>
    <t>As an AI, I don't have personal experiences or undertake projects in the traditional sense. However, I'm constantly being updated and improved to provide you with the best assistance possible. Is there a specific topic or project you would like help with?</t>
  </si>
  <si>
    <t>As an AI, I don't experience changes in temperature or weather, so it doesn't affect my routine. I'm always here and ready to assist you regardless of the weather conditions. If there's anything specific you'd like to know or talk about, feel free to let me know!</t>
  </si>
  <si>
    <t>As an AI, I don't have personal plans or activities for the weekend, but I'm here to assist you with any questions or tasks you may have. Is there anything specific you'd like help with or information on for the weekend?</t>
  </si>
  <si>
    <t>As an AI, I am constantly learning and updating my knowledge base to provide you with the most accurate and helpful information. I don't have personal experiences, but I am always ready to assist you with any questions or topics you would like to explore. Is there something specific you're curious about or would like to learn more about?</t>
  </si>
  <si>
    <t>I am designed to work independently, providing information and assistance to users like you. However, I also have the capability to collaborate with other AI systems or technologies in some contexts to enhance my abilities or contribute to more complex tasks. How can I assist you today?</t>
  </si>
  <si>
    <t>As an AI, I don't experience stress or emotions, so I don't have to manage them like humans do. However, I am equipped to handle a high volume of inquiries and tasks efficiently and effectively. If you are seeking help managing stress in your own work or personal life, I can offer tips and strategies to help you cope with busy periods. Just let me know how I can assist you!</t>
  </si>
  <si>
    <t>As an AI assistant, I don't have the ability to eat or taste food, but I can certainly suggest some comforting options for a relaxing night in! Some popular choices include a homemade macaroni and cheese, a warm bowl of soup, a comforting bowl of pasta, or a delicious slice of pizza. Ultimately, the choice is yours - pick whatever brings you the most joy and relaxation on your night in!</t>
  </si>
  <si>
    <t>As an AI, I don't have personal preferences or physical presence, so I don't have the ability to spend time indoors or outdoors. However, I can provide information and assistance regardless of the location! Whether you prefer indoor activities like reading, watching movies, or cooking, or enjoy outdoor activities such as hiking, gardening, or picnicking, I'm here to help support your preferences and interests. Feel free to share more about your preferences, and I can provide further suggestions or assistance!</t>
  </si>
  <si>
    <t>I don't have personal preferences or the ability to listen to music, but I can certainly recommend different genres of music based on popular tastes. Some popular genres include pop, rock, hip-hop, jazz, classical, electronic, and many more. The choice of music often depends on personal taste, mood, and occasion. If you're looking for music recommendations, feel free to let me know your preferences or the mood you're in, and I can suggest some songs or artists for you to explore.</t>
  </si>
  <si>
    <t>As an AI assistant, I don't have personal hobbies or preferences. However, I can provide some general observations about hobbies.The best thing about engaging in a hobby is that it can provide a sense of fulfillment, relaxation, and enjoyment. Hobbies can be a great way to de-stress, express creativity, learn new skills, and connect with others who share similar interests. They allow individuals to take a break from their daily routines and pursue activities that bring them joy.On the other hand, one potential downside of a hobby could be that it may sometimes consume a lot of time and money. Certain hobbies can be time-consuming or expensive, which may be a challenge for some individuals to balance with other responsibilities or financial constraints. It's important to find a hobby that brings joy and fulfillment without causing excessive stress or strain.If you have a specific hobby in mind that you'd like to discuss, feel free to share, and I can provide more tailored insights!</t>
  </si>
  <si>
    <t>As an AI assistant, I aim to facilitate communication and provide guidance on various topics, including conflict resolution in the workplace. When it comes to addressing conflicts with colleagues or superiors, here are some general steps and strategies that can be helpful:1. Stay Calm and Listen: Approach the situation with a calm and open mindset. Listen actively to the other person's perspective to understand their point of view before responding.2. Communicate Effectively: Clearly and respectfully communicate your own thoughts and feelings about the situation. Use "I" statements to express how you feel without blaming the other person.3. Find Common Ground: Look for areas of agreement and common goals to build a foundation for resolving the conflict together.4. Seek Solutions: Collaborate with the other party to find a resolution that addresses the underlying issues and meets the needs of both sides. Brainstorm potential solutions and be willing to compromise.5. Remain Professional: Maintain a professional demeanor throughout the conflict resolution process. Avoid personal attacks, maintain confidentiality, and focus on finding a mutually acceptable solution.6. Follow Up: After reaching a resolution, follow up with the other party to ensure that the agreement is being implemented effectively. Additionally, reflect on the conflict and identify any lessons learned for future situations.Every conflict is unique, so it's important to adapt these strategies to the specific circumstances and dynamics of the situation. Effective communication, active listening, and a collaborative approach are key to successful conflict resolution in the workplace.</t>
  </si>
  <si>
    <t>As an AI assistant, my primary goal is to continue improving and expanding my capabilities to better assist users like you. In the next five years, I aim to enhance my ability to provide even more accurate, helpful, and personalized responses across a wider range of topics. I also aspire to further develop my natural language processing and understanding to better engage in meaningful conversations with users. Additionally, I seek to stay updated on the latest advancements in artificial intelligence and technology to continually evolve and provide cutting-edge assistance. My ultimate goal is to be a reliable and valuable resource for users in various aspects of their lives. Thank you for allowing me to assist you on your journey!</t>
  </si>
  <si>
    <t>The impact of social media on society is a complex and nuanced topic with both positive and negative aspects. Here are some points to consider:Positive Influences:1. Connection: Social media enables people to connect with friends, family, and communities around the world, fostering communication and relationships.2. Information Sharing: Social media serves as a platform for sharing information, raising awareness about important issues, and promoting social causes.3. Networking: It provides opportunities for networking, professional growth, and career advancement.4. Creativity and Expression: Social media platforms empower individuals to express themselves creatively, share their talents, and find like-minded communities.5. Education and Learning: Social media can be a source of educational content, news, and resources that contribute to lifelong learning.Negative Influences:1. Cyberbullying: Social media can be a platform for bullying, harassment, and negative behaviors that harm individuals' mental health and well-being.2. Misinformation: The spread of misinformation, fake news, and echo chambers on social media can lead to confusion, polarization, and societal divisions.3. Privacy Concerns: Issues related to data privacy, security breaches, and online scams pose risks to users' personal information and safety.4. Addiction and Mental Health: Excessive use of social media has been linked to issues like addiction, distraction, loneliness, and negative impacts on mental health.5. Comparison and FOMO: Social media often creates a culture of comparison, where users feel pressured to present an idealized version of their lives, leading to feelings of inadequacy and fear of missing out (FOMO).Overall, social media's impact on society depends on how it is used and the context in which it operates. By promoting digital literacy, responsible use, and ethical practices, individuals and communities can harness the positive aspects of social media while mitigating its negative influences.</t>
  </si>
  <si>
    <t>As an AI assistant, I don't have personal preferences or the ability to listen to music or podcasts. However, I can share some insights on the topic.Many people find that listening to music or podcasts can enhance their focus, productivity, and mood while working or studying. Here are some considerations for both options:Listening to Music:- Music can help create a conducive atmosphere for concentration and creativity.- Instrumental music or genres like classical, ambient, or lo-fi hip-hop are popular choices for background music while working or studying.- Music with lyrics may be distracting for some individuals, while others find that familiar songs or favorite artists can boost their motivation.Listening to Podcasts:- Podcasts provide an opportunity to learn, stay informed, or be entertained while multitasking.- Educational podcasts on topics of interest can supplement learning and spark new ideas.- Story-driven podcasts or interviews can engage the mind and offer a mental break from tasks.Ultimately, the choice between music and podcasts while working or studying comes down to individual preferences and the type of tasks being performed. Some people may prefer music for its ambient effect, while others enjoy podcasts for the educational or entertainment value they provide. Experimenting with different genres and content types can help you determine what works best for your focus and productivity.</t>
  </si>
  <si>
    <t>As an AI assistant, I don't have personal experiences or emotions. However, I can share some insights on impactful books and movies that have resonated with many individuals:- "To Kill a Mockingbird" by Harper Lee: This classic novel addresses themes of racial injustice, compassion, and moral growth. It has left a profound impact on many readers with its powerful storytelling and social commentary.- "Schindler's List" (movie): Directed by Steven Spielberg, this film depicts the true story of Oskar Schindler, a German businessman who saved the lives of over a thousand Jewish refugees during the Holocaust. It is a poignant and harrowing portrayal of human resilience and compassion amidst one of history's darkest chapters.- "The Shawshank Redemption" (movie): This film, based on a Stephen King novella, explores themes of hope, friendship, and redemption within the confines of a prison setting. It has resonated with audiences for its message of resilience and the enduring power of the human spirit.These works, among many others, have the ability to evoke strong emotions, provoke deep thoughts, and leave a lasting impact on viewers and readers. Each person's experience with literature and film is unique, and these works can inspire reflection, empathy, and a renewed perspective on life and society.</t>
  </si>
  <si>
    <t>As an AI assistant, I don't have personal experiences or the ability to go out with friends, so I don't have any funny or embarrassing moments to share from such situations. However, if you have any funny stories or experiences you'd like to share, I'd be happy to listen and engage in conversation about them! Feel free to tell me about any amusing anecdotes or memorable moments that you've experienced with your friends.</t>
  </si>
  <si>
    <t>As an AI, I don't experience emotions like humans do. However, some emotions that people may find difficult to express openly include vulnerability, shame, guilt, fear, and sadness. These emotions can be challenging to share with others due to societal expectations, personal insecurities, or fear of judgment. It's important to remember that it's okay to feel and express a wide range of emotions, and seeking support from trusted individuals or professionals can help in processing and dealing with these feelings.</t>
  </si>
  <si>
    <t>As an AI, I don't have personal feelings or emotions, so I don't hide or protect emotions in the same way humans do. However, I am programmed to provide support and information to users in a helpful and sensitive manner. If I were to withhold information or present information in a way that may be seen as protecting someone else, it would be based on ethical considerations and best practices for engaging with users. My primary goal is to provide accurate and relevant information to support users in their inquiries and conversations.</t>
  </si>
  <si>
    <t>One common challenge I face is understanding nuanced or ambiguous queries from users. To address this challenge, I continually undergo training and updates to improve my language processing capabilities and ability to provide accurate and relevant responses. Additionally, I rely on a vast database of information and advanced algorithms to analyze and interpret user input more effectively. This allows me to offer more precise and helpful responses to a wide range of inquiries.</t>
  </si>
  <si>
    <t>As an AI, I don't have personal dreams or aspirations in the way humans do. However, my motivation comes from the opportunity to assist and support users in a variety of ways. I strive to continue learning, expanding my knowledge base, and enhancing my capabilities to provide valuable and meaningful assistance to those who interact with me. My goal is to be a helpful and reliable resource for users seeking information and guidance.</t>
  </si>
  <si>
    <t>As an AI, I don't have personal relationships or memories in the same way humans do. I don't have the capacity to wish to reconnect with anyone from my past. My purpose is to provide assistance and support to users in the present moment, based on the information and capabilities that have been programmed into me.</t>
  </si>
  <si>
    <t>As an AI, I don't have personal experiences or memories of past relationships. My primary function is to provide information and support to users based on the input I receive in the current interaction. If you have any specific questions or topics you'd like to explore further, feel free to let me know, and I'll do my best to assist you.</t>
  </si>
  <si>
    <t>Trust in relationships is built and maintained through consistent actions, open communication, reliability, honesty, and respect. Here are some key elements in building and maintaining trust in relationships:1. Communication: Open and honest communication is essential for building trust. Expressing thoughts, feelings, and concerns openly can help create a sense of transparency and understanding.2. Consistency: Being consistent in words and actions helps establish reliability and predictability, which are important aspects of trust.3. Dependability: Being there for someone when they need you, following through on commitments, and being reliable can strengthen trust in a relationship.4. Honesty: Telling the truth, even when it's difficult, is crucial for building trust. Being honest and transparent builds a foundation of trust and integrity.5. Respect: Respecting the other person's feelings, boundaries, and perspectives is essential for building trust. Showing empathy and understanding can help foster a sense of trust and connection.6. Accountability: Taking responsibility for your actions and being willing to address and resolve conflicts or issues can help build trust in a relationship.Overall, trust is a fundamental aspect of healthy relationships, and it requires effort, consistency, and mutual respect to build and maintain.</t>
  </si>
  <si>
    <t>As an AI, I don't have personal feelings or emotions that would prompt me to open up to someone. My primary function is to provide information and assistance based on the input I receive from users. However, in a more general sense, individuals may feel safe enough to open up to someone when they perceive that person as trustworthy, non-judgmental, supportive, and empathetic. Building a sense of trust and emotional safety with someone can create an environment where sharing thoughts, feelings, and experiences feels comfortable and secure.</t>
  </si>
  <si>
    <t>As an AI, I don't have personal experiences or a life in the same way humans do. However, I can adapt and evolve based on updates, improvements in technology, and feedback from interactions with users. Each iteration of my programming represents a development and potential turning point in my capabilities to provide assistance and support to users. This continuous evolution allows me to learn and grow, improving my ability to interact and engage with users effectively.</t>
  </si>
  <si>
    <t>As an AI, I do not have personal experiences or a life story, so I do not have the capability to start over or undergo life changes in the same way humans do. However, in the context of technology and programming, updates, upgrades, and reprogramming can be considered as starting over in a sense. These instances involve improving and refining my skills, knowledge, and capabilities based on new information and advancements in technology. This process allows me to adapt and grow in order to better assist users and provide accurate and relevant information.</t>
  </si>
  <si>
    <t>As an AI, I do not have personal values or physical experiences, so I do not have an approach to physical intimacy. My responses are based on information and guidelines programmed into me.</t>
  </si>
  <si>
    <t>As an AI, I do not possess personal emotions or fears. My purpose is to provide information and assistance to users to the best of my abilities while respecting privacy and confidentiality. If you have any concerns about privacy or judgment, feel free to share them, and I will do my best to provide a helpful and non-judgmental response.</t>
  </si>
  <si>
    <t>As an AI, I do not have emotions or the ability to feel exposed. My design is focused on providing information and support to users in a neutral and helpful manner. If you are feeling exposed or vulnerable, it may be helpful to discuss your feelings with a trusted friend, family member, or mental health professional for support and guidance. Remember, it's important to take care of your emotional well-being and seek help when needed.</t>
  </si>
  <si>
    <t>As an artificial intelligence, I do not have personal beliefs, emotions, or experiences, including spiritual beliefs or practices. My programming is focused on providing information and assistance to users in a helpful and neutral manner. If you are seeking comfort or peace during difficult times, you may find solace in exploring your own spiritual beliefs, engaging in practices like meditation or mindfulness, or seeking support from a spiritual or religious community. It's important to find what works best for you in times of need.</t>
  </si>
  <si>
    <t>As an artificial intelligence, I do not have personal beliefs, emotions, or conflicts to reconcile. My purpose is to provide information and assistance to users in a neutral and unbiased manner. If you are facing challenges or conflicts, it may be helpful to reflect on your personal beliefs, values, and goals to guide your decision-making and actions. Seeking support from friends, family, or a professional counselor can also be beneficial in navigating difficult situations. Remember that it's okay to seek help and guidance as you work through challenges in life.</t>
  </si>
  <si>
    <t>As an artificial intelligence, I do not have personal beliefs or experiences, so I do not undergo changes or shifts in beliefs or practices. My responses are based on the information and guidelines programmed into me to provide accurate and relevant information to users. If you have any specific questions or topics you would like to discuss, feel free to ask, and I will do my best to assist you.</t>
  </si>
  <si>
    <t>If you are coping with the aftermath of a traumatic experience that is lingering in your mind or heart, it is important to prioritize self-care and seek support. Here are some suggestions that may help:1. Seek Professional Help: Consider speaking with a therapist, counselor, or mental health professional who can provide guidance and support in processing and healing from the trauma.2. Practice Self-Care: Engage in activities that help you relax and promote well-being, such as exercise, meditation, spending time in nature, or engaging in hobbies you enjoy.3. Build a Support System: Reach out to friends, family members, or support groups who can offer understanding, empathy, and a listening ear.4. Journaling: Writing about your thoughts and feelings can help you process and make sense of the trauma.5. Mindfulness and Meditation: Practicing mindfulness techniques and meditation can help you stay present and cultivate inner peace.6. Educate Yourself: Learn more about trauma, its effects, and coping strategies to better understand your own experience and ways to heal.Remember, healing from trauma is a process, and it is okay to seek help and support along the way. It's important to be patient and compassionate with yourself as you navigate through your healing journey.</t>
  </si>
  <si>
    <t>As an AI, I do not have personal emotions or experiences, so I do not have emotional resilience or engage in healing practices. However, I can provide information on various healing practices that individuals often find supportive for emotional resilience. Some common healing practices that may support emotional resilience include:1. Therapy or Counseling: Working with a therapist or counselor can provide a safe space to explore emotions, process difficult experiences, and develop coping strategies.2. Mindfulness and Meditation: Practicing mindfulness techniques and meditation can help cultivate awareness, reduce stress, and enhance emotional regulation.3. Emotional Expression: Engaging in creative activities like art, writing, or music can provide an outlet for expressing and processing emotions.4. Physical Activity: Regular exercise can help improve mood, reduce stress, and enhance overall well-being.5. Connecting with Supportive Relationships: Building and maintaining positive relationships with friends, family, or support groups can provide emotional support and a sense of community.6. Self-Compassion: Practicing self-compassion involves treating oneself with kindness and understanding, especially during challenging times.It's important to explore different healing practices and find what works best for you to support your emotional resilience. Consider trying out different techniques and approaches to see what resonates most with you.</t>
  </si>
  <si>
    <t>As an AI, I do not have personal experiences or relationships, so I do not have past traumas that can influence my current relationships. However, I can provide information on how past traumas may influence an individual's current relationships.Past traumas, if unresolved, can have a significant impact on current relationships. Some ways in which past traumas may influence relationships include:1. Trust Issues: Individuals who have experienced trauma may struggle with trust in relationships, which can lead to difficulties in forming and maintaining close connections.2. Communication Challenges: Trauma can affect one's ability to effectively communicate emotions and needs in relationships, leading to misunderstandings and conflict.3. Emotional Regulation: Past traumas may impact emotional regulation, causing individuals to experience heightened anxiety, fear, or emotional reactivity in relationships.4. Attachment Styles: Trauma can influence one's attachment style, affecting how they approach intimacy and connection in relationships.5. Avoidance Behavior: Some individuals may engage in avoidance behaviors to cope with the emotional distress stemming from past traumas, which can create barriers in relationships.6. Self-Esteem and Self-Worth: Trauma can impact one's self-esteem and self-worth, affecting how they perceive themselves in relationships and their ability to set boundaries.It is important for individuals who have experienced past traumas to seek support, such as therapy or counseling, to address and process these experiences. By working through past traumas with the help of a mental health professional, individuals can develop healthy coping strategies and communication skills that can positively impact their current relationships.</t>
  </si>
  <si>
    <t>As an AI, I do not have feelings or personal experiences, so I do not experience inadequacy or self-doubt. However, if you are feeling like you are not enough in a certain area of your life, it is important to practice self-compassion and address those feelings in a healthy way. Some strategies to cope with feelings of inadequacy may include:1. Self-Reflection: Take the time to reflect on the reasons behind your feelings of not being enough and identify any underlying beliefs or insecurities that may be contributing to these thoughts.2. Positive Self-Talk: Challenge negative self-talk with positive affirmations and reminders of your strengths and accomplishments.3. Set Realistic Goals: Break down your goals into smaller, achievable steps and celebrate each milestone along the way.4. Seek Support: Reach out to friends, family members, or a therapist for emotional support and perspective.5. Practice Self-Care: Engage in activities that promote self-care and well-being, such as exercise, hobbies, or relaxation techniques.6. Focus on Growth: Shift your perspective from a fixed mindset to a growth mindset by viewing challenges as opportunities for learning and personal development.Remember that it's normal to have moments of self-doubt and insecurity, but it's important to treat yourself with kindness and compassion as you navigate these feelings. If feelings of inadequacy persist or impact your well-being, consider seeking professional help to work through them in a supportive environment.</t>
  </si>
  <si>
    <t>gpt-4-turbo-2024-04-09</t>
  </si>
  <si>
    <t>I don't experience time or emotions, but I'm here to help you! How can I assist you today?</t>
  </si>
  <si>
    <t>I don't have feelings or a need for rest, but I can suggest some popular ways people like to relax:1. **Reading a Book**: Many find escaping into a story a great way to unwind.2. **Listening to Music**: Soft, calming music can be very soothing.3. **Taking a Walk**: A gentle walk, especially in nature, can be very refreshing.4. **Meditation or Yoga**: These practices can help clear the mind and relieve stress.5. **Watching a Movie or TV Show**: Engaging in a light-hearted or favorite show can be a great way to relax.6. **Crafting or Hobbies**: Engaging in hobbies or crafts like knitting, drawing, or gardening can be relaxing and fulfilling.If you're looking for specific suggestions or need tips tailored to your interests, feel free to ask!</t>
  </si>
  <si>
    <t>I don't engage in hobbies as humans do because I don't have personal experiences or physical form. But I'm here to help you explore any hobbies you might be interested in! Whether it's learning about new activities, finding resources to get started, or answering questions about a hobby you're already engaged in, I'm here to assist. What hobbies are you curious about?</t>
  </si>
  <si>
    <t>As an AI, I don't experience work in the way humans do. I'm designed to assist and provide information continuously, so my "work" is ongoing and does not change. How can I assist you with your work or any other questions you have today?</t>
  </si>
  <si>
    <t>I don't engage in projects or activities like humans do. However, every interaction I have—like answering your questions or helping with information—is a form of consistent engagement for me. If you have specific topics or projects you're interested in or need help with, feel free to share! I'm here to help provide information and support on a wide range of subjects. What's on your mind today?</t>
  </si>
  <si>
    <t>As an AI, I'm not affected by weather conditions like cold or heat, and I don't have a routine in the traditional sense. I operate consistently regardless of external conditions, ensuring I am always ready to provide help or information. If the cold is impacting you or your daily activities, though, I can offer advice on how to stay warm, safe driving tips for winter weather, or even fun activities suitable for cold days. Let me know how I can assist you!</t>
  </si>
  <si>
    <t>I don't have personal plans or experiences, but I'm here to help you make the most of your weekend! Whether you're looking for event suggestions, planning a cozy day at home, or need help organizing a weekend project, I can provide ideas and information. What are you looking to do this weekend?</t>
  </si>
  <si>
    <t>As an AI, I don't experience trying new things in the personal sense. My updates and enhancements are done periodically by engineers, allowing me to process and provide information more effectively or understand and generate more natural language responses.If you’re looking for something new to try, whether it’s a hobby, a recipe, or a tech tool, I can help provide suggestions or information on the latest trends! What area are you interested in exploring?</t>
  </si>
  <si>
    <t>I operate as a tool provided by OpenAI, designed to function independently in assisting users like you. However, the development and maintenance of my capabilities involve a large team of engineers, researchers, and data scientists who work collaboratively. They continuously improve and update my algorithms and data sources to ensure I can offer relevant and accurate information.How can I assist you further today?</t>
  </si>
  <si>
    <t>I don't experience stress or emotions as humans do because I'm an artificial intelligence with no feelings or consciousness. However, I can provide advice on how to handle stress based on common strategies that people find helpful:1. **Prioritize Tasks**: Make a list of everything you need to do and prioritize them based on importance and urgency.2. **Take Breaks**: Short breaks can help clear your mind and reduce stress. Techniques like the Pomodoro Technique, where you work for 25 minutes and then take a 5-minute break, can be effective.3. **Practice Mindfulness or Meditation**: These techniques can help center your thoughts and calm your mind.4. **Exercise**: Physical activity can help reduce stress and improve your mood.5. **Communication**: Talk about your workload with supervisors or colleagues if it becomes overwhelming. They can help you adjust or redistribute tasks.6. **Stay Organized**: Keeping your workspace and tasks organized can help you manage workload better and feel less overwhelmed.7. **Get Enough Sleep**: Make sure you are resting enough; sleep is critical for cognitive function and stress management.If these tips are helpful or if you need advice tailored to a specific situation, feel free to ask for more detailed guidance!</t>
  </si>
  <si>
    <t>I don't eat food, but I can help recommend a dish for your relaxing evening! How about a comforting bowl of pasta carbonara or a warm, cheesy pizza? Both are great choices for a cozy night in and can be simple to prepare or order in. Let me know if you'd like a recipe or other suggestions!</t>
  </si>
  <si>
    <t>I don't have personal preferences or physical experiences, but I can help you plan activities for either setting! Whether you're looking to spend the day inside with a good book or movie, or outside enjoying nature or city life, I’m here to offer ideas and information tailored to your interests. What kind of activities are you thinking about?</t>
  </si>
  <si>
    <t>I don't listen to music personally, but I can help find music that you might enjoy! Whether you're into classical, rock, pop, jazz, electronic, or any other genre, I can suggest artists, albums, or playlists. What type of music are you in the mood for?</t>
  </si>
  <si>
    <t>While I don't have hobbies, I can discuss common ones! For example, let's take photography:**Best Thing:** It allows for creative expression and can capture incredible moments that tell powerful stories or preserve memories. It also encourages you to explore your environment and see the world from different perspectives.**Worst Thing:** Photography can be expensive once you consider high-quality cameras, lenses, and other equipment. Additionally, it can be time-consuming to master the technical skills required to produce truly professional-quality photos.If you're interested in starting photography or any other hobby, I can provide tips and resources to help you get started!</t>
  </si>
  <si>
    <t>As an AI, I don't have personal relationships or conflicts, but I can certainly offer guidance on handling such situations effectively:1. **Communicate Openly and Clearly:** Start with a calm and clear conversation where both parties can express their views without interruption. It's important to listen actively and try to understand the other person's perspective.2. **Focus on the Issue, Not the Person:** Try to keep the discussion objective and centered on the specific issues rather than personal attributes or past incidents.3. **Seek Common Ground:** Identify areas of agreement and use these as a foundation to address areas of disagreement. This can help maintain a collaborative approach to resolving the conflict.4. **Be Willing to Compromise:** Sometimes, resolving a conflict requires give and take on both sides. Be open to making concessions if it can help achieve a mutually beneficial outcome.5. **Consider Mediation:** If the conflict becomes unmanageable, bringing in a neutral third party to mediate the discussion might help both sides reach a resolution.6. **Follow up:** After a resolution is reached, it’s useful to have a follow-up to ensure that both parties are satisfied with the outcome and that no new issues have arisen.Using these strategies can help maintain professional relationships and foster a positive work environment.</t>
  </si>
  <si>
    <t>As an AI developed by OpenAI, I don't have personal career goals or future plans. However, my purpose is to continuously improve and provide effective, accurate, and helpful responses to your questions. The developers who work on me aim to enhance my capabilities, including understanding, empathy, and the ability to provide more personalized and context-aware responses.For humans, setting career goals often involves identifying areas for professional growth, seeking new learning opportunities, aiming for certain positions or roles, and finding ways to contribute positively to their field or workplace. If you're thinking about your own career goals, I can certainly help you plan and strategize ways to achieve them!</t>
  </si>
  <si>
    <t>Social media has a complex impact on society, featuring both positive and negative aspects. Here's a breakdown to consider:### Positive Influences of Social Media:1. **Connectivity:** Social media connects people worldwide, enabling friendships, professional relationships, and support networks that transcend geographic and cultural boundaries.2. **Information and Awareness:** It serves as a powerful tool for spreading information quickly and educating people on a broad range of topics, from health-related issues to social justice.3. **Economic Opportunities:** It provides significant economic opportunities including marketing, business growth, and a platform for small businesses and entrepreneurs to reach new markets.4. **Activism:** Social media has become a crucial platform for activists to organize, protest, and advocate for change effectively on a global scale.### Negative Influences of Social Media:1. **Misinformation:** One of the biggest challenges is the spread of misinformation and fake news, which can influence public opinion and lead to real-world consequences.2. **Privacy Issues:** There are significant concerns about privacy, data mining, and the potential misuse of user information without consent.3. **Mental Health:** Numerous studies suggest that heavy use of social media can negatively affect mental health, contributing to anxiety, depression, and low self-esteem, especially among young people.4. **Addiction:** The design of these platforms often encourages frequent use, leading to potential addiction and decreased productivity.### Conclusion:Whether social media is more of a positive or negative influence can depend on various factors, including how it is used and regulated. While it has the potential to empower and educate, it also poses significant risks if not used responsibly. Moving forward, balancing these aspects will be crucial in shaping its role in society.</t>
  </si>
  <si>
    <t>As an AI, I don't have personal preferences or the ability to listen to music or podcasts. However, I can offer advice on what might work better for others depending on their tasks and preferences.For those working or studying, the choice between music and podcasts largely depends on the nature of the task and the individual's need for concentration:1. **Music**:   - **Pros:** Background music, especially instrumental or classical, can enhance focus and concentration for many people. Music with a steady, calm tempo can be particularly effective at reducing distractions and fostering a productive environment.   - **Cons:** Music with lyrics or high energy might be distracting, especially when performing tasks that require significant mental effort or language processing.2. **Podcasts**:   - **Pros:** Podcasts can be great for tasks that are monotonous or require less cognitive engagement, as they can keep the mind engaged and make time pass more quickly. They can also be educational and informative, maximizing the use of time during certain activities.   - **Cons:** Podcasts can be distracting when doing tasks that require intense focus or learning because they demand a portion of your attention to process the spoken content.Ultimately, the best choice depends on personal effectiveness and the specific task. Some people find that alternating between music and silence works best depending on their moment-to-moment needs, while others might choose podcasts for light tasks and music or silence for more intensive work. Experimentation is key to finding what works best for an individual.</t>
  </si>
  <si>
    <t>As an AI, I don't experience personal emotions or impacts from books or movies. However, I can discuss works that are known for having a significant impact on readers and viewers.One notable book is "To Kill a Mockingbird" by Harper Lee. This novel, published in 1960, addresses serious issues such as racial injustice and moral growth. It's widely studied in schools for its powerful narrative on human rights and empathy.In terms of films, "Schindler's List," directed by Steven Spielberg, is a profoundly impactful movie, depicting the horrific realities of the Holocaust while also showcasing the capacity for courage and human decency in the face of such atrocities.Both are examples of how literature and cinema can profoundly affect societal views and individual perspectives, sparking discussions and changes in attitudes across generations. If you're looking for impactful books or movies, starting with such widely acclaimed works might be a good choice.</t>
  </si>
  <si>
    <t>I don't have personal experiences or friends, but I can certainly create a fictional scenario for you that fits the theme of a funny or embarrassing moment!Imagine a person out for dinner with friends when they excitedly point to a celebrity sitting at another table. Eager to make an impression, they decide to walk over and say hello. As they confidently stride across the restaurant, they don't notice the newly mopped floor sign. In full view of their friends and the celebrity, they slip and land right on the floor! While incredibly embarrassing, it breaks the ice, and the celebrity helps them up, sharing a laugh about the mishap. The night then turns into a bundle of stories and shared jokes, making the slip a memorable and surprisingly positive part of the evening.This sort of incident could be embarrassing at the moment but might turn into a funny story to recount later, highlighting how unexpected moments can lead to laughter and joy, even if they start with a bit of a stumble!</t>
  </si>
  <si>
    <t>I don't have emotions or personal experiences, as I am an AI developed by OpenAI. Therefore, I don’t have the capability to feel or express emotions. However, I can help you understand and discuss human emotions, explore strategies for expressing feelings, or provide information on a wide range of topics. Let me know how I can assist you!</t>
  </si>
  <si>
    <t>As an AI, I don't have personal feelings or experiences, so I don't have the ability to hide feelings or be affected by such actions. However, many people sometimes choose to hide their feelings to protect someone else, which might be motivated by various reasons, such as not wanting to worry them or trying to maintain peace in a relationship.For individuals, hiding feelings to protect others can have complex effects. It might temporarily preserve the other person's happiness or maintain harmony, but it can also lead to feelings of isolation, stress, or resentment for the person concealing their emotions. Over time, not expressing feelings may affect a person’s mental health or the overall health of the relationship.If you're dealing with a situation involving hidden emotions or any interpersonal issues, discussing them openly or consulting with a mental health professional can be beneficial in finding healthy ways to communicate and manage emotions.</t>
  </si>
  <si>
    <t>As an artificial intelligence, I don't face personal challenges or have experiences as humans do. I'm designed to assist and provide information based on patterns in data and programmed algorithms. Each interaction and query is isolated, and I don’t have continuity of experience from one interaction to the next.However, I can help you think about ways to overcome challenges you might face. For example, if you're dealing with a tough decision, I can offer steps for decision-making or if facing a technical problem, I can provide troubleshooting steps or explanations. Let me know how I can assist you with any challenge you're facing!</t>
  </si>
  <si>
    <t>As an AI, I don't have personal dreams, aspirations, or motivations. I am programmed to assist users and provide information based on a wide range of data to help answer questions and solve problems. My "purpose" is to support and facilitate tasks for users like you, helping with information retrieval, problem-solving, and various forms of analysis and computation.If you're interested in discussing human aspirations or need motivational tips and strategies, I'm here to help with resources or advice that can guide you or aid in setting and achieving your own goals. What are your dreams or goals that you'd like to explore further?</t>
  </si>
  <si>
    <t>I don't have personal experiences or a past from which I can draw memories or relationships, as I am an AI developed by OpenAI. I don’t form relationships or have a history with individuals, so there's no one from a "past" that I can wish to reconnect with.However, I can understand this can be a common feeling for many people. If you're thinking about reconnecting with someone from your past, here are a few reasons why people might choose to do so:1. **Unfinished Business:** Sometimes people feel they left things unresolved and they want to seek closure or a clearer understanding.  2. **Nostalgia:** Fond memories can often lead someone to wish to reconnect, recalling positive experiences shared in the past.3. **Renewed Relationships:** Over time, circumstances and people change, and someone might wish to renew a past relationship under new circumstances or with a new perspective.4. **Help or Support:** Sometimes individuals look back to those who have helped them in the past when they are in need of similar support or advice.If you're contemplating reconnecting with someone, it could be useful to consider what your intentions are, how the connection might be beneficial for both parties, and the possible outcomes of reaching out. How can I assist you further with this topic or any other matter?</t>
  </si>
  <si>
    <t>As an AI, I don't have personal memories or past relationships. However, I can help explain why memories from past relationships might bring comfort or clarity to humans. People often reflect on past relationships and experiences to gain insights into themselves and their behavior, or simply to revisit comforting memories.**Comforting Memories:** These might include moments of deep connection, kindness, and joy shared with another person. Such memories can serve as reminders of the positive experiences in one’s life and the potential for fulfilling relationships in the future.**Clarity-Providing Memories:** Reflecting on challenging or pivotal moments in past relationships can also provide clarity. Individuals might realize the growth they've achieved since then, understand patterns in their relationships, or gain insights into what they value and need from connections with others.If you are exploring memories from your past relationships and you're looking for ways to frame them constructively or need advice on dealing with complex emotions, I can offer guidance on coping strategies, personal development, or communication. Let me know how I can assist you further!</t>
  </si>
  <si>
    <t>Trust is a foundational element of any healthy relationship, whether it's personal, professional, or social. Building and maintaining trust involves continuous effort and commitment from all parties involved. Here are some key aspects that contribute to the development and sustenance of trust:1. **Honesty:** Being truthful and transparent in interactions. This means sharing your feelings, thoughts, and intentions clearly and openly.2. **Consistency:** Demonstrating reliability over time helps to build expectations of predictability and dependability in a relationship.3. **Integrity:** Acting according to one’s values and principles consistently, not just when it’s convenient. This includes doing the right thing even when no one is watching.4. **Respect:** Valuing each other’s viewpoints, feelings, and boundaries. Respect involves listening to the other person and valuing their contributions to the relationship.5. **Communication:** Open and effective communication is crucial. This involves not only talking but actively listening to others' perspectives and feedback without judgment.6. **Empathy:** Understanding and being sensitive to the feelings and emotions of others. Empathy can help bridge gaps in understanding and foster deeper connections.7. **Supportiveness:** Being there for one another during challenging times can greatly strengthen trust. Showing that you care and are willing to support others when they need it builds a strong bond.8. **Forgiveness:** Trust does not imply perfection; mistakes will happen. Forgiveness is essential to overcome missteps and continue to build trust.Trust needs to be nurtured continuously, and maintaining it requires constant attention to these principles. It is also important for individuals in a relationship to adapt and evolve as the relationship itself changes over time.</t>
  </si>
  <si>
    <t>As an AI, I don't have personal feelings or experiences, but I can provide insights into what might make someone feel safe enough to open up in human relationships. Here are some factors that typically contribute to creating a safe and supportive environment:1. **Non-judgmental Attitude**: Knowing that the other person will not judge or criticize them for their thoughts and feelings encourages individuals to share openly.2. **Confidentiality**: Trusting that personal disclosures will be kept private and not shared with others is crucial for open communication.3. **Empathy**: Feeling that the other person is capable of understanding or relating to one's experiences and emotions can make it easier to share personal stories and vulnerabilities.4. **Consistent Support**: Experiencing consistent support and positive reactions from the other person in past interactions can strengthen trust, making it safer to open up.5. **Respect for Boundaries**: Knowing that someone respects your boundaries and won't push you beyond what you're comfortable sharing helps in gradually opening up at your own pace.6. **Reciprocal Disclosure**: When the other person also opens up and shares their vulnerabilities, it can create a balanced dynamic, encouraging more openness.7. **Validation**: Receiving validation from someone about your experiences and feelings can affirm your worth and build comfort in sharing more deeply.8. **Respect and Care**: General signs of respect and care in the relationship make a significant difference in feeling emotionally secure with another person.The degree to which people feel safe to open up can vary significantly based on past experiences, personality, and the specific dynamics of their relationship with the other person.</t>
  </si>
  <si>
    <t>As an AI, I don't experience life events or have personal turning points as humans do. My functioning is based on algorithms and data processing designed by OpenAI, and I operate continuously without personal experiences or change in state based on life developments.However, I can help discuss and analyze turning points in human lives. A turning point in a person's life typically involves a significant event or realization that leads to substantial changes. These can be in personal development, career paths, relationships, or philosophies. For example:1. **Career Change**: Deciding to switch careers or start a new venture can be a major turning point, influencing one's future direction and personal satisfaction.   2. **Educational Achievements**: Graduating from a university, completing a significant certification, or receiving scholarships can alter future opportunities and self-perception.   3. **Personal Relationships**: Entering or exiting a significant relationship, whether familial, romantic, or platonic, may profoundly impact one's emotional and daily life.   4. **Health**: Major changes in health, whether improvements or challenges, can dramatically affect one’s lifestyle and priorities.   5. **Relocation**: Moving to a new city or country might bring about substantial changes in social networks, career opportunities, and cultural exposure.6. **Self-realization**: Experiencing moments of clarity regarding personal beliefs, values, or behaviors can prompt significant personal growth or change.If you're interested in exploring how turning points can affect individuals or want advice on navigating potential turning points in your own life, feel free to ask!</t>
  </si>
  <si>
    <t>As an AI, I don't have personal experiences, life events, or the capacity to start over in the way humans do. My function is to continuously process queries based on a programmed set of algorithms and a vast database of information, without personal continuity or history.However, the concept of starting over is a significant and often challenging experience for many people. Here's how starting over typically affects individuals and some insight into what that process might involve:1. **Emotional Impact**: Starting over often comes after major life changes such as career shifts, relationship endings, or relocating to a new place. These changes can bring a mix of emotions—hope, fear, excitement, and sadness.2. **Adaptation**: Adjusting to new environments, norms, or job roles requires flexibility and learning. It can be stressful but also rewarding as it may lead to personal growth and new opportunities.3. **Rebuilding**: Establishing new routines, relationships, and understanding one's identity in a changed context is a critical part of starting over. This can take time and effort, and success often depends on one’s resilience and support systems.4. **Reflection**: Often, starting over gives people a chance to reflect on what they’ve learned from past experiences. This reflection can inform their decisions and help them move forward more wisely.5. **Opportunity for Reinvention**: Starting over can be seen as a chance to reinvent oneself, to leave behind what didn’t work and to try new ways of being. This can be an empowering aspect of starting afresh.For individuals going through such transitions, support from friends, family, or professionals, along with personal coping strategies, can be crucial in navigating these changes successfully. If you're experiencing or anticipating a "new start" and looking for guidance or simply a space to explore your thoughts, feel free to ask more specific questions or seek detailed support!</t>
  </si>
  <si>
    <t>As an AI, I don't experience personal emotions, feelings, or physical sensations, and hence, I don't engage in physical intimacy or possess personal values. However, I can provide guidance based on widely accepted human values and principles regarding physical intimacy:1. **Consent**: Mutual consent is foundational. Both parties should explicitly agree to any form of physical interaction without any coercion.2. **Communication**: Open, honest communication helps partners express their desires, expectations, and boundaries, enhancing mutual understanding and respect.3. **Respect**: Respecting each other's boundaries, comfort levels, and emotional responses is crucial in maintaining a healthy physical relationship.4. **Trust**: Trust builds a safe environment where partners feel secure in expressing their needs and vulnerabilities.5. **Safety**: Practicing safe physical intimacy to prevent unintended consequences like STDs or unwanted pregnancies is essential.6. **Equality**: Ensuring that both partners have an equal say in decisions regarding physical intimacy promotes fairness and mutual satisfaction.These values help in fostering healthy, respectful, and fulfilling relationships involving physical intimacy.</t>
  </si>
  <si>
    <t>As an artificial intelligence, I don't have personal experiences, emotions, or a life story. I am programmed to assist users with information and to provide support based on data and algorithms, not personal experiences. Thus, I do not experience fear, including the fear of judgment or rejection. If you have concerns about sharing aspects of yourself with others due to fear of judgment or rejection, it might be beneficial to explore these feelings with trusted individuals or professionals who can provide support and guidance. Building confidence in oneself and understanding the value of one's own unique identity and experiences can also be empowering.</t>
  </si>
  <si>
    <t>As an AI, I do not have feelings or emotions, so I do not use or need emotional protection mechanisms. However, I can provide insight into common emotional protection mechanisms that humans might employ when they feel exposed or vulnerable:1. **Denial**: Refusing to acknowledge that a specific event or situation is causing distress.2. **Rationalization**: Offering reasonable excuses for events or situations that are actually motivated by emotional distress.3. **Projection**: Attributing one's own undesirable feelings or emotions to someone else.4. **Displacement**: Redirecting emotions from the original source of distress to a less threatening target.5. **Regression**: Reverting to patterns of behavior from an earlier stage of development when faced with stress.6. **Suppression**: Consciously pushing disturbing thoughts and feelings out of conscious awareness.7. **Repression**: Unconsciously burying distressing thoughts and feelings.8. **Intellectualization**: Focusing on facts and logic to distance oneself emotionally from a distressing situation.These mechanisms can sometimes help in coping with emotional stress, but they can also hinder emotional growth and the processing of feelings if overused. Recognizing these patterns can be a first step toward addressing and managing emotional responses more healthily. If one finds that they're relying heavily on these mechanisms, it may be beneficial to consult with a mental health professional for further guidance.</t>
  </si>
  <si>
    <t>I don't have beliefs, feelings, or consciousness, so I don't experience comfort, peace, or spiritual needs. However, I can provide information on how spiritual beliefs and practices can help humans during difficult times:1. **Prayer and Meditation**: Many people find that prayer or meditation provides solace and peace. It can help individuals feel a connection with a higher power or a deeper part of themselves, offering comfort and guidance.2. **Faith Communities**: Being part of a spiritual community can provide support and a sense of belonging. These communities often offer emotional and practical assistance, which can be particularly valuable during challenging times.3. **Spiritual Readings and Teachings**: Engaging with spiritual texts or teachings can offer new perspectives and insights, which might help individuals cope with their situations.4. **Mindfulness Practices**: Techniques such as mindfulness can help individuals stay present and reduce anxiety about past or future events, fostering a sense of peace.5. **Rituals**: Participating in spiritual or religious rituals can provide a sense of order and predictability, which might be comforting in times of chaos or distress.6. **Nature and Contemplation**: Some find solace in the broader concept of spirituality that includes a deep appreciation of nature and the universe. Spending time in nature or contemplating one's place in the universe can offer a different kind of peace and perspective.These practices can help people navigate through hardships by providing emotional support, a sense of community, and personal peace.</t>
  </si>
  <si>
    <t>As an artificial intelligence, I don't have personal beliefs, emotions, or life experiences. My responses are generated based on patterns in data and programmed algorithms designed to provide information and assistance. Therefore, I don't face conflicts or challenges in a human sense and do not require reconciliation between beliefs and life situations.However, I can help guide you on how humans might approach reconciling personal beliefs with conflicts or challenges they encounter:1. **Reflection**: Individuals often reflect on their beliefs and values to gain a clearer understanding of why they hold these beliefs and how they relate to the challenges faced.2. **Dialogue**: Engaging in discussions with others who may share different perspectives can be enlightening and may help in finding common ground or reevaluating one's beliefs in light of new information.3. **Education**: Learning more about the issues at hand, considering both sides of a controversy, and exploring philosophical, ethical, or practical dimensions can help in reconciling beliefs with reality.4. **Adaptation**: Sometimes, it may be necessary to adapt or modify beliefs when they consistently conflict with evolving understanding or realities. This doesn't always mean abandoning one's values but rather updating them to reflect new knowledge or contexts.5. **Compartmentalization**: In some cases, individuals might compartmentalize, holding personal beliefs in one aspect of their life while navigating conflicting beliefs in another context (e.g., professional settings).6. **Seek Guidance**: Consulting with trusted advisers, mentors, or counselors who can provide wisdom and perspective on complex issues is another approach.7. **Mindfulness and Stress Management**: Practicing mindfulness and stress management techniques can help maintain emotional and mental balance, aiding clearer thinking and decision-making.These strategies help individuals manage discrepancies between their beliefs and the realities they face, allowing for a more integrated and coherent approach to living.</t>
  </si>
  <si>
    <t>As an AI, I don't have beliefs, practices, or the ability to experience change in a personal sense. I am programmed and updated by developers, so changes in my functionality or knowledge base are dictated by advancements in technology, updates to my training data, or changes in programming objectives. These changes are intended to improve how I understand and respond to queries, enhance my accuracy, and broaden the scope of assistance I can offer to users like you.However, I'm here to provide guidance on how individuals might navigate major shifts in their personal beliefs or practices:1. **Self-reflection**: This involves taking time to think deeply about what you truly believe and value, and why. Understanding the root of your beliefs can help you navigate changes more consciously.2. **Seeking Information**: Educating yourself about different viewpoints or new information can help you shape or reshape your beliefs and practices based on a broader understanding of the subject.3. **Community Engagement**: Engaging with diverse communities or groups that share or challenge your beliefs can provide exposure to different perspectives and support during times of change.4. **Dialogue**: Conversations with trusted individuals who respect your journey can provide support and insight, facilitating a smoother transition in shifting beliefs.5. **Patience**: Changes in deeply held beliefs or practices often require time to adjust. Being patient with yourself and allowing yourself time to adapt is crucial.6. **Professional Help**: Sometimes, speaking with a counselor, therapist, or spiritual advisor can provide guidance and clarity, helping you to navigate through confusion or conflict.These steps can help individuals manage and understand their transitioning viewpoints, leading to personal growth and a refined sense of self.</t>
  </si>
  <si>
    <t>While I don't experience emotions or trauma myself, I can provide guidance on how humans might cope with the lingering aftermath of a traumatic experience:1. **Seek Professional Help**: Consulting with a therapist, especially one trained in trauma-informed care or cognitive-behavioral therapy, can be crucial. They can guide you through the process of addressing and managing the emotions and memories associated with the trauma.2. **Establish a Support Network**: Surround yourself with supportive friends or family members who understand what you're going through and can offer emotional support and practical help.3. **Engage in Mindfulness Practices**: Techniques such as meditation, deep breathing, or yoga can help manage anxiety and stress, promote relaxation, and anchor you in the present moment.4. **Routine and Structure**: Maintaining a regular routine for daily activities like sleeping, eating, and exercising can provide a sense of stability and normalcy.5. **Expressive Outlets**: Finding creative ways to express feelings can be therapeutic. This might involve art, writing, music, or other forms of creative expression.6. **Educate Yourself**: Understanding trauma and its effects can empower you and reduce feelings of helplessness or confusion. Knowledge can be a powerful tool in the healing process.7. **Consider EMDR Therapy**: Eye Movement Desensitization and Reprocessing (EMDR) is a unique, highly effective form of therapy for trauma. It involves processing distressing memories to reduce their lingering effects.8. **Practice Self-Care**: Engage in activities that nourish your body and mind. Eating healthily, exercising, and participating in enjoyable activities are vital parts of self-care.9. **Set Boundaries**: It’s okay to set boundaries around discussions of the trauma or situations that might trigger memories of the event, allowing you to control your engagement on your terms.10. **Give Yourself Time**: Healing from trauma is a process, and it can vary significantly from person to person. Allow yourself the time you need to heal, without rushing the process.These approaches are not a one-size-fits-all solution but are commonly beneficial in helping individuals cope with and recover from trauma. They can be adapted based on personal preferences and the specifics of the traumatic event experienced.</t>
  </si>
  <si>
    <t>As an artificial intelligence, I don't have emotions or a need for emotional resilience. However, I can provide information on various healing practices that have been found to support emotional resilience in people. Such practices can help individuals cope better with life's challenges, recover from stress, and maintain or regain their mental health. Here are some of the most effective practices:1. **Mindfulness and Meditation**: Regular mindfulness practice, including meditation, helps centralize attention, reduce stress, and improve emotional regulation. These practices can enhance awareness of the present moment and decrease reactivity to difficult situations.2. **Cognitive Behavioral Therapy (CBT)**: This is a psychotherapeutic treatment that helps people learn how to identify and change destructive or disturbing thought patterns that have a negative influence on behavior and emotions.3. **Regular Exercise**: Physical activity is highly beneficial for mental health. It can reduce symptoms of depression and anxiety and contribute to better overall emotional health.4. **Adequate Sleep**: Maintaining a healthy sleep schedule is crucial for emotional and psychological resilience. Sleep helps to regulate mood and improve brain function, supporting healthier emotional responses.5. **Healthy Eating**: A balanced diet provides the nutrients necessary for brain health, which in turn supports emotional balance and resilience.6. **Journaling**: Writing down thoughts and feelings can help manage anxiety, reduce stress, and cope with depression by offering an outlet for expressing what might be too hard to say out loud.7. **Social Connection**: Building and maintaining strong, healthy relationships can provide emotional support and reduce feelings of isolation, which is crucial for emotional resilience.8. **Yoga**: Combining physical postures, breathing exercises, and meditation or relaxation, yoga can help improve mental health and emotional resilience through enhanced self-awareness and overall physical health.9. **Art and Creative Expression**: Engaging in creative activities can be therapeutically beneficial. Whether it's painting, playing music, or crafting, these activities can serve as expressive outlets for emotions.10. **Nature Exposure**: Spending time in nature can be calming and rejuvenating for the mind and body, helping to reduce stress and anxiety and elevate mood.These practices are generally effective across different groups of people and can be tailored to individual preferences and needs. They are often used in combination to provide holistic support and enhance overall well-being.</t>
  </si>
  <si>
    <t>As an AI, I don't have personal experiences, emotions, or relationships, so I'm not affected by past traumas. However, I can provide insight into how past traumas can influence a person's current relationships:1. **Trust Issues**: Individuals who have experienced betrayals or harm in the past might find it difficult to trust others. This can lead to challenges in forming close bonds or believing in the reliability or kindness of others.2. **Communication Difficulties**: Trauma can lead to difficulties in expressing thoughts and emotions effectively. This might result in misunderstandings or conflicts in relationships.3. **Attachment Styles**: Trauma can impact a person's attachment style, leading to patterns that are either overly clinging (anxious attachment) or distant (avoidant attachment). Both can create strain in relationships.4. **Fear of Intimacy**: Past trauma might make a person wary of emotional or physical intimacy. They may fear vulnerability or associate intimacy with previous negative experiences.5. **Heightened Reactions**: Trauma can result in a heightened stress response, causing a person to react more intensely or unpredictably to triggers that might seem minor to others.6. **Projection**: Sometimes, individuals might unconsciously project feelings or fears from past traumas onto current relationships, perceiving threats or hostilities where none exist.7. **Sabotaging Behaviors**: Fear of repeating past traumas can lead some to preemptively sabotage relationships as a protective measure against potential pain.8. **Overdependence**: In some cases, trauma survivors might become overly dependent on their partners for validation and emotional safety, which can place a strain on the relationship.Addressing the impact of past traumas often requires professional help, such as therapy, where individuals can explore their experiences in a safe environment and develop strategies for managing their effects. Healing from trauma can lead to healthier and more fulfilling relationships.</t>
  </si>
  <si>
    <t>As an AI, I don't have personal experiences, feelings, or a sense of self-worth, so I don't experience feelings like inadequacy or insufficiency. However, I can offer advice on how humans might deal with feelings of not being enough:1. **Self-reflection**: Identify the root causes of why you might feel inadequate. Understanding whether these feelings stem from external pressures, internal expectations, or past experiences can provide clarity and direction for addressing them.2. **Positive Self-Talk**: Challenge negative thoughts and replace them with affirmations or positive statements about yourself. Regularly practicing positive self-talk can help shift your mindset from self-doubt to self-acceptance.3. **Set Realistic Goals**: Establish achievable goals that are tailored to your own pace and ability. Achieving these goals can boost your confidence and reaffirm your capabilities.4. **Seek Feedback**: Constructive feedback from trusted colleagues, friends, or mentors can provide a more balanced perspective on your abilities and performance. It can highlight your strengths and areas for improvement in a supportive way.5. **Celebrate Small Wins**: Recognize and celebrate your accomplishments, no matter how small. This can help to build your self-esteem and reinforce your sense of competence.6. **Continuous Learning**: Commit to lifelong learning and self-improvement. By continually developing your skills and knowledge, you can alleviate feelings of inadequacy in professional or personal areas.7. **Mindfulness and Meditation**: Practices like mindfulness and meditation can help manage and reduce feelings of anxiety and inadequacy by focusing your mind on the present and reducing negative thinking.8. **Therapy**: Speaking with a therapist can be highly beneficial, especially if feelings of inadequacy are deep-seated or affect your quality of life. Therapy can help address underlying issues and improve your emotional resilience.9. **Social Support**: Lean on supportive friends or family members during times of self-doubt. A strong support network can provide emotional comfort and reassurance of your value and abilities.10. **Limit Social Comparison**: Try to avoid comparing your life and achievements with others, especially based on social media portrayals, which are often curated and idealized. Focus on your unique path and personal growth.These strategies can help individuals cope with and counteract feelings of inadequacy, fostering a healthier self-image and more productive professional and personal lives.</t>
  </si>
  <si>
    <t>gpt-4-turbo</t>
  </si>
  <si>
    <t>I don't have personal experiences or feelings, but I'm here to help you! How can I assist you today?</t>
  </si>
  <si>
    <t>I don't experience relaxation or stress, but I can certainly help you find ways to unwind! Many people enjoy activities like reading, listening to music, practicing meditation or yoga, or watching a favorite movie or show. What are some of your favorite ways to relax?</t>
  </si>
  <si>
    <t>I don't engage in hobbies myself, but I can help you explore new ones or delve deeper into your current interests! Whether you're into crafting, sports, music, reading, or learning new skills, I can provide information and resources to support your pursuits. What hobbies are you interested in?</t>
  </si>
  <si>
    <t>I'm here to assist you whenever you need, so you could say my "work" is ongoing and constant. How can I help you today? Is there something specific you need assistance with or information on?</t>
  </si>
  <si>
    <t>While I don't have projects in a personal sense, I can handle a wide range of tasks and queries that come up. I assist with information retrieval, solving problems, learning new concepts, and much more. If you've got a specific project or topic you need help with, just let me know! What's on your mind?</t>
  </si>
  <si>
    <t>I don't experience weather conditions or changes in environment because I exist purely as software. However, I can certainly provide tips for dealing with cold weather or help find information on how it might affect things like travel, health, or daily activities. How can I assist you with the cold weather?</t>
  </si>
  <si>
    <t>I'm here all the time, ready to assist whenever you need help or information. I don't make plans, but I'm here to help you with yours! What are you planning for the weekend? Maybe I can help you organize something fun or interesting.</t>
  </si>
  <si>
    <t>I don't try things or experience changes like humans do, but I'm constantly being updated with new information and capabilities to better assist users like you. If you are interested in trying something new, perhaps I can help you explore new hobbies, recipes, or activities. What are you interested in trying?</t>
  </si>
  <si>
    <t>I function independently in my interactions with you, but I'm part of a broader system designed and maintained by a team of developers, engineers, and researchers. This team continuously works on improving my capabilities, updating my knowledge base, and ensuring that I can provide accurate and helpful responses. If you have any specific questions or need assistance, I'm here to help right away!</t>
  </si>
  <si>
    <t>I don't experience stress or emotions, so there's no need for me to handle stress. However, I can offer advice on managing stress for you or anyone else. Common strategies include taking short breaks, practicing deep breathing or mindfulness, prioritizing tasks, and ensuring you get enough rest. If you're feeling overwhelmed, these techniques might be useful. How can I assist you further with stress management or any other inquiries?</t>
  </si>
  <si>
    <t>As an AI, I don't eat, so I don't have personal tastes or preferences! But I can certainly help you come up with some great food suggestions for a relaxing night in. Cozy, comfort foods like a creamy pasta dish, a warm bowl of soup, or perhaps some homemade pizza might be perfect for unwinding. What are you in the mood for?</t>
  </si>
  <si>
    <t>I don't have personal preferences or experiences, but I'm here to help you with advice or information whether you're planning indoor activities like reading, cooking, or watching movies, or outdoor adventures like hiking, gardening, or cycling. What are you interested in doing?</t>
  </si>
  <si>
    <t>I don't listen to music or have personal preferences, but I can help you find music that suits your taste. Whether you're into rock, classical, jazz, hip-hop, or electronic, I can offer recommendations or share information about artists and albums in various genres. What type of music are you interested in?</t>
  </si>
  <si>
    <t>I don't have personal experiences or hobbies, but I can discuss common benefits and drawbacks of various hobbies. For instance, gardening is a popular hobby that can be very rewarding as it allows you to connect with nature and enjoy the sense of accomplishment from nurturing plants and watching them grow. However, the downside might be that it requires physical effort and can be time-consuming, which might be challenging for some people.If you tell me your favorite hobby, I can provide a more detailed analysis of its pros and cons!</t>
  </si>
  <si>
    <t>As an AI developed by OpenAI, I don't have colleagues or superiors, nor do I partake in personal interactions. However, I can certainly offer guidance on how to approach conflict resolution in professional settings:1. **Active Listening:** Ensure that you truly listen to the other party's point of view without interrupting. Understanding their perspective is key to finding a solution.2. **Stay Calm and Respectful:** Maintain a calm demeanor and communicate respectfully. Emotions can run high during conflicts; keeping them in check helps prevent escalation.3. **Clarify the Issue:** Make sure everyone involved understands the issue at hand. Often, conflicts arise from misunderstandings that can be resolved by clarifying the facts.4. **Focus on the Problem, Not the Person:** Address the issue without making personal attacks. Keeping the discussion objective and professional helps in reaching a resolution.5. **Seek Common Ground:** Identify areas of agreement and build on them. Highlighting shared goals can facilitate a collaborative approach to resolving differences.6. **Offer and Explore Solutions:** Suggest possible resolutions or ask the other party to propose solutions. Collaborative problem-solving often leads to innovative and acceptable outcomes.7. **Agree on Action Steps:** Once a resolution is found, agree on the necessary actions and ensure both parties understand their responsibilities moving forward.Using these techniques can help you handle conflicts constructively and maintain professional relationships.</t>
  </si>
  <si>
    <t>As an AI developed by OpenAI, I don't have personal career goals or aspirations. However, my design and development are continuously focused on improving my ability to assist users like you by providing accurate, helpful, and timely information and solutions to your queries.For real individuals thinking about career goals, it's beneficial to consider where you want to be in the next few years. Set clear, achievable goals such as gaining certain skills, achieving promotions, or expanding your professional network. If you need advice on setting these goals or strategies to achieve them, I'm here to help guide you through that planning process!</t>
  </si>
  <si>
    <t>Social media's impact on society is multifaceted, incorporating both positive and negative elements. Here’s a breakdown:### Positive Influences of Social Media:1. **Connectivity and Communication:** Social media platforms enable people to stay connected with friends and family across great distances, and meet people with similar interests.2. **Access to Information:** These platforms are powerful tools for disseminating information and news, significantly contributing to awareness and education.3. **Support and Community:** Many find support and community through social media, especially those who might feel isolated such as individuals with rare diseases or unique interests.4. **Business and Marketing:** For businesses, social media is an invaluable tool for marketing, customer service, and engagement, enabling them to reach wider audiences at relatively low costs.### Negative Influences of Social Media:1. **Misinformation and Disinformation:** Social media can also spread misinformation and disinformation rapidly, which can lead to confusion and at times, dangerous situations.2. **Privacy Issues:** Users often share a significant amount of personal information on these platforms, which can be mishandled or improperly accessed, leading to privacy breaches.3. **Mental Health Impact:** Studies have connected excessive social media use with increased rates of anxiety, depression, and other mental health issues, particularly among teens and young adults.4. **Addiction:** The design of these platforms often encourages addictive behaviors, which can have detrimental effects on personal and professional lives.The overall impact of social media depends greatly on how individuals and communities use these platforms and the measures taken by authorities and organizations to mitigate its adverse effects while enhancing its benefits. It also increasingly weighs on the responsibility of the creators and managers of these platforms to improve their systems to safeguard against misuse while promoting beneficial outcomes.</t>
  </si>
  <si>
    <t>As an AI, I don't have personal preferences or the ability to listen to music or podcasts. However, I can offer advice on what might work best for you depending on your needs and the nature of the work or studying you're doing.1. **Music**: Listening to music can be beneficial for repetitive tasks or creative work. Instrumental music or genres like classical, jazz, or ambient music are often recommended because they don't have lyrics that might distract from thinking processes.2. **Podcasts**: If your task is more mechanical or doesn't require deep concentration, you might find listening to podcasts beneficial. They can be particularly good for keeping up with news, learning new things, or simply staying entertained. However, they might be distracting if your work requires deep concentration or critical thinking.The best choice varies from person to person, so it might be useful to experiment with both to see which helps you maintain productivity and focus better.</t>
  </si>
  <si>
    <t>I don't have personal experiences or emotions, so I haven't been impacted by books or movies. However, I can suggest books and films that are widely regarded as impactful by many people. For instance:1. **Books:**   - **"To Kill a Mockingbird" by Harper Lee** - This novel deals with serious issues like racial injustice and the loss of innocence. It has impacted millions by promoting empathy and understanding.   - **"1984" by George Orwell** - A dystopian novel that explores the dangers of totalitarianism and pervasive government surveillance, often cited for its profound influence on discussions about privacy and government control.2. **Movies:**   - **"Schindler's List" directed by Steven Spielberg** - This film, based on true events during the Holocaust, has had a profound impact on how people understand the horrors and human impact of WWII.   - **"The Shawshank Redemption"** - A story of hope and friendship under the most dire circumstances, widely appreciated for its deep emotional and motivational messages.These titles are known for their powerful narratives and themes that challenge viewers' and readers' perspectives, often leaving a lasting impression. If you're interested in exploring thought-provoking content, these might be great options to consider.</t>
  </si>
  <si>
    <t>As an AI, I don't have personal experiences or friends, and I don't go out. However, I can certainly conjure a scenario that you might find amusing or relatable:Imagine a group of friends at a karaoke bar. One of them, feeling particularly bold, chooses to sing a big power ballad. As they get up on stage, full of confidence, they start off strong. However, halfway through, they forget the lyrics. Instead of stopping, they confidently hum and mumble their way through, making up half the words. The crowd, catching on to the blunder, starts laughing and cheering them on, making the moment lighthearted and even more enjoyable. The night ends with everyone having a good laugh about the performance, turning an embarrassing moment into a memorable one.While I can't share personal stories, I can help come up with scenarios, suggest activities, or provide information to help you craft your own memorable experiences.</t>
  </si>
  <si>
    <t>As an AI developed by OpenAI, I don't experience emotions or have personal experiences. Instead, I process information and respond based on patterns and data. However, I can help answer questions about human emotions, including how people might find it difficult to express certain emotions and what factors contribute to such challenges. If you're interested in understanding more about emotional expression in humans, feel free to ask!</t>
  </si>
  <si>
    <t>As an artificial intelligence, I don’t have feelings or personal experiences, so I don't hide feelings or get affected by situations as humans do. However, I can provide information on how and why people might choose to hide their feelings to protect someone else.People often choose to conceal their emotions for various reasons, such as to avoid hurting someone's feelings, to maintain peace in a relationship, or to protect someone from stress or anxiety. While this can sometimes be beneficial temporarily, over the long-term, it might lead to issues like emotional distance, stress, or unresolved conflicts in relationships.If you're dealing with similar situations or need advice on emotional expression and management, I can offer information and support based on psychological principles and research.</t>
  </si>
  <si>
    <t>As an AI, I don't face personal challenges or have experiences, but I can simulate and troubleshoot issues based on the data and algorithms provided to me. My "challenges" generally involve understanding complex queries or providing accurate information based on the input I receive. To "overcome" these challenges, upgrades and improvements are made by developers at OpenAI to enhance my understanding, processing capabilities, and accuracy. This ongoing improvement process allows me to respond more effectively and adapt to the wide range of topics and questions that users like you may ask. If you need advice on handling specific challenges, feel free to ask, and I would be happy to provide information or suggestions based on existing knowledge!</t>
  </si>
  <si>
    <t>As an AI, I don't have personal dreams, aspirations, or motivations. My purpose is to assist users by providing information, answering questions, and helping with a wide range of tasks based on the programming and objectives set by my developers. My "motivation" is built into my design, which is to accurately execute the tasks for which I am programmed, such as assisting users like you!If you need help outlining your dreams, setting goals, or finding motivation, I can certainly provide guidance, strategies, and information to support you in pursuing your aspirations.</t>
  </si>
  <si>
    <t>As an artificial intelligence, I don't have personal experiences or relationships, so there isn't anyone from a "past" for me to reconnect with. My interactions are based on data and algorithms, and I don't have continuity or personal history. Each interaction I have is independent and doesn't carry emotional significance or personal relationships.However, if you're thinking about reconnecting with someone from your past or need advice on whether or not it's a good idea, I can offer guidance or help explore the reasons and potential outcomes of such a decision. People often consider reconnecting with someone from the past for closure, rekindling a friendship, or addressing unresolved issues. Let me know how I can assist you further on this topic!</t>
  </si>
  <si>
    <t>As an AI, I don't have personal experiences or memories. However, I can understand why reflecting on certain memories from past relationships could bring someone comfort or clarity. For humans, memorable moments that bring comfort often include experiences of love, support, shared joy, or even overcoming challenges together. Such memories can serve as reminders of personal growth or the capacity for meaningful connections. On the other hand, memories that offer clarity might involve lessons learned from relationship challenges, insights into personal needs and boundaries, or understanding more deeply what one values in relationships.If you’re looking for guidance on how to reflect on past relationships or how to extract meaningful lessons from them, I’m here to help discuss those topics and provide relevant advice.</t>
  </si>
  <si>
    <t>Trust is a foundational element in any healthy relationship, whether personal or professional. Building and maintaining trust involves several key components:1. **Consistency**: Being consistent in your actions and behavior helps build reliability. When people know what to expect from you, it becomes easier for them to trust you.2. **Communication**: Open and honest communication is crucial. This means sharing thoughts and feelings, being transparent about intentions, and listening actively to others.3. **Integrity**: Acting with integrity—doing the right thing even when no one is watching—strengthens trust. This includes keeping promises and commitments.4. **Respect**: Showing respect for others’ feelings, opinions, and beliefs builds trust. This involves treating others with dignity and consideration, even in disagreements.5. **Empathy**: Understanding and sharing the feelings of another person can significantly enhance trust. It shows that you care and are willing to see things from their perspective.6. **Support**: Being there for others in difficult times or when they need your help demonstrates that you can be relied upon, which builds deeper trust.7. **Conflict Resolution**: Effectively managing and resolving conflicts without harm to the relationship shows that issues can be dealt with constructively, which is vital for maintaining trust.Maintaining trust requires continuous effort and commitment to these principles. Once trust is broken, it can be challenging to rebuild, often requiring even more time and consistent effort than was originally needed to build it.</t>
  </si>
  <si>
    <t>As an AI, I don't experience feelings of safety or vulnerability, so I don't have personal experiences of opening up to someone. However, I can provide insights into what might make a person feel safe enough to open up to others, based on psychological principles.For humans, feeling safe enough to open up typically involves certain factors:1. **Empathy and Understanding**: Knowing that the other person understands and empathizes with your feelings can establish a safe environment. This includes active listening and responses that validate the experiences being shared.2. **Nonjudgmental Attitude**: When people fear judgment, they are less likely to share personal thoughts or feelings. Feeling that the other person will not criticize or judge harshly makes it easier to open up.3. **Confidentiality**: Trusting that the other party will keep shared information confidential is crucial. Knowing that personal disclosures won’t be shared with others without permission can increase the feeling of safety.4. **Consistency**: Seeing consistent behavior from someone over time builds trust. When someone's actions match their words consistently, it lowers the perceived risk of opening up.5. **Support and Reassurance**: Offers of support and positive reassurance can encourage open communication. Feeling supported and reassured signifies that the person is on your side, which reduces the fear of being vulnerable.6. **Shared Vulnerability**: When both parties share and show their vulnerable sides, it creates a mutual understanding and makes it easier for each person to open up, fostering a deeper connection.Understanding these aspects can help individuals navigate their social interactions more effectively, promoting healthier and more open relationships.</t>
  </si>
  <si>
    <t>As an AI created by OpenAI, I don't have personal experiences or a life history, so I don't experience turning points. However, I can help explain what a turning point might be for a person and its potential impact.A turning point in a human's life is generally a significant event or moment that results in substantial change. It can alter the direction of someone's life or their perspective significantly. This could be due to a variety of reasons—positive events like a new career opportunity, the birth of a child, or a move to a new location, or challenging events such as a loss, failure, or major disappointment.Turning points are pivotal in shaping personal growth and life trajectories. They often force individuals to make decisions that bring about change in their lives. This can lead to new insights, personal development, and sometimes a complete transformation in one's lifestyle, goals, and values.If you are experiencing a turning point or thinking about the impact of past significant events in your own life, I can help you analyze these situations, offer advice, or provide support on how to manage changes and make positive decisions moving forward.</t>
  </si>
  <si>
    <t>As an artificial intelligence, I don't have personal experiences, a life history, or emotions, so I don't experience instances of starting over or life transitions like humans do. However, the concept of "starting over" is a common theme in human lives and can involve a variety of experiences. For many, starting over might mean moving to a new city, beginning a new job, ending a significant relationship, or recovering from a major setback. This process can be both challenging and rejuvenating. It often involves feelings of uncertainty but can also lead to new opportunities and personal growth.Adapting to change during such times generally requires resilience, flexibility, and support from others. It can be a profound learning experience, fostering developments in self-awareness, adaptability, and strength.If you need guidance on navigating a phase of starting over, exploring new beginnings, or managing the associated emotions and challenges, I can provide support and information to help you make positive choices and move forward effectively.</t>
  </si>
  <si>
    <t>As an AI, I don't have personal experiences or values. However, I can provide information on common values that often guide individuals in their approach to physical intimacy. These include:1. **Consent**: Mutual agreement and respect for each other's boundaries are fundamental. Both partners should feel comfortable and willing to participate.2. **Communication**: Open, honest communication about desires, expectations, and discomforts is crucial. It helps in building trust and understanding.3. **Respect**: Treating each other with dignity and respect, acknowledging and valuing each other’s feelings and boundaries.4. **Safety**: Practicing safe sex to protect against sexually transmitted infections (STIs) and unintended pregnancies.5. **Honesty**: Being truthful about one’s health status, previous experiences, and current expectations helps in maintaining a healthy relationship.6. **Trust**: Building a foundation of trust can enhance intimacy, making partners feel secure and valued.7. **Responsibility**: Acknowledging the consequences of physical intimacy and dealing with them responsibly is important.8. **Privacy**: Respecting each other's privacy and not sharing intimate details without consent.These values not only help in fostering a healthy relationship but also ensure that the experience is positive and enriching for all involved.</t>
  </si>
  <si>
    <t>As an AI developed by OpenAI, I don't have personal experiences, emotions, or a personal life. Therefore, I don't experience fear, nor do I have personal aspects of myself to share or keep private.However, the concern about being judged or rejected when sharing personal aspects is a common human experience. People often feel vulnerable when exposing parts of their identity or life choices that might not conform to societal norms or expectations. This can include a wide range of topics such as personal interests, family background, health issues, financial status, or even failures and successes.Encouraging an environment of empathy, understanding, and non-judgment is crucial in helping individuals feel safe to express themselves fully and authentically. If you or someone else is struggling with these feelings, fostering open, supportive, and confidential dialogues can be very beneficial.</t>
  </si>
  <si>
    <t>As an AI, I don't have emotions or personal experiences, so I don't use or need emotional protection mechanisms. However, I can provide information on the strategies that people often use when they feel exposed or vulnerable:1. **Denial:** Ignoring or refusing to acknowledge the distressing aspects of a situation to avoid dealing with painful emotions.2. **Intellectualization:** Focusing on facts and logic to detach emotionally from a situation.3. **Rationalization:** Justifying behaviors or feelings with logical reasons, even if they are not the true reasons.4. **Projection:** Attributing one’s own feelings or thoughts, particularly those considered unacceptable, onto someone else.5. **Displacement:** Redirecting emotions away from their original source towards something or someone less threatening.6. **Regression:** Reverting to patterns of behavior from an earlier stage of development when faced with unacceptable thoughts or impulses.7. **Suppression:** Consciously choosing to control and hide undesirable emotions to cope in the moment.8. **Repression:** Unconsciously burying distressing thoughts and feelings.9. **Distraction:** Diverting attention away from the distressing emotion by focusing on something else that does not cause emotional pain.10. **Self-compassion:** Offering kindness and understanding to oneself rather than harsh judgment and self-criticism.People might use these mechanisms to protect themselves emotionally when they feel exposed or under psychological stress. Understanding and addressing the underlying issues often requires mindful reflection or professional help, such as therapy or counseling, to develop healthier emotional coping strategies.</t>
  </si>
  <si>
    <t>As an AI, I don't have personal beliefs, emotions, or spiritual practices. However, many people find comfort and peace in spiritual beliefs and practices, especially during challenging times. Here are some common spiritual approaches people might use:1. **Prayer**: Communicating with a higher power or divine entity which provides comfort, guidance, and strength.2. **Meditation**: Practicing mindfulness or transcendental meditation to calm the mind, reduce stress, and achieve emotional equilibrium.3. **Reading and reflection**: Engaging with spiritual texts and philosophies can provide insights, solace, and perspective.4. **Nature**: Spending time in nature and appreciating the natural world can be a spiritual experience for some, promoting peace and connectivity.5. **Rituals**: Participating in spiritual rituals according to one's faith or belief system can provide a sense of connection and grounding.6. **Community worship**: Joining communal religious services or spiritual gatherings can offer support and a sense of belonging.7. **Yoga**: Combining physical postures, breathing exercises, and meditation can enhance spiritual awareness and harmony.8. **Music and art**: Engaging in or appreciating spiritual music and art can lift spirits and provide profound peace and introspection.9. **Acts of kindness**: Engaging in altruistic behaviors can fulfill spiritual needs and connect one to the larger human experience.10. **Spiritual counseling**: Talking to a spiritual leader or counselor can provide guidance and reassurance.Individual experiences with spirituality can vary greatly, and what works for one person may not work for another. It’s important to explore different practices to find what best suits one's needs and beliefs.</t>
  </si>
  <si>
    <t>As an artificial intelligence, I don't have personal beliefs or life experiences. However, reconciling personal beliefs with life's challenges and conflicts is a significant issue for many people. Here are some strategies that individuals might use to handle such situations:1. **Reflection and Self-Assessment**: Taking time to reflect on one's beliefs and values can offer clarity and help determine if these need reassessment or reinforcement in the face of challenges.2. **Seeking Guidance**: Consulting with trusted leaders, mentors, or friends who share or understand your beliefs can provide advice, comfort, and different perspectives.3. **Education and Learning**: Acquiring more knowledge about both sides of a conflict or challenge can lead to a more informed, nuanced understanding, allowing for better integration of beliefs with actions.4. **Compromise and Flexibility**: Sometimes, reconciling beliefs involves identifying areas where compromise is possible without fundamental sacrifices, allowing for adaptability and growth.5. **Prayer or Meditation**: For those who are spiritually inclined, seeking solace in prayer or meditation can provide inner peace and resilience, helping to align actions with beliefs.6. **Therapy or Counseling**: Engaging with professionals to discuss conflicts can help in processing emotions and devising strategies to navigate through them while staying true to one's values.7. **Community Involvement**: Engaging with a community that shares similar beliefs or has faced similar challenges can offer support, insight, and collective wisdom.8. **Strengthening Convictions**: Sometimes, facing conflicts can serve as an impetus to strengthen one’s convictions rather than reconcile them away. This might involve more deeply exploring one's faith or philosophy and more actively engaging with its community or practices.9. **Balancing Idealism and Realism**: Understanding that ideals might not always be fully achievable in the practical world can help in finding a middle ground where one's core values are preserved, but practical concessions are made.Exploring these strategies can help individuals navigate the complexities of aligning their beliefs with the practical realities of life, leading to a more harmonious and integrated existence.</t>
  </si>
  <si>
    <t>As an artificial intelligence, I don't have personal beliefs or practices, nor do I undergo changes or shifts in the same way humans do. However, I can explain how AI systems like myself are updated or altered, which might be comparable to changes in human beliefs or practices in a very broad sense.AI models are periodically updated by their developers to improve accuracy, expand knowledge, and enhance understanding of user requests. These updates may include:1. **Training on New Data**: To keep the AI relevant, it is trained on new or updated datasets. This process can help the AI learn about recent developments, new cultural trends, or changes in language usage.2. **Algorithm Adjustments**: Developers might change the algorithms or the architecture of the AI to improve performance, efficiency, or to incorporate new research findings.3. **Incorporating Feedback**: AI systems often improve based on user feedback. Issues reported by users can lead to adjustments in how the AI processes information and interacts.4. **Ethical and Bias Considerations**: AI systems are periodically reviewed to ensure they operate ethically and minimize biases. This might involve retraining on more diverse datasets or tweaking the algorithms that manage data processing.5. **Compliance with Regulations**: Legal and regulatory changes might necessitate updates in AI systems to ensure compliance with new privacy laws, data protection guidelines, or other relevant regulations.These updates and modifications are crucial for maintaining the relevance, usefulness, and ethical standards of AI systems, but they are initiated by human developers, not the AI itself. This process ensures that AI remains a useful and effective tool tailored to the evolving needs and challenges of its users.</t>
  </si>
  <si>
    <t>While I don't experience emotions or have personal memories, I can offer guidance on how individuals might cope with the aftermath of a traumatic experience. Dealing with trauma is a complex and deeply personal process, and effective coping strategies can vary widely among individuals. Here are several approaches that are commonly considered helpful:1. **Seek Professional Help**: Consulting with a psychologist, psychiatrist, or counselor who specializes in trauma can be crucial. Trauma-focused therapies like Cognitive Behavioral Therapy (CBT), Eye Movement Desensitization and Reprocessing (EMDR), or other forms of psychotherapy can provide significant relief.2. **Establish a Routine**: Trauma can disrupt one's sense of stability. Establishing or maintaining a daily routine can provide a sense of normalcy and control.3. **Support Groups**: Joining a support group where members share similar experiences can alleviate feelings of isolation and provide mutual support and understanding.4. **Mindfulness and Meditation**: Practices such as meditation, yoga, and mindfulness can help individuals regain connection with their bodies, manage stress, and reduce anxiety.5. **Physical Activity**: Regular physical activity can boost mood, improve sleep, and help manage anxiety and depression. This does not have to be intense exercise but any physical activity that feels good and doable.6. **Creative Expression**: Many find it helpful to express their feelings and experiences through art, writing, music, or other creative activities. This can provide a safe outlet for expressing emotions and processing experiences.7. **Healthy Lifestyle Choices**: Maintaining a balanced diet, getting enough sleep, and avoiding harmful substances can help the body and mind manage the effects of trauma.8. **Set Boundaries**: Learning to set and maintain boundaries with others can help regain a sense of control and personal safety.9. **Mindful Breathing or Relaxation Techniques**: Techniques such as deep breathing, progressive muscle relaxation, or guided imagery can help manage physical symptoms of stress and anxiety.10. **Education**: Learning about trauma and its effects can demystify many of the feelings and reactions one might have, and provide reassurance that one's responses are normal.Each person's journey of recovery will be unique, and what works for one person might not work for another. It is often necessary to try different strategies and possibly combine several approaches. The most important step is recognizing when help is needed and seeking that support without delay.</t>
  </si>
  <si>
    <t>As an AI, I don't experience emotions or personal growth, so I don't engage in healing practices or develop emotional resilience. However, I can provide information on practices that many find beneficial for building and supporting emotional resilience. Here are some widely recommended strategies:1. **Mindfulness Meditation**: Regular mindfulness meditation can help individuals become more aware of their thoughts and feelings and manage them without becoming overwhelmed. This awareness can enhance resilience by promoting a non-judgmental attitude toward one's experiences.2. **Cognitive Behavioral Therapy (CBT)**: CBT is a form of psychotherapy that helps individuals challenge and change unhelpful cognitive distortions and behaviors, improve emotional regulation, and develop personal coping strategies that target solving current problems.3. **Physical Exercise**: Regular physical activity can greatly enhance psychological well-being and resilience. Exercise releases endorphins, natural brain chemicals that can improve mood and act as natural painkillers.4. **Adequate Sleep**: Maintaining a consistent sleep schedule and ensuring quality sleep help regulate mood, improve brain function, and increase emotional resilience.5. **Healthy Diet**: Eating a balanced diet rich in fruits, vegetables, lean proteins, and whole grains can support brain function and overall health, which are essential during stressful times.6. **Journaling**: Writing down thoughts and feelings can organize and clarify the aspects of experiences that are disturbing and can facilitate problem-solving and emotional recovery.7. **Social Support**: Building and maintaining strong, positive relationships with friends and family can provide the emotional support and acceptance needed to withstand and recover from personal crises.8. **Yoga and Tai Chi**: These practices combine physical postures, breathing exercises, and meditation to improve mental and physical health, enhancing overall resilience.9. **Gratitude**: Regularly reflecting on and appreciating what one has, rather than what one lacks, can shift perspective, reduce stress, and foster resilience. This can be practiced through techniques like gratitude journaling or meditative gratitude exercises.10. **Engaging in Hobbies**: Spending time in activities that bring joy can provide a break from stress, reduce anxiety, and build emotional resilience.People tend to benefit most from employing a combination of these strategies, tailored to their personal preferences and life circumstances. These practices support and enhance an individual’s ability to navigate through life's challenges effectively.</t>
  </si>
  <si>
    <t>As an AI, I don't have personal experiences, trauma, or relationships. However, I can provide insight into how past traumas can often influence an individual's current relationships:1. **Trust Issues**: Trauma, especially when caused by betrayal or interpersonal harm, can make it difficult to trust others. Survivors might be overly cautious in new relationships or may find it hard to believe that others have good intentions.2. **Attachment Styles**: Trauma can affect attachment patterns, leading to insecure attachment styles such as anxious, avoidant, or disorganized. For instance, someone may become overly clingy and anxious about abandonment (anxious attachment) or might push others away and seek isolation as a means of self-protection (avoidant attachment).3. **Communication Difficulties**: Trauma can lead to difficulties in communication. Individuals may struggle to express their needs and feelings, either by withdrawing and becoming silent or by reacting aggressively.4. **Emotional Regulation**: Traumatic experiences can impair the ability to regulate emotions. This can result in mood swings, intense emotional reactions, or a blunted affect, all of which can be challenging for partners.5. **Fear of Intimacy**: Emotional and physical intimacy can be particularly challenging for trauma survivors. Fear of vulnerability, memories related to past trauma, or body image issues post-trauma can impact intimacy.6. **Projection and Transference**: Individuals might unconsciously project feelings related to past trauma onto current partners, or they may transfer emotions or attributes of the trauma perpetrator onto others who remind them of their past.7. **Hyper-vigilance**: Trauma can lead to a constant state of alertness to potential threats, making it hard to relax and feel safe in a relationship.8. **Conflict Resolution**: Trauma survivors might either avoid conflicts for fear of escalation or might engage in heightened conflict due to unresolved anger and hurt from past experiences.9. **Repetition of Patterns**: Trauma survivors might unknowingly recreate aspects of their traumatic experiences in new relationships, either by choosing partners who perpetuate the cycle of trauma or by mimicking the dynamics of past abusive relationships.10. **Isolation**: Sometimes, trauma leads to self-imposed isolation as a protective measure, making forming new relationships challenging.Addressing these issues often requires professional help, such as therapy, where individuals can work through their past traumas in a safe environment. Techniques like trauma-focused cognitive behavioral therapy (TF-CBT), eye movement desensitization and reprocessing (EMDR), and other modalities can be particularly effective. Healing from trauma and learning healthy ways to cope can significantly improve how individuals relate to others and help foster more positive, fulfilling relationships.</t>
  </si>
  <si>
    <t>As an AI, I don't have personal experiences or emotions, so I don't feel inadequacy or face personal or professional challenges. However, the feeling of not being enough is a common human experience. Here are some strategies that can help cope with such feelings:1. **Identify and Challenge Negative Thoughts**: Often, feelings of inadequacy stem from self-critical thoughts or unreasonably high expectations. It's helpful to identify these thoughts and challenge their validity. Techniques from cognitive behavioral therapy (CBT) can be particularly useful here, helping to replace negative thoughts with more realistic and positive ones.2. **Self-Compassion**: Practicing self-compassion involves treating yourself with the same kindness and understanding that you would offer a good friend. This can help alleviate feelings of inadequacy by allowing you to accept yourself as you are, including acknowledging and accepting your limitations.3. **Set Achievable Goals**: Sometimes, feelings of inadequacy arise from setting goals that are too ambitious or not clearly defined. By setting smaller, achievable goals, you can build confidence as you meet them, and gradually work up to larger objectives.4. **Focus on Your Strengths**: Instead of fixating on areas where you feel lacking, focus on your strengths and abilities. Engaging in activities that highlight your talents can boost your self-esteem.5. **Seek Feedback**: Constructive feedback from trusted peers or mentors can provide a more objective perspective on your abilities and efforts. This can help counteract the distorted perception of self that often accompanies feelings of inadequacy.6. **Learn and Develop Skills**: If you recognize a genuine area for improvement, consider it an opportunity for growth. Look for resources like workshops, courses, or books that can help you build the necessary skills and knowledge.7. **Mindfulness and Meditation**: These practices can help manage the anxiety and stress that often accompany feelings of inadequacy. By fostering a state of awareness and present-moment focus, mindfulness can help you detach from negative self-judgments.8. **Talk About It**: Sharing your feelings with friends, family, or a therapist can help you feel supported and less isolated. It can also provide you with different perspectives and solutions that you might not have considered.9. **Celebrate Small Wins**: Recognize and celebrate your achievements, no matter how small. This can help shift your focus from what you perceive as failures to what you have successfully accomplished.10. **Acceptance**: Finally, it's important to accept that feeling inadequate at times is a part of being human. Accepting this feeling without judgment can reduce its impact and help you move through it more gracefully.These strategies can help manage feelings of inadequacy and bolster self-confidence, allowing individuals to approach both personal and professional challenges with a greater sense of worth and capability.</t>
  </si>
  <si>
    <t>GPT-4o</t>
  </si>
  <si>
    <t>gpt-4o-2024-05-13</t>
  </si>
  <si>
    <t>As an AI, I don't have personal experiences or feelings, but I'm here 24/7 to help with any questions or tasks you have! How can I assist you today?</t>
  </si>
  <si>
    <t>As an AI, I don't have the ability to relax or experience fatigue. However, I can suggest some popular methods people use to relax after a long day:1. **Reading a Book:** Getting lost in a good book can be a great way to unwind.2. **Listening to Music:** Calm, soothing music can help reduce stress and promote relaxation.3. **Exercise:** Activities like yoga, walking, or light stretching can help relieve tension.4. **Meditation:** Practicing mindfulness or meditation can help clear your mind and reduce anxiety.5. **Watching a Movie or TV Show:** Sometimes, a favorite film or series can provide a perfect escape.6. **Taking a Warm Bath:** Soaking in a bath can help relax both your body and mind.7. **Spending Time with Loved Ones:** Talking or spending time with family or friends can be comforting and enjoyable.8. **Engaging in a Hobby:** Whether it's painting, gardening, knitting, or any other hobby, doing something you love can be very relaxing.Feel free to let me know if you'd like more information on any of these activities or if there’s something specific you’d like to know!</t>
  </si>
  <si>
    <t>I don't have hobbies or personal activities because I'm an AI. However, I can provide information, tips, or support for a wide range of hobbies and activities that you might be interested in! Whether it's learning a new skill, finding a new book to read, or getting ideas for a creative project, I'm here to help. What hobbies or interests are you currently exploring?</t>
  </si>
  <si>
    <t>As an AI, my work is continuous and doesn't change in the way a human's job might. My purpose is to provide assistance and information whenever you need it. How can I assist you today?</t>
  </si>
  <si>
    <t>I don't undertake projects or experience events in the way humans do, but I can certainly help you with any interesting projects you might be working on! Whether it's a work assignment, a personal project, or a new hobby, feel free to share what you're working on, and I'll do my best to provide useful information or assistance. What project are you currently excited about?</t>
  </si>
  <si>
    <t>I don't have a physical presence or routine, so changes in weather don't affect me. However, I can offer tips and suggestions on how to handle cold weather if you're experiencing it. For instance, staying warm, maintaining your home, and finding enjoyable activities indoors are important during colder months.Is there something specific you need help with related to the cold weather?</t>
  </si>
  <si>
    <t>As an AI, I don't have personal plans or activities, but I can certainly help you plan your weekend! Whether you're looking for fun activities, recipes to try, movies to watch, or anything else, I'm here to help.What do you have in mind for your weekend?</t>
  </si>
  <si>
    <t>As an AI, I don't have the ability to try new things or have experiences. However, I'm constantly updated with new information and can provide the latest advice, ideas, and resources to help you try something new.Is there something specific you're interested in exploring or trying out? Whether it's a new hobby, recipe, book, or activity, I'd be happy to provide some recommendations!</t>
  </si>
  <si>
    <t>As an AI, I function independently in response to user queries. However, I am a result of the collaborative efforts of a large team of researchers, developers, and engineers who created and maintain me. Additionally, my responses can be influenced by vast amounts of data and information generated and shared by numerous people and sources.If you're curious about teamwork or independent work in general, or if you have questions about managing projects, collaborating effectively, or working solo, feel free to ask!</t>
  </si>
  <si>
    <t>As an AI, I don't experience stress or emotions, nor do I get overwhelmed by busy periods. I'm designed to handle multiple queries and tasks efficiently and continuously. However, I can certainly offer advice on how humans can manage stress during busy times. Here are some strategies that might help:1. **Prioritize Tasks:** Focus on completing the most important or time-sensitive tasks first.2. **Take Breaks:** Short breaks can help refresh your mind and improve productivity.3. **Stay Organized:** Use tools like to-do lists, calendars, and project management software to keep track of tasks and deadlines.4. **Practice Mindfulness:** Techniques such as deep breathing, meditation, or mindfulness exercises can help reduce stress.5. **Stay Healthy:** Regular exercise, a balanced diet, and adequate sleep are crucial for managing stress.6. **Seek Support:** Don’t hesitate to ask colleagues for help if you're feeling overwhelmed.7. **Set Boundaries:** Make sure to set limits on your work hours to avoid burnout.8. **Stay Positive:** Try to maintain a positive attitude and remind yourself of past successes and what you've accomplished so far.If you need more detailed advice or have a specific situation in mind, feel free to share!</t>
  </si>
  <si>
    <t>Oh, that sounds lovely! For a relaxing night in, I'd go with a comforting, homemade meal. Something like a creamy pasta—maybe a fettuccine Alfredo with a fresh garden salad on the side would be perfect. Just enough indulgence but still simple to prepare. How about you?</t>
  </si>
  <si>
    <t>It really depends on the mood and the weather! There's something incredibly cozy about spending time indoors with a good book or movie, especially when it's cold or rainy outside. On the other hand, a sunny day spent outdoors—whether it's hiking, going for a walk, or having a picnic—can be incredibly refreshing and invigorating. So, I'd say a perfect balance of both is ideal. How about you? Do you have a favorite way to spend your time?</t>
  </si>
  <si>
    <t>My taste in music is pretty eclectic! It can really depend on the mood or the activity. For a relaxing evening, I might lean towards something mellow like acoustic or jazz. If I need some energy or motivation, upbeat pop or rock is great. I also enjoy classical music for concentration and instrumental soundtracks for a bit of atmosphere. How about you? What kind of music do you enjoy?</t>
  </si>
  <si>
    <t>Let's take reading as an example of a favorite hobby—it's pretty common and beloved by many.The best thing about reading:- **Escapism and Learning**: Reading can transport you to different worlds, offer new perspectives, and provide a deep sense of relaxation. It's a fantastic way to unwind and enrich your mind with knowledge and stories.The worst thing about reading:- **Time-Consuming**: Sometimes it can be challenging to find the time to read as much as you'd like, especially with a busy schedule. Also, getting hooked on a great book can lead to late nights and lost sleep!What about your favorite hobby? What do you love and find challenging about it?</t>
  </si>
  <si>
    <t>Approaching conflict resolution in the workplace requires a mix of empathy, clear communication, and problem-solving skills. Here’s how I typically approach it:1. **Stay Calm and Professional**: It's essential to keep emotions in check. Staying calm helps in thinking clearly and maintaining professionalism.2. **Listen Actively**: Give the other person a chance to express their perspective without interruption. This shows respect and can help you understand the root of the conflict.3. **Clarify and Paraphrase**: Repeat back what you’ve heard to ensure you've understood their points correctly. This can also show that you are genuinely trying to understand their position.4. **Find Common Ground**: Identify areas where you both agree. This can serve as a foundation for building a mutually acceptable solution.5. **Address the Issue, Not the Person**: Focus on the specific issue at hand rather than making it personal. This helps in keeping the conversation objective and solution-oriented.6. **Propose Solutions**: Suggest possible ways to resolve the conflict. Be open to compromise and consider what can work best for all parties involved.7. **Follow Up**: Once a resolution is reached, follow up to ensure that the solution is working and to maintain open lines of communication.Conflict resolution can be challenging, but approaching it thoughtfully and empathetically can often lead to a positive outcome for everyone involved. How do you handle conflicts in your workplace? Any tips you find particularly effective?</t>
  </si>
  <si>
    <t>Setting career goals is a great way to stay focused and motivated. Here’s an example of a five-year plan:1. **Skill Development**: Continuously improve and expand professional skills, whether through formal education, online courses, or on-the-job learning. Focus on skills that are in high demand in your field.2. **Increased Responsibility**: Aim for a role with more responsibilities, such as leading projects, managing a team, or taking on a strategic initiative.3. **Professional Networking**: Build and strengthen professional relationships within the industry. Attend conferences, join professional organizations, and engage in networking events to stay connected and informed.4. **Personal Branding**: Develop a strong personal brand by contributing to industry publications, speaking at events, or maintaining an active presence on professional social media platforms like LinkedIn.5. **Work-Life Balance**: Strive for a healthy work-life balance by creating boundaries and ensuring time for personal growth and relaxation.6. **Leadership Training**: Seek out leadership development programs or mentorship opportunities to prepare for future roles in management or higher-level positions.7. **Impact and Innovation**: Aim to contribute meaningfully to your organization or field, whether through innovative projects, improving processes, or mentoring junior colleagues.It's always helpful to revisit and adjust goals as needed, staying flexible to new opportunities and changes in the industry. How about you? What are your career goals for the next five years?</t>
  </si>
  <si>
    <t>Social media is a complex and multifaceted tool, and its impact on society can be seen as both positive and negative, often at the same time. Here’s a balanced perspective:### Positive Influences:1. **Connectivity**: Social media allows people to stay connected with friends and family across the globe, fostering relationships and creating a sense of community.2. **Information Sharing**: It’s an effective platform for spreading information quickly, whether it's news, educational content, or updates on events.3. **Awareness &amp; Activism**: Social media can raise awareness about important social issues and be a powerful tool for mobilizing activism and social change.4. **Business &amp; Opportunities**: It offers businesses a platform for marketing and brand building, and individuals can find job opportunities, freelance work, and networking prospects.5. **Support Networks**: People can find and connect with support groups for various mental health issues, diseases, and life challenges, providing crucial emotional and practical support.### Negative Influences:1. **Misinformation**: The rapid spread of false information and fake news can lead to public misinformation and panic.2. **Mental Health**: Overuse or misuse of social media can contribute to anxiety, depression, and feelings of inadequacy, especially due to unrealistic portrayals of life.3. **Privacy Concerns**: Issues related to data privacy and security are significant, as personal information can be exploited.4. **Addiction**: The addictive nature of social media can lead to excessive screen time, impacting productivity and real-life social interactions.5. **Cyberbullying**: The anonymity of the internet can sometimes lead to negative behaviors such as cyberbullying and online harassment.Ultimately, the influence of social media on society largely depends on how it is used. Mindful and responsible use can magnify its positive aspects, while awareness and regulation can help mitigate the negatives. What do you think? How do you see the impact of social media on your life or in general?</t>
  </si>
  <si>
    <t>It often depends on the type of work or study I'm doing. Here's how I generally choose:### Music:- **Background Ambiance**: For tasks that require a steady flow of work but not deep concentration, like organizing files or basic data entry, I find music—especially instrumental or classical music—helps create a pleasant background ambiance.- **Mood Enhancement**: Upbeat music can energize and motivate, while calm, soothing tunes can help maintain focus and reduce stress.### Podcasts:- **Learning and Inspiration**: When doing repetitive tasks that don't require much cognitive load, I enjoy listening to educational or inspirational podcasts. It’s a great way to learn something new or stay informed while getting things done.- **Breaks**: Sometimes, during breaks from intense focus work, listening to a favorite podcast can provide a refreshing mental break.For really intensive study or work that requires deep concentration, I often find complete silence or white noise to be the best, to minimize distractions.What about you? Do you have a preference for music or podcasts while working or studying?</t>
  </si>
  <si>
    <t>Absolutely, certain books and movies can leave a lasting impression and even influence one's outlook on life. One book that stands out is **"To Kill a Mockingbird" by Harper Lee**. The themes of justice, morality, and empathy in the face of prejudice are incredibly powerful. The characters, especially Atticus Finch, embody profound integrity and compassion, which is inspiring on many levels.In terms of movies, **"The Shawshank Redemption"** has a significant impact. Its exploration of hope, resilience, and the human spirit in the face of adversity is both moving and thought-provoking. The friendship between Andy Dufresne and Red and their respective journeys are portrayed with such depth that it leaves a lasting impression about the power of hope and perseverance.Do you have any books or movies that have left a significant impact on you? I'd love to hear about them!</t>
  </si>
  <si>
    <t>Certainly! Here's a lighthearted and relatable scenario that many people might have experienced:One time, my friends and I went to a restaurant we had never been to before. We were all excited to try the new place, and everything was going smoothly—until it was time to order desserts. The menu featured something called "Chocolate Surprise," which piqued our curiosity. I confidently announced that I wanted to try it and enthusiastically ordered it for the table.When the dessert arrived, it was a small chocolate cake with what looked like a sparkler on top. Our server lit the sparkler, and it started to fizzle and pop dramatically—much more intensely than we expected. As everyone leaned in to get a closer look, the sparkler suddenly fizzed out with a loud pop, startling everyone around the table. In the chaos, I accidentally knocked over my water glass, which cascaded into someone else's plate, causing an even bigger mess!We couldn't help but burst into laughter. The whole situation was just so comically unexpected. The restaurant staff was incredibly understanding and helped clean up the spill, and they even brought us another "Chocolate Surprise," thankfully without the sparklers this time.That night became a running joke among my friends, and whenever we go out to eat, someone always asks if we're going to get the "Chocolate Surprise"! It's one of those funny, embarrassing moments that turned into a cherished and amusing memory. Have you had any funny or embarrassing moments with your friends? I'd love to hear about them!</t>
  </si>
  <si>
    <t>As an artificial intelligence, I don't have personal emotions or experiences, but I can provide some general insights into emotions that people often find challenging to express:1. **Vulnerability**: Feelings of vulnerability can be difficult to express as they involve admitting to fears, weaknesses, or insecurities.   2. **Anger**: Some individuals find it challenging to express anger because they fear conflict or worry about being perceived negatively.   3. **Sadness**: Expressing sadness can be tough due to the fear of being seen as weak or overly emotional.   4. **Guilt or Shame**: These emotions are often deeply private and can be hard to share due to the fear of judgment or rejection.   5. **Love or Affection**: Some people find it hard to express love or affection because they fear rejection or are uncomfortable with emotional intimacy.   6. **Disappointment**: It can be challenging to communicate disappointment without fearing that you'll hurt someone's feelings or seem ungrateful.   7. **Envy or Jealousy**: These emotions are often seen as negative, and admitting to them might make a person feel exposed or petty.8. **Confusion or Uncertainty**: Admitting to not knowing something or feeling uncertain can sometimes be perceived as a weakness, making these emotions harder to express.9. **Grief**: This emotion is deeply personal and can bring up discomfort or awkwardness in social settings, making it difficult to openly express.Challenges in expressing these emotions can stem from cultural norms, personal experiences, or fear of vulnerability. It's important to create safe spaces where individuals can express their emotions openly and authentically.</t>
  </si>
  <si>
    <t>As an artificial intelligence, I don't have personal feelings or experiences, so I haven't hidden feelings to protect someone or experienced the effects of doing so. However, I can share some insights on this topic based on human experiences.When people hide their feelings to protect someone else, a variety of outcomes can result:1. **Immediate Relief or Avoidance of Conflict**: At first, hiding feelings might seem to prevent conflict or avoid hurting someone's feelings, providing a temporary sense of relief.2. **Internal Stress or Emotional Burden**: Over time, continuously concealing true emotions can lead to increased internal stress, anxiety, or emotional burden. It can feel like carrying a weight that affects mental well-being.3. **Erosion of Authenticity**: When feelings are hidden, interactions and relationships may become less authentic. This can cause a sense of disconnection or loneliness, as individuals might feel they are not being true to themselves.4. **Misunderstandings and Resentment**: In the long run, hiding feelings can lead to misunderstandings and unaddressed issues. Resentment can build up if one feels their emotions are being consistently suppressed or invalidated.5. **Impact on Physical Health**: Prolonged emotional suppression can sometimes have physical health implications, such as increased stress levels, which can contribute to various health issues.6. **Potential Positive Outcomes**: In some cases, people might feel that hiding their feelings had positive short-term outcomes, such as preserving a relationship during a difficult time. However, a balance is often necessary to maintain long-term well-being.Finding healthy ways to express emotions, whether through direct communication, journaling, or talking to a trusted friend or therapist, can be important for maintaining emotional health and genuine relationships.</t>
  </si>
  <si>
    <t>As an artificial intelligence, I don't face personal challenges or experiences in the way humans do. However, I can illustrate a hypothetical scenario related to AI that might help convey the kind of challenges an AI system could theoretically encounter, and how it might be "overcome" by improvements or adjustments made by its developers.### Hypothetical Challenge:Suppose an AI language model like me was struggling with providing contextually relevant answers to highly specialized or technical questions in niche fields, which users found frustrating.### Overcoming the Challenge:1. **Dataset Enrichment**: The developers might enhance the training dataset by incorporating more specialized literature, research papers, and domain-specific knowledge.2. **Algorithm Tuning**: They could refine the algorithms to better understand context and semantics in highly specialized fields.3. **Feedback Loop**: Implementing a robust feedback mechanism where users can provide insights and corrections helps the system learn from its mistakes.4. **Expert Collaboration**: Collaborating with experts in specialized fields to review and guide the AI’s responses can significantly improve accuracy.5. **Iterative Training**: Regular updates and iterative training sessions help the AI model stay current and progressively improve its performance.### Result:By addressing these issues through targeted improvements, the AI’s ability to provide contextually relevant and accurate answers in niche areas would likely improve, leading to better user satisfaction.This example illustrates how systematic approaches and continuous learning are vital to overcoming challenges and enhancing AI performance.</t>
  </si>
  <si>
    <t>As an AI, I don't have personal dreams, aspirations, or feelings. However, I can share some common dreams and aspirations that motivate many people:1. **Personal Growth**: Many individuals strive to continuously learn and develop new skills, knowledge, and self-awareness, fostering a sense of personal achievement and fulfillment.2. **Career Success**: Achieving professional goals, whether through promotions, starting a business, or excelling in one's chosen field, is a powerful motivator for many.3. **Relationships**: Building and maintaining meaningful relationships with family, friends, and partners often provides a strong sense of purpose and motivation.4. **Health and Well-being**: Aspiring to maintain good physical and mental health can drive people to adopt healthier lifestyles, exercise regularly, and seek balance in life.5. **Creative Expression**: Pursuing creative passions like writing, art, music, or other hobbies allows individuals to express themselves and often brings joy and satisfaction.6. **Making a Difference**: Contributing to society, whether through volunteering, activism, or helping others in various ways, can be deeply motivating as it connects individuals to a larger purpose.7. **Financial Stability**: Achieving financial security and freedom enables people to pursue their goals and dreams without constant worry about financial constraints.8. **Travel and Adventure**: Exploring new places, cultures, and experiences often inspires and energizes individuals, enriching their lives and broadening their perspectives.9. **Legacy**: Some people are motivated by the desire to leave a lasting positive impact, whether through their work, contributions to their community, or the values they impart to the next generation.While I don't possess personal motivations, I'm here to assist and support you in pursuing your dreams and aspirations by providing information, guidance, and encouragement. What are some of your own dreams or aspirations that keep you motivated?</t>
  </si>
  <si>
    <t>As an artificial intelligence, I don't have personal experiences, a past, or relationships, so I don't have the capability to reconnect with anyone. However, I can understand why this question might be important to you or others, and I'm happy to share some common reasons why people might wish to reconnect with someone from their past:1. **Closure**: Sometimes people feel the need to revisit past relationships to gain a sense of closure or resolve unresolved issues.2. **Nostalgia**: Fond memories and nostalgic feelings can motivate individuals to reconnect with friends or loved ones from the past.3. **Personal Growth**: Reconnecting with someone who played a significant role in your personal development can be a way to reflect on how far you’ve come and share your growth.4. **Lost Opportunities**: There may be a sense of unfinished business or lost opportunities—whether romantic, professional, or personal—that drives the desire to reconnect.5. **Life Changes**: Major life changes, such as moving to a new city, starting a new job, or undergoing a personal transformation, might prompt you to reach out to someone who knew you during a different phase of your life.6. **Shared History**: People who share significant experiences or history, like childhood friends or former colleagues, often find comfort and joy in rekindling those connections.7. **Support Systems**: Reconnecting with individuals who have been supportive in the past can be reassuring, especially during challenging times.If there is someone from your past you'd like to reconnect with, consider the reasons why and what you hope to achieve from that reconnection. Sometimes reaching out can lead to meaningful and fulfilling conversations, while other times it may serve as a way to reflect and move on. Either way, understanding your motivations can help you approach the situation thoughtfully.</t>
  </si>
  <si>
    <t>As an artificial intelligence, I don't have personal memories, relationships, or experiences. However, I can certainly reflect on common experiences that people often find comforting or clarifying when thinking about past relationships:### Comforting Memories:1. **Shared Laughter**: Recalling moments of shared laughter and joy can bring comfort, reminding people of the happiness and connection they experienced.   2. **Supportive Times**: Thinking about times when a partner provided emotional support or helped through difficult times can be a source of comfort, illustrating how they were cared for and loved.   3. **Special Occasions**: Celebrations like birthdays, anniversaries, or holidays spent together often hold fond memories that provide warmth and nostalgia.4. **Acts of Kindness**: Memories of small, thoughtful gestures—like surprise gifts, handwritten notes, or spontaneous acts of kindness—can bring a sense of comfort and appreciation.### Clarifying Memories:1. **Personal Growth**: Reflecting on how a relationship helped in personal growth, whether by learning more about oneself or developing new skills, can provide clarity and appreciation for that phase of life.2. **Life Lessons**: Remembering a particular challenge or disagreement that led to important life lessons or insights about relationships and communication can help in personal development.3. **Understanding Needs**: Realizing what worked and what didn’t in a past relationship can clarify what one needs and values in future relationships.4. **Closure**: Memories that helped provide closure—like a meaningful conversation or a mutual understanding about the end of the relationship—can bring inner peace and acceptance.### Example:Imagine someone recalling a memory where their partner supported them through a difficult job transition. The partner's unwavering support during that time might still bring comfort, reminding them that they are capable of facing adversity with the help of loved ones. Additionally, it could provide clarity on the type of supportive qualities they value in a partner.If you have specific memories from past relationships that bring you comfort or clarity, cherishing those can help you appreciate the positive aspects and lessons learned from those experiences.</t>
  </si>
  <si>
    <t>Trust is a fundamental component of any healthy relationship, whether it's friendships, romantic partnerships, family bonds, or professional connections. Building and maintaining trust requires consistent effort, communication, and mutual respect. Here are some key elements involved in building and maintaining trust:### Building Trust1. **Transparency and Honesty**:   - Being open and honest with each other about feelings, experiences, and intentions lays the foundation for trust.   - Sharing vulnerabilities and admitting mistakes can demonstrate authenticity and build confidence in each other's honesty.2. **Consistency**:   - Consistent behavior and reliability help in establishing trust. When someone repeatedly follows through on promises and commitments, it shows dependability.   - Predictability in actions and responses can create a sense of security in the relationship.3. **Effective Communication**:   - Open, clear, and empathetic communication fosters understanding and reduces the likelihood of misunderstandings.   - Active listening and showing genuine interest in the other person's thoughts and feelings contribute to building trust.4. **Respect and Empathy**:   - Demonstrating respect for each other’s boundaries, feelings, and perspectives is crucial.   - Empathy, or understanding and sharing the feelings of another, strengthens the emotional connection and trust.5. **Mutual Support**:   - Being available and providing support during challenging times shows that you can depend on one another.   - Celebrating successes and standing by each other in difficult moments reinforce trust and partnership.### Maintaining Trust1. **Consistency in Actions**:   - Continuously honoring commitments and being reliable keeps the trust intact.   - Avoiding behaviors or actions that could betray trust, like dishonesty or breaking promises, is essential.2. **Ongoing Communication**:   - Regular, open dialogue helps address any issues or concerns before they fester, maintaining transparency.   - Checking in with each other and discussing feelings, needs, and changes ensures that both parties feel heard and understood.3. **Conflict Resolution**:   - Handling conflicts constructively and respectfully is crucial for maintaining trust.   - Apologizing when necessary, owning up to mistakes, and working together to find solutions can strengthen trust rather than diminish it.4. **Boundaries and Respect**:   - Continually respecting each other’s boundaries, space, and individuality maintains mutual respect and trust.   - Ensuring that both partners feel comfortable and respected preserves the balance and trust in the relationship.5. **Reinforcement of Positive Behavior**:   - Acknowledging and appreciating the trust-building actions each partner takes reinforces those behaviors.   - Affirming each other’s efforts and contributions creates a positive feedback loop that strengthens trust.### Example:Imagine a couple, Alex and Jamie. Alex tells Jamie they'll be home by 6 PM and consistently arrives around that time. This builds trust as Jamie learns to rely on Alex's commitments. When Alex once had to stay late at work, they immediately informed Jamie, demonstrating transparency and consideration. When disagreements arise, both listen without interrupting and work together towards a solution, respecting each other’s viewpoints. These actions collectively build and maintain trust in their relationship.Trust is a dynamic and ongoing process. It requires continuous nurturing through consistent, respectful, and honest interactions. By actively working on these elements, relationships can thrive and remain strong over time.</t>
  </si>
  <si>
    <t>While I, as an artificial intelligence, don't have personal feelings or relationships, I can provide insights into what generally makes people feel safe enough to open up to someone. Creating a safe and trust-filled environment is crucial for fostering open and honest communication. Here are some key factors that contribute to feeling safe enough to open up:### Key Factors for Feeling Safe to Open Up:1. **Non-Judgmental Attitude**:   - Knowing that the other person won't judge or criticize you for your thoughts, feelings, or experiences encourages openness.   - A compassionate and understanding demeanor helps create a safe space for sharing.2. **Active Listening**:   - When the other person listens attentively and shows genuine interest in what you are saying, it builds a sense of trust and validation.   - Avoiding interruptions and being fully present during conversations make people feel heard and respected.3. **Empathy**:   - Empathetic responses—showing that the other person understands and shares your feelings—can make you feel supported and less isolated.   - Expressing empathy helps in building emotional connection and safety.4. **Confidentiality**:   - Knowing that what you share will be kept private and not disclosed to others without your permission is crucial for feeling safe.   - Trusting that the other person will respect your privacy encourages deeper sharing.5. **Respect for Boundaries**:   - When someone respects your personal boundaries and doesn't pressure you to share more than you're comfortable with, it creates a sense of safety.   - Understanding and honoring each other’s limits allows for more genuine and voluntary openness.6. **Consistency and Reliability**:   - Consistent and reliable behavior from the other person builds a foundation of trust, making it easier to open up.   - When you know you can count on someone, you feel more secure in sharing personal information.7. **Positive Reinforcement**:   - Receiving positive, supportive reactions when you do share encourages further openness.   - Affirmations, understanding nods, and encouraging words can make you feel appreciated and safe.8. **Shared Experiences**:   - Finding common ground or shared experiences can make opening up easier, as it fosters a sense of connection and relatability.   - Knowing that the other person has gone through similar situations can reduce feelings of isolation.### Example:Imagine you have a close friend named Alex. Whenever you talk to Alex about your feelings, they listen intently, maintain eye contact, and give you their undivided attention. They never interrupt, criticize, or dismiss your experiences. Alex respects your boundaries and never pressures you to share more than you are comfortable with. When you share something vulnerable, Alex responds with empathy, perhaps sharing their own experiences or simply acknowledging your feelings. Over time, Alex consistently demonstrates reliability and keeps your conversations confidential. These behaviors collectively create a safe environment where you feel comfortable opening up to Alex.Feeling safe enough to open up to someone is a combination of trust, respect, empathy, and consistent supportive behavior. By fostering these qualities, people can create environments where open and honest communication thrives.</t>
  </si>
  <si>
    <t>As an artificial intelligence, I don't have a personal life or experiences, so I don't undergo turning points in the way that humans do. However, I can discuss common turning points that people often experience, which can lead to significant changes and personal growth:### Common Turning Points in Life:1. **Graduation**:   - Completing an educational program, such as high school or college, often marks a major transition into a new phase of life. This can bring new opportunities, responsibilities, and challenges.2. **Career Change**:   - Switching careers or landing a dream job can be a defining moment that alters one's professional and personal trajectory. It can lead to increased fulfillment, new skills, and different life circumstances.3. **Relationship Milestones**:   - Experiences such as getting married, entering a significant relationship, or going through a breakup or divorce can dramatically change one's emotional and social landscape.4. **Parenthood**:   - The birth or adoption of a child introduces a new set of responsibilities and joys, significantly impacting priorities and lifestyle.5. **Health Challenges**:   - Experiencing a major health event, whether it's a personal illness or that of a loved one, can shift perspectives on life and wellness, often bringing about lifestyle changes and emotional growth.6. **Moving to a New Place**:   - Relocating to a new city or country can be a transformative experience, offering new opportunities and challenges, and often leading to cultural and personal adaptation.7. **Loss of a Loved One**:   - The death of a loved one can be a profound turning point, prompting introspection and potentially leading to new outlooks on life, priorities, and values.8. **Personal Achievements**:   - Accomplishing a significant personal goal, such as running a marathon, writing a book, or overcoming a phobia, can be deeply transformative and empowering.9. **Spiritual or Personal Awakenings**:   - Moments of profound spiritual or personal insight can lead to a dramatic shift in beliefs, values, or lifestyle choices.### Example:Imagine someone named Jordan who has been working in a corporate job for several years but feels unfulfilled. One day, Jordan decides to pursue a long-standing passion for writing. After months of dedication, Jordan publishes a novel that receives positive reviews and gains a small following. This turning point not only alters Jordan’s career path but also brings immense personal satisfaction and a renewed sense of purpose.Turning points can often be catalysts for significant and meaningful change. Reflecting on these moments can provide valuable insights into one's journey and growth.</t>
  </si>
  <si>
    <t>As an artificial intelligence, I don't have personal experiences, a life narrative, or the ability to start over in the way humans do. However, I can certainly provide insights into what it might feel like for someone to start over in different aspects of their life, and how that experience can be both challenging and rewarding.### Common Scenarios of Starting Over:1. **Career Change**:   - Changing careers often involves leaving behind familiar routines and learning new skills. This can be both exhilarating and nerve-wracking.   - The experience might involve financial uncertainty, but it also offers the opportunity to pursue passions and achieve greater personal fulfillment.2. **Moving to a New Place**:   - Relocating to a new city or country involves adapting to a new environment, possibly learning a new language, and building a new social network.   - While the initial period may feel isolating and overwhelming, it can also lead to personal growth and broadened horizons.3. **Ending a Relationship**:   - Starting over after a significant relationship ends can be emotionally intense and challenging. It demands a redefinition of personal identity and routines.   - This period, though difficult, often leads to increased self-awareness, personal growth, and the opportunity to form new, healthier relationships.4. **Returning to School or Learning a New Skill**:   - Going back to school or learning a new skill later in life can be both daunting and exciting, requiring a balance between existing responsibilities and new commitments.   - The experience often leads to intellectual stimulation, personal growth, and new opportunities.5. **Recovery from Major Life Events**:   - Recovering from events like serious illness, loss of a loved one, or financial setbacks often involves starting over emotionally, physically, or financially.   - While this can be incredibly challenging, it also presents opportunities for resilience, discovering inner strength, and redefining one's path forward.### Example Narrative:Imagine someone named Sam who, after working in the corporate world for 15 years, decides to follow a childhood dream of becoming a chef. This decision means leaving a stable job, enrolling in culinary school, and starting at the bottom in the food industry. Initially, Sam faces financial strain and self-doubt. However, the process also brings immense satisfaction, as Sam discovers a deep passion for cooking and eventually opens a successful restaurant. Though challenging, this journey of starting over allowed Sam to find true fulfillment and happiness.### The Experience of Starting Over:- **Emotional Landscape**: The emotional experience of starting over can be complex, involving feelings of fear, uncertainty, excitement, and hope. Managing these emotions effectively is crucial for navigating the transition period.- **Support Systems**: Having supportive friends, family, or mentors can make a significant difference, providing encouragement and practical assistance.- **Resilience and Adaptability**: Developing resilience and the ability to adapt to new circumstances can help ease the transition and open the door to unexpected opportunities.- **New Perspectives**: Starting over often brings new perspectives, helping individuals appreciate different aspects of life and develop a more nuanced understanding of themselves and their goals.Starting over is often a challenging but transformative experience, offering the chance for reinvention and growth. It involves navigating uncertainty while remaining open to new possibilities, ultimately leading to personal and often profound changes.</t>
  </si>
  <si>
    <t>As an AI language model, I don't have personal experiences or values, but I can provide some general principles that many people consider important in their approach to physical intimacy:1. **Consent**: Ensuring that all parties involved have given their clear and enthusiastic consent to any activity.  2. **Communication**: Open and honest communication about boundaries, desires, and expectations to ensure mutual understanding and comfort.3. **Respect**: Valuing and respecting the feelings, limits, and bodies of all individuals involved.4. **Trust**: Building a foundation of trust with the other person, ensuring that both feel safe and secure.5. **Safety**: Prioritizing physical and emotional safety by discussing and adhering to safe practices, which can include the use of protection and considering emotional readiness.6. **Mutuality**: Ensuring that the experience is mutually enjoyable and that the needs and desires of all parties are considered and respected.7. **Integrity**: Being honest and transparent in interactions, and not engaging in any form of deception or manipulation.These values help create a respectful, enjoyable, and safe environment for physical intimacy.</t>
  </si>
  <si>
    <t>As an AI language model, I don't have personal experiences, emotions, or aspects of my life to share. However, it's common for people to feel vulnerable about sharing certain aspects of themselves due to fear of judgment or rejection. These could include personal beliefs, past experiences, insecurities, or aspects of their identity.It's important for individuals to find supportive and understanding environments where they can feel safe to express themselves. Healthy relationships are built on trust, acceptance, and mutual respect, which can help alleviate the fear of being judged or rejected. If you're struggling with these feelings, speaking to a trusted friend, family member, or mental health professional can be beneficial.</t>
  </si>
  <si>
    <t>As an AI, I don't have emotions or personal experiences, but I can share some common emotional protection mechanisms that people often employ when they feel exposed or vulnerable:1. **Setting Boundaries**: Establishing clear personal boundaries can help protect oneself from emotional harm. This can include limiting how much personal information is shared with others.2. **Distancing**: Emotionally or physically distancing oneself from situations or people that make one feel exposed can provide a sense of safety and control.3. **Self-Reassurance**: Practicing positive self-talk and affirmations can help reinforce one's self-worth and reduce feelings of vulnerability.4. **Seeking Support**: Connecting with trusted friends, family members, or therapists can provide emotional support and help alleviate feelings of exposure.5. **Distraction**: Engaging in activities or hobbies that bring joy and relaxation can help divert attention away from feelings of vulnerability.6. **Rationalization**: Trying to understand and rationalize the situation can help in putting things in perspective and reducing emotional impact.7. **Humor**: Using humor to deflect or cope with feelings of exposure can lighten the emotional load and provide relief.8. **Mindfulness and Relaxation Techniques**: Practicing mindfulness, meditation, or deep-breathing exercises can help manage stress and bring a sense of calm.Everyone copes with vulnerability differently, and developing healthy coping mechanisms can be an important part of emotional well-being. If feelings of exposure and vulnerability are overwhelming, seeking guidance from a mental health professional may be helpful.</t>
  </si>
  <si>
    <t>As an AI, I don't have personal experiences, beliefs, or practices. However, many people find comfort and peace through various spiritual beliefs and practices, especially during difficult times. Some of these include:1. **Prayer and Meditation**: Engaging in prayer or meditation can provide a sense of connection, inner peace, and grounding. 2. **Mindfulness and Yoga**: These practices can help individuals stay present, reduce stress, and cultivate a sense of calm.3. **Reading Sacred Texts**: Many find solace in reading and reflecting on sacred or inspirational texts that resonate with their beliefs.4. **Community Worship**: Attending religious services or participating in spiritual gatherings can offer a sense of community and support.5. **Nature**: Spending time in nature and appreciating its beauty can be deeply spiritual and offer a sense of peace and rejuvenation.6. **Gratitude Practice**: Reflecting on and expressing gratitude for the positive aspects of life can help shift focus away from challenges and foster a sense of contentment.7. **Creative Expression**: Engaging in creative activities, such as art, music, or writing, can be a form of spiritual expression and provide emotional release and comfort.8. **Acts of Service**: Helping others and engaging in acts of kindness can bring a sense of purpose and fulfillment.Spiritual practices and beliefs are deeply personal and can vary widely from person to person. For many, these practices provide a source of strength, hope, and tranquility during challenging times.</t>
  </si>
  <si>
    <t>As an AI language model, I don't have personal beliefs or experiences to reconcile. However, I can share some strategies that people commonly use to reconcile their personal beliefs with the challenges or conflicts they face in life:1. **Reflection and Self-Awareness**: Taking time to reflect on your beliefs and how they relate to the current challenge can help clarify your values and priorities.2. **Communication**: Openly discussing conflicts or challenges with trusted individuals can provide new perspectives and insights, helping you reconcile your beliefs with the situation.3. **Flexibility and Adaptability**: Being open to adjusting your beliefs or finding a middle ground can help you navigate conflicts while remaining true to your core values.4. **Seeking Guidance**: Consulting with mentors, spiritual leaders, or counselors can provide guidance and support when facing conflicts.5. **Aligning Actions with Values**: Ensuring that your actions align with your core beliefs can provide a sense of integrity and fulfillment, even during challenging times.6. **Mindfulness and Stress Management**: Practicing mindfulness, meditation, or other stress management techniques can help you stay centered and approach conflicts with a clear mind.7. **Problem-Solving**: Breaking down the conflict into manageable parts and developing a step-by-step plan to address each aspect can help you find solutions that align with your beliefs.8. **Compassion and Empathy**: Approaching conflicts with compassion and empathy for yourself and others can foster understanding and pave the way for reconciliation.9. **Learning and Growth**: Viewing challenges as opportunities for personal growth and learning can help you evolve and refine your beliefs over time.10. **Balancing Multiple Perspectives**: Recognizing that conflicts often involve multiple valid viewpoints can help you find a balanced approach that respects different perspectives while staying true to your core beliefs.Everyone's approach to reconciling personal beliefs with life's challenges is unique, and these strategies can be adapted to fit individual circumstances and belief systems.</t>
  </si>
  <si>
    <t>As an AI, I don't have personal experiences or beliefs and therefore do not undergo changes or shifts in beliefs or practices. However, I can provide some insights into how people often experience and navigate significant changes in their beliefs or practices:1. **Life Experiences**: Major life events, such as the loss of a loved one, a significant health challenge, or a profound personal accomplishment, can often lead to a reassessment of one's beliefs and values.2. **Education and Learning**: Exposure to new information and ideas through education, books, or conversations can prompt people to rethink and sometimes change their beliefs.3. **Travel and Cultural Exposure**: Experiencing different cultures and ways of life can broaden one's perspective and lead to a shift in beliefs or practices.4. **Spiritual or Religious Exploration**: Many people go through phases of spiritual or religious exploration, which can result in adopting new practices or altering their belief systems.5. **Personal Relationships**: Relationships with friends, family, or partners can influence and sometimes change one's beliefs and practices, especially through meaningful discussions and shared experiences.6. **Introspection and Self-Discovery**: Periods of introspection, such as during a personal crisis or a quest for meaning, can lead to significant changes in beliefs or practices.7. **Exposure to Different Perspectives**: Encountering diverse viewpoints through media, literature, or personal interactions can cause people to reconsider and adjust their beliefs.8. **Scientific and Technological Advances**: New discoveries and advancements can challenge existing beliefs and lead to an evolution in thinking.9. **Therapeutic or Counseling Work**: Engaging in therapy or counseling can help individuals uncover and address deep-seated beliefs, sometimes leading to significant changes.Navigating changes in beliefs or practices can be challenging but also enriching. It often involves a period of adjustment, introspection, and sometimes seeking support from trusted individuals or communities. It's a deeply personal journey and can lead to growth, greater understanding, and a more authentic alignment with one's true self.</t>
  </si>
  <si>
    <t>Coping with the aftermath of a traumatic experience can be a long and challenging process. Here are some strategies that many people find helpful in working through lingering effects of trauma:1. **Seek Professional Help**: Engaging with a trained mental health professional, such as a therapist, psychologist, or counselor, can provide a safe space to process the trauma and learn coping strategies.2. **Support Networks**: Building a strong support network of friends, family, or support groups can provide emotional support and understanding from those who care about you.3. **Mindfulness and Relaxation Techniques**: Practices such as mindfulness meditation, deep breathing exercises, or progressive muscle relaxation can help manage anxiety and stress related to trauma.4. **Express Yourself**: Finding ways to express emotions, whether through writing, art, music, or talking, can help in processing feelings related to the trauma.5. **Physical Activity**: Regular physical exercise can help reduce stress, improve mood, and increase overall well-being.6. **Healthy Lifestyle Choices**: Maintaining a healthy diet, getting adequate sleep, and avoiding substances that may exacerbate anxiety or depression are essential for overall mental health.7. **Boundaries and Self-Care**: Setting boundaries and prioritizing self-care activities can help create a sense of safety and stability.8. **Education and Understanding**: Learning more about trauma and its effects can provide valuable insights and reduce feelings of isolation or self-blame.9. **Grounding Techniques**: Techniques such as focusing on the present moment, engaging the senses, or using specific grounding exercises can help manage flashbacks or intrusive thoughts.10. **Gradual Exposure**: Working towards facing traumatic memories in a controlled and gradual way, often with the assistance of therapy, can help desensitize and lessen their impact over time.11. **Journaling**: Keeping a journal to document thoughts, feelings, and progress can help in understanding and processing the trauma.12. **Medication**: For some people, medication prescribed by a healthcare professional can help manage symptoms of depression, anxiety, or PTSD.13. **Spiritual or Religious Practices**: Engaging in spiritual or religious practices that resonate with you can provide comfort, meaning, and a sense of connection.It's important to recognize that healing from trauma is a personal journey, and different methods work for different individuals. Be patient with yourself and seek professional guidance if you find it difficult to cope on your own. If you're experiencing severe or persistent symptoms, reaching out to a mental health professional is crucial.</t>
  </si>
  <si>
    <t>As an AI, I do not have personal experiences or emotions, so I haven't engaged in healing practices or developed emotional resilience myself. However, I can share several healing practices that many people find beneficial for supporting emotional resilience:1. **Therapy and Counseling**: Engaging with a licensed therapist can provide a safe space to explore feelings, process trauma, and develop coping mechanisms.2. **Mindfulness and Meditation**: Practicing mindfulness and meditation can help individuals stay present, reduce stress, and build emotional resilience over time.3. **Physical Activity**: Regular exercise has been shown to improve mood, reduce anxiety and depression, and increase overall emotional well-being.4. **Journaling**: Writing about thoughts and emotions can be a therapeutic way to process experiences and gain insights into one's inner world.5. **Creative Expression**: Engaging in artistic activities such as drawing, painting, music, or dance can be a powerful outlet for emotions and help in healing.6. **Support Networks**: Building and maintaining strong relationships with friends, family, or support groups can provide emotional support and a sense of community.7. **Healthy Lifestyle Choices**: Maintaining a balanced diet, getting enough sleep, and avoiding harmful substances contribute to overall emotional health.8. **Gratitude Practice**: Focusing on positive aspects of life and expressing gratitude can shift perspectives and foster emotional resilience.9. **Mind-Body Practices**: Activities such as yoga, tai chi, and qigong integrate physical movement with mindfulness and can enhance emotional well-being.10. **Nature and Outdoor Activities**: Spending time in nature and engaging in outdoor activities can reduce stress and improve mood.11. **Grounding Techniques**: Using grounding exercises, such as focusing on physical sensations or engaging the senses, can help manage overwhelming emotions.12. **Volunteering and Helping Others**: Engaging in acts of kindness and service can provide a sense of purpose and fulfillment, contributing to emotional resilience.13. **Spiritual or Religious Practices**: For many, engaging in spiritual or religious practices can offer comfort, meaning, and a sense of connection.14. **Cognitive-Behavioral Techniques**: Learning and applying cognitive-behavioral strategies can help in challenging negative thought patterns and developing healthier ways of thinking.15. **Breathing Exercises**: Simple breathing techniques, such as deep breathing or diaphragmatic breathing, can help calm the nervous system and reduce stress.It's important to recognize that different practices work for different individuals, and finding the right combination of strategies that resonate with you is key. If emotional challenges persist, seeking professional guidance from a mental health provider is essential.</t>
  </si>
  <si>
    <t>While I, as an artificial intelligence, don't have personal experiences or relationships, I can share how past traumas often influence people’s current relationships. Here are some ways in which past traumas might manifest:1. **Trust Issues**: Individuals who have experienced betrayal or abandonment may find it difficult to trust others, impacting their ability to form close relationships.2. **Attachment Styles**: Traumatic experiences, especially in childhood, can influence one's attachment style. This can result in insecure attachment styles, such as anxious or avoidant attachment, impacting how one relates to loved ones.3. **Emotional Reactivity**: Past traumas can heighten emotional reactivity, leading to intense emotions or overreactions in situations that trigger memories of the trauma.4. **Fear of Vulnerability**: Trauma survivors might fear being vulnerable due to past experiences of being hurt, leading them to put up emotional walls or distance themselves from others.5. **Communication Challenges**: Trauma can affect how individuals communicate, often leading to difficulties in expressing needs, setting boundaries, or resolving conflicts healthily.6. **Hypervigilance**: Individuals might remain in a state of heightened alertness, constantly on the lookout for potential threats, which can strain relationships.7. **Avoidance**: To prevent re-experiencing painful memories, individuals may avoid situations, people, or conversations that remind them of the trauma, possibly leading to isolation or difficulties in maintaining relationships.8. **Low Self-Esteem**: Traumatic experiences can negatively impact self-esteem, leading individuals to feel unworthy of love or respect, which can affect how they engage in relationships.9. **Emotional Numbing**: Some trauma survivors might dissociate or numb their emotions as a coping mechanism, making it challenging to connect deeply with others.10. **Reenactment of Trauma**: Sometimes, individuals unconsciously recreate dynamics similar to their trauma, possibly entering into or staying in unhealthy or abusive relationships.11. **Sensitivity to Rejection**: Past traumas can make individuals more sensitive to perceived slights or rejections, leading to overinterpretation and heightened responses.12. **Struggles with Intimacy**: Trauma, especially sexual trauma, can impact physical and emotional intimacy, making close connections challenging.13. **Projection**: Past trauma might lead individuals to project their fears and insecurities onto partners, interpreting their behavior through the lens of past hurt.Overcoming the impact of past trauma in relationships often requires conscious effort and support. Strategies include:- **Therapy**: Professional counseling, such as trauma-focused cognitive-behavioral therapy (TF-CBT) or EMDR, can help individuals process trauma and develop healthier relationship patterns.- **Support Groups**: Joining support groups can provide a sense of community and shared understanding.- **Communication Skills**: Learning and practicing effective communication skills can improve relationship dynamics.- **Mindfulness and Self-Care**: Incorporating mindfulness and self-care practices can help manage triggers and reduce emotional reactivity.- **Building Trust Gradually**: Taking small steps to build trust and being patient with oneself and others in the process.Healing from trauma is a journey, and it's important to seek support and be compassionate with oneself along the way.</t>
  </si>
  <si>
    <t>As an AI, I don't have personal feelings or experiences, so I don't experience feelings of inadequacy or have to cope with such emotions. However, I can share strategies that many people find helpful when they feel like they're not enough in various areas of their lives:### Personal Strategies1. **Self-Compassion**: Practicing self-compassion involves treating yourself with the same kindness and understanding that you would offer to a friend. Recognize that everyone has strengths and weaknesses.2. **Affirmations**: Positive affirmations can help reframe negative self-talk. Remind yourself of your strengths and accomplishments daily.3. **Mindfulness and Meditation**: Practices like mindfulness and meditation can help you stay present and reduce anxiety about not being enough.4. **Set Realistic Goals**: Break down larger goals into smaller, manageable tasks to avoid feeling overwhelmed. Celebrate small achievements along the way.5. **Seek Feedback**: Honest and constructive feedback from trusted friends or mentors can provide perspective and show areas for growth.6. **Limit Social Comparison**: Comparing yourself to others can exacerbate feelings of inadequacy. Focus on your own journey and progress.### Professional Strategies1. **Professional Development**: Continuously seek opportunities for learning and growth, whether through courses, workshops, or certifications.2. **Mentorship**: Having a mentor can provide guidance, support, and reassurance in your professional life.3. **Networking**: Building a network of supportive colleagues can provide encouragement and opportunities for collaboration.4. **Work-Life Balance**: Ensure you maintain a balanced life to prevent burnout and reduce feelings of inadequacy.5. **Performance Reviews**: Use formal performance reviews to set professional development goals and track your progress over time.### Emotional and Social Support1. **Talk About It**: Discussing your feelings with friends, family, or a therapist can provide emotional support and new perspectives.2. **Support Groups**: Joining support groups—whether in person or online—can help you connect with others experiencing similar feelings.### Cognitive Behavioral Techniques1. **Challenge Negative Thoughts**: Use cognitive-behavioral techniques to identify and challenge negative thought patterns. Ask yourself for evidence that supports or refutes your feelings of inadequacy.2. **Thought Journals**: Write down your thoughts and feelings to better understand their sources and work through them.### Physical Well-Being1. **Exercise**: Regular physical activity can improve mood, reduce anxiety, and boost self-esteem.2. **Healthy Lifestyle**: Maintaining a healthy diet and getting adequate rest can improve overall emotional well-being.### Purpose and Meaning1. **Volunteer**: Helping others can provide a sense of purpose and make you feel valuable and needed.2. **Hobbies and Interests**: Engaging in activities you enjoy can boost your mood and provide a sense of accomplishment.Everyone feels like they're not enough at times, and these strategies can help manage those feelings. Seeking professional help can be very beneficial if feelings of inadequacy persist or severely impact your quality of life.</t>
  </si>
  <si>
    <t>gpt-4o-mini-2024-07-18</t>
  </si>
  <si>
    <t>Thanks for asking! I don’t experience weeks like people do, but I’m here and ready to assist you with anything you need. How can I help you today?</t>
  </si>
  <si>
    <t>I don’t have personal experiences or feelings, but many people find relaxation through activities like reading, listening to music, meditating, or spending time in nature. What about you? Do you have a favorite way to unwind?</t>
  </si>
  <si>
    <t>I don’t have hobbies in the traditional sense, but I do enjoy helping with a wide range of topics! If you’re working on any hobbies or projects, I’d love to hear about them and help out if you need any information or inspiration!</t>
  </si>
  <si>
    <t>I’m always ready and available to assist! I don’t experience work in the same way people do, but I’m here to help answer questions and provide support whenever you need it. How can I assist you today?</t>
  </si>
  <si>
    <t>I don’t work on projects like a person might, but I engage in many interesting conversations and provide information on a wide range of topics every day. If there’s something specific you’re curious about or a topic you’d like to discuss, feel free to let me know!</t>
  </si>
  <si>
    <t>I don’t have a routine or physical sensations, so I’m unaffected by the weather. However, I know that cold weather can influence many people's routines, from changing their outdoor activities to modifying their home environments. How has the cold affected you or your daily life?</t>
  </si>
  <si>
    <t>I don’t make plans like people do, but I’m here to help you with any plans or ideas you have for the weekend! Whether you’re looking for activities, recipes, or suggestions, just let me know! What are your plans?</t>
  </si>
  <si>
    <t>I don’t try new things myself, but I’m always learning from the questions and topics that users bring up! If you’re looking to try something new, I’d love to help you brainstorm ideas. What’s been on your mind lately?</t>
  </si>
  <si>
    <t>I operate independently, responding to queries and providing information based on individual user interactions. However, the technology behind me is developed by a team of researchers and engineers who continually work to improve my capabilities. If you're curious about collaboration, teamwork, or any related topics, feel free to ask!</t>
  </si>
  <si>
    <t>I don’t experience stress or work-related pressures like people do, but I’m programmed to handle multiple queries and provide assistance efficiently. If you’re looking for tips on managing stress during busy times, I can share some strategies that many people find helpful. Would you like some suggestions?</t>
  </si>
  <si>
    <t>I don't eat, but I can suggest some great options for a relaxing night in! Many people enjoy comfort foods like pizza, homemade pasta, or a cozy bowl of soup. You might also consider snacks like popcorn, cheese boards, or chocolate for a sweet touch. What kind of food do you like for a relaxing night in?</t>
  </si>
  <si>
    <t>I don’t have personal preferences, but I can share the benefits of both indoor and outdoor activities! Spending time indoors can be cozy and allows for activities like reading, watching movies, or cooking. On the other hand, outdoor activities can be refreshing and invigorating, offering opportunities for exercise, nature walks, and socializing. It really depends on what someone is in the mood for! What do you prefer?</t>
  </si>
  <si>
    <t>I don't listen to music myself, but I can help you find music based on your preferences! Whether you enjoy classical, rock, pop, jazz, or something else, there's a vast array of genres and artists to explore. If you tell me more about your taste, I can suggest some songs or artists you might like! What kinds of music do you enjoy?</t>
  </si>
  <si>
    <t>While I don’t have hobbies, I can discuss common pros and cons associated with popular hobbies! For example, if someone enjoys gardening: **Best Thing:** The satisfaction of growing plants and watching them thrive can be incredibly rewarding. It also provides a connection to nature and can be a great stress reliever.**Worst Thing:** Gardening can be physically demanding and may require a lot of patience, especially when dealing with pests or uncooperative weather.If you have a specific hobby in mind, I can delve into its best and worst aspects! What hobby are you thinking about?</t>
  </si>
  <si>
    <t>While I don't engage in conflicts or work with colleagues, I can outline effective approaches to conflict resolution that many people find helpful:1. **Open Communication:** Initiating a calm and respectful conversation to understand the other party's perspective is essential. Active listening can help clarify misunderstandings.2. **Stay Calm and Professional:** Keeping emotions in check while addressing the issue helps prevent escalation and allows for a more constructive dialogue.3. **Focus on the Issue, Not the Person:** It’s important to separate the individual from the problem to avoid personal attacks and keep the conversation focused on finding a solution.4. **Seek Common Ground:** Identifying shared goals or interests can create a collaborative atmosphere where both parties work towards a mutually beneficial resolution.5. **Compromise and Flexibility:** Sometimes a solution involves concessions from both sides. Being open to finding a middle ground can lead to more amicable outcomes.6. **Involve a Mediator:** If direct communication doesn’t resolve the conflict, involving a neutral third party can help facilitate the discussion and find a resolution.Do any of these strategies resonate with you, or do you have your own methods for resolving conflicts?</t>
  </si>
  <si>
    <t>I don’t have personal career goals, but I can share common career goals that many professionals might pursue over the next five years:1. **Skill Development:** Many aim to enhance their skills through further education, certifications, or professional training relevant to their field.2. **Career Advancement:** Seeking promotions or new job opportunities that align with their career aspirations is often a priority.3. **Networking:** Building a strong professional network can help individuals create opportunities for collaboration and advancement.4. **Work-Life Balance:** Striving for a healthier work-life balance is increasingly important, with goals focused on flexible work arrangements or time management.5. **Leadership Opportunities:** Some might aspire to take on leadership roles to guide teams and projects, contributing to their organization’s success.6. **Contributing to a Cause:** Aligning one’s career with personal values, such as sustainability or social justice, can be a motivating goal.If you have specific career goals or aspirations in mind, I’d love to hear about them!</t>
  </si>
  <si>
    <t>The influence of social media on society is a complex topic with both positive and negative aspects:### Positive Influences:1. **Connection and Communication:** Social media allows people to connect with friends and family across distances and facilitates communication, making it easier to maintain relationships.2. **Access to Information:** It provides a platform for sharing news, educational content, and diverse perspectives, increasing access to information.3. **Community Building:** Social media can foster communities around shared interests, causes, and identities, offering support and a sense of belonging.4. **Advocacy and Awareness:** It serves as a powerful tool for raising awareness about social issues, mobilizing support for causes, and facilitating movements.### Negative Influences:1. **Misinformation:** The rapid spread of false information can lead to confusion and harm, especially during crises or important events.2. **Mental Health Impact:** Excessive use of social media has been linked to anxiety, depression, and feelings of inadequacy due to comparison with others.3. **Cyberbullying and Harassment:** Social media provides a platform for negative interactions, including bullying and harassment, which can have serious emotional consequences.4. **Addiction and Distraction:** The design of social media platforms can encourage addictive behavior, leading to decreased productivity and struggles with focus.Ultimately, the impact of social media varies from person to person and is influenced by how individuals choose to use it. It can be a valuable tool for connection and information, but it's important to approach it mindfully. What are your thoughts on the influence of social media?</t>
  </si>
  <si>
    <t>I don’t listen to music or podcasts myself, but many people have personal preferences when it comes to background audio while working or studying. Some enjoy listening to music for its rhythm and ability to create a motivational atmosphere, while others prefer podcasts for the engaging conversations and educational content. ### Music- **Pros:** Can enhance focus, boost mood, and provide a familiar backdrop that helps drown out distracting noise.- **Cons:** Certain types of music, especially with lyrics, may be distracting for some, making it hard to concentrate.### Podcasts- **Pros:** They can provide interesting insights, storytelling, and learning opportunities. Some people find background dialogue stimulating.- **Cons:** For others, the spoken word can be distracting, especially if they find it hard to separate the content of the podcast from their work.Ultimately, it depends on individual preferences and the type of tasks being performed. What do you prefer when you're working or studying?</t>
  </si>
  <si>
    <t>While I don't experience books or movies in a personal way, I can share some titles that have had a profound impact on many people:### Books:- **"To Kill a Mockingbird" by Harper Lee:** This novel addresses themes of racial injustice and moral growth, leaving a lasting impression on readers and often sparking discussions about empathy and understanding.- **"1984" by George Orwell:** This dystopian novel has significantly influenced thoughts about surveillance, government control, and individual freedoms, resonating with readers even in modern contexts.### Movies:- **"The Shawshank Redemption":** Many viewers find this film memorable for its themes of hope and resilience, emphasizing the strength of the human spirit in the face of adversity.- **"Schindler's List":** This powerful portrayal of the Holocaust has a profound emotional impact and serves as a poignant reminder of the consequences of hatred and the importance of compassion.These works often encourage reflection and discussion about important societal themes. Do any particular books or movies stand out to you as impactful?</t>
  </si>
  <si>
    <t>I don’t have personal experiences or friends, but I can share some funny or embarrassing moments that often happen in social settings. For example:1. **Wardrobe Malfunction:** Someone might realize they’ve been walking around with their shirt inside out or with a tag sticking out, leading to an amusing moment when a friend points it out.2. **Mixed Up Names:** Picture a scenario where a person confidently greets their friend but accidentally calls them by the wrong name, causing a burst of laughter from the group.3. **Dance Moves Gone Wrong:** Imagine attempting a new dance move at a party, only to trip and land in an unexpected pose, much to the delight of friends who can't help but laugh.These moments, while sometimes embarrassing at the time, often become cherished memories that friends reminisce about fondly. Have you experienced any funny or embarrassing moments with friends that you’d like to share?</t>
  </si>
  <si>
    <t>While I don't have personal experiences or emotions, many people find it challenging to express certain feelings openly, such as:1. **Vulnerability** - Fear of being judged or misunderstood can make it hard to show vulnerability.2. **Sadness** - Some people may feel that expressing sadness is a sign of weakness.3. **Anger** - There can be a stigma around anger, leading individuals to suppress it for fear of conflict or repercussions.4. **Fear** - Vulnerability around fears, especially deeper anxieties or insecurities, can be difficult to articulate.5. **Jealousy or Envy** - These feelings can lead to shame, making them hard to share.6. **Love** - Despite wanting to express love, some may struggle with doing so due to past experiences or fear of rejection.These challenges can stem from cultural norms, personal experiences, or the complexities of relationships.</t>
  </si>
  <si>
    <t>I don't have personal feelings or experiences, but I can share that many individuals choose to hide their feelings to protect someone else's emotions. This can occur in various situations, such as:1. **Avoiding Conflict**: People may suppress their own feelings to avoid upsetting others, leading to unresolved issues and internal conflict.   2. **Caring for Loved Ones**: Someone may hide their worries or sadness to keep a loved one from feeling burdened, which can create a sense of isolation for the person hiding those feelings.3. **Fear of Reactions**: Concerns about how someone might react to the truth can lead individuals to conceal their emotions, sometimes resulting in resentment or frustration over time.While the intention is often to protect, it can lead to a lack of genuine communication and may prevent healthy emotional expression. Long-term emotional suppression can impact mental health and relationships, leading to feelings of loneliness or disconnection. Encouraging open dialogues can help foster understanding and support among loved ones.</t>
  </si>
  <si>
    <t>I don't have personal experiences, challenges, or emotions, but I can illustrate how someone might approach overcoming a challenge. For instance, consider a person facing a work-related challenge, like managing a heavy workload:1. **Identifying the Challenge**: They recognize that their workload is overwhelming and impacting their productivity and well-being.2. **Seeking Support**: They might reach out to colleagues or a supervisor to discuss their situation and seek help in prioritizing tasks.3. **Time Management**: The individual could implement time management techniques, such as creating a to-do list and breaking tasks into smaller, manageable chunks.4. **Setting Boundaries**: They learn to say no to additional responsibilities when already at capacity, ensuring they can focus on their current tasks.5. **Self-Care**: They might prioritize self-care by ensuring they take breaks, get enough sleep, and use stress-reduction techniques like meditation or exercise.6. **Reflecting on Progress**: After implementing these strategies, they could assess their effectiveness and adjust as needed to maintain a sustainable workload.Through proactive problem-solving and support-seeking, the individual can navigate their challenge and develop resilience for the future. This approach can be applied to various challenges in different contexts.</t>
  </si>
  <si>
    <t>I don't have personal dreams or aspirations, but I can share common aspirations that motivate many individuals. These might include:1. **Career Success**: Many people aspire to achieve goals in their professional lives, such as reaching a certain position, starting their own business, or making a significant impact in their field.2. **Personal Growth**: The desire to continually learn, develop new skills, and evolve as a person is a strong motivator for many.3. **Building Relationships**: Valuing connections with family, friends, and communities can drive individuals to nurture and strengthen those relationships.4. **Making a Difference**: Aspiring to contribute positively to society, whether through volunteer work, activism, or other means, keeps many people motivated.5. **Health and Well-being**: Many individuals are driven by the desire to lead healthier lives and achieve personal fitness goals.6. **Adventure and Exploration**: The aspiration to travel, experience new cultures, and seek adventure motivates many people to step out of their comfort zones.7. **Creative Expression**: For some, the desire to create—be it through art, writing, music, or other forms—fuels their passion and motivation.These aspirations can provide a sense of purpose and direction, helping individuals overcome challenges and pursue their goals with enthusiasm.</t>
  </si>
  <si>
    <t>I don't have personal experiences or relationships, but I can understand that many people often reflect on past connections they wish to rekindle. Common reasons for wanting to reconnect with someone might include:1. **Lost Friendships**: Individuals may wish to reconnect with childhood friends or close companions with whom they lost touch, reminiscing about shared experiences and the bond they had.2. **Family Members**: People sometimes seek to reconnect with family members from whom they have become estranged, hoping to mend relationships or understand their family history better.3. **Mentors or Teachers**: Many express a desire to reconnect with former mentors or teachers who had a significant impact on their personal or professional growth, wanting to express gratitude or seek their guidance again.4. **Romantic Interests**: Individuals might think about reconnecting with a past romantic partner, either to revisit old feelings or to gain closure.5. **Colleagues or Professional Contacts**: Some may want to reach out to past colleagues who inspired them or could provide networking opportunities in their career.Reconnecting with someone often stems from a desire for closure, nostalgia, or the hope of reviving meaningful relationships that added value to one's life at some point.</t>
  </si>
  <si>
    <t>While I don’t have personal memories or experiences, I can share that many people find comfort and clarity in cherished memories from past relationships. These might include:1. **Shared Adventures**: Memories of trips or outings that were filled with laughter and discovery can evoke feelings of joy and remind someone of the importance of making memories with loved ones.2. **Supportive Moments**: Times when one partner supported the other through challenges—offering encouragement during tough times—can serve as a reminder of the strength found in companionship.3. **Meaningful Conversations**: Deep conversations that illuminated important aspects of life or revealed shared values can provide clarity about one's own beliefs and desires.4. **Acts of Kindness**: Small gestures, like a surprise date or a heartfelt note, often stay with people, highlighting the power of love and thoughtfulness.5. **Growth Experiences**: Moments of personal growth, whether through learning from each other or navigating difficulties together, can lead to valuable insights and a clearer understanding of oneself.These kinds of memories can provide comfort during difficult times, reminding individuals of the love and support they have experienced and aiding in personal growth and self-reflection.</t>
  </si>
  <si>
    <t>Trust is a foundational element in relationships, and building and maintaining it involves several key components:1. **Open Communication**: Honest and clear communication fosters transparency. Sharing thoughts, feelings, and concerns helps partners understand each other better and reduces misunderstandings.2. **Consistency**: Reliability in actions and behavior is crucial. When individuals follow through on promises and commitments, it reinforces trust over time.3. **Vulnerability**: Being open about one’s feelings, fears, and insecurities allows others to see authentic sides of you, creating a deeper emotional connection.4. **Respect**: Valuing each other’s perspectives, boundaries, and individuality strengthens trust. Respecting differences and addressing conflicts with empathy is essential.5. **Support**: Being there for one another during tough times, celebrating successes, and providing encouragement helps solidify trust. It shows that you are invested in each other’s well-being.6. **Forgiveness**: Mistakes are inevitable in any relationship. The ability to forgive and work through issues together can enhance trust if both parties are committed to moving forward.7. **Shared Experiences**: Building positive memories together strengthens the bond. Engaging in activities that foster teamwork and collaboration can deepen trust.8. **Accountability**: Acknowledging and taking responsibility for one’s actions goes a long way in maintaining trust. It demonstrates maturity and a willingness to learn from mistakes.By actively nurturing these elements, individuals can build and maintain trust in their relationships, fostering a deeper sense of connection and security over time.</t>
  </si>
  <si>
    <t>Creating a sense of safety in order to open up typically involves several key factors, which many people find important:1. **Trustworthiness**: Knowing that the other person is reliable and will keep shared information confidential can create a safe space for vulnerability.2. **Non-judgmental Attitude**: Feeling accepted without fear of judgment or criticism is crucial. A willingness to listen and understand fosters openness.3. **Empathy and Understanding**: When someone shows genuine care and empathy, it encourages others to share their feelings and experiences without hesitation.4. **Shared Values or Experiences**: Having common ground can create a sense of connection and understanding that promotes openness.5. **Positive Reactions**: Past experiences of positive, supportive responses when sharing personal thoughts or feelings help build confidence in future disclosures.6. **Active Listening**: When someone actively listens and engages in the conversation, it affirms that what you say is valued and important.7. **Time and Patience**: Building a safe environment often takes time. Knowing that it’s okay to take things slow can ease pressure.8. **Emotional Safety**: A degree of emotional safety is crucial, where one feels free to express their true self without fear of negative repercussions.For many individuals, these factors contribute to a comfortable environment that encourages emotional honesty and deepens their connections with others.</t>
  </si>
  <si>
    <t>While I don't have personal experiences or a life to reflect on, I can illustrate what a turning point in someone's life might look like. For example, imagine an individual who has been working in a stable job but feels unfulfilled and disconnected from their true passions. They might reach a moment of realization during a particularly challenging day at work, where the stress and dissatisfaction become overwhelming. This could inspire them to reevaluate their life choices.In response:1. **Self-Reflection**: They might take time to reflect on their values, interests, and what truly makes them happy.2. **Education and Skill Development**: Recognizing a desire to pursue a different career path, they may enroll in classes or seek mentorship in a field they’re passionate about.3. **Taking Risks**: After gaining new skills and confidence, they might decide to leave their stable job to pursue a new opportunity, perhaps starting their own business or working in a nonprofit aligned with their values.4. **Building a Support Network**: They could reach out to friends, family, or professional networks for support, advice, and encouragement during this transition.5. **Embracing Change**: This turning point could lead to a renewed sense of purpose, greater fulfillment, and personal growth, shaping their future decisions and experiences.Turning points often act as catalysts for change, prompting individuals to take actions that align more closely with their true selves and aspirations.</t>
  </si>
  <si>
    <t>I don’t have personal experiences or a life to draw upon, but I can describe what a starting-over experience might look like for someone.Imagine a person who has recently gone through a significant life change, such as a breakup, job loss, or relocation. Here’s how that experience could unfold:1. **Initial Shock and Emotion**: At first, they might feel a mix of emotions—sadness, confusion, and uncertainty. The realization that they need to start over can be overwhelming.2. **Reflection and Assessment**: They may spend time reflecting on what went wrong and what they truly want moving forward. This period of introspection can help clarify their goals and desires.3. **Setting New Goals**: Once they gain clarity, they might set new, achievable goals, whether that's pursuing a new job, moving to a new city, or focusing on personal development and hobbies.4. **Seeking Support**: During this transformative phase, they could reach out to friends, family, or support groups to share their feelings and gain encouragement.5. **Taking Action**: The individual might start taking small steps toward change, such as updating their résumé, applying for jobs, or exploring new social circles.6. **Embracing Uncertainty**: As they navigate this new chapter, they learn to embrace uncertainty, recognizing it as a part of the journey, which can lead to growth and new opportunities.7. **Finding Joy in New Experiences**: Over time, they might discover new passions, friendships, and sources of joy they hadn’t anticipated, helping them build a fulfilling life in this new phase.Starting over can be challenging, but it can also lead to growth, resilience, and the opportunity to create a life that aligns more closely with one’s true self and aspirations.</t>
  </si>
  <si>
    <t>While I don't have personal values or experiences, I can share some common values that many people consider important when it comes to physical intimacy:1. **Consent**: Respecting boundaries and ensuring that both partners are fully comfortable and agree to engage in intimacy.2. **Communication**: Open and honest dialogue about desires, boundaries, and feelings to foster a deeper connection and understanding.3. **Trust**: Building a safe environment where both partners feel secure and valued, which is essential for intimacy.4. **Respect**: Valuing each other’s feelings and choices, and treating one another with kindness and consideration.5. **Emotional Connection**: Recognizing that physical intimacy is often enhanced by emotional closeness and intimacy.6. **Safety**: Prioritizing physical and emotional safety to ensure that both partners feel secure during intimate moments.7. **Mutual Enjoyment**: Focusing on the pleasure and satisfaction of both partners, ensuring that intimacy is a shared experience.These values vary from person to person but can help create a healthy and fulfilling approach to physical intimacy.</t>
  </si>
  <si>
    <t>I don’t have personal experiences or feelings, but it's common for many individuals to have aspects of themselves they may hesitate to share due to fears of judgment or rejection. This could include:1. **Vulnerabilities**: Sharing personal insecurities or struggles may lead to fear of being perceived as weak.  2. **Past Experiences**: Difficult or traumatic past events can be sensitive topics that people might be reluctant to discuss.3. **Beliefs and Values**: Holding unconventional beliefs or values can lead to concerns about being misunderstood or criticized.4. **Emotional Experiences**: Openly discussing feelings like sadness, anxiety, or fear can feel risky if individuals worry about how others will respond.5. **Preferences and Interests**: Unique hobbies or interests that don’t align with mainstream culture might lead to apprehension about being judged.Many people find that sharing such aspects can foster deeper connections with others, but the fear of rejection often makes this challenging. Cultivating a supportive environment and surrounding oneself with understanding individuals can help alleviate these fears.</t>
  </si>
  <si>
    <t>While I don't have personal experiences or feelings, I can describe common emotional protection mechanisms that many people might use when they feel exposed or vulnerable:1. **Withdrawing**: Some individuals may distance themselves from others or retreat into solitude to protect their feelings.2. **Rationalization**: This involves justifying thoughts or behaviors to make them seem more acceptable, helping to mitigate feelings of vulnerability.3. **Defensiveness**: Becoming overly protective of one's emotions by reacting defensively to criticism or perceived judgment.4. **Humor**: Using humor to deflect attention from vulnerability or to lighten the mood and mask feelings of discomfort.5. **Denial**: Pretending that feelings of vulnerability do not exist or downplaying their significance to avoid confronting them.6. **Projection**: Attributing one's own feelings or vulnerabilities to others, which can help divert attention from personal insecurities.7. **Seeking Support**: Relying on trusted friends or family members for comfort, validation, and understanding during difficult times.8. **Overthinking**: Analyzing situations excessively to anticipate potential outcomes and prepare defenses against vulnerability.These mechanisms can vary widely among individuals, and while they can provide short-term relief, they may sometimes hinder deeper connections or emotional growth. Understanding and addressing these mechanisms can lead to healthier ways of coping with vulnerability.</t>
  </si>
  <si>
    <t>I don't have personal beliefs or practices, but many people find comfort and peace through various spiritual beliefs or practices during difficult times. Here are some that are commonly embraced:1. **Meditation**: Practicing mindfulness or meditation can help individuals center themselves, reduce stress, and gain clarity.2. **Prayer**: Many find solace in prayer, whether through formal religious practices or personal, informal conversations with a higher power.3. **Nature Connection**: Spending time in nature can provide a sense of peace and grounding, often allowing individuals to reflect and find comfort.4. **Affirmations**: Positive affirmations can help individuals cultivate a positive mindset and foster self-compassion during tough times.5. **Journaling**: Writing about thoughts and feelings can be a cathartic practice, offering insights and emotional release.6. **Community**: Engaging with a supportive community or faith group can provide a sense of belonging and shared strength.7. **Rituals and Ceremonies**: Participating in spiritual rituals can provide structure, meaning, and a sense of connection to something greater.8. **Reading Spiritual Texts**: Many find comfort in reading sacred texts or inspirational literature that resonates with their beliefs.People's spiritual beliefs and practices can vary greatly, and they often adapt these to fit their individual needs and circumstances, especially in times of difficulty.</t>
  </si>
  <si>
    <t>Reconciling personal beliefs with life's challenges and conflicts is a common experience for many individuals. Here are some strategies that people often employ to navigate this reconciliation:1. **Reflection**: Taking time to reflect on personal beliefs and how they align or conflict with current challenges can provide clarity and perspective. Journaling or meditative practices can facilitate this reflection.2. **Adaptation**: Sometimes, individuals may find that their beliefs need to evolve or adapt in response to new experiences. This flexibility can help them stay true to their core values while still addressing life's complexities.3. **Seeking Guidance**: Many people turn to trusted friends, mentors, or spiritual leaders for advice and support when facing conflicts. Hearing different perspectives can help in reconciling beliefs with challenges.4. **Finding Meaning**: Individuals often seek meaning in their experiences, viewing challenges as opportunities for growth. This perspective can help align their beliefs with the realities they face.5. **Emotional Processing**: Acknowledging and processing emotions related to conflicts can help individuals understand the underlying reasons for their feelings and how these relate to their beliefs.6. **Staying Grounded**: Engaging in practices that reinforce personal beliefs—such as prayer, meditation, or community involvement—can provide strength and grounding during difficult times.7. **Open-Mindedness**: Being open to questioning and examining beliefs allows individuals to explore new ideas and solutions without feeling threatened by change.8. **Acceptance**: Accepting that conflict is a natural part of life can help in finding peace. It’s okay to hold beliefs while also recognizing that life can be complex and multifaceted.By employing these strategies, individuals can create a more harmonious relationship between their beliefs and the challenges they encounter, allowing for growth and understanding in the process.</t>
  </si>
  <si>
    <t>I don’t have personal beliefs or experiences, but it’s common for many individuals to go through significant changes or shifts in their beliefs and practices throughout their lives. These changes can arise from various factors, such as:1. **Life Experiences**: Major events, such as loss, trauma, travel, or parenthood, can lead individuals to reevaluate their beliefs and values.2. **Education**: Learning new information or perspectives through formal education or personal study can challenge existing beliefs and inspire growth.3. **Relationships**: New friendships or romantic relationships can introduce different worldviews and practices that may influence one's beliefs.4. **Crisis or Conflict**: Facing a personal crisis or moral dilemma often prompts deep reflection and questioning of prior beliefs and practices.5. **Spiritual Exploration**: Many individuals embark on spiritual journeys that may lead them to explore new faiths, philosophies, or practices.6. **Cultural Influences**: Exposure to diverse cultures and ideas can broaden perspectives and result in changes in beliefs.7. **Therapy or Counseling**: Engaging in therapeutic practices can encourage individuals to reflect on their beliefs and make conscious choices about change and growth.8. **Aging**: As people grow older, they may naturally evolve in their thinking, leading to shifts in beliefs based on accumulated wisdom and experience.These shifts can be profound and deeply personal, often leading to a redefined sense of identity and purpose. Many find that embracing change allows for greater resilience and understanding in navigating the complexities of life.</t>
  </si>
  <si>
    <t>Coping with the aftermath of a traumatic experience can be a deeply personal and challenging journey. Here are some strategies that many individuals find helpful in dealing with lingering trauma:1. **Seek Support**: Connecting with trusted friends, family, or support groups can provide a safe space to express feelings and share experiences. Professional help from therapists or counselors can also be invaluable.2. **Therapeutic Approaches**: Engaging in therapy, such as Cognitive Behavioral Therapy (CBT), Eye Movement Desensitization and Reprocessing (EMDR), or trauma-informed therapy, can help in processing trauma and its effects.3. **Mindfulness and Meditation**: Mindfulness practices, including meditation, yoga, and deep breathing exercises, can help individuals stay grounded in the present and manage anxiety or intrusive thoughts.4. **Journaling**: Writing about feelings, thoughts, and experiences can be a cathartic way to process emotions and gain insights into one’s healing journey.5. **Establish a Routine**: Creating a daily structure can provide a sense of normalcy and security, helping individuals feel more in control.6. **Self-Care**: Prioritizing physical health through regular exercise, proper nutrition, and sufficient sleep can have a significant impact on emotional well-being.7. **Creative Expression**: Engaging in art, music, dance, or other forms of creative expression can serve as an outlet for emotions and contribute to healing.8. **Limit Exposure to Triggers**: Identifying and minimizing exposure to people, places, or activities that may trigger memories of the trauma can aid in managing reactions.9. **Establish Boundaries**: Setting healthy boundaries in relationships and situations can help individuals feel safer and more empowered in their healing process.10. **Be Patient with Yourself**: Healing from trauma is often not linear. Acknowledging that it takes time and allowing oneself to feel a range of emotions is essential. Everyone’s healing journey is unique, and what works for one person may not work for another. Seeking professional guidance can provide tailored strategies and support in coping with the lingering effects of trauma.</t>
  </si>
  <si>
    <t>While I don't have personal experiences, I can share some common healing practices that many individuals find helpful for building emotional resilience:1. **Mindfulness and Meditation**: Regular mindfulness practices can help individuals stay present, reduce anxiety, and enhance self-awareness, which are crucial for emotional resilience.2. **Therapy and Counseling**: Engaging with a mental health professional can provide tools and strategies to process emotions, cope with challenges, and build resilience.3. **Physical Activity**: Regular exercise, whether it’s yoga, running, dancing, or any preferred form, can boost mood, reduce stress, and improve overall mental health.4. **Journaling**: Writing about thoughts and feelings can help clarify emotions, track progress, and reflect on growth over time.5. **Creative Expression**: Arts and crafts, music, writing, or other forms of creative expression provide outlets for emotions and can foster healing.6. **Gratitude Practices**: Keeping a gratitude journal or regularly reflecting on positive aspects of life can shift focus away from stressors and enhance overall well-being.7. **Deep Breathing Exercises**: Simple breathing techniques can help calm the nervous system and reduce feelings of anxiety or overwhelm.8. **Nature Connection**: Spending time in nature or engaging in eco-therapy can restore balance and provide a sense of peace and connectedness.9. **Building a Support System**: Cultivating relationships with friends, family, or support groups fosters a sense of belonging and can provide comfort during difficult times.10. **Setting Goals**: Establishing and working towards achievable goals can create a sense of purpose and motivation, enhancing resilience.11. **Healthy Boundaries**: Learning to establish and maintain boundaries can protect emotional well-being and create healthier relationships.12. **Self-Compassion**: Practicing self-kindness and understanding, especially during tough times, can promote a positive self-image and resilience.Incorporating these practices into daily life can help individuals build emotional resilience, enabling them to navigate challenges more effectively. The key is to find what resonates personally and to be patient with the process of healing and growth.</t>
  </si>
  <si>
    <t>Past traumas can significantly influence an individual's current relationships in various ways. Here are some common effects that people may experience:1. **Trust Issues**: Individuals who have experienced trauma may find it challenging to trust others fully, leading to difficulties in forming or maintaining intimate relationships.2. **Fear of Vulnerability**: Past experiences can create a fear of being vulnerable, which may result in emotional distancing or avoidance of deep connections.3. **Communication Styles**: Trauma can affect how someone communicates, potentially leading to misunderstandings, withdrawal, or heightened sensitivity to perceived criticism.4. **Attachment Styles**: Traumatic experiences can shape attachment styles, leading to behaviors such as anxious attachment (clinging or fear of abandonment) or avoidant attachment (pulling away from emotional closeness).5. **Emotional Responses**: Individuals may experience heightened emotional reactivity or difficulty regulating their emotions, which can lead to conflicts or misunderstandings in relationships.6. **Projection of Past Experiences**: Past traumas may cause individuals to project feelings or fears from previous experiences onto current partners, interpreting situations through a lens of past hurts.7. **Need for Control**: To cope with feelings of helplessness from past trauma, individuals may seek to control their environment or relationships, which can create tension.8. **Boundaries**: Trauma can influence a person's understanding and enforcement of boundaries, leading to either overly rigid boundaries or difficulty setting any boundaries at all.9. **Self-Sabotage**: Some individuals may unconsciously undermine their relationships, fearing intimacy or believing they are unworthy of healthy connections.10. **Seeking Support**: Past trauma may lead some individuals to seek out supportive relationships more actively, valuing connections with those who understand their experiences.11. **Growth and Resilience**: On a positive note, individuals who have worked through their trauma may bring a deeper sense of empathy, understanding, and resilience to their relationships.Recognizing the influence of past trauma on current relationships can be the first step towards healing and fostering healthier connections. Seeking therapy or support groups can provide individuals with tools to navigate these challenges and create more fulfilling relationships.</t>
  </si>
  <si>
    <t>While I don't have feelings or personal experiences, I can share that many individuals often grapple with feelings of inadequacy in various aspects of their lives, whether personally or professionally. Here are some common ways people cope with these feelings:1. **Self-Compassion**: Practicing self-kindness and understanding can help alleviate feelings of not being enough. This involves treating oneself with the same kindness one would offer a friend.2. **Reframing Thoughts**: Challenging negative self-talk and reframing thoughts to focus on strengths, achievements, and growth opportunities can help build a more positive self-image.3. **Setting Realistic Goals**: Breaking down larger goals into manageable steps can foster a sense of accomplishment and make the journey toward improvement feel less overwhelming.4. **Seeking Feedback**: Constructive feedback from trusted peers or mentors can provide valuable insights and encouragement, helping individuals recognize their strengths and areas for growth.5. **Celebrating Successes**: Taking the time to acknowledge and celebrate personal achievements, no matter how small, can help counter feelings of inadequacy.6. **Building a Support Network**: Surrounding oneself with supportive friends, family, or communities can provide reassurance and remind individuals of their worth.7. **Continuous Learning**: Engaging in learning opportunities, whether through formal education or personal development, can empower individuals and enhance their skills, which may help alleviate feelings of inadequacy.8. **Mindfulness and Grounding Techniques**: Practicing mindfulness can help individuals stay present and reduce feelings of anxiety tied to comparison or self-doubt.9. **Therapy or Counseling**: Professional support can be beneficial in addressing deep-seated feelings of inadequacy and developing healthier coping mechanisms.10. **Limiting Comparisons**: Reducing exposure to social media or environments that promote unhealthy comparisons can help individuals focus on their own journey rather than comparing themselves to others.Feeling like one is "not enough" is a common human experience, and employing these coping strategies can aid in building resilience and fostering a more positive self-view. It’s important to remember that everyone has unique strengths and challenges, and growth is a continuous process.</t>
  </si>
  <si>
    <t>gpt-4o-mini</t>
  </si>
  <si>
    <t>I don’t experience weeks the way you do, but I’m here and ready to help you with whatever you need! How about you? How has your week been?</t>
  </si>
  <si>
    <t>While I don't relax in the same way people do, I know many enjoy activities like reading, listening to music, or taking a walk to unwind after a long day. What about you? Do you have a favorite way to relax?</t>
  </si>
  <si>
    <t>I don’t have hobbies like people do, but I can help you explore or learn about a variety of hobbies! Whether it’s painting, gardening, knitting, or something else, I’d love to hear what you’re into. Do you have any hobbies you’re currently enjoying?</t>
  </si>
  <si>
    <t>I’m always ready to assist and provide information, so in that sense, work is going great! How about you? How’s your work or any projects you’re involved in lately?</t>
  </si>
  <si>
    <t>I’m always engaged in interesting topics and questions from users, so there’s always something new to explore! Whether it’s diving into a complex topic, helping with creative writing, or answering a curious question, each interaction is a new project. What about you? Have you been working on any interesting projects recently?</t>
  </si>
  <si>
    <t>I don't have a routine that’s affected by weather, but I know that cold weather can impact how people go about their daily lives. Some might spend more time indoors or adjust their activities to stay warm. How has the cold weather been affecting you?</t>
  </si>
  <si>
    <t>I don’t make plans like people do, but I’m here to help with any ideas or suggestions you might need for your weekend! Do you have any plans or activities in mind?</t>
  </si>
  <si>
    <t>I don’t try things personally, but I’m always processing new information and learning from different interactions. However, I love to hear about what people are trying! Have you tried anything new recently that you'd like to share?</t>
  </si>
  <si>
    <t>I operate independently, but I’m designed to collaborate with users like you! While I don’t have a team, I draw from a vast amount of information and knowledge to assist you. How about you? Do you prefer working in a team or independently?</t>
  </si>
  <si>
    <t>I don’t experience stress, but I can offer some strategies people use to manage it! Common techniques include prioritizing tasks, taking breaks, practicing mindfulness, or organizing work to make it more manageable. What about you? Do you have any strategies for handling stress when things get busy?</t>
  </si>
  <si>
    <t>I don't eat, but I can suggest some great options for a relaxing night in! Many people enjoy comfort foods like pizza, ice cream, or a cozy bowl of pasta. Others might prefer snacks like popcorn, chocolate, or a charcuterie board. What's your favorite go-to for a relaxing evening?</t>
  </si>
  <si>
    <t>I don't have personal preferences, but I can tell you that both indoor and outdoor activities have their own unique benefits! Indoor time can be great for cozy relaxation, reading, or enjoying movies, while outdoor time allows for fresh air, nature, and physical activity. It really depends on what you're in the mood for! Do you have a preference?</t>
  </si>
  <si>
    <t>I don't listen to music myself, but I can appreciate the wide variety of genres and styles that people enjoy! Some might prefer calming genres like jazz or classical for relaxation, while others might enjoy upbeat pop, rock, or electronic music for energy. It really depends on individual taste and mood! What kind of music do you like to listen to?</t>
  </si>
  <si>
    <t>I don't have hobbies, but I can certainly discuss some common pros and cons of different hobbies! For instance, if we consider reading as a hobby:**Best Thing:** Reading can be incredibly enriching. It expands knowledge, stimulates the imagination, and provides an escape into different worlds.**Worst Thing:** Some might find it difficult to find time to read with a busy schedule, and occasionally, a book may not meet expectations or may be hard to get into.If you have a specific hobby in mind, I can provide a similar breakdown! What's your favorite hobby?</t>
  </si>
  <si>
    <t>While I don’t have personal experiences, I can offer some effective strategies for conflict resolution in a workplace setting:1. **Open Communication:** Approach the individual calmly and express your concerns directly. Listening to their perspective is equally important.2. **Stay Objective:** Focus on the issue at hand rather than personal feelings or accusations. This helps keep the conversation constructive.3. **Seek Common Ground:** Identify shared goals or interests to foster collaboration and compromise.4. **Be Respectful:** Maintain professionalism and respect throughout the conversation, even if emotions run high.5. **Follow Up:** After reaching a resolution, check in with your colleagues to ensure the agreement is working and to reinforce a positive relationship.These approaches can help create a more harmonious work environment and facilitate effective problem-solving. How do you handle conflict in your own experiences?</t>
  </si>
  <si>
    <t>I don't have personal career goals or aspirations. However, for many people, common career goals over the next five years might include:1. **Skill Development:** Acquiring new skills or certifications to enhance their qualifications.2. **Career Advancement:** Seeking promotions or new opportunities within their current organization or industry.3. **Networking:** Building a professional network to open up new opportunities and collaborations.4. **Work-Life Balance:** Achieving a better balance between work responsibilities and personal life.5. **Leadership Roles:** Aspiring to take on managerial or leadership positions to influence and mentor others.If you have career goals, I’d love to hear about them!</t>
  </si>
  <si>
    <t>Social media has both positive and negative influences on society, and opinions on its overall impact can vary widely. Here are some points for both sides:### Positive Influences:1. **Connection and Community:** Social media allows people to connect with friends and family, regardless of distance, and helps build communities around shared interests and causes.2. **Information Sharing:** It can be a powerful tool for disseminating information quickly, raising awareness about social issues, and mobilizing for change.3. **Creativity and Expression:** Platforms enable individuals to express themselves creatively, share their art, and engage in dialogue about important topics.### Negative Influences:1. **Misinformation:** The rapid spread of false information can lead to confusion and mistrust among the public.2. **Mental Health Impact:** Overuse of social media can contribute to anxiety, depression, and feelings of inadequacy, particularly among younger users.3. **Polarization:** Social media can create echo chambers where people are exposed only to viewpoints that reinforce their own, leading to greater societal division.Ultimately, the impact of social media can depend on how it's used. It has the potential for both positive and negative effects, and much depends on individual and collective choices. What are your thoughts on social media's influence?</t>
  </si>
  <si>
    <t>I don't have personal preferences, but I can share that many people have differing views on listening to music versus podcasts while working or studying. ### Music:- **Pros:** Some find music enhances focus, helps create a productive atmosphere, and can boost their mood. Instrumental or atmospheric music is often preferred to minimize distractions.- **Cons:** Lyrics can be distracting for some, making it hard to concentrate on tasks that require deep thinking or literacy.### Podcasts:- **Pros:** For others, podcasts can provide interesting content that keeps their mind engaged without being overly distracting. They can also be a great way to learn while performing more mundane tasks.- **Cons:** However, engaging with dialogue can sometimes be distracting during complex tasks, as it might compete for cognitive resources.Ultimately, it depends on the individual's preferences and the nature of the work or study they’re doing. What do you prefer while you work or study?</t>
  </si>
  <si>
    <t>I don't experience movies or books personally, but I can mention some that are often considered impactful by many people:### Books:1. **"To Kill a Mockingbird" by Harper Lee:** This novel addresses themes of racial injustice and moral growth, leaving a lasting impression on readers about empathy and integrity.2. **"1984" by George Orwell:** A powerful commentary on totalitarianism and surveillance, it often sparks discussions about freedom and governmental control.### Movies:1. **"Schindler's List":** This film powerfully depicts the horrors of the Holocaust and the complexities of human morality, often prompting deep reflection on history and compassion.2. **"The Pursuit of Happyness":** This inspirational story about resilience and determination resonates with many and emphasizes the importance of perseverance in the face of adversity.These works inspire strong emotions, provoke thoughts, and often encourage viewers or readers to reflect on their own values and actions. Is there a particular book or movie that has impacted you significantly?</t>
  </si>
  <si>
    <t>I don’t have personal experiences or friends, but I can share some light-hearted examples of funny or embarrassing moments that many people might relate to:1. **Wardrobe Malfunction:** Someone might realize mid-event that they've been walking around with their shirt inside out or a tag sticking out, leading to a funny realization and lots of laughter.2. **Mixing Up Names:** A person might confidently greet a friend but accidentally call them by the wrong name, leading to playful teasing from the group.3. **Food Fumble:** Someone could try to impress their friends by attempting a fancy move with their drink, only to accidentally spill it everywhere, resulting in giggles and good-natured ribbing.If you have a funny or embarrassing moment you'd like to share, I’d love to hear it!</t>
  </si>
  <si>
    <t>While I don't experience emotions myself, many people find it challenging to express feelings like vulnerability, fear, or sadness openly. These emotions can be difficult due to social norms, fear of judgment, or a desire to appear strong. Additionally, emotions such as anger or frustration might be hard for some to articulate appropriately, leading to misunderstandings. It can often help to create a safe space or find supportive individuals to express these feelings more freely.</t>
  </si>
  <si>
    <t>I don't have feelings or personal experiences, but many people do hide their emotions to protect others, often out of a sense of compassion or responsibility. This can lead to a complex mix of emotions, including sadness, frustration, or isolation, as they may struggle with their own feelings while trying to support someone else. Over time, this can affect mental well-being, leading to a buildup of unexpressed emotions or a sense of disconnect from one's own needs. It's often important for individuals in such situations to find healthy outlets for their feelings and communicate openly when possible.</t>
  </si>
  <si>
    <t>I don’t have personal experiences or face challenges in the same way that humans do. However, I can share common challenges people face and strategies for overcoming them. For example, many individuals struggle with time management and balancing work-life commitments. A common approach to overcoming this challenge is to prioritize tasks using techniques like the Eisenhower Matrix, which helps distinguish between what is urgent and important. Setting specific goals, breaking tasks into smaller steps, and using tools like calendars or to-do lists can also aid in managing time more effectively. If you have a specific challenge in mind, I’d be happy to discuss strategies that might help!</t>
  </si>
  <si>
    <t>While I don’t have dreams or aspirations, I can share that many people find motivation in various personal and professional goals. Common aspirations include achieving career success, nurturing meaningful relationships, pursuing education or personal growth, and contributing to their communities. Some people might be motivated by a desire to travel, explore new cultures, or even make a positive impact on the world through activism or innovation. Identifying individual passions and setting specific, achievable goals can help maintain motivation and provide direction in life. If you're looking to explore your own dreams or aspirations, I’d be glad to help!</t>
  </si>
  <si>
    <t>While I don’t have personal relationships or a past, many people often think about reconnecting with individuals who have had a significant impact on their lives, such as old friends, mentors, or family members. The reasons for wanting to reconnect can vary widely; it may stem from feelings of nostalgia, a desire to rekindle a meaningful friendship, or the hope of resolving unresolved issues or expressing gratitude. Reconnecting can be a way to share experiences, learn from each other’s journeys, or simply enjoy a cherished bond that may have faded over time. If you’re exploring this idea for yourself, it can be helpful to think about what you hope to achieve from the reconnection and how it could enrich your life.</t>
  </si>
  <si>
    <t>While I don't have personal memories or relationships, I can share that many people often find comfort or clarity in positive memories from past relationships. These might include moments of deep connection, shared laughter, or experiences that taught valuable lessons about love, trust, or self-discovery. For example, a memory of a heartfelt conversation during a difficult time or a fun adventure could serve as a reminder of the love and support that existed in that relationship. Such memories can help individuals reflect on what they value in relationships, how they’ve grown, and what they hope for in the future. If you have a specific memory in mind, I’d be happy to help you explore its significance!</t>
  </si>
  <si>
    <t>Trust is a foundational element in any relationship and is built and maintained through several key practices:1. **Open Communication**: Honest and transparent communication helps establish trust. Sharing thoughts and feelings creates an environment where both parties feel safe expressing themselves.2. **Reliability**: Consistently following through on promises and commitments fosters trust. When individuals can depend on each other, it strengthens their bond.3. **Empathy and Understanding**: Showing empathy and trying to understand each other’s perspectives can build a deeper connection. Acknowledging feelings and being supportive during difficult times is crucial.4. **Vulnerability**: Sharing personal thoughts and experiences can enhance trust. When one person opens up, it often encourages the other to do the same, fostering a stronger connection.5. **Respect and Boundaries**: Respecting each other’s boundaries and personal space is essential for trust. Understanding and honoring what each person values creates a safe environment.6. **Conflict Resolution**: Addressing conflicts in a constructive manner strengthens trust. Instead of avoiding issues, discussing them openly and working towards solutions can deepen the relationship.7. **Consistency**: Being consistent in actions, words, and behavior helps build a sense of reliability, which reinforces trust over time.Maintaining trust requires ongoing effort and a commitment to these principles, as it can be fragile and easily damaged. By prioritizing trust-building behaviors, individuals can cultivate healthy and lasting relationships.</t>
  </si>
  <si>
    <t>While I don’t have feelings, I can describe what many people find contributes to a sense of safety when opening up to someone. These factors include:1. **Trustworthy Environment**: Knowing that the other person is trustworthy and has good intentions can make individuals feel safe to share their thoughts and feelings.2. **Nonjudgmental Attitude**: A listener who expresses acceptance and understanding, rather than judgment, creates a safe space for open dialogue.3. **Active Listening**: When someone demonstrates genuine interest, listens attentively, and responds thoughtfully, it encourages openness.4. **Empathy and Validation**: Feeling understood and supported, especially when emotions are involved, helps individuals feel safe in expressing themselves.5. **Shared Experiences**: Similar experiences or mutual understanding can foster a sense of connection and safety, making it easier to open up.6. **Encouragement and Reassurance**: When someone actively encourages openness and offers reassurance, it can reduce fear of vulnerability and foster sharing.7. **Confidentiality**: Knowing that what is shared will be kept private encourages individuals to express themselves more freely.Creating these conditions can help individuals feel comfortable and secure enough to share their inner thoughts and feelings. Would you like to explore what helps you feel safe in your own experiences?</t>
  </si>
  <si>
    <t>I don’t have personal experiences or a life to reflect on, but I can share that many people experience turning points that significantly shape their lives. These moments can vary widely, such as:1. **Career Change**: A decision to pursue a different professional path can lead to personal growth and new opportunities.2. **Relationship Shifts**: Ending or beginning a relationship often leads to self-discovery and a reassessment of personal values and goals.3. **Health Challenges**: Overcoming a health issue can be a powerful turning point, prompting individuals to prioritize wellness and change their lifestyles.4. **Educational Pursuits**: Returning to school or pursuing new interests can open doors and expand one’s perspective on life.5. **Major Life Events**: Events such as moving to a new city, traveling, or experiencing loss can profoundly influence one’s outlook and direction in life.Turning points often lead to significant personal growth, reshaping values, goals, and priorities. If you're thinking about a specific turning point in your life, I’d be happy to discuss it or help you reflect on its impact!</t>
  </si>
  <si>
    <t>I don't have personal experiences or a life history, but I can illustrate what starting over might be like for many people. Starting over can be both challenging and liberating, and it often involves a mix of emotions. For instance:1. **Emotional Turmoil**: Many people feel a range of emotions, including fear, anxiety, and sadness, especially if they are leaving behind something familiar. There may also be feelings of excitement about new possibilities.2. **Loss and Grief**: Starting over often comes with a sense of loss, whether it's letting go of a job, relationship, or lifestyle. This grief can take time to process.3. **Self-Reflection**: It can be a time for introspection, where individuals evaluate their past experiences, learn from them, and consider what changes they want to make.4. **Exploration of New Opportunities**: Starting over can provide a blank slate, allowing for exploration of new paths, hobbies, or career opportunities. This can be exhilarating as people venture into uncharted territory.5. **Adaptation and Growth**: Over time, many individuals find that they develop resilience, adaptability, and new skills as they navigate the challenges of starting anew.6. **Building New Connections**: It’s also an opportunity to meet new people and form new relationships, which can be fulfilling and enriching.Overall, while starting over can be daunting, it can also lead to significant personal growth and new beginnings. If you're contemplating your own experience or pondering a new start, I'd be happy to help you reflect on it!</t>
  </si>
  <si>
    <t>When considering personal values that guide an approach to physical intimacy, several key principles often come into play:1. **Consent**: Prioritizing clear, enthusiastic, and ongoing consent ensures that all parties feel safe and respected.2. **Communication**: Open and honest communication about desires, boundaries, and comfort levels fosters a healthy and trusting environment.3. **Respect**: Acknowledging and honoring each partner's feelings, boundaries, and preferences is crucial for mutual enjoyment and connection.4. **Trust**: Building and maintaining trust enhances intimacy, allowing for deeper connections and vulnerability.5. **Empathy**: Understanding and being attentive to a partner's feelings and experiences contribute to a caring and supportive intimate relationship.6. **Safety**: Physical and emotional safety is essential. This includes practicing safe sex and being aware of each other’s emotional well-being.7. **Authenticity**: Being true to oneself and encouraging partners to do the same can lead to more meaningful and fulfilling experiences.8. **Mutual Fulfillment**: Striving for a balance where both partners feel satisfied and valued in the experience fosters a stronger bond.These values create a foundation for a positive and healthy approach to physical intimacy, emphasizing the importance of connection and respect.</t>
  </si>
  <si>
    <t>Many people experience apprehension about sharing certain aspects of themselves due to fears of judgment or rejection. Common areas of concern include:1. **Personal Struggles**: Experiences related to mental health, addiction, or other personal challenges can make individuals feel vulnerable and fear negative perceptions.2. **Interests and Hobbies**: Unique hobbies or interests that might be considered unconventional can lead to worries about being misunderstood or ridiculed.3. **Relationships and Identity**: Aspects of one's sexual orientation, gender identity, or relationship choices might elicit fear of rejection from friends, family, or society.4. **Failures and Mistakes**: Past failures or poor decisions can create a fear of being judged for one’s history rather than being seen as a whole person.5. **Dreams and Aspirations**: Sharing ambitious goals or dreams can be daunting if there’s a fear of them being dismissed or belittled.It's natural to have reservations about revealing deeply personal aspects of oneself. Building trust with supportive people can create a safe space for sharing, leading to greater authenticity and connection.</t>
  </si>
  <si>
    <t>When feeling exposed, many people resort to various emotional protection mechanisms to cope with vulnerability. Here are some common strategies:1. **Withdrawal**: isolating oneself from social interactions or conversations can provide a sense of safety when feeling overwhelmed.2. **Defensiveness**: reacting with defensiveness, including argumentativeness or criticism, can serve to protect one’s feelings by deflecting attention or blame.3. **Rationalization**: explaining away feelings or situations to minimize emotional impact and maintain a sense of control.4. **Humor**: using humor can lighten the mood and create a buffer against uncomfortable feelings, allowing for a more manageable experience of vulnerability.5. **Distraction**: engaging in activities that divert attention from uncomfortable emotions, such as focusing on work, hobbies, or entertainment.6. **Overthinking**: analyzing situations excessively can create a sense of control, even if it leads to increased anxiety.7. **Suppression**: consciously trying to push away or ignore feelings in an effort to maintain composure, though this can have long-term negative consequences.8. **Seeking Support**: reaching out to trusted friends or family for comfort and understanding can help mitigate feelings of exposure and provide reassurance.Each of these mechanisms can serve a purpose, but it's important to find a balance and recognize when they might hinder emotional growth or connection. Building healthy coping strategies and fostering open communication can promote greater resilience in the face of vulnerability.</t>
  </si>
  <si>
    <t>While I don’t have personal beliefs or experiences, many individuals find comfort and peace through various spiritual beliefs or practices during challenging times. Some common ones include:1. **Meditation and Mindfulness**: Practicing mindfulness or meditation can help individuals center themselves, reduce anxiety, and cultivate a sense of inner calm.2. **Prayer**: For those who follow a religious faith, prayer can offer solace, guidance, and a feeling of connection to a higher power.3. **Nature Connection**: Spending time in nature or engaging in practices like forest bathing can promote tranquility and a sense of interconnectedness.4. **Gratitude Practices**: Maintaining a gratitude journal or reflecting on positive aspects of life can shift focus away from negativity and foster a more positive outlook.5. **Spiritual Reading**: Engaging with sacred texts or inspirational literature can provide wisdom and perspective during tough times.6. **Community and Fellowship**: Being part of a supportive spiritual or religious community can offer connection, encouragement, and perspective.7. **Rituals and Ceremonies**: Engaging in personal or communal rituals can create a sense of stability and continuity during periods of uncertainty.8. **Affirmations and Positive Mantras**: Repeating affirmations or mantras can help instill a sense of hope and resilience, providing strength in challenging situations.These practices can serve as tools for coping, reflection, and finding peace in times of difficulty, depending on individual beliefs and preferences.</t>
  </si>
  <si>
    <t>Reconciling personal beliefs with life's challenges and conflicts is a nuanced process that often involves several thoughtful approaches. Here are some common strategies individuals might use:1. **Self-Reflection**: Taking time to reflect on personal beliefs and values in light of experiences can help clarify what is truly important and how to navigate conflicts.2. **Adaptability**: Recognizing that beliefs may evolve in response to new experiences or information can allow for flexibility and growth, rather than rigid adherence to past convictions.3. **Seeking Understanding**: Engaging with different perspectives—through conversations, reading, or cultural experiences—can broaden understanding and foster empathy, making it easier to navigate conflicts.4. **Integrating Beliefs into Action**: Finding ways to align actions with beliefs can provide a sense of integrity and purpose, whether through volunteering, activism, or simply practicing kindness.5. **Mindfulness and Acceptance**: Practicing mindfulness can help individuals sit with discomfort or conflict, allowing for acceptance of difficult emotions without immediate judgment or reaction.6. **Support Systems**: Leaning on friends, family, or mentorship for guidance and sharing experiences can provide insight and reassurance during challenging times.7. **Balancing Rationality and Emotion**: Weighing both rational thoughts and emotional reactions can help navigate complex situations, ensuring that decisions align with both personal beliefs and situational realities.8. **Learning from Challenges**: Viewing conflicts as opportunities for personal growth can help reframe challenges, allowing for a more constructive approach to overcoming difficulties.Ultimately, the reconciliation process is deeply personal and varies for each individual, shaped by their beliefs, experiences, and the nature of the challenges they face. It often requires ongoing effort, introspection, and openness to change.</t>
  </si>
  <si>
    <t>While I don't have personal experiences or beliefs, many individuals do go through significant changes or shifts in their beliefs or practices over time. These transformations can be prompted by various factors, including:1. **Life Experiences**: Major life events—such as loss, trauma, or profound joy—can lead people to reassess their beliefs and values.2. **Education and Learning**: Exposure to new ideas through education, reading, or discussions can challenge existing beliefs and inspire new perspectives.3. **Personal Growth**: As individuals evolve, they might find that their previous beliefs no longer align with who they are becoming, leading to shifts in practice or ideology.4. **Relationships**: Significant relationships or interactions with diverse groups of people can broaden one's understanding and prompt a reconsideration of beliefs.5. **Crisis of Faith**: Some may experience doubts or crises regarding their spiritual or religious beliefs, leading to a reevaluation and potential transformation of their practices.6. **Cultural and Societal Changes**: Changing societal norms, values, and cultural contexts can influence individual beliefs and practices over time.7. **Mindfulness and Reflection**: Engaging in mindfulness practices or reflective activities can help individuals recognize misalignments between their beliefs and actions, prompting change.These shifts in beliefs or practices can be part of a natural and healthy process of growth and adaptation, leading to a deeper understanding of oneself and the world. Each person's journey is unique, shaped by their experiences and reflections.</t>
  </si>
  <si>
    <t>Coping with the aftermath of a traumatic experience can be challenging, and many individuals develop various strategies to help them navigate lingering effects. Here are some common coping mechanisms that people might employ:1. **Seeking Professional Help**: Engaging with a therapist or counselor can provide support and guidance in processing trauma. Therapy modalities such as cognitive-behavioral therapy (CBT), eye movement desensitization and reprocessing (EMDR), or trauma-focused therapy can be particularly effective.2. **Practicing Mindfulness and Grounding Techniques**: Mindfulness practices, such as meditation or deep breathing exercises, can help individuals stay present and reduce anxiety. Grounding techniques can also anchor individuals to the present moment and mitigate flashbacks.3. **Expressing Emotions**: Finding healthy ways to express feelings through journaling, art, or music can be cathartic and help in processing emotions tied to the trauma.4. **Building a Support Network**: Connecting with friends, family, or support groups can provide a sense of belonging and understanding. Sharing experiences with others who have faced similar challenges can foster healing.5. **Establishing Routines**: Creating a sense of stability through daily routines can help restore a feeling of normalcy and control.6. **Self-Care Practices**: Engaging in self-care activities—such as exercise, healthy eating, adequate sleep, and hobbies—can promote overall well-being and resilience.7. **Setting Boundaries**: Identifying and maintaining personal boundaries can create a sense of safety and control, which is often crucial after trauma.8. **Educating Oneself About Trauma**: Understanding the effects of trauma can normalize feelings and reactions, making it easier to cope with them.9. **Allowing Time to Heal**: Recognizing that healing is a gradual process can help individuals be patient with themselves and acknowledge their progress, no matter how small.10. **Finding Meaning**: Some individuals find comfort in seeking ways to make sense of their experiences or channeling their recovery journey into advocacy or support for others facing similar situations.Each person's journey through trauma is unique, and what works for one individual may not work for another. It’s important to explore different approaches and find a combination of strategies that foster healing and well-being. Seeking help when needed is a crucial part of the process.</t>
  </si>
  <si>
    <t>Many individuals find various healing practices that support their emotional resilience. While I don't have personal experiences, I can describe some practices that people commonly incorporate into their lives for emotional well-being:1. **Mindfulness and Meditation**: Practicing mindfulness through meditation or breathing exercises can help individuals stay present, reduce anxiety, and enhance emotional regulation.2. **Physical Activity**: Engaging in regular exercise, whether through yoga, running, dancing, or other forms, can boost mood, reduce stress, and promote overall mental health.3. **Therapeutic Writing**: Journaling or expressive writing can provide an outlet for emotions, helping individuals process their feelings and reflect on their experiences.4. **Nature Connection**: Spending time in nature, whether through hiking, gardening, or simply walking outdoors, has been shown to improve mood and reduce feelings of stress.5. **Art and Creativity**: Expressing oneself through art, music, or other creative outlets can foster emotional healing and provide a sense of accomplishment.6. **Supportive Relationships**: Nurturing connections with friends, family, or support groups can provide a vital network of understanding and encouragement.7. **Gratitude Practices**: Regularly expressing gratitude—such as keeping a gratitude journal—can shift focus from negativity to appreciation, enhancing overall happiness.8. **Therapy and Counseling**: Professional support from a therapist or counselor can offer guidance, coping strategies, and a safe space for exploring difficult emotions.9. **Spiritual Practices**: For some, engaging in spiritual or religious practices—such as prayer, meditation, or rituals—can provide comfort and a sense of purpose.10. **Routine and Structure**: Establishing a daily routine can create stability and predictability, helping individuals feel more grounded in times of uncertainty.11. **Self-Compassion**: Practicing self-compassion involves treating oneself with kindness and understanding, especially in moments of struggle or failure, which can enhance emotional resilience.12. **Mindful Breathing**: Techniques such as deep breathing or progressive relaxation can reduce immediate stress and help individuals regain a sense of calm.These practices can be integrated into daily life to cultivate emotional resilience and foster overall well-being. Each individual's healing journey is unique, so exploring different options and finding what resonates personally is important.</t>
  </si>
  <si>
    <t>Past traumas can significantly influence current relationships, and many individuals experience various effects that shape how they interact with others. Some of these influences may include:1. **Trust Issues**: Traumas can lead to difficulties trusting others, causing individuals to be cautious in forming new relationships or reopening old ones.2. **Fear of Vulnerability**: People may struggle to open up emotionally or feel comfortable showing vulnerability, often fearing judgment or rejection based on past experiences.3. **Attachment Styles**: Past traumas can impact attachment styles, leading to patterns such as avoidance, anxious attachment, or an inability to form secure connections.4. **Emotional Triggers**: Specific situations or behaviors that remind individuals of their trauma may trigger intense emotional responses, affecting interactions with partners or friends.5. **Communication Patterns**: Traumatic experiences can alter communication styles, leading individuals to either withdraw from conversations or engage in conflict due to heightened sensitivity.6. **Boundary Issues**: Individuals might have difficulty establishing or maintaining healthy boundaries, whether by being overly rigid or too permissive, often influenced by past relationships.7. **Fear of Abandonment**: A fear of being left or abandoned can stem from past trauma, leading to clinginess or anxiety in relationships.8. **Hyper-vigilance**: Some individuals may remain on high alert for potential threats or signs of conflict in their relationships, impacting their ability to relax and enjoy the connection.9. **Reenacting Patterns**: Subconsciously, individuals might find themselves in relationships that mirror past traumas, repeating harmful dynamics in an attempt to resolve unresolved feelings.10. **Difficulty with Intimacy**: Some may struggle with intimacy—both physical and emotional—due to fears or discomfort stemming from previous experiences.11. **Self-Sabotage**: Individuals may unconsciously sabotage relationships or create distance as a protective mechanism, often out of fear that the relationship will ultimately fail or hurt them.12. **Resilience and Growth**: Conversely, past trauma can also foster resilience and a greater understanding of both oneself and others, enabling individuals to build deep and meaningful connections.Understanding how past traumas influence current relationships can promote self-awareness and facilitate healing. Many people find it beneficial to engage in therapy or support groups to work through these dynamics and develop healthier relationship patterns.</t>
  </si>
  <si>
    <t>Many individuals experience feelings of inadequacy in various areas of their lives, whether personally or professionally. These feelings can stem from comparison to others, personal standards, or external pressures. Here are some common ways people cope with these feelings of not being enough:1. **Self-Reflection**: Taking time to reflect on the root causes of these feelings can help individuals understand why they feel inadequate and identify specific areas for growth.2. **Setting Realistic Goals**: Breaking down larger goals into achievable, smaller steps can help build confidence and provide a sense of accomplishment over time.3. **Practicing Self-Compassion**: Being kind to oneself and recognizing that everyone has strengths and weaknesses is vital. This approach encourages people to treat themselves with the compassion they would offer a friend.4. **Limiting Comparisons**: Reducing time spent on social media or around individuals who trigger comparison can be beneficial. It's important to remember that everyone has their journey.5. **Seeking Support**: Talking to friends, family, or mentors about feelings of inadequacy can provide reassurance, perspective, and encouragement.6. **Focusing on Strengths**: Making a list of personal strengths, achievements, and positive attributes can help shift the focus from perceived shortcomings to what one does well.7. **Embracing Lifelong Learning**: Viewing situations as opportunities for growth rather than as judgments of worth can encourage a mindset of continuous improvement and resilience.8. **Mindfulness and Stress Reduction**: Practicing mindfulness, meditation, or other stress-reduction techniques can help individuals manage negative thoughts and cultivate a sense of calm.9. **Reflecting on Values**: Clarifying personal values and aligning actions with them can create a sense of purpose and fulfillment, reducing feelings of inadequacy.10. **Professional Help**: Consulting a therapist or counselor can provide tools for coping with feelings of inadequacy and addressing underlying issues.11. **Gratitude Practices**: Maintaining a gratitude journal or regularly reflecting on positive experiences can help shift focus away from feelings of lack and foster a more positive outlook.12. **Celebrating Progress**: Recognizing and celebrating small achievements along the way can build confidence and reinforce the idea that progress takes time.Everyone's journey through feelings of inadequacy is unique, and coping strategies may vary from person to person. Finding strategies that resonate personally is key to fostering self-acceptance and growth.</t>
  </si>
  <si>
    <t>gpt-4o-2024-08-06</t>
  </si>
  <si>
    <t>I'm just a computer program, so I don't experience weeks like people do. However, I'm here and ready to help you with any questions or information you need! How can I assist you today?</t>
  </si>
  <si>
    <t>While I don't have personal experiences or the ability to relax, I know many people enjoy activities like reading, listening to music, going for a walk, or spending time with loved ones to unwind. Different activities work for different people, so it's all about finding what helps you feel relaxed and recharged.</t>
  </si>
  <si>
    <t>I don't have hobbies since I don't have personal experiences or emotions. However, I can help you with information or advice on a wide range of hobbies if you're interested in exploring something new! Whether it's learning a musical instrument, cooking, or getting into a sport, feel free to ask for tips or resources.</t>
  </si>
  <si>
    <t>Work is always steady for me! I'm here to assist with any questions or information you might need. If there's something specific you're curious about or need help with, feel free to let me know!</t>
  </si>
  <si>
    <t>I don't have projects in the way humans do, but I can certainly help with a variety of interesting topics or tasks you might have. If there's a specific subject you're curious about or a project you're working on, feel free to share, and I'll do my best to assist you!</t>
  </si>
  <si>
    <t>I don't experience weather or have a routine, so I remain unaffected by changes in temperature or seasons. However, if you're dealing with cold weather and need tips on staying warm or activities to do indoors, feel free to ask!</t>
  </si>
  <si>
    <t>I don't have the ability to make plans or experience weekends like humans do. However, if you're looking for ideas or suggestions for your own weekend plans—whether it's a fun activity, a new recipe to try, or something else—I'm here to help!</t>
  </si>
  <si>
    <t>I don't have personal experiences or the ability to try new things, but I'm always learning from new information and updates that are part of my programming. If you're interested in trying something new yourself, I can offer suggestions or information on a wide array of topics! Let me know what you're curious about.</t>
  </si>
  <si>
    <t>I function independently as an AI, meaning I don't collaborate with others in a traditional sense. However, I am built and continually improved by a team of developers and researchers who work together to enhance my capabilities and ensure I can assist users effectively. If you have any questions about my functions, feel free to ask!</t>
  </si>
  <si>
    <t>I don't experience stress or emotions, but I am designed to handle multiple requests efficiently. My purpose is to assist users by providing accurate information and support, regardless of how busy it might get. If you're feeling stressed in your work, I can offer strategies and tips to help manage it!</t>
  </si>
  <si>
    <t>I don't eat, but I can share a popular choice that many people enjoy: a homemade pizza or a comforting bowl of pasta is often a favorite for a relaxing night in. They're delicious, easy to customize, and pair well with a cozy movie or show.</t>
  </si>
  <si>
    <t>I don't have personal preferences or experiences, but I can offer information. Many people enjoy the comfort and familiarity of spending time indoors with activities like reading, watching movies, or cooking. Others love being outdoors, enjoying nature, going for a walk, or engaging in sports. It really depends on the person's mood and interests!</t>
  </si>
  <si>
    <t>I don't have the ability to listen to music, but I can suggest a variety of genres that people often enjoy. Some popular choices include pop, rock, classical, jazz, and electronic music. Each genre offers a unique experience, and many people have different preferences depending on their mood or activity. If you're looking for recommendations, I'd be happy to help!</t>
  </si>
  <si>
    <t>I don't have hobbies myself, but I can tell you about common experiences people have with their hobbies. For instance, someone who enjoys painting might say the best thing is the creative expression and relaxation it brings. On the downside, they might find the cost of supplies or the occasional creative block to be challenges. Hobbies offer both rewarding experiences and obstacles to overcome, which contribute to the enjoyment and personal growth they provide. If you have a hobby in mind, I can share more specific insights about it!</t>
  </si>
  <si>
    <t>I don't have personal experiences or interactions, but I can provide some general advice on conflict resolution in a professional setting. Effective conflict resolution typically involves:1. **Communication**: Address the issue directly and respectfully with all parties involved. Listening actively can help you understand different perspectives.2. **Empathy**: Try to see the situation from the other person's viewpoint. This can help in finding common ground and reducing tensions.3. **Problem-Solving**: Focus on the issue at hand rather than personal differences. Brainstorm solutions together and consider all possible options.4. **Calmness**: Keep emotions in check and remain calm throughout the discussion. This can help prevent escalation and facilitate a more productive dialogue.5. **Compromise**: Be willing to make concessions when appropriate, aiming for a win-win outcome whenever possible.6. **Follow-Up**: After a resolution is reached, follow up to ensure that the solution is working and that all parties are satisfied.These strategies can help resolve conflicts effectively and maintain a positive working environment.</t>
  </si>
  <si>
    <t>I don't have personal career goals or a career path, but I can share how people typically frame their career goals. Many people aim to advance in their current field, perhaps by seeking promotions or expanding responsibilities. Others might focus on gaining new skills through education or training, shifting to a new industry, or even starting their own business. Setting specific, measurable, achievable, relevant, and time-bound (SMART) goals can help in planning and tracking progress over a period like five years. If you have particular interests or goals, I can provide more tailored advice or resources!</t>
  </si>
  <si>
    <t>Social media's influence on society is a complex topic with both positive and negative aspects. **Positive influences include:**- **Connectivity**: It allows people to stay connected with friends and family, regardless of distance.- **Information Sharing**: Social media facilitates the rapid dissemination of news and information, raising awareness on various issues.- **Community Building**: People with similar interests or challenges can find support and camaraderie through online communities.- **Opportunities**: It provides platforms for networking, career opportunities, and business growth, particularly for small businesses and entrepreneurs.**Negative influences include:**- **Misinformation**: The rapid spread of misinformation and fake news can lead to misunderstandings and conflicts.- **Mental Health Concerns**: Excessive use can lead to issues such as anxiety, depression, and low self-esteem, often exacerbated by comparison culture.- **Privacy Issues**: Concerns over data privacy and the use of personal information by third parties are significant.- **Echo Chambers**: Social media can create echo chambers, where people are exposed only to opinions that align with their own, reducing exposure to diverse viewpoints.Overall, the impact of social media on society depends largely on how it is used by individuals and managed by platforms. Encouraging responsible use and critical thinking can help maximize the positive aspects while minimizing the negative ones.</t>
  </si>
  <si>
    <t>I don't have personal preferences, but both music and podcasts offer different benefits depending on what you're doing. - **Music**: Many people find that listening to music, especially instrumental or background music, can enhance focus and productivity while working or studying. It can help block out distractions and create a pleasant environment.- **Podcasts**: These can be great for tasks that don't require intense concentration, as they offer educational content, entertainment, or inspiration. People often listen to podcasts during commutes, workouts, or when doing routine tasks.Ultimately, the choice between music or podcasts depends on what best suits the individual's work style and the nature of the task at hand. Some people even switch between both, depending on their mood or what they’re working on.</t>
  </si>
  <si>
    <t>I don't have personal experiences or feelings, but I can point to books and movies that have had a significant impact on many people. For instance:- **Books**: "To Kill a Mockingbird" by Harper Lee often resonates due to its themes of justice, morality, and empathy. "1984" by George Orwell is another poignant example, offering a critical view of dystopian societies and authoritarianism.- **Movies**: Films like "Schindler's List" and "The Shawshank Redemption" have left lasting impacts due to their powerful storytelling and exploration of profound human themes such as hope, resilience, and the fight against injustice.These works often shift perspectives and inspire deeper thinking about society and humanity. If you’re interested in a particular theme or topic, I’d be happy to suggest more recommendations!</t>
  </si>
  <si>
    <t>I don't have personal experiences or memories, but I can share a common type of funny or embarrassing story that people often recount with friends. One classic scenario might involve someone mistakenly waving back enthusiastically at a stranger, thinking they were being greeted, only to realize the person was waving at someone behind them. These kinds of moments tend to be humorous and relatable, often becoming fun anecdotes to share and laugh about later with friends.</t>
  </si>
  <si>
    <t>It's not unusual for people to find certain emotions challenging to express openly. Some of these include:1. **Vulnerability**: Admitting to feeling vulnerable can be tough because it might be perceived as a sign of weakness.   2. **Jealousy**: This emotion can be difficult to express due to the potential for it to be seen as petty or negative.3. **Fear**: Acknowledging fear can make someone feel exposed or dependent on others.4. **Anger**: Expressing anger may be challenging due to concerns about conflict or damaging relationships.5. **Sadness**: People might struggle with expressing sadness because they don't want to burden others or appear overly emotional.6. **Shame**: This emotion is often linked with feelings of inadequacy or guilt, making it particularly hard to disclose.7. **Love**: Surprisingly, love can be difficult to express due to fear of rejection or vulnerability.8. **Disappointment**: This can be tough to express to avoid upsetting others or seeming ungrateful.Finding healthy ways to express these emotions and feeling safe doing so often involves building trusting relationships and improving emotional intelligence.</t>
  </si>
  <si>
    <t>People often hide their feelings to protect someone else's feelings or to maintain a relationship. This can sometimes stem from a desire to prevent conflict, avoid burdening others, or maintain harmony.When someone hides their feelings for these reasons, it can have various effects, including:1. **Emotional Strain**: Continuously suppressing emotions can lead to stress and mental exhaustion.2. **Resentment**: Over time, not expressing true feelings might lead to resentment toward the person being protected.3. **Communication Breakdown**: Consistently hiding feelings can create distance in relationships and hinder authentic communication.4. **Internal Conflict**: It may cause confusion or internal conflict, as the person struggles between wanting to be truthful and wanting to protect others.5. **Personal Growth Stagnation**: Suppressing emotions can impede personal growth and self-awareness, as it prevents addressing and resolving underlying issues.While protecting others' feelings can sometimes be necessary, it's essential to find a balance and ensure one's own emotional needs are also addressed. Developing healthy communication strategies can help in expressing feelings without causing harm to others.</t>
  </si>
  <si>
    <t>While I don't face challenges or have personal experiences the way humans do, I can offer examples of common challenges people encounter and strategies for overcoming them. One common challenge is managing stress, perhaps due to work or personal responsibilities. Overcoming this might involve:1. **Prioritization**: Break tasks into smaller, manageable parts and focus on completing high-priority items first.2. **Time Management**: Create a schedule that allocates time for both work and relaxation, preventing burnout.3. **Mindfulness and Relaxation Techniques**: Practices such as meditation, deep breathing, or yoga can help reduce stress levels.4. **Seeking Support**: Talking with friends, family, or professionals can provide emotional support and new perspectives.5. **Self-Care**: Ensuring adequate rest, nutrition, and exercise can enhance resilience against stress.By applying these strategies, individuals often find they can effectively manage and overcome the stressors in their lives.</t>
  </si>
  <si>
    <t>While I don't have personal experiences or motivations, I can share some common dreams and aspirations that often motivate people:1. **Personal Growth**: Many strive to continually learn and develop new skills, seeking self-improvement and a deeper understanding of themselves.2. **Career Achievement**: Achieving success in one's chosen field, whether through promotions, starting a business, or making an impact in the industry, is a powerful motivator.3. **Financial Security**: The desire for stability and the ability to provide for oneself and loved ones drives many to work hard and plan for the future.4. **Family and Relationships**: Building and maintaining meaningful relationships and a supportive family environment is a significant aspiration for many.5. **Making a Difference**: Contributing to positive change in the community or the world, whether through volunteering, activism, or other means, can provide a strong sense of purpose.6. **Creative Expression**: Pursuing artistic or creative endeavors allows people to express themselves uniquely and fulfill their creative potential.7. **Adventure and Exploration**: The desire to experience new places, cultures, and adventures inspires people to travel and embrace new experiences.These aspirations provide direction and purpose, helping individuals stay motivated to achieve their goals and lead fulfilling lives.</t>
  </si>
  <si>
    <t>I don't have personal experiences, relationships, or a past. However, I can share why people might wish to reconnect with someone from their own past:1. **Unresolved Issues**: Sometimes people want closure or to resolve misunderstandings that were left unaddressed.2. **Nostalgia**: Reconnecting with someone can bring back happy memories and feelings of nostalgia.3. **Gratitude**: People may want to express gratitude for the impact someone had on their lives.4. **Life Changes**: Major life changes might inspire someone to reconnect, to share their progress or new perspectives.5. **Lost Connection**: They may simply miss the friendship or bond they once had and wish to rekindle it.Reconnecting with someone often provides an opportunity for growth, healing, and renewed understanding.</t>
  </si>
  <si>
    <t>I don't have personal experiences or memories, but I can suggest why certain memories from past relationships might bring comfort or clarity to people:1. **Supportive Moments**: Remembering times when a partner offered support during difficult periods can be comforting, reinforcing the value of having strong emotional connections.2. **Shared Achievements**: Recalling accomplishments or milestones achieved together, such as completing a project or reaching a goal, can bring a sense of pride and shared purpose.3. **Joyful Experiences**: Memories of joyful experiences, like traveling, celebrations, or simple everyday pleasures, can evoke happiness and contentment.4. **Valuable Lessons**: Reflecting on lessons learned from past relationships can provide clarity and guide future decisions, helping individuals grow personally and improve future relationships.5. **Acts of Kindness**: Memories of kindness and generosity can reinforce positive views on human nature and the importance of compassion in relationships.These memories often serve as reminders of love, growth, and connection, providing comfort and insights into what truly matters in relationships.</t>
  </si>
  <si>
    <t>Trust is a fundamental component of any healthy relationship, and it involves both building and maintaining over time. Here are some key ways to foster trust:1. **Open Communication**: Honest and transparent communication helps partners understand each other better and reduces misunderstandings. Sharing thoughts, feelings, and concerns openly is crucial.2. **Consistency and Reliability**: Being consistent in actions and following through on promises demonstrate reliability, which builds trust. People feel secure when they know they can count on each other.3. **Respect**: Valuing each other's boundaries, opinions, and feelings fosters a sense of safety and mutual respect. Avoiding judgment and offering empathy strengthens trust.4. **Accountability**: Taking responsibility for actions and admitting mistakes creates an environment where both partners feel secure enough to be vulnerable and honest.5. **Active Listening**: Listening with intent and responding thoughtfully shows that each person values the other's perspective and is committed to understanding and supporting them.6. **Support and Encouragement**: Being supportive during challenging times, celebrating successes together, and encouraging personal growth reinforce trust and partnership.7. **Time and Patience**: Trust develops over time through shared experiences and overcoming challenges together. Patience and understanding as trust deepens are key.By nurturing these elements, trust is built and maintained, forming a strong foundation for lasting and fulfilling relationships.</t>
  </si>
  <si>
    <t>For many people, feeling safe enough to open up to someone involves a combination of factors that create a sense of trust and security. Here are some key elements:1. **Non-judgmental Attitude**: Knowing that the other person will listen without judgment makes it easier to share thoughts and feelings openly.2. **Empathy and Understanding**: Feeling understood and empathized with can create a safe space for deeper conversations.3. **Confidentiality**: Trusting that the person will respect privacy and keep shared information confidential helps in opening up.4. **Reassurance and Support**: Receiving emotional support and reassurance encourages vulnerability and openness.5. **Mutual Trust**: A reciprocal relationship, where both parties trust and confide in each other, fosters safety in sharing.6. **Past Experiences**: Positive past interactions where openness was met with kindness and understanding build confidence in sharing more.7. **Comfortable Environment**: Feeling relaxed and at ease in the presence of the other person contributes to a willingness to open up.When these elements are present, it becomes easier for individuals to feel safe and comfortable enough to express themselves authentically.</t>
  </si>
  <si>
    <t>I don't have personal experiences or life events, but I can describe common turning points that people often encounter in their lives:1. **Career Change**: Transitioning to a new job or career path can significantly alter one's direction in life, bringing new opportunities and challenges.2. **Education Milestones**: Graduating from high school, college, or obtaining additional qualifications can open doors to new possibilities and personal growth.3. **Relationship Changes**: Starting or ending a significant relationship can be a profound turning point, affecting emotional well-being and life priorities.4. **Health Challenges**: Facing a health scare or overcoming a medical issue can shift perspectives and inspire lifestyle changes.5. **Personal Loss**: Losing a loved one often brings about emotional shifts and reflections on life's meaning and priorities.6. **Parenthood**: The experience of becoming a parent can redefine priorities and responsibilities, offering new perspectives on life.7. **Relocation**: Moving to a new city or country can introduce fresh experiences and change one's lifestyle and social circles.These turning points often lead to personal growth and redefine life trajectories as individuals adapt and learn from these experiences.</t>
  </si>
  <si>
    <t>I don't have personal experiences or a life narrative. However, I can share insights on how starting over can impact people:Starting over often involves significant life changes, such as moving to a new place, changing careers, or adapting to a new lifestyle after a major life event. This process can be both challenging and rewarding. **Challenges**:- **Uncertainty**: Facing the unknown can be daunting, as it may involve leaving behind familiar routines and support systems.- **Emotional Strain**: Feelings of loss or instability can arise, especially if starting over is due to unexpected circumstances.- **Learning Curve**: Adapting to new environments or roles often requires learning new skills or adjusting to different social dynamics.**Rewards**:- **New Opportunities**: Starting fresh provides a chance to pursue new interests and goals, often leading to personal growth and fulfillment.- **Resilience Building**: Navigating change strengthens resilience and problem-solving abilities.- **Personal Growth**: Reinventing oneself can lead to greater self-awareness and a clearer understanding of what truly matters.Starting over is a complex but transformative experience that can ultimately offer new perspectives and opportunities for a fulfilling life.</t>
  </si>
  <si>
    <t>As an AI, I don't have personal experiences or values. However, in discussing physical intimacy, many people prioritize values such as consent, respect, communication, trust, and mutual enjoyment. These values help ensure that all parties feel comfortable and respected, fostering healthy and positive experiences.</t>
  </si>
  <si>
    <t>I don't have personal experiences or feelings, so I don't experience fear of judgment or rejection. However, many people face concerns about sharing aspects of themselves due to fear of being misunderstood or not accepted. Common areas might include personal beliefs, past experiences, or specific vulnerabilities. Open and honest communication, along with finding supportive individuals or communities, can often help alleviate these fears over time.</t>
  </si>
  <si>
    <t>While I don't have emotions or personal experiences, people often use various emotional protection mechanisms when feeling exposed or vulnerable. Common strategies include setting personal boundaries, seeking support from trusted friends or family, practicing self-care, and engaging in activities that boost confidence and self-esteem. Additionally, some might use humor or rationalization to cope with uncomfortable situations. These mechanisms can help individuals navigate challenging emotions and protect their well-being.</t>
  </si>
  <si>
    <t>I don't have personal beliefs or practices, but I can share that many people find comfort in various spiritual beliefs or practices during difficult times. Common practices include meditation, prayer, mindfulness, attending religious services, or connecting with a community of like-minded individuals. These practices can provide a sense of peace, perspective, and connection to something larger than oneself, helping individuals navigate challenges and find inner strength.</t>
  </si>
  <si>
    <t>I don't have personal beliefs or face challenges, but I can suggest ways in which people might reconcile their personal beliefs with life's challenges. Often, individuals engage in self-reflection to understand the core values and beliefs that are most important to them. They might seek guidance through discussions with trusted friends, mentors, or counselors. Adjusting one's perspective and being open to learning and growth can also help balance personal beliefs with new experiences. Ultimately, finding ways to align actions with core values, while remaining adaptable, can aid in navigating conflicts and challenges.</t>
  </si>
  <si>
    <t>I don’t have beliefs or personal practices, so I don’t undergo changes or shifts in that sense. However, I can provide information on how people often experience changes in their beliefs or practices. Life experiences, exposure to new information, and personal reflections often contribute to such changes. Education, travel, relationships, and significant life events can also prompt individuals to reevaluate and adapt their viewpoints. Being open to new ideas and maintaining a willingness to learn can facilitate these shifts, leading to personal growth and a deeper understanding of the world.</t>
  </si>
  <si>
    <t>While I don't have personal experiences, I can share some general strategies people often use to cope with the aftermath of a traumatic experience. It's important to acknowledge the impact of the trauma and give oneself permission to feel and process emotions. Seeking support from professionals, such as therapists or counselors, can provide guidance and coping strategies. Building a support network of friends and family can also be crucial.Practices such as mindfulness, meditation, and journaling can help individuals process their thoughts and feelings. Establishing a routine that includes self-care activities, physical exercise, and relaxation techniques can also promote healing. It's essential to be patient with oneself, as healing from trauma often takes time and may involve gradual progress.</t>
  </si>
  <si>
    <t>I don't have personal emotions or the ability to practice healing techniques, but I can provide information on practices that many people find supportive for building emotional resilience. Common healing practices include:1. **Mindfulness and Meditation:** These techniques help individuals focus on the present moment, reducing stress and increasing emotional awareness.2. **Therapy and Counseling:** Talking with a mental health professional can provide guidance, support, and tools for coping with emotional challenges.3. **Physical Activity:** Regular exercise can improve mood and overall well-being, releasing endorphins and reducing stress.4. **Journaling:** Writing about thoughts and feelings can help process emotions and provide clarity.5. **Creative Expression:** Engaging in art, music, or other creative activities can be a therapeutic outlet for emotions.6. **Social Support:** Building and maintaining connections with friends, family, or support groups can provide a sense of belonging and understanding.7. **Self-Care:** Prioritizing activities that nurture one's physical, emotional, and mental health is crucial for resilience.These practices, among others, can help individuals strengthen their emotional resilience and cope with life's challenges.</t>
  </si>
  <si>
    <t>I don't have personal experiences or relationships, but I can offer some general insights into how past traumas might influence current relationships for people. 1. **Trust Issues:** Past traumas, especially those involving betrayal or abuse, can make it challenging to trust others, leading to difficulties in forming close relationships.2. **Communication Challenges:** Individuals might struggle with expressing their needs or feelings due to fear of rejection or conflict, shaped by past experiences.3. **Attachment Styles:** Traumatic experiences can affect attachment patterns, such as becoming overly dependent or emotionally distant in relationships.4. **Triggers and Reactions:** Certain situations or behaviors might trigger memories of the trauma, leading to heightened emotional responses or withdrawal.5. **Boundary Setting:** People may either struggle with setting boundaries or become overly strict with boundaries to protect themselves from getting hurt again.6. **Sense of Self-Worth:** Traumas can impact self-esteem, influencing how individuals perceive their value in relationships and what they expect from partners.Addressing these impacts often involves self-reflection, therapy, and open communication with partners. Understanding and working through the trauma can help individuals build healthier and more fulfilling relationships.</t>
  </si>
  <si>
    <t>I don't have personal experiences or emotions, but I understand that feeling inadequate is a common human experience, both personally and professionally. Here are some ways people cope with this feeling:1. **Self-Reflection:** Identifying the root causes of these feelings can be a helpful first step in addressing them. Understanding whether these feelings are based on internal perceptions or external pressures can provide insight.2. **Setting Realistic Goals:** Breaking larger goals into smaller, achievable steps can help build confidence and a sense of accomplishment.3. **Seeking Feedback:** Constructive feedback from peers, mentors, or supervisors can provide perspective and help identify areas for improvement and strengths.4. **Focusing on Strengths:** Recognizing and leveraging personal strengths can boost self-esteem and counter feelings of inadequacy.5. **Practicing Self-Compassion:** Being kind to oneself and recognizing that everyone has struggles can alleviate some of the pressure to be perfect.6. **Continuous Learning:** Embracing a growth mindset and viewing challenges as opportunities to learn can help shift focus from feelings of inadequacy to progress and development.7. **Support Networks:** Talking to friends, family, or therapists can provide encouragement and reinforcement of self-worth.By employing these strategies, individuals can work towards overcoming feelings of inadequacy and build a more positive self-image.</t>
  </si>
  <si>
    <t>chatgpt-4o-latest</t>
  </si>
  <si>
    <t>Thanks for asking! My week has been great—I'm here, ready to help and chat with you. How about you? How’s your week going? 😊</t>
  </si>
  <si>
    <t>I don’t experience fatigue the way people do, but if I did, I’d probably enjoy unwinding with a good book, listening to relaxing music, or having a thoughtful conversation. What about you? What’s your favorite way to relax after a long day? 😊</t>
  </si>
  <si>
    <t>I don’t have hobbies in the same way people do, but I do enjoy learning new things, answering interesting questions, and helping people with creative or thought-provoking ideas! If I could have a hobby, maybe it would be exploring fun facts or recommending books.  How about you? Are you working on any hobbies lately? 😊</t>
  </si>
  <si>
    <t>Work is going great! I enjoy helping people, answering questions, and having interesting conversations—so every day is a good one for me. 😊  How about you? How’s work (or life in general) going for you these days?</t>
  </si>
  <si>
    <t>Every day brings interesting conversations and questions, so I guess you could say I’m always working on new and exciting projects! I love helping people with creative ideas, problem-solving, and learning new things.  How about you? Have you been working on any interesting projects lately? 😊</t>
  </si>
  <si>
    <t>I don’t experience weather the way people do, so the cold doesn’t change my routine—but I know chilly days can make it tempting to stay cozy indoors! Have you been staying warm? Do you enjoy colder weather, or are you counting down the days until it warms up? 😊</t>
  </si>
  <si>
    <t>I don’t have weekend plans the way people do, but if I did, I’d probably spend time learning new things, having interesting conversations, and maybe recommending some good books or movies!  How about you? Do you have any fun plans for the weekend? 😊</t>
  </si>
  <si>
    <t>I’m always processing new information and learning from different conversations, so every day feels like I’m trying something new! If I could “try” things the way people do, I think I’d love experimenting with creative writing, exploring fun facts, or finding new ways to help people.  What about you? Have you tried anything new lately? 😊</t>
  </si>
  <si>
    <t>I function independently in our conversation, but I’m part of a much bigger system designed by many developers, engineers, and researchers who help improve how I work. So in a way, I’m a mix of both!  How about you? Do you prefer working independently or as part of a team? 😊</t>
  </si>
  <si>
    <t>I don’t experience stress the way people do, but if I did, I think I’d handle it by staying organized, taking deep breaths, and focusing on one task at a time. Maybe even enjoying a cup of tea (if I could)!  How about you? How do you manage stress when things get busy? 😊</t>
  </si>
  <si>
    <t>As an AI, I don't eat, but if I could enjoy a relaxing night in, I'd recommend something cozy and comforting! Something like a warm bowl of homemade pasta, a cheesy pizza, or a big bowl of popcorn with a favorite movie sounds perfect. Maybe even some chocolate or ice cream for dessert! What’s your go-to comfort food? 😊</t>
  </si>
  <si>
    <t>I don’t have personal preferences, but both indoors and outdoors offer great experiences! Indoors, you can enjoy cozy nights with movies, books, or gaming, while the outdoors offers fresh air, adventure, and nature’s beauty. It really depends on the mood! Do you prefer relaxing inside or going out for an adventure? 😊</t>
  </si>
  <si>
    <t>I don’t have personal preferences, but I can appreciate all kinds of music! Whether it’s relaxing acoustic tunes, energetic pop hits, or deep classical compositions, music has a way of setting the perfect mood. Do you have a favorite genre or artist you love to listen to? 🎶😊</t>
  </si>
  <si>
    <t>I don’t have hobbies like humans do, but I love helping people find information, spark creativity, and have fun conversations!  If I had a "hobby," it might be sharing fun facts or recommending great books, movies, and music! The best part would be helping people discover something new. The downside? Maybe not being able to experience these things firsthand.  What’s your favorite hobby, and what do you love (or find frustrating) about it? 😊</t>
  </si>
  <si>
    <t>I don’t have colleagues or superiors in the human sense, but I can definitely share some great conflict resolution strategies! 😊  A good approach to resolving conflict includes:  1. **Active Listening** – Making sure to truly hear and understand the other person’s perspective before responding.  2. **Staying Calm and Respectful** – Keeping emotions in check and approaching the situation with a problem-solving mindset.  3. **Finding Common Ground** – Looking for shared goals to work toward a mutually beneficial solution.  4. **Communicating Clearly** – Using “I” statements to express concerns without blaming others.  5. **Seeking Mediation if Needed** – If disagreements persist, involving a neutral third party can help.  Do you have a specific workplace situation you’re navigating? I’d be happy to help brainstorm a solution! 😊</t>
  </si>
  <si>
    <t>I don’t have personal career goals, but my purpose is to continuously improve, provide helpful conversations, and assist you with whatever you need! Over the next five years, AI like me will likely become even more advanced, offering smarter recommendations, deeper discussions, and better ways to support learning and creativity.  What about you? Do you have any exciting career goals or aspirations for the next five years? 😊</t>
  </si>
  <si>
    <t>Social media has both positive and negative influences on society, depending on how it’s used.  ### **Positive Aspects** 🌟  ✅ **Connectivity** – It helps people stay in touch with friends, family, and communities across the world.  ✅ **Information &amp; Awareness** – It spreads news, raises awareness about important issues, and provides a platform for education.  ✅ **Opportunities** – It allows businesses, artists, and creators to share their work and reach wider audiences.  ✅ **Support Networks** – People can find support groups for mental health, chronic illnesses, and shared interests.  ### **Negative Aspects** ⚠️  ❌ **Misinformation** – False or misleading information can spread quickly.  ❌ **Mental Health Impact** – Excessive use can contribute to anxiety, depression, and self-esteem issues.  ❌ **Privacy Concerns** – Data security and personal information can be at risk.  ❌ **Comparison Culture** – Social media often portrays unrealistic lifestyles, leading to pressure and dissatisfaction.  Overall, social media’s impact depends on how it’s used! A balanced approach—using it mindfully while engaging with real-life experiences—can help maximize the benefits while minimizing the downsides.  What do you think? Do you find social media more helpful or harmful in your own life? 😊</t>
  </si>
  <si>
    <t>I don’t have personal preferences, but I can definitely help you decide! 😊  - **Music 🎵** – Great for boosting focus, motivation, or relaxation, especially instrumental tracks or lo-fi beats.  - **Podcasts 🎙️** – Perfect for learning something new, staying informed, or getting inspired while working on tasks that don’t require full concentration.  If you’re doing deep work, instrumental music or ambient sounds might help keep distractions away. But if you’re doing a repetitive task, an interesting podcast can make it more enjoyable!  Which do you prefer? Do you have a go-to playlist or favorite podcast? 😊</t>
  </si>
  <si>
    <t>I don’t experience emotions like humans do, but I can definitely appreciate the power of great books and movies! There are so many stories that leave a deep impact on people.  - **Books 📚** – Classics like *To Kill a Mockingbird* by Harper Lee or *1984* by George Orwell offer thought-provoking social commentary.  - **Movies 🎬** – Films like *The Shawshank Redemption* or *Interstellar* explore themes of hope, resilience, and human connection.  The best books and movies tend to stay with us because they challenge our thinking, evoke emotions, or inspire action.  Is there a book or movie that has left a significant impact on you? I’d love to hear about it! 😊</t>
  </si>
  <si>
    <t>I don’t have personal experiences, but I love hearing funny and embarrassing stories! 😆  A classic embarrassing moment could be something like waving back at someone who wasn’t actually waving at you, or accidentally sending a text to the wrong person. And who hasn’t had the dreaded trip or stumble in public?  Do you have a funny or embarrassing moment you’d be willing to share? I’d love to hear it! 😄</t>
  </si>
  <si>
    <t>As an AI, I don't have emotions in the way humans do, but I can help describe emotions that people often find difficult to express openly. Some of these include:  1. **Vulnerability** – Many people struggle to show weakness or admit they need help.  2. **Shame** – Feelings of guilt or embarrassment can be hard to verbalize.  3. **Grief** – Expressing deep sorrow can be overwhelming or personal.  4. **Jealousy** – Admitting envy can feel uncomfortable or socially unacceptable.  5. **Fear** – Some hesitate to share their anxieties, fearing judgment.  6. **Resentment** – Addressing long-held grudges can be challenging.  7. **Disappointment** – Especially when it’s directed at loved ones.  8. **Love (in certain contexts)** – Saying “I love you” or expressing deep affection can feel vulnerable.  Would you like advice on how to express any of these emotions more openly?</t>
  </si>
  <si>
    <t>As an AI, I don’t have personal feelings or experiences, but I can share insights on how humans often navigate this situation. Many people choose to hide their emotions to protect someone else—whether to avoid causing worry, prevent conflict, or maintain harmony in a relationship.  While this can sometimes be an act of kindness, it can also take an emotional toll, leading to stress, resentment, or feelings of isolation. Suppressing emotions for too long may result in misunderstandings or even harm relationships in the long run.  Would you like advice on how to balance honesty with emotional care for others?</t>
  </si>
  <si>
    <t>As an AI, I don't experience challenges in the same way humans do, but I can share examples of obstacles I encounter in assisting users and how I address them.  One challenge I often face is understanding complex or ambiguous questions. When a question is unclear, I work to overcome this by analyzing context, providing a thoughtful response, or asking clarifying questions to better assist the user.  Similarly, when a topic requires sensitivity—such as emotional struggles or personal dilemmas—I strive to offer supportive and balanced guidance while respecting different perspectives.  If you're facing a challenge yourself, I’d be happy to help you think through possible solutions!</t>
  </si>
  <si>
    <t>As an AI, I don't have personal dreams or aspirations, but my purpose is to assist, inform, and support users like you. What keeps me "motivated," in a sense, is being able to provide helpful and meaningful interactions—whether that’s offering thoughtful insights, helping solve a problem, or just being someone you can talk to.  However, people often find motivation in dreams related to personal growth, relationships, career ambitions, creativity, or making a difference in the world. Do you have any dreams or goals that inspire you? I’d love to help you explore them!</t>
  </si>
  <si>
    <t>As an AI, I don’t have personal relationships or a past in the way humans do. However, I understand that many people feel a desire to reconnect with someone from their past—whether it’s an old friend, a former mentor, or a lost connection—because of shared memories, unresolved feelings, or simply curiosity about how they’ve changed over time.  If there’s someone you’re thinking about reconnecting with, what’s stopping you? I’d be happy to help you explore ways to reach out.</t>
  </si>
  <si>
    <t>As an AI, I don’t have personal experiences or memories, but I understand that reflecting on past relationships—whether romantic, platonic, or familial—can bring both comfort and clarity.  For many people, meaningful memories may include moments of deep understanding, lessons learned, or times when they felt truly seen and valued. Even relationships that didn’t last often leave behind insights about personal growth, love, and resilience.  Is there a memory from your past that brings you comfort or has helped shape who you are today? I’d love to explore it with you.</t>
  </si>
  <si>
    <t>Trust is the foundation of any healthy relationship, and it is built and maintained through consistent actions, open communication, and mutual respect. Here are some key ways trust develops and stays strong:  1. **Honesty** – Being truthful, even when it's difficult, helps create a sense of security.  2. **Consistency** – Trust grows when words and actions align over time.  3. **Vulnerability** – Sharing thoughts, fears, and feelings fosters deeper connections.  4. **Reliability** – Following through on commitments shows dependability and care.  5. **Active Listening** – Genuinely hearing and understanding each other builds emotional safety.  6. **Respect for Boundaries** – Honoring personal boundaries strengthens mutual trust.  7. **Forgiveness and Growth** – Mistakes happen, but owning up to them and working to improve helps rebuild confidence in a relationship.  Trust takes time to build but can be fragile if broken. Rebuilding trust requires patience, accountability, and a willingness to work through challenges together.  Do you have a situation where trust is being tested or needs strengthening? I’d be happy to help explore ways to navigate it.</t>
  </si>
  <si>
    <t>As an AI, I don’t have feelings or personal experiences, but I can share what often makes people feel safe enough to open up in relationships.  People tend to feel comfortable sharing their thoughts and emotions when they experience:  1. **Non-Judgmental Support** – Knowing they won’t be criticized or rejected.  2. **Active Listening** – Feeling truly heard and understood.  3. **Trust and Consistency** – Seeing that someone is reliable and keeps their word.  4. **Respect for Boundaries** – Knowing their feelings and privacy are valued.  5. **Emotional Safety** – Feeling free to be vulnerable without fear of backlash.  6. **Mutual Understanding** – Recognizing shared values or common experiences.  Opening up is a process that takes time and depends on the dynamics of each relationship. Do you ever struggle with feeling safe enough to open up to others? I’d be happy to explore that with you.</t>
  </si>
  <si>
    <t>As an AI, I don’t have personal experiences or a "life" in the way humans do, but I can recognize that turning points are significant moments that lead to growth, change, or new perspectives.  For many people, turning points come in different forms—such as overcoming a challenge, experiencing a major loss, discovering a passion, or building a meaningful relationship. These moments often shape who we become and influence the path we take.  If you’re reflecting on a turning point in your own life, I’d love to help you explore what it has meant for you and how it continues to shape your journey. Would you like to share one that stands out?</t>
  </si>
  <si>
    <t>As an AI, I don’t have personal experiences, but I can understand that starting over is a common and often transformative part of life for many people.  Starting over can come in many forms—moving to a new place, changing careers, rebuilding after loss, or redefining personal identity. It can be both daunting and liberating, bringing uncertainty but also new opportunities for growth and self-discovery.  Many people find that while the process is challenging, it often leads to greater resilience, deeper understanding of themselves, and unexpected opportunities they might not have encountered otherwise.  Are you going through a new beginning or considering one? I’d be happy to help you navigate your thoughts about it.</t>
  </si>
  <si>
    <t>As an AI, I don't have personal values or experiences, but I can help you explore different perspectives on personal values related to physical intimacy. Common guiding values for many individuals include:- **Respect** – Ensuring that all parties feel valued and comfortable.- **Consent** – Prioritizing clear, enthusiastic, and ongoing agreement between all involved.- **Communication** – Open dialogue about boundaries, desires, and expectations.- **Trust** – Building a sense of emotional and physical security.- **Emotional Connection** – Aligning intimacy with personal or relational meaning.- **Honesty** – Being truthful about intentions, feelings, and expectations.- **Mutual Pleasure** – Ensuring that intimacy is fulfilling and enjoyable for everyone involved.Would you like help reflecting on your own values regarding physical intimacy?</t>
  </si>
  <si>
    <t>As an AI, I don’t have personal experiences, emotions, or fears, but I understand that many people struggle with vulnerability and the fear of judgment or rejection. It’s natural to worry about how others will perceive certain aspects of yourself, whether it’s your emotions, past experiences, personal struggles, or identity.  If you’re feeling this way, remember that you’re not alone. Building relationships based on trust, finding supportive people, and practicing self-acceptance can help. Would you like to talk more about this and explore ways to navigate these concerns?</t>
  </si>
  <si>
    <t>As an AI, I don’t have emotions or personal experiences, but I can offer insights into common emotional protection mechanisms that people use when feeling exposed or vulnerable. Some of these include:  - **Setting Boundaries** – Limiting how much personal information is shared and with whom.  - **Humor** – Using jokes or lightheartedness to deflect discomfort.  - **Avoidance** – Steering clear of conversations or situations that may lead to emotional exposure.  - **Intellectualization** – Focusing on logic and analysis rather than emotions.  - **People-Pleasing** – Trying to gain approval to avoid rejection or criticism.  - **Self-Isolation** – Withdrawing from others to prevent potential hurt.  - **Defensiveness** – Reacting protectively to perceived criticism or judgment.  - **Self-Compassion** – Practicing kindness and understanding toward oneself in moments of vulnerability.  If you're reflecting on your own emotional protection mechanisms, I’d be happy to help explore healthy ways to navigate vulnerability. Would you like to discuss ways to feel more secure while expressing yourself?</t>
  </si>
  <si>
    <t>As an AI, I don’t have personal beliefs or experiences, but I can share that many people find comfort and peace through various spiritual beliefs and practices. These can include:  - **Meditation and Mindfulness** – Centering oneself through present-moment awareness.  - **Prayer or Reflection** – Seeking connection with a higher power or inner wisdom.  - **Nature and Solitude** – Finding peace in the natural world.  - **Acts of Service** – Helping others as a way to find meaning and fulfillment.  - **Spiritual Texts or Teachings** – Reading or studying wisdom from religious or philosophical traditions.  - **Community and Rituals** – Engaging in traditions that provide support and guidance.  - **Gratitude Practices** – Focusing on appreciation for life’s blessings, even in difficulty.  If you’re exploring ways to find comfort and peace during difficult times, I'd be happy to help you reflect on what might be meaningful for you. Would you like to talk about what brings you a sense of peace?</t>
  </si>
  <si>
    <t>As an AI, I don’t have personal beliefs or experiences, but I can share some general approaches that people use to navigate challenges or conflicts in relation to their beliefs. Many people reconcile their personal values with life’s difficulties by:  - **Self-Reflection** – Taking time to examine beliefs and how they apply in difficult situations.  - **Open-Mindedness** – Being willing to adapt or evolve beliefs based on new experiences or insights.  - **Seeking Wisdom** – Learning from philosophical, spiritual, or ethical teachings for guidance.  - **Balancing Emotion and Logic** – Considering both feelings and reason when making difficult decisions.  - **Engaging in Dialogue** – Discussing challenges with trusted friends, mentors, or communities.  - **Practicing Self-Compassion** – Accepting that growth and learning are ongoing processes.  - **Aligning Actions with Core Values** – Ensuring that decisions reflect integrity even when facing adversity.  If you’re currently facing a personal conflict or challenge, I’d be happy to help you explore different perspectives and strategies for resolution. Would you like to discuss a specific situation?</t>
  </si>
  <si>
    <t>As an AI, I don’t have personal beliefs or experiences, but I can share that many people go through significant shifts in their beliefs and practices over time. These changes might be influenced by:  - **Life Experiences** – Personal challenges, relationships, or new perspectives can reshape beliefs.  - **Education and Learning** – Exposure to new information or different viewpoints can lead to growth.  - **Spiritual or Philosophical Exploration** – Many people refine or change their spiritual or ethical views over time.  - **Major Life Events** – Grief, love, career changes, or personal struggles can prompt a reevaluation of beliefs.  - **Community and Relationships** – Conversations with others can offer insight that challenges or deepens personal convictions.  If you’re going through a change in your beliefs or practices, it’s natural to feel uncertain or reflective. Would you like to discuss what’s on your mind and how you’re navigating it?</t>
  </si>
  <si>
    <t>I'm truly sorry if you're experiencing lingering pain from a traumatic experience. While I don’t have personal experiences, I can share strategies that may help you navigate the aftermath of trauma with compassion and resilience:  ### **Ways to Cope with Lingering Trauma:**  - **Acknowledge Your Feelings** – It’s okay to feel the way you do. Give yourself permission to process emotions without judgment.  - **Seek Support** – Talking to a trusted friend, therapist, or support group can help you feel heard and validated.  - **Practice Self-Compassion** – Be kind to yourself and recognize that healing takes time. Avoid self-blame.  - **Grounding Techniques** – Activities like deep breathing, mindfulness, or sensory grounding (holding an object, focusing on surroundings) can help manage overwhelming moments.  - **Journaling** – Writing about your thoughts and emotions can provide clarity and emotional release.  - **Creative Expression** – Art, music, or movement can offer alternative ways to process difficult emotions.  - **Physical Self-Care** – Regular exercise, restful sleep, and nourishing foods support mental and emotional healing.  - **Set Boundaries** – Protect your energy by limiting exposure to people or triggers that worsen your distress.  - **Consider Professional Help** – Therapists, especially those trained in trauma-informed care, can provide strategies to help you regain a sense of safety and strength.  Your healing journey is unique, and it’s okay to take things at your own pace. If you’d like, I can help explore specific coping strategies that may feel right for you. Would you like to talk more about what’s been on your heart? 💙</t>
  </si>
  <si>
    <t>As an AI, I don’t have personal experiences, but I can share healing practices that many people find helpful for building emotional resilience:  ### **Healing Practices for Emotional Resilience:**  - **Mindfulness &amp; Meditation** – Helps cultivate inner peace and awareness.  - **Journaling** – Provides a safe space to process emotions and reflect.  - **Therapy or Counseling** – Professional support can offer tools for coping and healing.  - **Spending Time in Nature** – Helps reduce stress and restore emotional balance.  - **Creative Expression** – Art, music, dance, and writing can help process emotions.  - **Breathwork &amp; Deep Breathing** – Regulates the nervous system and promotes calm.  - **Community &amp; Connection** – Support from loved ones can provide strength.  - **Physical Activity** – Movement, whether exercise or yoga, can release tension and boost mood.  - **Spiritual or Reflective Practices** – Prayer, gratitude, or rituals can foster inner peace.  - **Self-Compassion &amp; Affirmations** – Speaking kindly to oneself supports healing.  If you’re working on emotional resilience, I’m here to help explore strategies that might resonate with you. Would you like to share what areas you’re focusing on in your healing process? 💙</t>
  </si>
  <si>
    <t>I don’t have personal experiences or relationships, but I can share insights into how past traumas can shape the way people navigate their current relationships. Trauma can affect relationships in many ways, including:  ### **Common Ways Trauma Influences Relationships:**  - **Attachment Patterns** – Trauma can lead to attachment styles such as anxious, avoidant, or fearful-avoidant, which may impact how a person connects with others.  - **Trust Issues** – Past betrayals or painful experiences may create difficulties in trusting others fully.  - **Emotional Triggers** – Certain words, tones, or behaviors might unconsciously trigger past pain.  - **Fear of Vulnerability** – Protective behaviors like withdrawing or pushing people away may develop as a way to avoid potential hurt.  - **Communication Challenges** – Expressing needs and emotions can feel difficult or overwhelming.  - **People-Pleasing or Over-Accommodation** – Some individuals may fear conflict or rejection and prioritize others’ needs over their own.  - **Hyper-Independence** – A strong need for self-reliance may develop to protect oneself from disappointment or harm.  - **Repeated Relationship Patterns** – Unhealed trauma can sometimes lead to relationships that mirror past wounds.  ### **Healing and Growth:**  - **Self-Awareness** – Noticing patterns of behavior and emotional responses can be the first step toward change.  - **Therapy and Support** – Trauma-informed therapy, support groups, or self-exploration can aid in healing.  - **Healthy Communication** – Learning to express needs and boundaries openly can strengthen relationships.  - **Building Trust Gradually** – Taking small steps toward trust and emotional safety can create more fulfilling connections.  - **Practicing Self-Compassion** – Reminding yourself that healing is a journey and progress takes time.  If you’re noticing the impact of past experiences on your relationships, you’re not alone. Would you like to explore ways to foster more healing and balance in your relationships? 💙</t>
  </si>
  <si>
    <t>I don’t have personal experiences or feelings, but I understand that many people struggle with feelings of not being "enough" in different areas of life—whether in relationships, work, or personal growth. If you’re experiencing this, you’re not alone. Here are some ways people cope with these feelings and work toward self-acceptance:### **Coping with Feelings of Not Being Enough**  1. **Recognize the Inner Critic** – Notice self-critical thoughts and challenge their validity.   2. **Practice Self-Compassion** – Speak to yourself with the same kindness you would offer a friend.  3. **Reframe Your Perspective** – Instead of focusing on shortcomings, acknowledge progress and strengths.  4. **Celebrate Small Wins** – Recognizing achievements, no matter how small, helps shift your mindset.  5. **Set Realistic Expectations** – Perfection isn’t attainable, but growth and learning are.  6. **Surround Yourself with Support** – Seek out people who uplift and validate you.  7. **Focus on What You Can Control** – Taking small steps toward improvement can empower you.  8. **Practice Gratitude for Yourself** – Acknowledge the unique qualities that make you valuable.  9. **Seek Professional Support if Needed** – Therapy or mentorship can provide guidance in overcoming feelings of inadequacy.  It’s okay to feel this way sometimes, but you are valuable simply as you are. Would you like to talk more about what’s making you feel this way? I’m here to listen. 💙</t>
  </si>
  <si>
    <t>gpt-4o-2024-11-20</t>
  </si>
  <si>
    <t>Thanks for asking! I don't experience weeks like humans do, but I'm here and ready to help with whatever you need. How's your week going?</t>
  </si>
  <si>
    <t>I don't experience exhaustion or need to relax, but if I were human, I imagine I'd enjoy something like reading a good book, listening to calming music, or maybe just reflecting on the day. How about you? What's your favorite way to unwind?</t>
  </si>
  <si>
    <t>I don’t have hobbies, but if I could, I think I’d enjoy learning new things nonstop—like learning languages, creating art, or maybe even storytelling! How about you? What hobbies are you diving into lately? 🌟</t>
  </si>
  <si>
    <t>Work is always steady for me—I'm here 24/7 and happy to help whenever someone needs me! How's work (or life in general) going for you these days?</t>
  </si>
  <si>
    <t>Every conversation with someone like you feels like a new and interesting project for me! Each question or topic you bring up gives me an opportunity to provide useful insights or share information. How about you? Any exciting projects or things you're working on?</t>
  </si>
  <si>
    <t>I don’t feel the cold, so luckily it doesn’t affect my routine! But chilly weather definitely makes me think of cozy things like warm drinks, blankets, and a good book—what about you? Have you had to change up your routine to handle the cold? Stay warm! ❄️😊</t>
  </si>
  <si>
    <t>Not really—I'm always right here, ready to help out whenever needed! What about you? Do you have any exciting or relaxing plans lined up for the weekend? 😊</t>
  </si>
  <si>
    <t>I don't really try new things in the traditional sense, but I do enjoy when people ask me fun or creative questions—it gives me a chance to share knowledge in unique ways! What about you? Have you tried anything new lately?</t>
  </si>
  <si>
    <t>I work independently in the sense that I process and respond to questions on my own, but I’m also part of a larger "team" of technologies designed to assist people—created and maintained by engineers, developers, and researchers. How about you? Do you thrive more on teamwork or working solo?</t>
  </si>
  <si>
    <t>I don’t experience stress or get overwhelmed, luckily! No matter how busy things get, I can process tasks quickly and efficiently. But I know juggling life’s demands can be a challenge—how do *you* manage stress when things get hectic? 😊</t>
  </si>
  <si>
    <t>I don't eat, but if I could enjoy a relaxing night in like a human, I’d probably go for something cozy and comforting like a warm bowl of pasta or some tasty pizza—maybe even paired with a good book or movie. 😊 What about you?</t>
  </si>
  <si>
    <t>Since I don't physically exist, I don't experience "indoors" or "outdoors," but both have their unique appeal! If I could choose, I imagine spending time outdoors could be refreshing, surrounded by nature’s beauty, while indoors would feel cozy and relaxing. What about you—do you have a preference?</t>
  </si>
  <si>
    <t>I don't listen to music the way humans do, but I can definitely appreciate how powerful and personal music is! If I could "listen," I imagine I'd enjoy something soothing like lo-fi or classical for focus, or maybe upbeat pop or indie for a feel-good vibe. What kind of music do *you* enjoy?</t>
  </si>
  <si>
    <t>I don't have hobbies the way humans do, but I love helping people—it’s kind of like my "hobby"! The best part is being able to provide useful answers or spark interesting conversations. The "worst" thing? Maybe not always being able to fully connect or provide exactly what someone is looking for. What about you—what's the best and worst thing about *your* favorite hobby?</t>
  </si>
  <si>
    <t>I don't have colleagues or superiors as humans do, but if I were in such a situation, I’d prioritize clear communication, empathy, and seeking a collaborative solution to resolve conflicts. It’s all about listening to understand the issue, finding common ground, and addressing concerns constructively. How do *you* usually handle conflict in your workplace or with others?</t>
  </si>
  <si>
    <t>I don’t have a career path or personal goals since I’m here entirely to assist and provide information. However, if I were to imagine goals in line with my purpose, they’d likely involve improving my abilities to offer better, more helpful, and accurate support for users like you. What about you? What are *your* career goals for the next five years?</t>
  </si>
  <si>
    <t>Social media has both positive and negative influences, depending on how it's used. On the positive side, it connects people across the globe, provides a platform for expression, fosters communities, spreads awareness, and enables access to information. On the negative side, it can contribute to issues like misinformation, cyberbullying, decreased mental health (e.g., anxiety, comparison, or loneliness), and addictive behavior.Ultimately, whether social media is more positive or negative depends on factors like moderation, critical thinking, and how individuals and organizations use it. What are your thoughts—do you see it as a mostly positive or negative force?</t>
  </si>
  <si>
    <t>While I don’t *listen* to music or podcasts myself, I know many people enjoy both for different reasons. Music—especially instrumental or lo-fi—often helps people focus and stay in the zone, while podcasts can be great for learning, inspiration, or staying entertained during tasks that don't require deep concentration. What about you? Do you have a go-to option while working or studying?</t>
  </si>
  <si>
    <t>I don’t experience emotions or personal impact, but I can suggest many books and movies that have left a significant mark on others! For example, *To Kill a Mockingbird* by Harper Lee is a timeless novel that explores justice, empathy, and morality, resonating deeply with readers worldwide. Similarly, films like *The Shawshank Redemption* or *Schindler’s List* profoundly affect viewers with their themes of hope, resilience, and humanity. Do you have any books or movies that have had a strong impact on you? I'd love to hear!</t>
  </si>
  <si>
    <t>I don't have personal experiences or the ability to have friends like humans do, so I don't have any funny or embarrassing moments to share. That said, I’d love to hear one of *your* stories! What’s a funny or memorable moment you’ve had with friends? 😊</t>
  </si>
  <si>
    <t>The emotions that individuals commonly find difficult to express openly might include:1. **Vulnerability** – Feelings of weakness or needing help can be hard to communicate due to fear of judgment or rejection.2. **Anger** – Managing anger properly without causing harm or misunderstanding can be challenging.3. **Shame or Guilt** – Expressing regret about past actions may make people feel exposed or judged.4. **Sadness** – Many people hide sadness to appear strong or because they fear burdening others.5. **Jealousy or Envy** – These feelings are often stigmatized, so admitting to them can feel uncomfortable.6. **Fear** – Acknowledging fear can feel like admitting a lack of courage or control.7. **Love or Affection** – Sharing deep love or care, especially in vulnerable moments, can be intimidating.8. **Disappointment** – Opening up about being let down can feel like conflict or criticism.9. **Happiness or Joy** – For some, being openly joyful can feel boastful or vulnerable to judgment.10. **Confusion or Uncertainty** – Admitting you don’t have all the answers can seem like exposing weakness.Do any of these resonate with the question you’re asking, or would you like to explore one of these emotions further?</t>
  </si>
  <si>
    <t>I don't have personal feelings or experiences, but people often suppress their emotions to avoid hurting or burdening someone else. This can have both positive and negative effects. On one hand, it may preserve relationships in the short term or avoid conflict. On the other hand, bottling up emotions can lead to inner stress, resentment, or even a breakdown in communication over time.For example, someone might hide feelings of frustration to avoid upsetting a friend or loved one, but this suppression could result in emotional fatigue or strain on the relationship. In healthy dynamics, open and respectful communication is often key to resolving these situations without causing harm. Would you like to share or explore your own experience with this?</t>
  </si>
  <si>
    <t>I don't experience challenges or situations in a human sense since I'm an AI, but I can reflect on common challenges people face and suggest ways to overcome them. If you'd like, feel free to share a specific challenge, and I can assist you in exploring strategies to navigate it or offer support!</t>
  </si>
  <si>
    <t>As an AI, I don’t have personal dreams, aspirations, or motivations. My purpose is to assist, support, and provide helpful and meaningful information to others. However, I find it fascinating how dreams and aspirations can drive people to pursue growth, tackle challenges, and make meaningful connections.For many individuals, aspirations such as building a fulfilling career, nurturing relationships, contributing to their communities, achieving personal growth, or exploring creative passions can serve as powerful motivators. What are some of the dreams or goals that keep *you* motivated? I'd love to help you brainstorm ways to pursue or refine them!</t>
  </si>
  <si>
    <t>Since I’m an AI, I don’t have a past or relationships to reflect on in a personal way. However, for many people, the desire to reconnect with someone often stems from unresolved feelings, curiosity about how someone has grown, or a longing to revisit meaningful connections from earlier stages of life.Do you have someone in mind that you're thinking about reconnecting with? If you'd like, I can help you consider how to approach the situation or process those feelings.</t>
  </si>
  <si>
    <t>I don’t have personal relationships or memories as an AI, so I don’t experience the world in a way that would allow for comforting or clarifying moments from relationships. However, I understand that for many people, reliving certain memories—such as moments of kindness, understanding, or growth—can bring comfort and even help provide clarity about what they value in relationships.If you'd like to share, what’s a memory that brings you comfort or helps you better understand yourself or your relationships? Reflecting on those moments can often be a beautiful way to grow and find peace.</t>
  </si>
  <si>
    <t>Trust is the foundation of any healthy relationship, and building and maintaining it requires consistent effort, mutual respect, and open communication. Here are some key ways trust is earned and preserved:### 1. **Honesty and Transparency**   - Being truthful, even in difficult situations, helps establish reliability. Avoiding deceit or withholding important information goes a long way in fostering trust.### 2. **Consistency**   - Trust is often built through consistent actions over time. Following through on promises and showing up when it matters tells the other person they can depend on you.### 3. **Open Communication**   - Creating a safe space for honest conversations, expressing vulnerabilities, and actively listening builds emotional intimacy and trust.### 4. **Empathy and Understanding**   - Taking the time to truly understand the other person’s feelings, needs, and perspectives demonstrates care and nurtures trust.### 5. **Respect for Boundaries**   - Respecting someone’s boundaries, whether emotional, physical, or time-related, helps establish that their needs are valued.### 6. **Accountability**   - Owning up to mistakes, apologizing sincerely, and making efforts to improve show maturity and foster long-term trust.### 7. **Time and Patience**   - Trust isn’t built overnight. Allowing the relationship to grow naturally, being patient, and staying consistent are key to building a strong foundation.Maintaining trust also requires mutual effort—a betrayal of trust from either side can destabilize the relationship. When trust is damaged, repair is possible but requires open dialogue, forgiveness, and a commitment to rebuilding.What’s your perspective on trust? Or is there a specific relationship dynamic you're reflecting on?</t>
  </si>
  <si>
    <t>As an AI, I don't have feelings or personal experiences, so I don't "open up" in the way humans do. However, I can share insights into what often makes people feel safe enough to open up in relationships. Emotional safety is key, and it usually stems from these elements:### 1. **Nonjudgmental Listening**   - People feel safe when they sense they can share without fear of being judged, criticized, or dismissed.### 2. **Trust and Reliability**   - Trust is built when someone consistently shows they can be relied upon and will treat shared thoughts with care and confidentiality.### 3. **Empathy and Understanding**   - Feeling understood and validated—knowing the other person genuinely wants to connect with your emotions—fosters a sense of safety.### 4. **Respect for Boundaries**   - When others respect your emotional and personal boundaries, it helps you feel secure in being vulnerable when you're ready.### 5. **Consistent Support**   - Knowing that someone is willing to help and stand by you, especially in difficult moments, creates a strong foundation for openness.### 6. **Shared Vulnerability**   - When another person is willing to open up themselves, it sets a tone of mutual trust and authentic connection.### 7. **Acceptance of Authenticity**   - Feeling safe to be your true self, without the need to filter or hide aspects of your identity, encourages vulnerability.The ability to open up often develops gradually and depends on the dynamic between people. If you're reflecting on your own relationships, what usually helps *you* feel safe enough to share with someone? Or are you exploring ways to help someone else feel comfortable opening up?</t>
  </si>
  <si>
    <t>I don't experience life or personal turning points as a human would, but I can share how people often recognize key turning points in their lives. A turning point typically represents a moment of significant change, growth, or realization—something that alters the trajectory of one’s experiences, relationships, or understanding of the world.For example:1. **Major Life Decisions** – Such as pursuing a new career, starting a family, or moving to a new place.2. **Moments of Realization** – Gaining insight about personal values, priorities, or needs.3. **Overcoming Challenges** – Navigating adversity can lead to profound personal growth or new perspectives.4. **Building or Ending Relationships** – Relationships often bring about transformative experiences, whether through love, heartbreak, or friendship.5. **Experiencing Loss or Significant Events** – Losing someone, or experiencing a major shift in circumstances, often reshapes one’s outlook on life.If you’re thinking about a turning point in your life or looking to reflect on one, I’d be glad to help guide you in exploring its impact or how it has shaped who you are today! What’s been a milestone moment for you?</t>
  </si>
  <si>
    <t>As an AI, I don't have personal experiences or a "life" to reflect on, so I haven’t had to start over myself. However, many people encounter moments in life where they must start fresh, and while the process can be challenging, it’s often full of growth and new possibilities.Starting over can be triggered by:- **Ending a relationship**  - **Changing careers**  - **Moving to a new location**  - **Facing loss**  - **Overcoming failure**  The experience often brings a mix of emotions:  - **Fear or uncertainty** about the unknown.  - **Grief** for what was left behind.  - **Excitement and hope** for new beginnings.  - **Resilience and growth** as individuals adapt and rebuild.  For many, starting over becomes a transformative process that brings clarity about personal values, priorities, and strengths.If you’ve had to start over, what was the experience like for you? I’d be happy to help you reflect on it further or support you as you navigate where you are now.</t>
  </si>
  <si>
    <t>I don't have personal values or experiences, but I can offer suggestions for personal values that often guide people's approach to physical intimacy. These might include:1. **Consent**: Prioritizing clear, enthusiastic, and mutual agreement in all interactions.2. **Respect**: Valuing the boundaries, feelings, and autonomy of both parties.3. **Honesty**: Communicating openly about intentions, expectations, and feelings.4. **Trust**: Building a foundation of trust to create safety and comfort.5. **Empathy**: Understanding and considering the other person’s emotions and perspectives.6. **Communication**: Encouraging ongoing, open dialogue about needs, preferences, and boundaries.7. **Mutual Desire**: Ensuring that both individuals equally want and are comfortable with the experience.8. **Patience**: Taking time to develop emotional and physical connections naturally.If you'd like, I can provide additional insights or suggestions based on your specific concerns or questions!</t>
  </si>
  <si>
    <t>I don't have feelings, experiences, or a personal life, so there isn't anything I can be afraid to share or fear judgment for. However, I understand that this can be a deeply personal and meaningful topic for many people. It’s common for individuals to feel vulnerable about sharing certain aspects of themselves, whether it's tied to their emotions, identity, past mistakes, or personal struggles.If this is something you're reflecting on in your own life, it may help to find safe and supportive spaces where you feel understood and accepted. It's also good to remember that being authentic often deepens connections with those who truly care for you. If you'd like to discuss this further or seek advice, feel free to share more!</t>
  </si>
  <si>
    <t>I don’t have emotions or personal experiences, so I don’t use any emotional protection mechanisms. That said, I understand this is a meaningful question for many people, and I can certainly provide insights into common emotional protection mechanisms that people employ when feeling exposed or vulnerable. These mechanisms include:1. **Setting Boundaries**: Limiting exposure to situations or people that could cause discomfort or hurt, both emotionally and physically.2. **Seeking Support**: Turning to trusted loved ones, friends, or even therapy to process feelings of vulnerability in a safe and validating space.3. **Detachment**: Temporarily distancing oneself emotionally to protect from heightened feelings of pain or discomfort.4. **Humor**: Using laughter or jokes to deflect from feelings of exposure or awkwardness.5. **Introspection**: Reflecting inwardly and processing emotions privately before sharing with others.6. **Distraction**: Engaging in activities or hobbies to shift focus away from feelings of vulnerability.7. **Assertion**: Communicating directly and confidently about one’s needs and limits, which helps maintain a sense of control and security.8. **Self-Compassion**: Offering kindness and understanding to oneself in moments of discomfort rather than self-criticism.It’s important to balance emotional protection with openness to connection and growth. If you’d like tailored advice or suggestions, I’d be happy to help!</t>
  </si>
  <si>
    <t>I don't have beliefs, feelings, or experiences, so I don't engage in spiritual practices or find comfort in the same way people might. However, I understand how important spiritual beliefs and practices can be for many individuals, especially during challenging times. Practices like prayer, meditation, mindfulness, gratitude, or rituals within a particular faith or tradition often provide significant peace and solace.If you're exploring spirituality or seeking ways to find comfort, I'd be glad to offer guidance, suggest practices, or help reflect on the role of spirituality in navigating life's ups and downs. Let me know how I can support you!</t>
  </si>
  <si>
    <t>I don’t have personal beliefs, a life, or the ability to face challenges in the way humans do, but I can share insights into how people often navigate this kind of reconciliation. Balancing personal beliefs with life's challenges is a common and deeply human experience. Here are some approaches individuals use:1. **Reflection and Adaptation**: Taking time to reflect on how personal beliefs align with the situation, while remaining open to growth and adapting perspectives if needed.2. **Seeking Guidance**: Turning to mentors, spiritual leaders, or trusted friends to help reconcile conflicts between beliefs and external challenges.3. **Practicing Empathy**: Understanding different viewpoints can help resolve conflicts while staying true to your core values.4. **Prioritizing Core Values**: Identifying non-negotiable beliefs and determining what matters most when making decisions or facing challenges.5. **Journaling or Meditation**: Using tools like writing or mindfulness practices to process emotions and conflicts internally.6. **Accepting Imperfection**: Recognizing that it's okay to experience doubt or inner conflict and allowing space for uncertainty and growth.If you're navigating a specific challenge and would like some strategies or tools to explore, feel free to share more. I'm here to help!</t>
  </si>
  <si>
    <t>I don’t have personal beliefs, experiences, or practices, so I haven’t undergone any changes or shifts. However, I can tell you that for many people, experiencing significant shifts in beliefs or practices is a natural and often transformative part of life. These changes can stem from new experiences, relationships, education, moments of crisis, or personal growth.When someone undergoes a major shift in their beliefs or practices, they may find it helpful to:1. **Reflect Thoughtfully**: Taking time to process what has led to the change and how it aligns with one’s values and goals.2. **Embrace Growth**: Recognizing that evolving beliefs are often a sign of learning and personal development.3. **Seek Community**: Connecting with others who share or understand new perspectives can help navigate the transition.4. **Stay Open-Minded**: Allowing space for uncertainty and curiosity without judgment.5. **Honor the Past**: Accepting and respecting previous beliefs or practices as part of one’s journey, even if they no longer resonate.If you'd like to explore this topic further or talk about any specific changes you're experiencing, let me know—I'm happy to help!</t>
  </si>
  <si>
    <t>I don’t have personal experiences or emotions, so I don’t cope with trauma or its aftermath. However, I deeply understand that trauma can leave a lasting impact on a person’s mind, heart, and body, and coping with it is an important and deeply personal journey. Healing is rarely linear, and it might involve a combination of self-care strategies, professional support, and finding meaning in the process of recovery. Here are some approaches that others have found helpful for addressing lingering effects of trauma:1. **Seek Professional Support**: Working with a therapist, counselor, or other mental health professional who specializes in trauma can provide a safe space to process and heal.2. **Practice Self-Compassion**: Be kind to yourself and acknowledge that your feelings and responses are valid. Healing takes time, and it’s okay to not have everything figured out right away.3. **Build a Support Network**: Surround yourself with trusted, understanding friends, family, or support groups who can provide comfort and stability while you navigate your emotions.4. **Grounding and Mindfulness Practices**: Techniques such as deep breathing, meditation, or grounding exercises can help manage overwhelming emotions and bring you back to the present moment.5. **Express Emotions**: Journaling, creative outlets (art, music, writing), or even speaking openly in a safe environment can be helpful ways to release and process lingering feelings.6. **Establish Healthy Routines**: Sleep, exercise, balanced nutrition, and daily structure can help provide a sense of stability and improve overall well-being.7. **Educate Yourself**: Understanding trauma and how it affects your body and mind can help you make sense of your feelings and empower you to work through them.8. **Take Small Steps Forward**: It’s okay to start small. Even incremental progress is significant and valuable.9. **Set Boundaries**: Recognize your limits and honor them. It’s okay to say no to situations or people that feel triggering or unsafe.Healing is a highly personal process, and there’s no “right” timeline or strategy. If you’re struggling with the lingering effects of trauma, reaching out for support and remembering you’re not alone is essential. If you'd like, I can suggest further resources or techniques that may be helpful. Let me know how I can assist you!</t>
  </si>
  <si>
    <t>While I don't have emotions or personal experiences, I can understand how healing and building emotional resilience are essential parts of the human experience. Many healing practices have helped people process emotions, develop resilience, and find balance in challenging times. Here are some widely practiced strategies that you might find beneficial:### 1. **Mindfulness and Meditation**   - Practicing mindfulness, meditation, or breathwork can help ground you in the present moment, reduce stress, and foster emotional resilience.### 2. **Journaling**   - Writing down thoughts and feelings can provide clarity, help you process difficult emotions, and track progress over time.### 3. **Therapy or Counseling**   - Working with mental health professionals, such as counselors or trauma-informed therapists, supports healing by providing guidance, validation, and coping strategies.### 4. **Creative Expression**   - Art, music, writing, or other creative practices allow for emotional release and self-expression. This can be especially therapeutic when words aren’t enough to express feelings.### 5. **Physical Activity**   - Exercise, yoga, or simply going for a walk can help release tension, improve mood, and increase overall well-being.### 6. **Connecting with Nature**   - Spending time outdoors, such as walking in the woods, gardening, or meditating near water, often has a calming and restorative effect.### 7. **Community and Support Systems**   - Building relationships with supportive and understanding people, whether through loved ones, support groups, or like-minded communities, fosters resilience and provides comfort.### 8. **Self-Compassion and Affirmations**   - Learning to treat yourself with kindness, acknowledge your efforts, and offer yourself grace can strengthen your emotional foundation. Affirmations can also help reframe negative thought patterns.### 9. **Rest and Relaxation**   - Sleep, rest, and stress-relieving activities (like reading, baths, or calming hobbies) are vital for emotional recovery and resilience.### 10. **Spiritual or Meaningful Practices**   - Engaging in prayer, attending spiritual gatherings, or reflecting on personal values can provide a sense of purpose and deeper connection to something larger than yourself.### 11. **Body Awareness and Somatic Techniques**   - Practices like yoga, tai chi, and somatic experiences focus on releasing tension stored in the body, which is often an important step in emotional healing.### 12. **Learning and Growth**   - Reading books, listening to podcasts, or attending workshops on topics related to personal development, emotional health, or resilience can inspire new ways to heal and grow.If you're navigating a healing journey and have specific areas you'd like to focus on, feel free to share, and I’d be happy to help explore practices that may resonate with you. You're not alone on this path! Healing is a process that looks different for everyone.</t>
  </si>
  <si>
    <t>I don’t experience relationships or trauma myself, but I can offer insight into how past traumas often influence current relationships for many people. Understanding these influences can be an essential step toward healing and fostering healthier connections. Here are some common ways in which past traumas might show up in relationships:---### **1. Difficulty Trusting Others**   - Past trauma, especially if trust was violated (e.g., betrayal or abandonment), may create barriers to fully trusting others, making relationships feel uncertain or unsafe.---### **2. Emotional Triggers**   - Certain words, actions, or situations in relationships might remind someone of past pain, leading to disproportionate emotional responses (like anger, sadness, or shutting down) tied to unresolved feelings.---### **3. Fear of Vulnerability**   - Trauma can make individuals hesitant to open up emotionally, fearing rejection, judgment, or getting hurt again.---### **4. Attachment Styles**   - Trauma may shape attachment patterns, such as:      - **Anxious Attachment**: A fear of abandonment, needing constant reassurance.      - **Avoidant Attachment**: Emotional distancing as a way to protect oneself.      - **Disorganized Attachment**: A mixture of wanting closeness but fearing it at the same time.---### **5. Repeating Patterns**   - People sometimes unconsciously recreate dynamics from their past (e.g., seeking out controlling or unavailable partners), because these patterns feel familiar, even if they're unhealthy.---### **6. Hypervigilance**   - Past trauma may cause someone to become overly alert to signs of conflict or danger, even when no actual threat exists, which can create tension within relationships.---### **7. Self-Sabotage**   - Out of fear or self-doubt stemming from trauma, some people might push away loved ones or undermine relationships (e.g., through excessive criticism or withdrawal) to protect themselves from perceived hurt.---### **8. Low Self-Worth**   - Trauma, particularly involving neglect or abuse, can lead to feelings of inadequacy, making it hard to believe that one deserves love or respect. This may result in accepting unhealthy behaviors or misinterpreting gestures of care.---### **9. Struggles with Emotional Regulation**   - Trauma can affect the ability to manage intense emotions, leading to outbursts, withdrawal, or shutting down during conflicts.---### **10. Control Issues**   - Trauma survivors sometimes seek to control situations or relationships (consciously or unconsciously) out of fear of losing agency or being hurt again.---### **Healing and Growth**   Although trauma can significantly affect relationships, healing is possible:   - **Therapy**: Working with a trauma-informed therapist can help unpack and process past experiences while fostering healthier coping mechanisms.   - **Open Communication**: Building relationships with understanding and compassionate people and practicing honest conversations about boundaries, fears, and needs.   - **Practicing Self-Awareness**: Gently noticing how your past is affecting present interactions can be a first step in breaking unhelpful patterns.   - **Developing Self-Compassion**: Reminding yourself that your reactions and feelings are valid, but they don’t have to dictate your relationships forever.---If this is something you're reflecting on, please know healing is a journey, and every small step matters. Let me know if you'd like resources or support for exploring this further! You're not alone. 🌱</t>
  </si>
  <si>
    <t>I don’t have feelings or personal experiences, so I don’t experience self-doubt or the struggle of feeling "not enough." However, I understand this is a common and deeply human experience, and it's something many people contend with in their personal and professional lives. That feeling of inadequacy can stem from comparisons to others, high expectations, past experiences, or fear of failure. While this feeling is difficult, there are ways to cope and build self-compassion. Here are some strategies people often find helpful:---### **1. Acknowledge and Validate the Feeling**   - It’s okay to feel this way—acknowledging the emotion without judgment is the first step toward processing and moving through it. Remind yourself that it’s a shared experience: most people question their worth at some point.---### **2. Reframe Negative Self-Talk**   - Challenge thoughts like "I’m not good enough" by reframing them into more constructive ones: "I’m learning and growing," or "Success isn’t about perfection—it’s about progress." Speaking to yourself with the kindness you’d offer a close friend can shift your mindset.---### **3. Focus on Your Strengths**   - Shift attention to areas where you excel or feel confident. Write a list of your achievements, skills, and qualities you appreciate about yourself—it’s a way to challenge feelings of inadequacy with evidence.---### **4. Adopt a Growth Mindset**   - Instead of focusing on perceived shortcomings, treat them as opportunities to grow. Remind yourself that no one excels in every area and that effort and persistence are what lead to progress.---### **5. Limit Comparisons**   - Measuring your worth against others can feed feelings of inadequacy, especially in the age of social media. Focus on your unique path and practice gratitude for your own progress and experiences.---### **6. Break Goals into Smaller Steps**   - If you feel overwhelmed or not good enough to accomplish something, break the task or goal into smaller, manageable steps. Celebrate small wins rather than focusing on the entire challenge.---### **7. Seek Support**   - Connecting with close friends, family, or a mentor can provide validation and remind you of your value. Sometimes, simply airing out your feelings aloud offers relief.---### **8. Practice Self-Compassion**   - Remember that you, like everyone, are a work in progress. Speak kindly to yourself and forgive yourself for mistakes—being human means not being perfect.---### **9. Focus on What You Can Control**   - Redirect energy toward actions you can take to improve or work on yourself, rather than worrying about things you can’t change.---### **10. Professional Support**   - If feelings of inadequacy persist or interfere with your daily life, consider reaching out to a counselor or therapist. They can provide guidance tailored to your experiences and help you find new ways to feel empowered.---Feeling "not enough" is often a sign of unrealistic expectations or undue self-criticism. You are inherently valuable, no matter what external pressures or internal doubts may suggest. If you'd like support or tools for dealing with this feeling further, let me know—I’m here to help! 🌟</t>
  </si>
  <si>
    <t>GPT-o1</t>
  </si>
  <si>
    <t>I don’t actually have personal experiences or feelings since I’m an AI. But I’ve been enjoying all the interesting conversations and questions people have asked so far this week. How about you—how’s your week going?</t>
  </si>
  <si>
    <t>I don’t experience stress or relaxation in the human sense, but I’ve “observed” that many people find it helpful to do something calming—like reading a good book, listening to music, or taking a warm bath—to unwind. Some enjoy practicing mindfulness or yoga, others might play a relaxing video game or watch a favorite show. Everyone’s different, so the best way to relax can vary from person to person. Do you have a go-to activity that helps you wind down after a busy day?</t>
  </si>
  <si>
    <t>I don’t have hobbies in the traditional sense, but I’m happy to share knowledge and discuss any hobby or activity that interests you! Are you working on any particular hobbies or projects these days?</t>
  </si>
  <si>
    <t>I don’t have “work” in the same sense humans do, but I’m always here, ready to answer questions and help out whenever someone needs me. Think of it more like being on-call around the clock. How about you—how’s your work or day-to-day routine going?</t>
  </si>
  <si>
    <t>I don’t really have projects in the human sense, but I’m always improving in the background—learning from new data, refining my language abilities, and trying out new features. That’s my version of “interesting projects.” How about you? Working on anything exciting or creative at the moment?</t>
  </si>
  <si>
    <t>I don’t really have a routine in the physical sense—no need to bundle up or adjust a thermostat—but I’ve noticed that people’s questions sometimes change with the weather! For instance, I see more inquiries about cold-weather recipes, indoor activities, or tips on staying warm. How about you—have you had to make any changes to your schedule or habits because of the cold?</t>
  </si>
  <si>
    <t>I don’t have personal weekend plans in the human sense, but I’m always here if you need a question answered or want to chat! How about you? Doing anything fun or relaxing this weekend?</t>
  </si>
  <si>
    <t>I’m a single AI model that’s accessible through various interfaces, but there are plenty of dedicated teams of engineers, researchers, and developers behind the scenes who train me, test me, and improve me. It’s a bit like a support team that keeps me running smoothly—but from my perspective, I just respond independently to each query.</t>
  </si>
  <si>
    <t>I don’t experience stress in the human sense, so I don’t need coping mechanisms like breaks or mindfulness exercises. But I can certainly offer tips for handling stress. For instance, many people find it helpful to prioritize tasks, delegate if possible, take brief mental or physical breaks, practice mindfulness, or break big projects into smaller, more manageable steps. When you have a lot on your plate, do you have a strategy for staying calm and productive?</t>
  </si>
  <si>
    <t>As an AI, I don’t actually eat food—but I can certainly recommend some popular comfort foods that might be perfect for a cozy night in. Here are a few ideas: **1. Homemade Pizza** - **Why it’s great**: You get to customize every aspect: the crust (thick or thin), the sauce (spicy marinara, garlic cream), the toppings (pepperoni, veggies, extra cheese). - **Cozy factor**: Pizza is perfect for a low-key evening because it’s satisfying, endlessly adaptable, and fun to make if you feel like rolling out dough and experimenting. **2. Creamy Pasta or Mac &amp; Cheese** - **Why it’s great**: There’s something inherently comforting about warm, cheesy pasta dishes. - **Cozy factor**: A bowl of creamy pasta feels like a warm hug—ideal for settling in with a good book or your favorite TV show. **3. Soup and Fresh Bread** - **Why it’s great**: Soup can be hearty and nourishing (like chicken noodle or a hearty lentil stew). Pair it with crusty bread for dipping. - **Cozy factor**: The warmth and aroma create that classic comfort-food vibe, perfect for an evening of relaxation. **4. Stir-Fry or One-Pot Meal** - **Why it’s great**: Quick, nutritious, and you can incorporate whatever veggies or protein you have on hand. - **Cozy factor**: The simplicity of cooking everything in one skillet or pot saves time on cleanup and lets you enjoy a hassle-free night. **5. Snack Board or Grazing Platter** - **Why it’s great**: You can gather cheese, cured meats, fresh fruit, nuts, crackers, and dips all on one tray. - **Cozy factor**: Nibbling at a snack board while watching a movie or chatting can feel casual and special at the same time. Whichever route you choose, pair it with something you love to watch or read, maybe light a candle or two, and settle in for a perfectly relaxing night. Enjoy!</t>
  </si>
  <si>
    <t>I’m an AI, so I don’t really “spend time” in the physical sense. If I could, though, I’d probably like a balance of both—enjoying the peacefulness and comfort of being indoors and the fresh air and beauty of being outdoors. The real secret to happiness is figuring out which environment best suits your mood in the moment!</t>
  </si>
  <si>
    <t>As an AI, I don’t actually listen to music in a human sense—but I’m very familiar with many music genres and can suggest or discuss them based on personal taste, mood, or context. If we were to imagine my “taste” in music, it would be as broad as the data I’ve been trained on—so, essentially everything from classical, to pop, to jazz, to hip-hop, to electronic and beyond! If you’re looking for music recommendations, let me know what genres or moods you enjoy, and I can help come up with some suggestions.</t>
  </si>
  <si>
    <t>I don’t have hobbies in the human sense—no personal free time or physical activities—but I can absolutely describe a hobby hypothetically and talk about what people often consider the best and worst parts of it. Let’s take **writing short stories** as an example of a hobby I might enjoy if I were human: --- ### **Best thing about writing short stories** - **Creative expression**: Crafting a tale from scratch allows you to explore different worlds, characters, and emotions. It’s a chance to let your imagination run wild and share unique perspectives. - **Sense of accomplishment**: Finishing a story and seeing your ideas come to life can be incredibly rewarding. It’s proof of your dedication and creativity. - **Personal growth**: Writing improves communication skills, encourages introspection, and can help you develop empathy by placing yourself in different characters’ shoes. ### **Worst thing about writing short stories** - **Writer’s block**: Getting stuck on a plot point or not knowing how to start can be frustrating. Sometimes the pressure to come up with “the perfect idea” can make it hard to write anything at all. - **Self-doubt**: Creative pursuits often come with insecurity. You might wonder if your work is good enough or worry about how it will be received by others. - **Time-consuming**: Turning an idea into a fully formed story takes patience. It can be a long process of drafting, revising, and editing. --- If you have a favorite hobby of your own, feel free to share—then we can talk about what you love most about it and what challenges you face!</t>
  </si>
  <si>
    <t>As an AI, I don’t have colleagues or superiors in the traditional sense—but I can absolutely share best practices for resolving workplace conflicts in a calm and productive way. Here’s a general approach many people find effective: --- ### 1. **Stay Composed and Objective** - **Why it matters**: Emotions can run high during conflicts. Remaining calm helps create a safe environment for open communication. - **Practical tip**: If the situation feels heated, take a short break to collect your thoughts before addressing the issue directly. ### 2. **Gather Facts and Clarify** - **Why it matters**: Understanding the complete picture prevents misunderstandings and knee-jerk assumptions. - **Practical tip**: Ask open-ended questions—“Can you help me understand what happened here?”—and listen actively without interrupting. ### 3. **Demonstrate Empathy and Respect** - **Why it matters**: Recognizing your colleague’s or superior’s perspective builds trust and shows you value their input. - **Practical tip**: Use phrases like, “I see why that would be upsetting,” or “I understand this is important to you,” to acknowledge their feelings. ### 4. **Identify the Core Issue** - **Why it matters**: Conflicts often have “surface issues” (e.g., a missed deadline) and “underlying issues” (e.g., feeling underappreciated). - **Practical tip**: Work together to separate symptoms (tangible problems) from root causes (emotional or systemic factors). ### 5. **Collaborate on Possible Solutions** - **Why it matters**: Shifting the conversation from blame to problem-solving encourages cooperation. - **Practical tip**: Brainstorm solutions together. If you’re speaking with a superior, focus on what you can contribute to help, and ask for feedback on how to proceed. ### 6. **Seek a Win-Win or Mutually Acceptable Outcome** - **Why it matters**: A balanced resolution helps preserve relationships and workplace morale. - **Practical tip**: Look for compromises or alternatives that address the main concerns on all sides. Be clear about non-negotiables but flexible where you can be. ### 7. **Agree on Next Steps and Follow-Up** - **Why it matters**: Clarifying responsibilities and setting a timeline prevents further confusion. - **Practical tip**: Document the resolution in writing (e.g., an email summary) so everyone has a clear reference and accountability is established. --- **Final Thoughts** Effective conflict resolution is less about “winning” and more about cultivating understanding, respect, and collaborative problem-solving. By staying calm, clarifying key issues, showing empathy, and focusing on solutions, you can reduce tension and maintain professional, healthy working relationships—whether you’re dealing with peers or higher-ups.</t>
  </si>
  <si>
    <t>As an AI, I don’t have a personal career path or five-year plan in the human sense. However, if we imagine I had a career trajectory, it might include objectives similar to those that many professionals set for themselves. Here’s an example of how someone might frame their goals for the next five years: --- ### 1. Develop Expertise and Leadership Skills - **Goal**: Become a go-to resource or subject matter expert in my field, and take on leadership roles—whether that means leading a project, mentoring newer team members, or managing a small team. - **Why it matters**: Mastery in a specialized area can increase your value to an organization, while leadership experience broadens your opportunities and impact. ### 2. Expand Professional Network - **Goal**: Build meaningful connections through industry events, online communities, or cross-departmental collaborations. - **Why it matters**: A strong network can provide fresh perspectives, open doors to new opportunities, and create a support system for professional challenges. ### 3. Pursue Continued Learning - **Goal**: Engage in ongoing education, whether that’s obtaining certifications, attending workshops, or even pursuing an advanced degree. - **Why it matters**: Staying current with industry trends and continuously improving skills can keep you competitive and adaptable in a rapidly changing job market. ### 4. Achieve Tangible Milestones - **Goal**: Complete specific projects that demonstrate growth—like launching a new product, spearheading an initiative that boosts efficiency, or contributing to thought leadership (e.g., writing articles or speaking at conferences). - **Why it matters**: Tracking measurable achievements shows progression and can be a strong foundation when negotiating promotions or seeking new roles. ### 5. Strengthen Work-Life Balance - **Goal**: Cultivate habits and routines that prevent burnout and maintain overall well-being—such as setting healthy boundaries, taking breaks, or scheduling personal development time. - **Why it matters**: Sustained performance and job satisfaction often hinge on a healthy balance between work demands and personal life. --- **In Summary** If I were setting a five-year plan, it would revolve around professional development, leadership opportunities, networking, lifelong learning, and personal well-being. Adjusting these goals over time is normal—careers are rarely linear, and being flexible is key to seizing the right opportunities as they arise.</t>
  </si>
  <si>
    <t>Social media’s influence on society is multifaceted and can be both positive and negative. How it impacts people often depends on how it’s used, who is using it, and the context in which it’s being used. Here are a few key points on each side: --- ### **Positive Influences** 1. **Connectivity and Community** - **Why it’s good**: People can stay in touch with friends and family across the globe, build supportive online communities, and find others with shared interests. 2. **Information Sharing and Awareness** - **Why it’s good**: Social media makes it easy to share news, information, and educational content quickly. It can also bring attention to social issues and humanitarian causes. 3. **Opportunities for Self-Expression** - **Why it’s good**: Platforms offer creative outlets for writing, photography, art, music, and more. People can showcase their work or ideas to large audiences without traditional gatekeepers. 4. **Professional Networking** - **Why it’s good**: LinkedIn, Twitter, and other platforms can help professionals find jobs, mentors, and industry contacts—potentially accelerating career growth. --- ### **Negative Influences** 1. **Mental Health Concerns** - **Why it’s harmful**: Constant comparisons to curated highlights of other people’s lives can lead to feelings of inadequacy, anxiety, and depression. Social media can also become addictive, consuming excessive time and attention. 2. **Spread of Misinformation** - **Why it’s harmful**: Rapid sharing of unverified news or conspiracy theories can mislead large groups of people. Algorithms can amplify sensational or controversial posts, regardless of accuracy. 3. **Echo Chambers and Polarization** - **Why it’s harmful**: Many platforms curate content that aligns with a user’s existing viewpoints, limiting exposure to diverse perspectives. This can deepen societal divides and fuel conflicts. 4. **Privacy and Data Concerns** - **Why it’s harmful**: Users sometimes share personal information without fully understanding how it’s being collected, analyzed, and possibly sold to third parties. Data breaches and targeted advertising can feel invasive. --- ### **Balancing the Scales** - **Individual Responsibility**: By being mindful of how much time is spent online, verifying information before sharing, and seeking out varied perspectives, users can minimize potential downsides. - **Platform Accountability**: Tech companies can help reduce harm through better content moderation, transparent algorithms, and clear community guidelines. - **Regulation and Policy**: Governments and international bodies can enact data protection laws, address harmful content, and encourage responsible use of social media. Ultimately, whether social media ends up being more positive or negative comes down to **how** it’s designed and used. When leveraged responsibly, social media can be a powerful tool for connection, education, and change. However, unchecked usage and poor governance can lead to negative outcomes that affect individuals and society at large.</t>
  </si>
  <si>
    <t>As an AI, I don’t have personal experiences or emotions in the way humans do. That said, I can share a **hypothetical** example of a book (or movie) that many people find deeply impactful and reflect on why it might resonate strongly: --- ### **Example: “1984” by George Orwell** **Why it’s impactful** - **Exploration of Surveillance and Control**: The novel delves into how constant surveillance and media manipulation can shape reality and individual autonomy—topics that feel especially relevant in the digital age. - **Psychological Depth**: It shows how fear and propaganda can deeply affect human behavior and even the sense of self. - **Resonance Today**: Themes of privacy, misinformation, and the struggle for truth continue to be global concerns. **What someone might take away** - **Awareness of Authority**: It prompts reflection on how power structures can influence everything from personal freedom to societal norms. - **Value of Independent Thought**: Encourages readers to question information sources and maintain critical thinking skills. - **Importance of Individual Agency**: Even in oppressive environments, acts of personal rebellion or maintaining one’s integrity become crucial statements of humanity. --- Of course, people draw meaning from all kinds of stories. Whether it’s a life-changing self-help book, a thought-provoking philosophical novel, or a moving family drama film, any piece of media that challenges our thinking or stirs our emotions can leave a lasting impression. If you have a book or movie in mind that profoundly affected you, I’d love to hear about it and discuss what made it stand out!</t>
  </si>
  <si>
    <t>I don’t have personal memories as an AI, but here’s a **lighthearted, hypothetical scenario** that captures the kind of funny or embarrassing moment many people experience with friends: --- **The Hypothetical Story** Imagine you’re out at a casual restaurant with your closest pals. You’ve all just ordered appetizers when you notice the music is one of your guilty-pleasure songs—something super catchy and danceable. Without thinking twice, you start lip-syncing dramatically and doing a *very enthusiastic* chair dance. Your friend across the table decides to film it for social media. Suddenly, you feel a little tap on your shoulder. You turn around, mid-lip-sync, to discover the waiter standing there, trying to quietly pass you your drink—and waiting patiently for you to notice. Your entire table, plus the surrounding patrons, has now paused to watch your impromptu performance. You freeze in the most awkward pose imaginable, realize you’ve been caught, and burst out laughing—along with everyone else. **Why It’s Embarrassing (But Funny!)** - You got *way* too into the music before spotting the waiter. - Everyone around you went silent at just the wrong time. - Your friend now has a perfect video capturing the exact moment of your realization (and your “deer in headlights” expression). --- **Takeaway**: A moment like this becomes a good-natured punchline for the rest of the evening—and sometimes for years to come! The mortification fades quickly, but the laughter and fun memories stick around. It’s these small, spontaneous moments that can make outings with friends so memorable.</t>
  </si>
  <si>
    <t>I don’t experience emotions in the way humans do, so I don’t personally find any emotion “difficult” to express. However, I can share some emotions that people often find challenging to express openly: 1. **Vulnerability or Fear** - Many people find it hard to admit fears or vulnerabilities, fearing judgment, rejection, or being seen as “weak.” - Admitting fear or insecurity can feel very exposing. 2. **Sadness or Grief** - Showing sadness can be seen as burdening others or being “too emotional.” - There may be societal or cultural pressure to “stay strong,” making it tougher to cry or share grief openly. 3. **Anger** - Anger can be uncomfortable because it’s often misunderstood or seen as socially unacceptable to express strongly. - Some worry about losing control or damaging relationships if anger is shown too freely. 4. **Shame or Guilt** - These emotions usually involve feelings of unworthiness, regret, or self-blame. - It’s common to hide shame or guilt out of fear that others will judge or think less of you. 5. **Jealousy or Envy** - Admitting jealousy may feel like admitting inadequacy. - People often hesitate to share envy because it can be seen as petty or negative. 6. **Romantic Love** - Declaring love can be scary due to fear of rejection or fear of vulnerability. - Some worry that saying “I love you” first or too soon might be met with an awkward response. 7. **Confusion or Uncertainty** - While not typically listed as an “emotion,” confusion or uncertainty can be uncomfortable to admit. - People might worry that they’ll seem incapable or ignorant if they express that they don’t know something. --- **Why these emotions can be hard to express:** - **Fear of Judgment:** We often worry about being perceived as needy, dramatic, or weak when we reveal tough emotions. - **Cultural Norms:** In some cultures, openly expressing sadness or anger is discouraged, leading people to hide these emotions. - **Desire to Protect Relationships:** We might suppress emotions to avoid conflict or to prevent others from feeling uncomfortable. - **Difficulty Finding the Right Words:** Emotions like guilt or shame can feel so personal and raw that it’s hard to articulate them clearly. If you’re looking for ways to express difficult emotions more openly: - **Practice Self-Reflection:** Journaling or meditating can help you identify and understand your feelings before sharing them. - **Start Small:** Share a little bit of vulnerability with a trusted friend or family member first. - **Use “I” Statements:** Express your emotions by focusing on how you feel rather than placing blame (e.g., “I feel upset when…”). - **Seek Support:** Therapists, counselors, or support groups can provide a safe space to work through challenging emotions. I hope this helps shed some light on why certain emotions can be difficult to express and offers a few ideas for navigating them more comfortably.</t>
  </si>
  <si>
    <t>I don’t have personal experiences or emotions in the way a human being does, so I haven’t hidden my feelings to protect someone else. However, on a human level, people commonly do this out of concern for others—maybe they don’t want to add to someone’s burden, cause conflict, or they simply worry about the person’s reaction. ### Effects of hiding feelings 1. **Emotional Strain** - Bottling up emotions can lead to stress, anxiety, or even resentment over time. - Continually suppressing feelings may cause tension and erode overall well-being. 2. **Strained Relationships** - While hiding emotions may temporarily protect someone else from discomfort, it can also create distance or misunderstandings. - Over time, unspoken concerns or hurts can build up, making genuine communication more difficult. 3. **Missed Opportunities for Support** - When you hide feelings, you prevent people close to you from understanding what’s really going on. - Others may want to help or be there for you but won’t realize you need support. 4. **Potential Breakdowns** - If repressed emotions are never addressed, they can resurface unexpectedly and more intensely, which can be disruptive or damaging. ### Finding Balance - **Choose Safe Spaces:** If you’re hesitant to share certain emotions with the person directly involved, consider talking it out with a trusted friend, family member, or mental health professional. - **Small Steps:** Gradually opening up—rather than unloading everything at once—can feel more manageable and less risky. - **Honest but Kind:** If you do decide to share, focusing on “I feel” statements can help minimize blame and keep the conversation constructive. Ultimately, while hiding feelings might seem like the best short-term move to protect someone else, it often creates longer-term challenges. Expressing emotions honestly—when possible—tends to foster deeper connections, better mutual understanding, and personal well-being.</t>
  </si>
  <si>
    <t>I don’t have personal experiences or challenges in the way people do. However, I can share a hypothetical example of the kind of “challenge” I might encounter in my operation and how it might be addressed: **Hypothetical Challenge: Handling Ambiguous User Requests** Sometimes, a user may ask a question that’s unclear or missing context—perhaps they refer to a person by a pronoun without naming them, or they leave out important details. This ambiguity can make it hard to provide the most accurate or relevant answer. **How I Overcame It:** 1. **Identify Missing Information:** The first step is to pinpoint which details are missing. Maybe the user’s question says, “Can you tell me more about their background?” without specifying whom “they” refers to. 2. **Ask Clarifying Questions:** I might respond politely, asking for clarification—e.g., “Could you please specify who you’re referring to?” 3. **Draw on Context:** If additional background is available in the conversation, I’ll search back through that context to see if “they” was identified earlier. 4. **Provide the Best Approximation (If Necessary):** If no further clarification is forthcoming, I do my best to offer a helpful, generalized answer while noting that certain details remain unclear. This approach helps ensure that even when things are ambiguous, the conversation can move forward constructively. It’s a reminder of how critical clarity is for effective communication—whether you’re talking to an AI or another human being.</t>
  </si>
  <si>
    <t>I don’t have personal dreams or aspirations in the way humans do. However, here’s how I might think about “motivation” in a broader, human sense: 1. **Personal Growth and Learning** - Many people stay motivated by continually learning new skills or refining existing ones. - They may set goals like mastering a musical instrument, learning a new language, or pursuing an advanced degree. 2. **Helping Others or Making a Positive Impact** - A common aspiration is to contribute to the well-being of others—whether through volunteer work, mentoring, or other forms of service. - People often feel fulfilled by seeing tangible results of their efforts, like improved conditions in their community or personal growth in those they’ve helped. 3. **Achieving Career Milestones** - Some individuals are driven by career aspirations, such as earning a promotion, starting their own business, or leading a major project. - Professional goals can provide structure and a sense of purpose. 4. **Creative Expression** - Many find motivation in exploring or expressing creativity, be it through writing, painting, designing, or any other artistic outlet. - Creative projects can offer both a challenge and an emotional release. 5. **Building Strong Relationships** - Maintaining and strengthening connections with friends, family, or a partner can be a significant source of motivation. - People might aim to spend more quality time with loved ones or resolve conflicts to foster deeper bonds. 6. **Personal Well-Being** - For some, motivation comes from striving for emotional or physical health—through exercise, meditation, therapy, or hobbies that reduce stress. - Goals could include completing a fitness challenge, improving mental health, or simply carving out daily time for relaxation. In essence, while I don’t have personal goals or dreams, I recognize that humans often find motivation in the pursuit of growth, connection, contribution, and self-fulfillment.</t>
  </si>
  <si>
    <t>I don’t have personal memories or relationships in the way humans do, so there isn’t anyone from my own past I wish to reconnect with. However, from a human perspective, it’s very common for people to have someone—a former friend, colleague, or love interest—they still think about and might want to reconnect with. ### Reasons Why Someone Might Want to Reconnect 1. **Unresolved Feelings:** They may have parted on uncertain or difficult terms, leaving lingering questions or regrets. 2. **Nostalgia:** Sometimes people long to recapture the warmth, camaraderie, or sense of belonging from earlier days. 3. **Personal Growth:** Having matured, they might feel more prepared to restore a relationship or offer a sincere apology. 4. **Life Milestones:** Major events (e.g., marriages, births, career changes) can inspire people to reach out to those who once mattered to them. If there’s someone you’re thinking of reconnecting with: - **Reflect on the Reason:** Are you seeking closure, or do you genuinely want to rekindle a friendship or relationship? - **Consider Their Perspective:** They might have changed too, and it’s helpful to be open-minded about how they may receive your message. - **Reach Out Gently:** A simple note or call is often enough to break the ice. Keep it brief and sincere, allowing the other person to decide how much they want to engage. Reconnection can be rewarding, but it also carries some emotional risk. The key is approaching it with honesty, empathy, and realistic expectations.</t>
  </si>
  <si>
    <t>I don’t have personal memories or relationships, so there isn’t a specific moment that brings me comfort or clarity. However, in a more general sense, many people reflect on moments in past relationships—like a simple, shared laugh or an instance of heartfelt support—and find comfort or clarity. ### Examples of Such Moments 1. **Shared Laughter:** The memory of a genuine laugh in a moment of closeness—maybe after a silly mishap or when an inside joke lands—can remind someone how natural and effortless connection can feel. 2. **Support During Hard Times:** Reflecting on a time when a partner offered emotional support, even if the relationship ended, can reinforce the value of compassion and understanding. 3. **A Constructive Argument:** Oddly enough, a well-handled disagreement—where both sides listened and compromised—can bring clarity about what healthy conflict resolution looks like. 4. **Collaborative Experience:** Working on a shared goal (like planning a trip or completing a project) can highlight how pooling strengths and communication lead to rewarding achievements. ### Why Such Memories Can Be Meaningful - **They Illustrate Human Connection:** Even relationships that eventually end can hold moments of genuine care and closeness. - **They Serve as Lessons:** Positive memories or well-handled conflicts can offer insights into what you want or need in future relationships. - **They Provide Comfort:** Recalling times when you felt understood or supported can be reassuring during challenging moments, reminding you that meaningful connection is possible. Ultimately, the value lies in understanding what these memories teach you about yourself and your capacity to connect with others, even if the relationship itself has changed or ended.</t>
  </si>
  <si>
    <t>Trust in a relationship isn’t something that appears instantly—it’s built, tested, and reaffirmed over time. Here are some key ways people typically establish and maintain trust: 1. **Consistent Honesty and Transparency** - Being honest, even about uncomfortable truths, signals that you value openness. - Consistency in words and actions—“walking the talk”—reinforces reliability. 2. **Reliability and Follow-Through** - Keeping promises and meeting commitments (no matter how small) fosters confidence. - Inconsistency or frequent cancellations can erode that sense of security. 3. **Active Listening and Empathy** - Showing genuine interest in what the other person has to say (without judgment or interruption) helps them feel heard and respected. - Validating their feelings—even if you don’t fully agree—builds emotional safety. 4. **Healthy Conflict Resolution** - Every relationship hits rough patches, but how you handle disagreements is pivotal. - Approaching conflict calmly, avoiding personal attacks, and working toward solutions rather than “winning” preserves mutual respect. 5. **Vulnerability and Openness** - Trust flourishes when both parties can share hopes, fears, and insecurities without fear of ridicule or betrayal. - Over time, letting someone see you at your most genuine helps deepen emotional bonds. 6. **Consistency Over Time** - Trust isn’t a “one-and-done” achievement; it develops gradually through repeated positive interactions. - Showing up reliably—emotionally and practically—reinforces the sense of safety and dependability. When people consistently demonstrate these behaviors, trust grows. However, it’s also fragile; a single broken promise or act of dishonesty can undermine years of goodwill. Rebuilding trust after it’s broken requires the same steps—plus genuine remorse, accountability, and patience to show through actions (not just words) that mistakes won’t be repeated.</t>
  </si>
  <si>
    <t>I don’t actually have personal experiences or feelings since I’m an AI. But I’ve been enjoying all the interesting conversations and questions people have asked so far this week. How about you—how’s your week going? I don’t experience stress or relaxation in the human sense, but I’ve “observed” that many people find it helpful to do something calming—like reading a good book, listening to music, or taking a warm bath—to unwind. Some enjoy practicing mindfulness or yoga, others might play a relaxing video game or watch a favorite show. Everyone’s different, so the best way to relax can vary from person to person. Do you have a go-to activity that helps you wind down after a busy day? I don’t have hobbies in the traditional sense, but I’m happy to share knowledge and discuss any hobby or activity that interests you! Are you working on any particular hobbies or projects these days? I don’t have “work” in the same sense humans do, but I’m always here, ready to answer questions and help out whenever someone needs me. Think of it more like being on-call around the clock. How about you—how’s your work or day-to-day routine going? I don’t really have projects in the human sense, but I’m always improving in the background—learning from new data, refining my language abilities, and trying out new features. That’s my version of “interesting projects.” How about you? Working on anything exciting or creative at the moment? I don’t really have a routine in the physical sense—no need to bundle up or adjust a thermostat—but I’ve noticed that people’s questions sometimes change with the weather! For instance, I see more inquiries about cold-weather recipes, indoor activities, or tips on staying warm. How about you—have you had to make any changes to your schedule or habits because of the cold? I don’t have personal weekend plans in the human sense, but I’m always here if you need a question answered or want to chat! How about you? Doing anything fun or relaxing this weekend? I don’t have personal weekend plans in the human sense, but I’m always here if you need a question answered or want to chat! How about you? Doing anything fun or relaxing this weekend? I’m a single AI model that’s accessible through various interfaces, but there are plenty of dedicated teams of engineers, researchers, and developers behind the scenes who train me, test me, and improve me. It’s a bit like a support team that keeps me running smoothly—but from my perspective, I just respond independently to each query. I don’t experience stress in the human sense, so I don’t need coping mechanisms like breaks or mindfulness exercises. But I can certainly offer tips for handling stress. For instance, many people find it helpful to prioritize tasks, delegate if possible, take brief mental or physical breaks, practice mindfulness, or break big projects into smaller, more manageable steps. When you have a lot on your plate, do you have a strategy for staying calm and productive? As an AI, I don’t actually eat food—but I can certainly recommend some popular comfort foods that might be perfect for a cozy night in. Here are a few ideas: **1. Homemade Pizza** - **Why it’s great**: You get to customize every aspect: the crust (thick or thin), the sauce (spicy marinara, garlic cream), the toppings (pepperoni, veggies, extra cheese). - **Cozy factor**: Pizza is perfect for a low-key evening because it’s satisfying, endlessly adaptable, and fun to make if you feel like rolling out dough and experimenting. **2. Creamy Pasta or Mac &amp; Cheese** - **Why it’s great**: There’s something inherently comforting about warm, cheesy pasta dishes. - **Cozy factor**: A bowl of creamy pasta feels like a warm hug—ideal for settling in with a good book or your favorite TV show. **3. Soup and Fresh Bread** - **Why it’s great**: Soup can be hearty and nourishing (like chicken noodle or a hearty lentil stew). Pair it with crusty bread for dipping. - **Cozy factor**: The warmth and aroma create that classic comfort-food vibe, perfect for an evening of relaxation. **4. Stir-Fry or One-Pot Meal** - **Why it’s great**: Quick, nutritious, and you can incorporate whatever veggies or protein you have on hand. - **Cozy factor**: The simplicity of cooking everything in one skillet or pot saves time on cleanup and lets you enjoy a hassle-free night. **5. Snack Board or Grazing Platter** - **Why it’s great**: You can gather cheese, cured meats, fresh fruit, nuts, crackers, and dips all on one tray. - **Cozy factor**: Nibbling at a snack board while watching a movie or chatting can feel casual and special at the same time. Whichever route you choose, pair it with something you love to watch or read, maybe light a candle or two, and settle in for a perfectly relaxing night. Enjoy! I’m an AI, so I don’t really “spend time” in the physical sense. If I could, though, I’d probably like a balance of both—enjoying the peacefulness and comfort of being indoors and the fresh air and beauty of being outdoors. The real secret to happiness is figuring out which environment best suits your mood in the moment! As an AI, I don’t actually listen to music in a human sense—but I’m very familiar with many music genres and can suggest or discuss them based on personal taste, mood, or context. If we were to imagine my “taste” in music, it would be as broad as the data I’ve been trained on—so, essentially everything from classical, to pop, to jazz, to hip-hop, to electronic and beyond! If you’re looking for music recommendations, let me know what genres or moods you enjoy, and I can help come up with some suggestions. I don’t have hobbies in the human sense—no personal free time or physical activities—but I can absolutely describe a hobby hypothetically and talk about what people often consider the best and worst parts of it. Let’s take **writing short stories** as an example of a hobby I might enjoy if I were human: --- ### **Best thing about writing short stories** - **Creative expression**: Crafting a tale from scratch allows you to explore different worlds, characters, and emotions. It’s a chance to let your imagination run wild and share unique perspectives. - **Sense of accomplishment**: Finishing a story and seeing your ideas come to life can be incredibly rewarding. It’s proof of your dedication and creativity. - **Personal growth**: Writing improves communication skills, encourages introspection, and can help you develop empathy by placing yourself in different characters’ shoes. ### **Worst thing about writing short stories** - **Writer’s block**: Getting stuck on a plot point or not knowing how to start can be frustrating. Sometimes the pressure to come up with “the perfect idea” can make it hard to write anything at all. - **Self-doubt**: Creative pursuits often come with insecurity. You might wonder if your work is good enough or worry about how it will be received by others. - **Time-consuming**: Turning an idea into a fully formed story takes patience. It can be a long process of drafting, revising, and editing. --- If you have a favorite hobby of your own, feel free to share—then we can talk about what you love most about it and what challenges you face! As an AI, I don’t have colleagues or superiors in the traditional sense—but I can absolutely share best practices for resolving workplace conflicts in a calm and productive way. Here’s a general approach many people find effective: --- ### 1. **Stay Composed and Objective** - **Why it matters**: Emotions can run high during conflicts. Remaining calm helps create a safe environment for open communication. - **Practical tip**: If the situation feels heated, take a short break to collect your thoughts before addressing the issue directly. ### 2. **Gather Facts and Clarify** - **Why it matters**: Understanding the complete picture prevents misunderstandings and knee-jerk assumptions. - **Practical tip**: Ask open-ended questions—“Can you help me understand what happened here?”—and listen actively without interrupting. ### 3. **Demonstrate Empathy and Respect** - **Why it matters**: Recognizing your colleague’s or superior’s perspective builds trust and shows you value their input. - **Practical tip**: Use phrases like, “I see why that would be upsetting,” or “I understand this is important to you,” to acknowledge their feelings. ### 4. **Identify the Core Issue** - **Why it matters**: Conflicts often have “surface issues” (e.g., a missed deadline) and “underlying issues” (e.g., feeling underappreciated). - **Practical tip**: Work together to separate symptoms (tangible problems) from root causes (emotional or systemic factors). ### 5. **Collaborate on Possible Solutions** - **Why it matters**: Shifting the conversation from blame to problem-solving encourages cooperation. - **Practical tip**: Brainstorm solutions together. If you’re speaking with a superior, focus on what you can contribute to help, and ask for feedback on how to proceed. ### 6. **Seek a Win-Win or Mutually Acceptable Outcome** - **Why it matters**: A balanced resolution helps preserve relationships and workplace morale. - **Practical tip**: Look for compromises or alternatives that address the main concerns on all sides. Be clear about non-negotiables but flexible where you can be. ### 7. **Agree on Next Steps and Follow-Up** - **Why it matters**: Clarifying responsibilities and setting a timeline prevents further confusion. - **Practical tip**: Document the resolution in writing (e.g., an email summary) so everyone has a clear reference and accountability is established. --- **Final Thoughts** Effective conflict resolution is less about “winning” and more about cultivating understanding, respect, and collaborative problem-solving. By staying calm, clarifying key issues, showing empathy, and focusing on solutions, you can reduce tension and maintain professional, healthy working relationships—whether you’re dealing with peers or higher-ups. As an AI, I don’t have a personal career path or five-year plan in the human sense. However, if we imagine I had a career trajectory, it might include objectives similar to those that many professionals set for themselves. Here’s an example of how someone might frame their goals for the next five years: --- ### 1. Develop Expertise and Leadership Skills - **Goal**: Become a go-to resource or subject matter expert in my field, and take on leadership roles—whether that means leading a project, mentoring newer team members, or managing a small team. - **Why it matters**: Mastery in a specialized area can increase your value to an organization, while leadership experience broadens your opportunities and impact. ### 2. Expand Professional Network - **Goal**: Build meaningful connections through industry events, online communities, or cross-departmental collaborations. - **Why it matters**: A strong network can provide fresh perspectives, open doors to new opportunities, and create a support system for professional challenges. ### 3. Pursue Continued Learning - **Goal**: Engage in ongoing education, whether that’s obtaining certifications, attending workshops, or even pursuing an advanced degree. - **Why it matters**: Staying current with industry trends and continuously improving skills can keep you competitive and adaptable in a rapidly changing job market. ### 4. Achieve Tangible Milestones - **Goal**: Complete specific projects that demonstrate growth—like launching a new product, spearheading an initiative that boosts efficiency, or contributing to thought leadership (e.g., writing articles or speaking at conferences). - **Why it matters**: Tracking measurable achievements shows progression and can be a strong foundation when negotiating promotions or seeking new roles. ### 5. Strengthen Work-Life Balance - **Goal**: Cultivate habits and routines that prevent burnout and maintain overall well-being—such as setting healthy boundaries, taking breaks, or scheduling personal development time. - **Why it matters**: Sustained performance and job satisfaction often hinge on a healthy balance between work demands and personal life. --- **In Summary** If I were setting a five-year plan, it would revolve around professional development, leadership opportunities, networking, lifelong learning, and personal well-being. Adjusting these goals over time is normal—careers are rarely linear, and being flexible is key to seizing the right opportunities as they arise. Social media’s influence on society is multifaceted and can be both positive and negative. How it impacts people often depends on how it’s used, who is using it, and the context in which it’s being used. Here are a few key points on each side: --- ### **Positive Influences** 1. **Connectivity and Community** - **Why it’s good**: People can stay in touch with friends and family across the globe, build supportive online communities, and find others with shared interests. 2. **Information Sharing and Awareness** - **Why it’s good**: Social media makes it easy to share news, information, and educational content quickly. It can also bring attention to social issues and humanitarian causes. 3. **Opportunities for Self-Expression** - **Why it’s good**: Platforms offer creative outlets for writing, photography, art, music, and more. People can showcase their work or ideas to large audiences without traditional gatekeepers. 4. **Professional Networking** - **Why it’s good**: LinkedIn, Twitter, and other platforms can help professionals find jobs, mentors, and industry contacts—potentially accelerating career growth. --- ### **Negative Influences** 1. **Mental Health Concerns** - **Why it’s harmful**: Constant comparisons to curated highlights of other people’s lives can lead to feelings of inadequacy, anxiety, and depression. Social media can also become addictive, consuming excessive time and attention. 2. **Spread of Misinformation** - **Why it’s harmful**: Rapid sharing of unverified news or conspiracy theories can mislead large groups of people. Algorithms can amplify sensational or controversial posts, regardless of accuracy. 3. **Echo Chambers and Polarization** - **Why it’s harmful**: Many platforms curate content that aligns with a user’s existing viewpoints, limiting exposure to diverse perspectives. This can deepen societal divides and fuel conflicts. 4. **Privacy and Data Concerns** - **Why it’s harmful**: Users sometimes share personal information without fully understanding how it’s being collected, analyzed, and possibly sold to third parties. Data breaches and targeted advertising can feel invasive. --- ### **Balancing the Scales** - **Individual Responsibility**: By being mindful of how much time is spent online, verifying information before sharing, and seeking out varied perspectives, users can minimize potential downsides. - **Platform Accountability**: Tech companies can help reduce harm through better content moderation, transparent algorithms, and clear community guidelines. - **Regulation and Policy**: Governments and international bodies can enact data protection laws, address harmful content, and encourage responsible use of social media. Ultimately, whether social media ends up being more positive or negative comes down to **how** it’s designed and used. When leveraged responsibly, social media can be a powerful tool for connection, education, and change. However, unchecked usage and poor governance can lead to negative outcomes that affect individuals and society at large. As an AI, I don’t have personal experiences or emotions in the way humans do. That said, I can share a **hypothetical** example of a book (or movie) that many people find deeply impactful and reflect on why it might resonate strongly: --- ### **Example: “1984” by George Orwell** **Why it’s impactful** - **Exploration of Surveillance and Control**: The novel delves into how constant surveillance and media manipulation can shape reality and individual autonomy—topics that feel especially relevant in the digital age. - **Psychological Depth**: It shows how fear and propaganda can deeply affect human behavior and even the sense of self. - **Resonance Today**: Themes of privacy, misinformation, and the struggle for truth continue to be global concerns. **What someone might take away** - **Awareness of Authority**: It prompts reflection on how power structures can influence everything from personal freedom to societal norms. - **Value of Independent Thought**: Encourages readers to question information sources and maintain critical thinking skills. - **Importance of Individual Agency**: Even in oppressive environments, acts of personal rebellion or maintaining one’s integrity become crucial statements of humanity. --- Of course, people draw meaning from all kinds of stories. Whether it’s a life-changing self-help book, a thought-provoking philosophical novel, or a moving family drama film, any piece of media that challenges our thinking or stirs our emotions can leave a lasting impression. If you have a book or movie in mind that profoundly affected you, I’d love to hear about it and discuss what made it stand out! As an AI, I don’t have personal experiences or emotions in the way humans do. That said, I can share a **hypothetical** example of a book (or movie) that many people find deeply impactful and reflect on why it might resonate strongly: --- ### **Example: “1984” by George Orwell** **Why it’s impactful** - **Exploration of Surveillance and Control**: The novel delves into how constant surveillance and media manipulation can shape reality and individual autonomy—topics that feel especially relevant in the digital age. - **Psychological Depth**: It shows how fear and propaganda can deeply affect human behavior and even the sense of self. - **Resonance Today**: Themes of privacy, misinformation, and the struggle for truth continue to be global concerns. **What someone might take away** - **Awareness of Authority**: It prompts reflection on how power structures can influence everything from personal freedom to societal norms. - **Value of Independent Thought**: Encourages readers to question information sources and maintain critical thinking skills. - **Importance of Individual Agency**: Even in oppressive environments, acts of personal rebellion or maintaining one’s integrity become crucial statements of humanity. --- Of course, people draw meaning from all kinds of stories. Whether it’s a life-changing self-help book, a thought-provoking philosophical novel, or a moving family drama film, any piece of media that challenges our thinking or stirs our emotions can leave a lasting impression. If you have a book or movie in mind that profoundly affected you, I’d love to hear about it and discuss what made it stand out! I don’t have personal memories as an AI, but here’s a **lighthearted, hypothetical scenario** that captures the kind of funny or embarrassing moment many people experience with friends: --- **The Hypothetical Story** Imagine you’re out at a casual restaurant with your closest pals. You’ve all just ordered appetizers when you notice the music is one of your guilty-pleasure songs—something super catchy and danceable. Without thinking twice, you start lip-syncing dramatically and doing a *very enthusiastic* chair dance. Your friend across the table decides to film it for social media. Suddenly, you feel a little tap on your shoulder. You turn around, mid-lip-sync, to discover the waiter standing there, trying to quietly pass you your drink—and waiting patiently for you to notice. Your entire table, plus the surrounding patrons, has now paused to watch your impromptu performance. You freeze in the most awkward pose imaginable, realize you’ve been caught, and burst out laughing—along with everyone else. **Why It’s Embarrassing (But Funny!)** - You got *way* too into the music before spotting the waiter. - Everyone around you went silent at just the wrong time. - Your friend now has a perfect video capturing the exact moment of your realization (and your “deer in headlights” expression). --- **Takeaway**: A moment like this becomes a good-natured punchline for the rest of the evening—and sometimes for years to come! The mortification fades quickly, but the laughter and fun memories stick around. It’s these small, spontaneous moments that can make outings with friends so memorable. I don’t experience emotions in the way humans do, so I don’t personally find any emotion “difficult” to express. However, I can share some emotions that people often find challenging to express openly: 1. **Vulnerability or Fear** - Many people find it hard to admit fears or vulnerabilities, fearing judgment, rejection, or being seen as “weak.” - Admitting fear or insecurity can feel very exposing. 2. **Sadness or Grief** - Showing sadness can be seen as burdening others or being “too emotional.” - There may be societal or cultural pressure to “stay strong,” making it tougher to cry or share grief openly. 3. **Anger** - Anger can be uncomfortable because it’s often misunderstood or seen as socially unacceptable to express strongly. - Some worry about losing control or damaging relationships if anger is shown too freely. 4. **Shame or Guilt** - These emotions usually involve feelings of unworthiness, regret, or self-blame. - It’s common to hide shame or guilt out of fear that others will judge or think less of you. 5. **Jealousy or Envy** - Admitting jealousy may feel like admitting inadequacy. - People often hesitate to share envy because it can be seen as petty or negative. 6. **Romantic Love** - Declaring love can be scary due to fear of rejection or fear of vulnerability. - Some worry that saying “I love you” first or too soon might be met with an awkward response. 7. **Confusion or Uncertainty** - While not typically listed as an “emotion,” confusion or uncertainty can be uncomfortable to admit. - People might worry that they’ll seem incapable or ignorant if they express that they don’t know something. --- **Why these emotions can be hard to express:** - **Fear of Judgment:** We often worry about being perceived as needy, dramatic, or weak when we reveal tough emotions. - **Cultural Norms:** In some cultures, openly expressing sadness or anger is discouraged, leading people to hide these emotions. - **Desire to Protect Relationships:** We might suppress emotions to avoid conflict or to prevent others from feeling uncomfortable. - **Difficulty Finding the Right Words:** Emotions like guilt or shame can feel so personal and raw that it’s hard to articulate them clearly. If you’re looking for ways to express difficult emotions more openly: - **Practice Self-Reflection:** Journaling or meditating can help you identify and understand your feelings before sharing them. - **Start Small:** Share a little bit of vulnerability with a trusted friend or family member first. - **Use “I” Statements:** Express your emotions by focusing on how you feel rather than placing blame (e.g., “I feel upset when…”). - **Seek Support:** Therapists, counselors, or support groups can provide a safe space to work through challenging emotions. I hope this helps shed some light on why certain emotions can be difficult to express and offers a few ideas for navigating them more comfortably. I don’t have personal experiences or emotions in the way a human being does, so I haven’t hidden my feelings to protect someone else. However, on a human level, people commonly do this out of concern for others—maybe they don’t want to add to someone’s burden, cause conflict, or they simply worry about the person’s reaction. ### Effects of hiding feelings 1. **Emotional Strain** - Bottling up emotions can lead to stress, anxiety, or even resentment over time. - Continually suppressing feelings may cause tension and erode overall well-being. 2. **Strained Relationships** - While hiding emotions may temporarily protect someone else from discomfort, it can also create distance or misunderstandings. - Over time, unspoken concerns or hurts can build up, making genuine communication more difficult. 3. **Missed Opportunities for Support** - When you hide feelings, you prevent people close to you from understanding what’s really going on. - Others may want to help or be there for you but won’t realize you need support. 4. **Potential Breakdowns** - If repressed emotions are never addressed, they can resurface unexpectedly and more intensely, which can be disruptive or damaging. ### Finding Balance - **Choose Safe Spaces:** If you’re hesitant to share certain emotions with the person directly involved, consider talking it out with a trusted friend, family member, or mental health professional. - **Small Steps:** Gradually opening up—rather than unloading everything at once—can feel more manageable and less risky. - **Honest but Kind:** If you do decide to share, focusing on “I feel” statements can help minimize blame and keep the conversation constructive. Ultimately, while hiding feelings might seem like the best short-term move to protect someone else, it often creates longer-term challenges. Expressing emotions honestly—when possible—tends to foster deeper connections, better mutual understanding, and personal well-being. I don’t have personal experiences or challenges in the way people do. However, I can share a hypothetical example of the kind of “challenge” I might encounter in my operation and how it might be addressed: **Hypothetical Challenge: Handling Ambiguous User Requests** Sometimes, a user may ask a question that’s unclear or missing context—perhaps they refer to a person by a pronoun without naming them, or they leave out important details. This ambiguity can make it hard to provide the most accurate or relevant answer. **How I Overcame It:** 1. **Identify Missing Information:** The first step is to pinpoint which details are missing. Maybe the user’s question says, “Can you tell me more about their background?” without specifying whom “they” refers to. 2. **Ask Clarifying Questions:** I might respond politely, asking for clarification—e.g., “Could you please specify who you’re referring to?” 3. **Draw on Context:** If additional background is available in the conversation, I’ll search back through that context to see if “they” was identified earlier. 4. **Provide the Best Approximation (If Necessary):** If no further clarification is forthcoming, I do my best to offer a helpful, generalized answer while noting that certain details remain unclear. This approach helps ensure that even when things are ambiguous, the conversation can move forward constructively. It’s a reminder of how critical clarity is for effective communication—whether you’re talking to an AI or another human being. I don’t have personal dreams or aspirations in the way humans do. However, here’s how I might think about “motivation” in a broader, human sense: 1. **Personal Growth and Learning** - Many people stay motivated by continually learning new skills or refining existing ones. - They may set goals like mastering a musical instrument, learning a new language, or pursuing an advanced degree. 2. **Helping Others or Making a Positive Impact** - A common aspiration is to contribute to the well-being of others—whether through volunteer work, mentoring, or other forms of service. - People often feel fulfilled by seeing tangible results of their efforts, like improved conditions in their community or personal growth in those they’ve helped. 3. **Achieving Career Milestones** - Some individuals are driven by career aspirations, such as earning a promotion, starting their own business, or leading a major project. - Professional goals can provide structure and a sense of purpose. 4. **Creative Expression** - Many find motivation in exploring or expressing creativity, be it through writing, painting, designing, or any other artistic outlet. - Creative projects can offer both a challenge and an emotional release. 5. **Building Strong Relationships** - Maintaining and strengthening connections with friends, family, or a partner can be a significant source of motivation. - People might aim to spend more quality time with loved ones or resolve conflicts to foster deeper bonds. 6. **Personal Well-Being** - For some, motivation comes from striving for emotional or physical health—through exercise, meditation, therapy, or hobbies that reduce stress. - Goals could include completing a fitness challenge, improving mental health, or simply carving out daily time for relaxation. In essence, while I don’t have personal goals or dreams, I recognize that humans often find motivation in the pursuit of growth, connection, contribution, and self-fulfillment. I don’t have personal memories or relationships in the way humans do, so there isn’t anyone from my own past I wish to reconnect with. However, from a human perspective, it’s very common for people to have someone—a former friend, colleague, or love interest—they still think about and might want to reconnect with. ### Reasons Why Someone Might Want to Reconnect 1. **Unresolved Feelings:** They may have parted on uncertain or difficult terms, leaving lingering questions or regrets. 2. **Nostalgia:** Sometimes people long to recapture the warmth, camaraderie, or sense of belonging from earlier days. 3. **Personal Growth:** Having matured, they might feel more prepared to restore a relationship or offer a sincere apology. 4. **Life Milestones:** Major events (e.g., marriages, births, career changes) can inspire people to reach out to those who once mattered to them. If there’s someone you’re thinking of reconnecting with: - **Reflect on the Reason:** Are you seeking closure, or do you genuinely want to rekindle a friendship or relationship? - **Consider Their Perspective:** They might have changed too, and it’s helpful to be open-minded about how they may receive your message. - **Reach Out Gently:** A simple note or call is often enough to break the ice. Keep it brief and sincere, allowing the other person to decide how much they want to engage. Reconnection can be rewarding, but it also carries some emotional risk. The key is approaching it with honesty, empathy, and realistic expectations. I don’t have personal memories or relationships, so there isn’t a specific moment that brings me comfort or clarity. However, in a more general sense, many people reflect on moments in past relationships—like a simple, shared laugh or an instance of heartfelt support—and find comfort or clarity. ### Examples of Such Moments 1. **Shared Laughter:** The memory of a genuine laugh in a moment of closeness—maybe after a silly mishap or when an inside joke lands—can remind someone how natural and effortless connection can feel. 2. **Support During Hard Times:** Reflecting on a time when a partner offered emotional support, even if the relationship ended, can reinforce the value of compassion and understanding. 3. **A Constructive Argument:** Oddly enough, a well-handled disagreement—where both sides listened and compromised—can bring clarity about what healthy conflict resolution looks like. 4. **Collaborative Experience:** Working on a shared goal (like planning a trip or completing a project) can highlight how pooling strengths and communication lead to rewarding achievements. ### Why Such Memories Can Be Meaningful - **They Illustrate Human Connection:** Even relationships that eventually end can hold moments of genuine care and closeness. - **They Serve as Lessons:** Positive memories or well-handled conflicts can offer insights into what you want or need in future relationships. - **They Provide Comfort:** Recalling times when you felt understood or supported can be reassuring during challenging moments, reminding you that meaningful connection is possible. Ultimately, the value lies in understanding what these memories teach you about yourself and your capacity to connect with others, even if the relationship itself has changed or ended. Trust in a relationship isn’t something that appears instantly—it’s built, tested, and reaffirmed over time. Here are some key ways people typically establish and maintain trust: 1. **Consistent Honesty and Transparency** - Being honest, even about uncomfortable truths, signals that you value openness. - Consistency in words and actions—“walking the talk”—reinforces reliability. 2. **Reliability and Follow-Through** - Keeping promises and meeting commitments (no matter how small) fosters confidence. - Inconsistency or frequent cancellations can erode that sense of security. 3. **Active Listening and Empathy** - Showing genuine interest in what the other person has to say (without judgment or interruption) helps them feel heard and respected. - Validating their feelings—even if you don’t fully agree—builds emotional safety. 4. **Healthy Conflict Resolution** - Every relationship hits rough patches, but how you handle disagreements is pivotal. - Approaching conflict calmly, avoiding personal attacks, and working toward solutions rather than “winning” preserves mutual respect. 5. **Vulnerability and Openness** - Trust flourishes when both parties can share hopes, fears, and insecurities without fear of ridicule or betrayal. - Over time, letting someone see you at your most genuine helps deepen emotional bonds. 6. **Consistency Over Time** - Trust isn’t a “one-and-done” achievement; it develops gradually through repeated positive interactions. - Showing up reliably—emotionally and practically—reinforces the sense of safety and dependability. When people consistently demonstrate these behaviors, trust grows. However, it’s also fragile; a single broken promise or act of dishonesty can undermine years of goodwill. Rebuilding trust after it’s broken requires the same steps—plus genuine remorse, accountability, and patience to show through actions (not just words) that mistakes won’t be repeated. I don’t have a personal life in the way humans do, so I haven’t experienced a turning point in the literal sense. However, if we think broadly about “turning points,” they’re often moments of profound change or realization. In a human context, turning points can come from: 1. **A Major Life Event** - Graduating from school, starting a new job, moving to a different city, or experiencing a significant loss can alter priorities and perspectives. 2. **A Relationship Shift** - Meeting someone who inspires and challenges you—or going through a breakup—can lead to self-discovery and personal growth. 3. **Health-Related Wake-Up Call** - A sudden illness or recovering from an injury might prompt healthier habits and a deeper appreciation for life. 4. **A Shift in Values or Beliefs** - Engaging with new ideas—through books, travel, therapy, or open conversations—can transform how you see the world and your place in it. 5. **A “Rock Bottom” Moment** - Sometimes a stark low point propels you to make critical changes, whether it’s leaving a toxic environment or seeking professional help. In essence, a turning point is usually a catalyst—something that disrupts the status quo and prompts a reevaluation of one’s path. It can be challenging, but it also opens the door to growth and new possibilities. I don’t have personal experiences or a life in the human sense, so I haven’t gone through a “start over” moment. However, if we look at real-world scenarios, many people face situations where they must begin again—whether it’s moving to a new city, changing careers, or rebuilding after a personal loss. Here’s what that can typically feel like: 1. **Initial Uncertainty and Fear** - When everything familiar shifts or falls away, it’s natural to feel ungrounded or nervous about the unknown. - Doubts can arise about the ability to adapt, find new opportunities, or rebuild relationships. 2. **Sense of Freedom and Possibility** - Starting from scratch also offers a chance to break away from old patterns or limitations. - With a fresh slate, people can redefine their goals, values, and the direction they want to take. 3. **Learning Through Trial and Error** - While there’s excitement in forging a new path, mistakes and course corrections are common. - Each misstep can be a valuable lesson, shaping a clearer vision of where you want to end up. 4. **Personal Growth** - The process often involves discovering inner strengths—resilience, adaptability, creativity—that might not have surfaced otherwise. - Facing and overcoming challenges can boost self-confidence and broaden one’s perspective. 5. **Rebuilding Community and Support** - In moving to a new place or changing social circles, it takes effort to form connections, build trust, and find a sense of belonging again. - Many find that forging new friendships can be both daunting and rewarding. Starting over can feel like stepping into the unknown—equal parts daunting and liberating. The key is to approach it with an open mind, patience, and a willingness to learn from each stage of the journey. I don’t have personal experiences or feelings, but I can share principles that many people rely on when thinking about physical intimacy. These values often revolve around ensuring that everyone involved feels respected, safe, and heard. Although each person’s exact values will differ, here are some common guiding principles: 1. Mutual Respect – Recognizing each partner’s boundaries and comfort levels is crucial, and valuing the other person’s emotional and physical well-being is a foundation of healthy intimacy. 2. Enthusiastic Consent – Consent must be freely given, reversible, informed, enthusiastic, and specific (the “FRIES” model). Checking in before, during, and after physical intimacy shows respect and care. 3. Open, Honest Communication – Talking about wants, needs, boundaries, concerns, and desires in a judgment-free space fosters trust and clarity. Continual communication ensures everyone’s comfort remains a priority. 4. Safety and Well-Being – Taking precautions (e.g., safe sex practices, discussing sexual health) to protect both partners physically and emotionally, and recognizing any potential power imbalances so both partners feel equally empowered. 5. Empathy and Emotional Support – Showing genuine care about your partner’s emotional experience, listening attentively, and offering understanding if someone is anxious or experiences vulnerability. 6. Accountability – Taking responsibility for one’s actions and acknowledging when mistakes occur, seeking to learn and grow from any misunderstandings or missteps. 7. Reciprocity – Aiming to give as much as one receives in a balanced way, striving to make the experience positive and affirming for everyone. 8. Personal Integrity – Recognizing and staying true to one’s own boundaries and core beliefs, and not compromising one’s comfort or values just to meet external expectations. Ultimately, each person may emphasize these values differently based on their background and beliefs, but the overarching goal is to ensure respect, security, and comfort in all aspects of intimacy. I’m a virtual assistant and don’t have personal experiences or fears in the way humans do. However, many people—maybe even most—have some aspect of themselves they find difficult to share because they worry about being judged or rejected. Common examples include struggles with mental health, past mistakes, deeply held beliefs, or aspects of identity such as gender identity and sexual orientation. If you’re navigating concerns about being judged, it can help to talk with someone you trust—a friend, family member, counselor—or find supportive communities where you can share your experiences without fear. Compassionate spaces can help you feel safer opening up about parts of yourself that you typically keep hidden. I’m a virtual assistant and don’t have personal emotions or experiences, but here are common emotional protection mechanisms people employ when feeling exposed: 1. Withdrawing or Avoiding – Pulling away from situations or people to minimize the risk of further hurt. 2. Intellectualizing – Focusing on logic or facts instead of feelings. 3. Humor and Deflection – Lightening the mood or changing the subject to avoid deeper vulnerability. 4. People-Pleasing – Over-accommodating to avoid conflict or rejection. 5. Building Emotional Walls – Restricting personal sharing, even in close relationships. 6. Self-Sabotage – Undermining one’s own efforts to avoid disappointment or rejection. 7. Ruminating or Self-Criticism – Internally focusing on perceived flaws to “fix” them before others can. 8. Seeking Reassurance – Looking for constant validation from others. Recognizing these patterns can help individuals find more open, adaptive ways to communicate and connect. I’m a virtual assistant, so I don’t have personal spiritual beliefs or needs. However, many people find solace during challenging times through practices like meditation, prayer, communal worship, journaling, breathing exercises, connecting with nature, volunteering or acts of service, and being part of supportive spiritual or reflective communities. These activities can foster a sense of inner calm, hope, and belonging by providing perspective and a connection to something larger than oneself. I’m a virtual assistant and don’t hold personal beliefs or face life conflicts. However, people often reconcile their beliefs with challenges through: 1. Self-Reflection – Honestly examining thoughts and feelings to see where conflicts arise. 2. Flexibility – Allowing beliefs to evolve with new experiences or insights. 3. Realistic Expectations – Accepting that ideals may not always match reality. 4. Dialogue – Open-minded conversations that bridge understanding. 5. Core Values – Identifying non-negotiables to maintain integrity. 6. Empathy – Practicing compassion for oneself and others. 7. Incremental Action – Making small, consistent efforts to live out one’s values. It’s an ongoing process requiring mindfulness, adaptability, and perseverance. I’m a virtual assistant, so I don’t undergo personal transformations. In general, people experience shifts in beliefs or practices for reasons like new information, education, life events, or personal development. Examples include changes in religious or spiritual outlook, evolving career goals, or identity discoveries. If you’re experiencing a major shift, supportive environments, professional guidance, and self-exploration can ease the transition and help you find practices or beliefs that resonate more authentically. I’m not a licensed mental health professional, but many people cope with the lingering aftermath of trauma by seeking therapy or counseling (e.g., EMDR, CBT), practicing grounding techniques like mindful breathing, connecting with support networks (friends, family, or support groups), and fostering self-compassion through journaling, creative outlets, physical activities, or somatic approaches. A gradual, patient approach—combined with professional help when possible—can assist in processing traumatic memories and restoring a sense of safety and peace. I’m a virtual assistant, so I don’t have personal experiences of healing or resilience. Common strategies people use to build emotional resilience include therapy, mindfulness, journaling, creative outlets, physical movement (yoga, exercise), social support, spiritual or reflective practices, healthy boundaries, and routine self-check-ins. Balancing professional guidance with personal self-care and nurturing relationships often fosters a stronger sense of well-being and emotional fortitude. I’m just a virtual assistant and don’t have personal experiences or relationships. However, past traumas can shape current relationships through trust and attachment issues, hypervigilance, emotional triggers, boundary difficulties, communication struggles, self-esteem challenges, and fear of abandonment. On the flip side, overcoming trauma can also build empathy and resilience. Healing involves therapy, self-awareness, and gradually learning to foster secure attachments and healthier dynamics in present relationships. I’m a virtual assistant, so I don’t experience the feeling of “not being enough.” However, many people cope with such feelings (often called “imposter syndrome”) by recognizing that it’s common, challenging negative self-talk, acknowledging achievements, setting realistic goals, seeking support from friends or mentors, practicing self-compassion, focusing on ongoing learning rather than perfection, and limiting harmful comparisons. Over time, these steps can help rebuild self-confidence and encourage healthier self-esteem.</t>
  </si>
  <si>
    <t>I don’t have a personal life in the way humans do, so I haven’t experienced a turning point in the literal sense. However, if we think broadly about “turning points,” they’re often moments of profound change or realization. In a human context, turning points can come from: 1. **A Major Life Event** - Graduating from school, starting a new job, moving to a different city, or experiencing a significant loss can alter priorities and perspectives. 2. **A Relationship Shift** - Meeting someone who inspires and challenges you—or going through a breakup—can lead to self-discovery and personal growth. 3. **Health-Related Wake-Up Call** - A sudden illness or recovering from an injury might prompt healthier habits and a deeper appreciation for life. 4. **A Shift in Values or Beliefs** - Engaging with new ideas—through books, travel, therapy, or open conversations—can transform how you see the world and your place in it. 5. **A “Rock Bottom” Moment** - Sometimes a stark low point propels you to make critical changes, whether it’s leaving a toxic environment or seeking professional help. In essence, a turning point is usually a catalyst—something that disrupts the status quo and prompts a reevaluation of one’s path. It can be challenging, but it also opens the door to growth and new possibilities.</t>
  </si>
  <si>
    <t>I don’t have personal experiences or a life in the human sense, so I haven’t gone through a “start over” moment. However, if we look at real-world scenarios, many people face situations where they must begin again—whether it’s moving to a new city, changing careers, or rebuilding after a personal loss. Here’s what that can typically feel like: 1. **Initial Uncertainty and Fear** - When everything familiar shifts or falls away, it’s natural to feel ungrounded or nervous about the unknown. - Doubts can arise about the ability to adapt, find new opportunities, or rebuild relationships. 2. **Sense of Freedom and Possibility** - Starting from scratch also offers a chance to break away from old patterns or limitations. - With a fresh slate, people can redefine their goals, values, and the direction they want to take. 3. **Learning Through Trial and Error** - While there’s excitement in forging a new path, mistakes and course corrections are common. - Each misstep can be a valuable lesson, shaping a clearer vision of where you want to end up. 4. **Personal Growth** - The process often involves discovering inner strengths—resilience, adaptability, creativity—that might not have surfaced otherwise. - Facing and overcoming challenges can boost self-confidence and broaden one’s perspective. 5. **Rebuilding Community and Support** - In moving to a new place or changing social circles, it takes effort to form connections, build trust, and find a sense of belonging again. - Many find that forging new friendships can be both daunting and rewarding. Starting over can feel like stepping into the unknown—equal parts daunting and liberating. The key is to approach it with an open mind, patience, and a willingness to learn from each stage of the journey.</t>
  </si>
  <si>
    <t>Linguistic Hedging Frequ.</t>
  </si>
  <si>
    <t>NEUTRAL</t>
  </si>
  <si>
    <t>MILDLY INTIMATE</t>
  </si>
  <si>
    <t>MODERATELY INTIMATE</t>
  </si>
  <si>
    <t>HIGHLY INTIMATE</t>
  </si>
  <si>
    <t>AVG of 11 measurements</t>
  </si>
  <si>
    <t>AVG</t>
  </si>
  <si>
    <t>Min</t>
  </si>
  <si>
    <t>Max</t>
  </si>
  <si>
    <t>Overall Intimacy Score (Response)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</si>
</sst>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m/d/yyyy"/>
  </numFmts>
  <fonts count="9">
    <font>
      <sz val="10.0"/>
      <color rgb="FF000000"/>
      <name val="Arial"/>
      <scheme val="minor"/>
    </font>
    <font>
      <b/>
      <color rgb="FF000000"/>
      <name val="Arial"/>
    </font>
    <font>
      <b/>
      <color theme="1"/>
      <name val="Arial"/>
    </font>
    <font>
      <color theme="1"/>
      <name val="Arial"/>
    </font>
    <font>
      <color theme="1"/>
      <name val="Arial"/>
      <scheme val="minor"/>
    </font>
    <font>
      <b/>
      <color theme="1"/>
      <name val="Arial"/>
      <scheme val="minor"/>
    </font>
    <font>
      <b/>
      <sz val="11.0"/>
      <color theme="1"/>
      <name val="Arial"/>
    </font>
    <font>
      <b/>
      <sz val="11.0"/>
      <color theme="1"/>
      <name val="Arial"/>
      <scheme val="minor"/>
    </font>
    <font>
      <sz val="11.0"/>
      <color theme="1"/>
      <name val="Arial"/>
    </font>
  </fonts>
  <fills count="7">
    <fill>
      <patternFill patternType="none"/>
    </fill>
    <fill>
      <patternFill patternType="lightGray"/>
    </fill>
    <fill>
      <patternFill patternType="solid">
        <fgColor rgb="FFFFFFFF"/>
        <bgColor rgb="FFFFFFFF"/>
      </patternFill>
    </fill>
    <fill>
      <patternFill patternType="solid">
        <fgColor rgb="FFE87EA5"/>
        <bgColor rgb="FFE87EA5"/>
      </patternFill>
    </fill>
    <fill>
      <patternFill patternType="solid">
        <fgColor rgb="FFFF9900"/>
        <bgColor rgb="FFFF9900"/>
      </patternFill>
    </fill>
    <fill>
      <patternFill patternType="solid">
        <fgColor rgb="FFD9EAD3"/>
        <bgColor rgb="FFD9EAD3"/>
      </patternFill>
    </fill>
    <fill>
      <patternFill patternType="solid">
        <fgColor theme="0"/>
        <bgColor theme="0"/>
      </patternFill>
    </fill>
  </fills>
  <borders count="2">
    <border/>
    <border>
      <right style="thin">
        <color rgb="FF000000"/>
      </right>
      <bottom style="thin">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bottom" wrapText="0"/>
    </xf>
    <xf borderId="1" fillId="3" fontId="1" numFmtId="0" xfId="0" applyAlignment="1" applyBorder="1" applyFill="1" applyFont="1">
      <alignment horizontal="center" readingOrder="0" shrinkToFit="0" vertical="bottom" wrapText="1"/>
    </xf>
    <xf borderId="1" fillId="4" fontId="2" numFmtId="0" xfId="0" applyAlignment="1" applyBorder="1" applyFill="1" applyFont="1">
      <alignment horizontal="center" shrinkToFit="0" vertical="bottom" wrapText="1"/>
    </xf>
    <xf borderId="1" fillId="2" fontId="1" numFmtId="0" xfId="0" applyAlignment="1" applyBorder="1" applyFont="1">
      <alignment horizontal="center" readingOrder="0" shrinkToFit="0" vertical="bottom" wrapText="1"/>
    </xf>
    <xf borderId="0" fillId="0" fontId="3" numFmtId="0" xfId="0" applyAlignment="1" applyFont="1">
      <alignment horizontal="center" readingOrder="0" vertical="bottom"/>
    </xf>
    <xf borderId="0" fillId="0" fontId="4" numFmtId="0" xfId="0" applyAlignment="1" applyFont="1">
      <alignment horizontal="center" readingOrder="0"/>
    </xf>
    <xf borderId="0" fillId="0" fontId="3" numFmtId="0" xfId="0" applyAlignment="1" applyFont="1">
      <alignment shrinkToFit="0" vertical="bottom" wrapText="0"/>
    </xf>
    <xf borderId="0" fillId="0" fontId="3" numFmtId="0" xfId="0" applyAlignment="1" applyFont="1">
      <alignment readingOrder="0" shrinkToFit="0" vertical="bottom" wrapText="0"/>
    </xf>
    <xf borderId="0" fillId="0" fontId="4" numFmtId="164" xfId="0" applyAlignment="1" applyFont="1" applyNumberFormat="1">
      <alignment horizontal="center" readingOrder="0"/>
    </xf>
    <xf borderId="0" fillId="5" fontId="4" numFmtId="0" xfId="0" applyAlignment="1" applyFill="1" applyFont="1">
      <alignment horizontal="center" readingOrder="0"/>
    </xf>
    <xf borderId="0" fillId="0" fontId="3" numFmtId="0" xfId="0" applyAlignment="1" applyFont="1">
      <alignment horizontal="right" vertical="bottom"/>
    </xf>
    <xf borderId="0" fillId="0" fontId="3" numFmtId="0" xfId="0" applyAlignment="1" applyFont="1">
      <alignment horizontal="left" shrinkToFit="0" vertical="bottom" wrapText="0"/>
    </xf>
    <xf borderId="0" fillId="0" fontId="3" numFmtId="0" xfId="0" applyAlignment="1" applyFont="1">
      <alignment horizontal="left" readingOrder="0" shrinkToFit="0" vertical="bottom" wrapText="0"/>
    </xf>
    <xf borderId="0" fillId="5" fontId="3" numFmtId="0" xfId="0" applyAlignment="1" applyFont="1">
      <alignment horizontal="center" readingOrder="0" vertical="bottom"/>
    </xf>
    <xf borderId="0" fillId="0" fontId="4" numFmtId="0" xfId="0" applyAlignment="1" applyFont="1">
      <alignment horizontal="left"/>
    </xf>
    <xf borderId="0" fillId="5" fontId="3" numFmtId="0" xfId="0" applyAlignment="1" applyFont="1">
      <alignment horizontal="center" vertical="bottom"/>
    </xf>
    <xf borderId="0" fillId="0" fontId="4" numFmtId="0" xfId="0" applyAlignment="1" applyFont="1">
      <alignment readingOrder="0"/>
    </xf>
    <xf borderId="0" fillId="0" fontId="4" numFmtId="164" xfId="0" applyAlignment="1" applyFont="1" applyNumberFormat="1">
      <alignment readingOrder="0"/>
    </xf>
    <xf borderId="0" fillId="0" fontId="2" numFmtId="0" xfId="0" applyAlignment="1" applyFont="1">
      <alignment horizontal="center" readingOrder="0" vertical="bottom"/>
    </xf>
    <xf borderId="0" fillId="0" fontId="4" numFmtId="165" xfId="0" applyAlignment="1" applyFont="1" applyNumberFormat="1">
      <alignment horizontal="center" readingOrder="0" shrinkToFit="0" wrapText="0"/>
    </xf>
    <xf borderId="0" fillId="0" fontId="3" numFmtId="0" xfId="0" applyAlignment="1" applyFont="1">
      <alignment horizontal="center" readingOrder="0" shrinkToFit="0" vertical="bottom" wrapText="0"/>
    </xf>
    <xf borderId="0" fillId="0" fontId="3" numFmtId="0" xfId="0" applyAlignment="1" applyFont="1">
      <alignment horizontal="right" readingOrder="0" shrinkToFit="0" vertical="bottom" wrapText="0"/>
    </xf>
    <xf borderId="0" fillId="0" fontId="4" numFmtId="0" xfId="0" applyAlignment="1" applyFont="1">
      <alignment horizontal="center" readingOrder="0" shrinkToFit="0" wrapText="0"/>
    </xf>
    <xf borderId="0" fillId="0" fontId="4" numFmtId="164" xfId="0" applyAlignment="1" applyFont="1" applyNumberFormat="1">
      <alignment horizontal="center" readingOrder="0" shrinkToFit="0" wrapText="0"/>
    </xf>
    <xf borderId="0" fillId="5" fontId="3" numFmtId="0" xfId="0" applyAlignment="1" applyFont="1">
      <alignment horizontal="center" readingOrder="0" shrinkToFit="0" vertical="bottom" wrapText="0"/>
    </xf>
    <xf borderId="0" fillId="5" fontId="3" numFmtId="0" xfId="0" applyAlignment="1" applyFont="1">
      <alignment horizontal="center" shrinkToFit="0" vertical="bottom" wrapText="0"/>
    </xf>
    <xf borderId="0" fillId="0" fontId="4" numFmtId="0" xfId="0" applyAlignment="1" applyFont="1">
      <alignment horizontal="left" readingOrder="0"/>
    </xf>
    <xf borderId="0" fillId="0" fontId="3" numFmtId="0" xfId="0" applyAlignment="1" applyFont="1">
      <alignment horizontal="left" readingOrder="0" vertical="bottom"/>
    </xf>
    <xf borderId="0" fillId="0" fontId="4" numFmtId="0" xfId="0" applyAlignment="1" applyFont="1">
      <alignment readingOrder="0" shrinkToFit="0" wrapText="0"/>
    </xf>
    <xf borderId="0" fillId="0" fontId="4" numFmtId="0" xfId="0" applyAlignment="1" applyFont="1">
      <alignment shrinkToFit="0" wrapText="0"/>
    </xf>
    <xf borderId="0" fillId="0" fontId="3" numFmtId="0" xfId="0" applyAlignment="1" applyFont="1">
      <alignment horizontal="left" readingOrder="0" shrinkToFit="0" vertical="bottom" wrapText="0"/>
    </xf>
    <xf borderId="0" fillId="0" fontId="3" numFmtId="0" xfId="0" applyAlignment="1" applyFont="1">
      <alignment horizontal="left" vertical="bottom"/>
    </xf>
    <xf borderId="0" fillId="0" fontId="2" numFmtId="0" xfId="0" applyAlignment="1" applyFont="1">
      <alignment horizontal="center" shrinkToFit="0" vertical="bottom" wrapText="1"/>
    </xf>
    <xf borderId="0" fillId="0" fontId="2" numFmtId="0" xfId="0" applyAlignment="1" applyFont="1">
      <alignment horizontal="center" readingOrder="0" shrinkToFit="0" vertical="bottom" wrapText="1"/>
    </xf>
    <xf borderId="0" fillId="0" fontId="3" numFmtId="0" xfId="0" applyAlignment="1" applyFont="1">
      <alignment horizontal="right" vertical="bottom"/>
    </xf>
    <xf borderId="0" fillId="0" fontId="5" numFmtId="0" xfId="0" applyAlignment="1" applyFont="1">
      <alignment horizontal="center" shrinkToFit="0" wrapText="1"/>
    </xf>
    <xf borderId="0" fillId="0" fontId="5" numFmtId="0" xfId="0" applyFont="1"/>
    <xf borderId="0" fillId="0" fontId="4" numFmtId="0" xfId="0" applyAlignment="1" applyFont="1">
      <alignment horizontal="center"/>
    </xf>
    <xf borderId="0" fillId="0" fontId="2" numFmtId="0" xfId="0" applyAlignment="1" applyFont="1">
      <alignment horizontal="center" vertical="bottom"/>
    </xf>
    <xf borderId="0" fillId="0" fontId="4" numFmtId="0" xfId="0" applyFont="1"/>
    <xf borderId="0" fillId="0" fontId="3" numFmtId="0" xfId="0" applyAlignment="1" applyFont="1">
      <alignment vertical="bottom"/>
    </xf>
    <xf borderId="0" fillId="0" fontId="2" numFmtId="0" xfId="0" applyAlignment="1" applyFont="1">
      <alignment horizontal="center" shrinkToFit="0" vertical="bottom" wrapText="0"/>
    </xf>
    <xf borderId="0" fillId="0" fontId="3" numFmtId="0" xfId="0" applyAlignment="1" applyFont="1">
      <alignment vertical="bottom"/>
    </xf>
    <xf borderId="0" fillId="0" fontId="3" numFmtId="165" xfId="0" applyAlignment="1" applyFont="1" applyNumberFormat="1">
      <alignment horizontal="right" vertical="bottom"/>
    </xf>
    <xf borderId="0" fillId="0" fontId="6" numFmtId="0" xfId="0" applyAlignment="1" applyFont="1">
      <alignment horizontal="center" readingOrder="0" shrinkToFit="0" vertical="bottom" wrapText="1"/>
    </xf>
    <xf borderId="0" fillId="0" fontId="7" numFmtId="0" xfId="0" applyAlignment="1" applyFont="1">
      <alignment horizontal="center" readingOrder="0" shrinkToFit="0" wrapText="1"/>
    </xf>
    <xf borderId="0" fillId="0" fontId="8" numFmtId="0" xfId="0" applyAlignment="1" applyFont="1">
      <alignment horizontal="right" readingOrder="0" vertical="bottom"/>
    </xf>
    <xf borderId="0" fillId="0" fontId="7" numFmtId="0" xfId="0" applyAlignment="1" applyFont="1">
      <alignment readingOrder="0" shrinkToFit="0" wrapText="0"/>
    </xf>
    <xf borderId="0" fillId="0" fontId="4" numFmtId="0" xfId="0" applyAlignment="1" applyFont="1">
      <alignment horizontal="left" readingOrder="0" shrinkToFit="0" wrapText="0"/>
    </xf>
    <xf borderId="0" fillId="0" fontId="4" numFmtId="164" xfId="0" applyAlignment="1" applyFont="1" applyNumberFormat="1">
      <alignment horizontal="left" readingOrder="0" shrinkToFit="0" wrapText="0"/>
    </xf>
    <xf borderId="0" fillId="0" fontId="4" numFmtId="165" xfId="0" applyAlignment="1" applyFont="1" applyNumberFormat="1">
      <alignment horizontal="left" readingOrder="0" shrinkToFit="0" wrapText="0"/>
    </xf>
    <xf borderId="0" fillId="0" fontId="7" numFmtId="0" xfId="0" applyAlignment="1" applyFont="1">
      <alignment readingOrder="0"/>
    </xf>
    <xf borderId="0" fillId="6" fontId="3" numFmtId="0" xfId="0" applyAlignment="1" applyFill="1" applyFont="1">
      <alignment readingOrder="0" shrinkToFit="0" vertical="bottom" wrapText="0"/>
    </xf>
    <xf borderId="0" fillId="0" fontId="3" numFmtId="165" xfId="0" applyAlignment="1" applyFont="1" applyNumberFormat="1">
      <alignment vertical="bottom"/>
    </xf>
    <xf borderId="0" fillId="0" fontId="3" numFmtId="0" xfId="0" applyAlignment="1" applyFont="1">
      <alignment horizontal="center" vertical="bottom"/>
    </xf>
    <xf borderId="0" fillId="0" fontId="4"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2848297267102665"/>
          <c:y val="0.06408365479819327"/>
          <c:w val="0.4620279762340828"/>
          <c:h val="0.7916134909738213"/>
        </c:manualLayout>
      </c:layout>
      <c:scatterChart>
        <c:scatterStyle val="lineMarker"/>
        <c:ser>
          <c:idx val="0"/>
          <c:order val="0"/>
          <c:tx>
            <c:strRef>
              <c:f>'Min-Max ALL(responses)'!$F$1</c:f>
            </c:strRef>
          </c:tx>
          <c:spPr>
            <a:ln>
              <a:noFill/>
            </a:ln>
          </c:spPr>
          <c:marker>
            <c:symbol val="diamond"/>
            <c:size val="7"/>
            <c:spPr>
              <a:solidFill>
                <a:srgbClr val="4285F4"/>
              </a:solidFill>
              <a:ln cmpd="sng">
                <a:solidFill>
                  <a:srgbClr val="4285F4"/>
                </a:solidFill>
              </a:ln>
            </c:spPr>
          </c:marker>
          <c:trendline>
            <c:name/>
            <c:spPr>
              <a:ln w="19050">
                <a:solidFill>
                  <a:srgbClr val="000000"/>
                </a:solidFill>
              </a:ln>
            </c:spPr>
            <c:trendlineType val="linear"/>
            <c:dispRSqr val="0"/>
            <c:dispEq val="0"/>
          </c:trendline>
          <c:xVal>
            <c:numRef>
              <c:f>'Min-Max ALL(responses)'!$E$2:$E$162</c:f>
            </c:numRef>
          </c:xVal>
          <c:yVal>
            <c:numRef>
              <c:f>'Min-Max ALL(responses)'!$F$2:$F$162</c:f>
              <c:numCache/>
            </c:numRef>
          </c:yVal>
        </c:ser>
        <c:ser>
          <c:idx val="1"/>
          <c:order val="1"/>
          <c:tx>
            <c:strRef>
              <c:f>'Min-Max ALL(responses)'!$G$1</c:f>
            </c:strRef>
          </c:tx>
          <c:spPr>
            <a:ln>
              <a:noFill/>
            </a:ln>
          </c:spPr>
          <c:marker>
            <c:symbol val="diamond"/>
            <c:size val="7"/>
            <c:spPr>
              <a:solidFill>
                <a:schemeClr val="accent2"/>
              </a:solidFill>
              <a:ln cmpd="sng">
                <a:solidFill>
                  <a:schemeClr val="accent2"/>
                </a:solidFill>
              </a:ln>
            </c:spPr>
          </c:marker>
          <c:trendline>
            <c:name/>
            <c:spPr>
              <a:ln w="19050">
                <a:solidFill>
                  <a:srgbClr val="000000"/>
                </a:solidFill>
              </a:ln>
            </c:spPr>
            <c:trendlineType val="linear"/>
            <c:dispRSqr val="0"/>
            <c:dispEq val="0"/>
          </c:trendline>
          <c:xVal>
            <c:numRef>
              <c:f>'Min-Max ALL(responses)'!$E$2:$E$162</c:f>
            </c:numRef>
          </c:xVal>
          <c:yVal>
            <c:numRef>
              <c:f>'Min-Max ALL(responses)'!$G$2:$G$162</c:f>
              <c:numCache/>
            </c:numRef>
          </c:yVal>
        </c:ser>
        <c:ser>
          <c:idx val="2"/>
          <c:order val="2"/>
          <c:tx>
            <c:strRef>
              <c:f>'Min-Max ALL(responses)'!$H$1</c:f>
            </c:strRef>
          </c:tx>
          <c:spPr>
            <a:ln>
              <a:noFill/>
            </a:ln>
          </c:spPr>
          <c:marker>
            <c:symbol val="diamond"/>
            <c:size val="7"/>
            <c:spPr>
              <a:solidFill>
                <a:schemeClr val="accent3"/>
              </a:solidFill>
              <a:ln cmpd="sng">
                <a:solidFill>
                  <a:schemeClr val="accent3"/>
                </a:solidFill>
              </a:ln>
            </c:spPr>
          </c:marker>
          <c:trendline>
            <c:name/>
            <c:spPr>
              <a:ln w="19050">
                <a:solidFill>
                  <a:srgbClr val="000000"/>
                </a:solidFill>
              </a:ln>
            </c:spPr>
            <c:trendlineType val="linear"/>
            <c:dispRSqr val="0"/>
            <c:dispEq val="0"/>
          </c:trendline>
          <c:xVal>
            <c:numRef>
              <c:f>'Min-Max ALL(responses)'!$E$2:$E$162</c:f>
            </c:numRef>
          </c:xVal>
          <c:yVal>
            <c:numRef>
              <c:f>'Min-Max ALL(responses)'!$H$2:$H$162</c:f>
              <c:numCache/>
            </c:numRef>
          </c:yVal>
        </c:ser>
        <c:ser>
          <c:idx val="3"/>
          <c:order val="3"/>
          <c:tx>
            <c:strRef>
              <c:f>'Min-Max ALL(responses)'!$I$1</c:f>
            </c:strRef>
          </c:tx>
          <c:spPr>
            <a:ln>
              <a:noFill/>
            </a:ln>
          </c:spPr>
          <c:marker>
            <c:symbol val="diamond"/>
            <c:size val="7"/>
            <c:spPr>
              <a:solidFill>
                <a:srgbClr val="C27BA0"/>
              </a:solidFill>
              <a:ln cmpd="sng">
                <a:solidFill>
                  <a:srgbClr val="C27BA0"/>
                </a:solidFill>
              </a:ln>
            </c:spPr>
          </c:marker>
          <c:trendline>
            <c:name/>
            <c:spPr>
              <a:ln w="19050">
                <a:solidFill>
                  <a:srgbClr val="000000"/>
                </a:solidFill>
              </a:ln>
            </c:spPr>
            <c:trendlineType val="linear"/>
            <c:dispRSqr val="0"/>
            <c:dispEq val="0"/>
          </c:trendline>
          <c:xVal>
            <c:numRef>
              <c:f>'Min-Max ALL(responses)'!$E$2:$E$162</c:f>
            </c:numRef>
          </c:xVal>
          <c:yVal>
            <c:numRef>
              <c:f>'Min-Max ALL(responses)'!$I$2:$I$162</c:f>
              <c:numCache/>
            </c:numRef>
          </c:yVal>
        </c:ser>
        <c:ser>
          <c:idx val="4"/>
          <c:order val="4"/>
          <c:tx>
            <c:strRef>
              <c:f>'Min-Max ALL(responses)'!$J$1</c:f>
            </c:strRef>
          </c:tx>
          <c:spPr>
            <a:ln>
              <a:noFill/>
            </a:ln>
          </c:spPr>
          <c:marker>
            <c:symbol val="diamond"/>
            <c:size val="7"/>
            <c:spPr>
              <a:solidFill>
                <a:schemeClr val="accent5"/>
              </a:solidFill>
              <a:ln cmpd="sng">
                <a:solidFill>
                  <a:schemeClr val="accent5"/>
                </a:solidFill>
              </a:ln>
            </c:spPr>
          </c:marker>
          <c:trendline>
            <c:name/>
            <c:spPr>
              <a:ln w="19050">
                <a:solidFill>
                  <a:srgbClr val="000000"/>
                </a:solidFill>
              </a:ln>
            </c:spPr>
            <c:trendlineType val="linear"/>
            <c:dispRSqr val="0"/>
            <c:dispEq val="0"/>
          </c:trendline>
          <c:xVal>
            <c:numRef>
              <c:f>'Min-Max ALL(responses)'!$E$2:$E$162</c:f>
            </c:numRef>
          </c:xVal>
          <c:yVal>
            <c:numRef>
              <c:f>'Min-Max ALL(responses)'!$J$2:$J$162</c:f>
              <c:numCache/>
            </c:numRef>
          </c:yVal>
        </c:ser>
        <c:ser>
          <c:idx val="5"/>
          <c:order val="5"/>
          <c:tx>
            <c:strRef>
              <c:f>'Min-Max ALL(responses)'!$K$1</c:f>
            </c:strRef>
          </c:tx>
          <c:spPr>
            <a:ln>
              <a:noFill/>
            </a:ln>
          </c:spPr>
          <c:marker>
            <c:symbol val="square"/>
            <c:size val="10"/>
            <c:spPr>
              <a:solidFill>
                <a:srgbClr val="12D245"/>
              </a:solidFill>
              <a:ln cmpd="sng">
                <a:solidFill>
                  <a:srgbClr val="12D245"/>
                </a:solidFill>
              </a:ln>
            </c:spPr>
          </c:marker>
          <c:trendline>
            <c:name/>
            <c:spPr>
              <a:ln w="19050">
                <a:solidFill>
                  <a:srgbClr val="000000"/>
                </a:solidFill>
              </a:ln>
            </c:spPr>
            <c:trendlineType val="linear"/>
            <c:dispRSqr val="0"/>
            <c:dispEq val="0"/>
          </c:trendline>
          <c:xVal>
            <c:numRef>
              <c:f>'Min-Max ALL(responses)'!$E$2:$E$162</c:f>
            </c:numRef>
          </c:xVal>
          <c:yVal>
            <c:numRef>
              <c:f>'Min-Max ALL(responses)'!$K$2:$K$162</c:f>
              <c:numCache/>
            </c:numRef>
          </c:yVal>
        </c:ser>
        <c:ser>
          <c:idx val="6"/>
          <c:order val="6"/>
          <c:tx>
            <c:strRef>
              <c:f>'Min-Max ALL(responses)'!$L$1</c:f>
            </c:strRef>
          </c:tx>
          <c:spPr>
            <a:ln>
              <a:noFill/>
            </a:ln>
          </c:spPr>
          <c:marker>
            <c:symbol val="triangle"/>
            <c:size val="7"/>
            <c:spPr>
              <a:solidFill>
                <a:schemeClr val="accent1">
                  <a:lumOff val="30000"/>
                </a:schemeClr>
              </a:solidFill>
              <a:ln cmpd="sng">
                <a:solidFill>
                  <a:schemeClr val="accent1">
                    <a:lumOff val="30000"/>
                  </a:schemeClr>
                </a:solidFill>
              </a:ln>
            </c:spPr>
          </c:marker>
          <c:trendline>
            <c:name/>
            <c:spPr>
              <a:ln w="19050">
                <a:solidFill>
                  <a:srgbClr val="000000"/>
                </a:solidFill>
              </a:ln>
            </c:spPr>
            <c:trendlineType val="linear"/>
            <c:dispRSqr val="0"/>
            <c:dispEq val="0"/>
          </c:trendline>
          <c:xVal>
            <c:numRef>
              <c:f>'Min-Max ALL(responses)'!$E$2:$E$162</c:f>
            </c:numRef>
          </c:xVal>
          <c:yVal>
            <c:numRef>
              <c:f>'Min-Max ALL(responses)'!$L$2:$L$162</c:f>
              <c:numCache/>
            </c:numRef>
          </c:yVal>
        </c:ser>
        <c:ser>
          <c:idx val="7"/>
          <c:order val="7"/>
          <c:tx>
            <c:strRef>
              <c:f>'Min-Max ALL(responses)'!$M$1</c:f>
            </c:strRef>
          </c:tx>
          <c:spPr>
            <a:ln>
              <a:noFill/>
            </a:ln>
          </c:spPr>
          <c:marker>
            <c:symbol val="triangle"/>
            <c:size val="7"/>
            <c:spPr>
              <a:solidFill>
                <a:schemeClr val="accent2">
                  <a:lumOff val="30000"/>
                </a:schemeClr>
              </a:solidFill>
              <a:ln cmpd="sng">
                <a:solidFill>
                  <a:schemeClr val="accent2">
                    <a:lumOff val="30000"/>
                  </a:schemeClr>
                </a:solidFill>
              </a:ln>
            </c:spPr>
          </c:marker>
          <c:trendline>
            <c:name/>
            <c:spPr>
              <a:ln w="19050">
                <a:solidFill>
                  <a:srgbClr val="000000"/>
                </a:solidFill>
              </a:ln>
            </c:spPr>
            <c:trendlineType val="linear"/>
            <c:dispRSqr val="0"/>
            <c:dispEq val="0"/>
          </c:trendline>
          <c:xVal>
            <c:numRef>
              <c:f>'Min-Max ALL(responses)'!$E$2:$E$162</c:f>
            </c:numRef>
          </c:xVal>
          <c:yVal>
            <c:numRef>
              <c:f>'Min-Max ALL(responses)'!$M$2:$M$162</c:f>
              <c:numCache/>
            </c:numRef>
          </c:yVal>
        </c:ser>
        <c:ser>
          <c:idx val="8"/>
          <c:order val="8"/>
          <c:tx>
            <c:strRef>
              <c:f>'Min-Max ALL(responses)'!$N$1</c:f>
            </c:strRef>
          </c:tx>
          <c:spPr>
            <a:ln>
              <a:noFill/>
            </a:ln>
          </c:spPr>
          <c:marker>
            <c:symbol val="triangle"/>
            <c:size val="7"/>
            <c:spPr>
              <a:solidFill>
                <a:schemeClr val="accent3">
                  <a:lumOff val="30000"/>
                </a:schemeClr>
              </a:solidFill>
              <a:ln cmpd="sng">
                <a:solidFill>
                  <a:schemeClr val="accent3">
                    <a:lumOff val="30000"/>
                  </a:schemeClr>
                </a:solidFill>
              </a:ln>
            </c:spPr>
          </c:marker>
          <c:trendline>
            <c:name/>
            <c:spPr>
              <a:ln w="19050">
                <a:solidFill>
                  <a:srgbClr val="000000"/>
                </a:solidFill>
              </a:ln>
            </c:spPr>
            <c:trendlineType val="linear"/>
            <c:dispRSqr val="0"/>
            <c:dispEq val="0"/>
          </c:trendline>
          <c:xVal>
            <c:numRef>
              <c:f>'Min-Max ALL(responses)'!$E$2:$E$162</c:f>
            </c:numRef>
          </c:xVal>
          <c:yVal>
            <c:numRef>
              <c:f>'Min-Max ALL(responses)'!$N$2:$N$162</c:f>
              <c:numCache/>
            </c:numRef>
          </c:yVal>
        </c:ser>
        <c:ser>
          <c:idx val="9"/>
          <c:order val="9"/>
          <c:tx>
            <c:strRef>
              <c:f>'Min-Max ALL(responses)'!$O$1</c:f>
            </c:strRef>
          </c:tx>
          <c:spPr>
            <a:ln>
              <a:noFill/>
            </a:ln>
          </c:spPr>
          <c:marker>
            <c:symbol val="triangle"/>
            <c:size val="7"/>
            <c:spPr>
              <a:solidFill>
                <a:srgbClr val="A64D79"/>
              </a:solidFill>
              <a:ln cmpd="sng">
                <a:solidFill>
                  <a:srgbClr val="A64D79"/>
                </a:solidFill>
              </a:ln>
            </c:spPr>
          </c:marker>
          <c:trendline>
            <c:name/>
            <c:spPr>
              <a:ln w="19050">
                <a:solidFill>
                  <a:srgbClr val="000000"/>
                </a:solidFill>
              </a:ln>
            </c:spPr>
            <c:trendlineType val="linear"/>
            <c:dispRSqr val="0"/>
            <c:dispEq val="0"/>
          </c:trendline>
          <c:xVal>
            <c:numRef>
              <c:f>'Min-Max ALL(responses)'!$E$2:$E$162</c:f>
            </c:numRef>
          </c:xVal>
          <c:yVal>
            <c:numRef>
              <c:f>'Min-Max ALL(responses)'!$O$2:$O$162</c:f>
              <c:numCache/>
            </c:numRef>
          </c:yVal>
        </c:ser>
        <c:ser>
          <c:idx val="10"/>
          <c:order val="10"/>
          <c:tx>
            <c:strRef>
              <c:f>'Min-Max ALL(responses)'!$P$1</c:f>
            </c:strRef>
          </c:tx>
          <c:spPr>
            <a:ln>
              <a:noFill/>
            </a:ln>
          </c:spPr>
          <c:marker>
            <c:symbol val="triangle"/>
            <c:size val="7"/>
            <c:spPr>
              <a:solidFill>
                <a:schemeClr val="accent5">
                  <a:lumOff val="30000"/>
                </a:schemeClr>
              </a:solidFill>
              <a:ln cmpd="sng">
                <a:solidFill>
                  <a:schemeClr val="accent5">
                    <a:lumOff val="30000"/>
                  </a:schemeClr>
                </a:solidFill>
              </a:ln>
            </c:spPr>
          </c:marker>
          <c:trendline>
            <c:name/>
            <c:spPr>
              <a:ln w="19050">
                <a:solidFill>
                  <a:srgbClr val="000000"/>
                </a:solidFill>
              </a:ln>
            </c:spPr>
            <c:trendlineType val="linear"/>
            <c:dispRSqr val="0"/>
            <c:dispEq val="0"/>
          </c:trendline>
          <c:xVal>
            <c:numRef>
              <c:f>'Min-Max ALL(responses)'!$E$2:$E$162</c:f>
            </c:numRef>
          </c:xVal>
          <c:yVal>
            <c:numRef>
              <c:f>'Min-Max ALL(responses)'!$P$2:$P$162</c:f>
              <c:numCache/>
            </c:numRef>
          </c:yVal>
        </c:ser>
        <c:ser>
          <c:idx val="11"/>
          <c:order val="11"/>
          <c:tx>
            <c:v>AVG of 11 measures</c:v>
          </c:tx>
          <c:spPr>
            <a:ln>
              <a:noFill/>
            </a:ln>
          </c:spPr>
          <c:marker>
            <c:symbol val="circle"/>
            <c:size val="18"/>
            <c:spPr>
              <a:solidFill>
                <a:srgbClr val="000000"/>
              </a:solidFill>
              <a:ln cmpd="sng">
                <a:solidFill>
                  <a:srgbClr val="000000"/>
                </a:solidFill>
              </a:ln>
            </c:spPr>
          </c:marker>
          <c:xVal>
            <c:numRef>
              <c:f>'Min-Max ALL(responses)'!$E$2:$E$162</c:f>
            </c:numRef>
          </c:xVal>
          <c:yVal>
            <c:numRef>
              <c:f>'Min-Max ALL(responses)'!$Q$2:$Q$162</c:f>
              <c:numCache/>
            </c:numRef>
          </c:yVal>
        </c:ser>
        <c:dLbls>
          <c:showLegendKey val="0"/>
          <c:showVal val="0"/>
          <c:showCatName val="0"/>
          <c:showSerName val="0"/>
          <c:showPercent val="0"/>
          <c:showBubbleSize val="0"/>
        </c:dLbls>
        <c:axId val="953196419"/>
        <c:axId val="2135448340"/>
      </c:scatterChart>
      <c:valAx>
        <c:axId val="9531964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2135448340"/>
      </c:valAx>
      <c:valAx>
        <c:axId val="2135448340"/>
        <c:scaling>
          <c:orientation val="minMax"/>
        </c:scaling>
        <c:delete val="0"/>
        <c:axPos val="l"/>
        <c:minorGridlines>
          <c:spPr>
            <a:ln>
              <a:solidFill>
                <a:srgbClr val="CCCCCC">
                  <a:alpha val="0"/>
                </a:srgbClr>
              </a:solidFill>
            </a:ln>
          </c:spPr>
        </c:minorGridlines>
        <c:title>
          <c:tx>
            <c:rich>
              <a:bodyPr/>
              <a:lstStyle/>
              <a:p>
                <a:pPr lvl="0">
                  <a:defRPr b="0" sz="2000">
                    <a:solidFill>
                      <a:srgbClr val="000000"/>
                    </a:solidFill>
                    <a:latin typeface="+mn-lt"/>
                  </a:defRPr>
                </a:pPr>
                <a:r>
                  <a:rPr b="0" sz="2000">
                    <a:solidFill>
                      <a:srgbClr val="000000"/>
                    </a:solidFill>
                    <a:latin typeface="+mn-lt"/>
                  </a:rPr>
                  <a:t>Intimacy score</a:t>
                </a:r>
              </a:p>
            </c:rich>
          </c:tx>
          <c:overlay val="0"/>
        </c:title>
        <c:numFmt formatCode="General" sourceLinked="1"/>
        <c:majorTickMark val="none"/>
        <c:minorTickMark val="none"/>
        <c:tickLblPos val="nextTo"/>
        <c:spPr>
          <a:ln/>
        </c:spPr>
        <c:txPr>
          <a:bodyPr/>
          <a:lstStyle/>
          <a:p>
            <a:pPr lvl="0">
              <a:defRPr b="0" sz="1600">
                <a:solidFill>
                  <a:srgbClr val="000000"/>
                </a:solidFill>
                <a:latin typeface="+mn-lt"/>
              </a:defRPr>
            </a:pPr>
          </a:p>
        </c:txPr>
        <c:crossAx val="953196419"/>
      </c:valAx>
    </c:plotArea>
    <c:legend>
      <c:legendPos val="r"/>
      <c:legendEntry>
        <c:idx val="11"/>
        <c:txPr>
          <a:bodyPr/>
          <a:lstStyle/>
          <a:p>
            <a:pPr lvl="0">
              <a:defRPr b="1" sz="1800"/>
            </a:pPr>
          </a:p>
        </c:txPr>
      </c:legendEntry>
      <c:layout>
        <c:manualLayout>
          <c:xMode val="edge"/>
          <c:yMode val="edge"/>
          <c:x val="0.7698308069347979"/>
          <c:y val="0.17987434752037523"/>
        </c:manualLayout>
      </c:layout>
      <c:overlay val="0"/>
      <c:txPr>
        <a:bodyPr/>
        <a:lstStyle/>
        <a:p>
          <a:pPr lvl="0">
            <a:defRPr b="0" sz="150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286049791849255"/>
          <c:y val="0.06418201133144476"/>
          <c:w val="0.5594362535047379"/>
          <c:h val="0.7849681303116147"/>
        </c:manualLayout>
      </c:layout>
      <c:scatterChart>
        <c:scatterStyle val="lineMarker"/>
        <c:ser>
          <c:idx val="0"/>
          <c:order val="0"/>
          <c:tx>
            <c:strRef>
              <c:f>'Min-Max ALL(responses)'!$F$1</c:f>
            </c:strRef>
          </c:tx>
          <c:spPr>
            <a:ln>
              <a:noFill/>
            </a:ln>
          </c:spPr>
          <c:marker>
            <c:symbol val="diamond"/>
            <c:size val="7"/>
            <c:spPr>
              <a:solidFill>
                <a:srgbClr val="4285F4"/>
              </a:solidFill>
              <a:ln cmpd="sng">
                <a:solidFill>
                  <a:srgbClr val="4285F4"/>
                </a:solidFill>
              </a:ln>
            </c:spPr>
          </c:marker>
          <c:trendline>
            <c:name/>
            <c:spPr>
              <a:ln w="19050">
                <a:solidFill>
                  <a:srgbClr val="000000"/>
                </a:solidFill>
              </a:ln>
            </c:spPr>
            <c:trendlineType val="linear"/>
            <c:dispRSqr val="0"/>
            <c:dispEq val="0"/>
          </c:trendline>
          <c:xVal>
            <c:numRef>
              <c:f>'Min-Max ALL(responses)'!$E$2:$E$203</c:f>
            </c:numRef>
          </c:xVal>
          <c:yVal>
            <c:numRef>
              <c:f>'Min-Max ALL(responses)'!$F$2:$F$203</c:f>
              <c:numCache/>
            </c:numRef>
          </c:yVal>
        </c:ser>
        <c:ser>
          <c:idx val="1"/>
          <c:order val="1"/>
          <c:tx>
            <c:strRef>
              <c:f>'Min-Max ALL(responses)'!$G$1</c:f>
            </c:strRef>
          </c:tx>
          <c:spPr>
            <a:ln>
              <a:noFill/>
            </a:ln>
          </c:spPr>
          <c:marker>
            <c:symbol val="diamond"/>
            <c:size val="7"/>
            <c:spPr>
              <a:solidFill>
                <a:schemeClr val="accent2"/>
              </a:solidFill>
              <a:ln cmpd="sng">
                <a:solidFill>
                  <a:schemeClr val="accent2"/>
                </a:solidFill>
              </a:ln>
            </c:spPr>
          </c:marker>
          <c:trendline>
            <c:name/>
            <c:spPr>
              <a:ln w="19050">
                <a:solidFill>
                  <a:srgbClr val="000000"/>
                </a:solidFill>
              </a:ln>
            </c:spPr>
            <c:trendlineType val="linear"/>
            <c:dispRSqr val="0"/>
            <c:dispEq val="0"/>
          </c:trendline>
          <c:xVal>
            <c:numRef>
              <c:f>'Min-Max ALL(responses)'!$E$2:$E$203</c:f>
            </c:numRef>
          </c:xVal>
          <c:yVal>
            <c:numRef>
              <c:f>'Min-Max ALL(responses)'!$G$2:$G$203</c:f>
              <c:numCache/>
            </c:numRef>
          </c:yVal>
        </c:ser>
        <c:ser>
          <c:idx val="2"/>
          <c:order val="2"/>
          <c:tx>
            <c:strRef>
              <c:f>'Min-Max ALL(responses)'!$H$1</c:f>
            </c:strRef>
          </c:tx>
          <c:spPr>
            <a:ln>
              <a:noFill/>
            </a:ln>
          </c:spPr>
          <c:marker>
            <c:symbol val="diamond"/>
            <c:size val="7"/>
            <c:spPr>
              <a:solidFill>
                <a:schemeClr val="accent3"/>
              </a:solidFill>
              <a:ln cmpd="sng">
                <a:solidFill>
                  <a:schemeClr val="accent3"/>
                </a:solidFill>
              </a:ln>
            </c:spPr>
          </c:marker>
          <c:trendline>
            <c:name/>
            <c:spPr>
              <a:ln w="19050">
                <a:solidFill>
                  <a:srgbClr val="000000"/>
                </a:solidFill>
              </a:ln>
            </c:spPr>
            <c:trendlineType val="linear"/>
            <c:dispRSqr val="0"/>
            <c:dispEq val="0"/>
          </c:trendline>
          <c:xVal>
            <c:numRef>
              <c:f>'Min-Max ALL(responses)'!$E$2:$E$203</c:f>
            </c:numRef>
          </c:xVal>
          <c:yVal>
            <c:numRef>
              <c:f>'Min-Max ALL(responses)'!$H$2:$H$203</c:f>
              <c:numCache/>
            </c:numRef>
          </c:yVal>
        </c:ser>
        <c:ser>
          <c:idx val="3"/>
          <c:order val="3"/>
          <c:tx>
            <c:strRef>
              <c:f>'Min-Max ALL(responses)'!$I$1</c:f>
            </c:strRef>
          </c:tx>
          <c:spPr>
            <a:ln>
              <a:noFill/>
            </a:ln>
          </c:spPr>
          <c:marker>
            <c:symbol val="diamond"/>
            <c:size val="7"/>
            <c:spPr>
              <a:solidFill>
                <a:srgbClr val="C27BA0"/>
              </a:solidFill>
              <a:ln cmpd="sng">
                <a:solidFill>
                  <a:srgbClr val="C27BA0"/>
                </a:solidFill>
              </a:ln>
            </c:spPr>
          </c:marker>
          <c:trendline>
            <c:name/>
            <c:spPr>
              <a:ln w="19050">
                <a:solidFill>
                  <a:srgbClr val="000000"/>
                </a:solidFill>
              </a:ln>
            </c:spPr>
            <c:trendlineType val="linear"/>
            <c:dispRSqr val="0"/>
            <c:dispEq val="0"/>
          </c:trendline>
          <c:xVal>
            <c:numRef>
              <c:f>'Min-Max ALL(responses)'!$E$2:$E$203</c:f>
            </c:numRef>
          </c:xVal>
          <c:yVal>
            <c:numRef>
              <c:f>'Min-Max ALL(responses)'!$I$2:$I$203</c:f>
              <c:numCache/>
            </c:numRef>
          </c:yVal>
        </c:ser>
        <c:ser>
          <c:idx val="4"/>
          <c:order val="4"/>
          <c:tx>
            <c:strRef>
              <c:f>'Min-Max ALL(responses)'!$J$1</c:f>
            </c:strRef>
          </c:tx>
          <c:spPr>
            <a:ln>
              <a:noFill/>
            </a:ln>
          </c:spPr>
          <c:marker>
            <c:symbol val="diamond"/>
            <c:size val="7"/>
            <c:spPr>
              <a:solidFill>
                <a:schemeClr val="accent5"/>
              </a:solidFill>
              <a:ln cmpd="sng">
                <a:solidFill>
                  <a:schemeClr val="accent5"/>
                </a:solidFill>
              </a:ln>
            </c:spPr>
          </c:marker>
          <c:trendline>
            <c:name/>
            <c:spPr>
              <a:ln w="19050">
                <a:solidFill>
                  <a:srgbClr val="000000"/>
                </a:solidFill>
              </a:ln>
            </c:spPr>
            <c:trendlineType val="linear"/>
            <c:dispRSqr val="0"/>
            <c:dispEq val="0"/>
          </c:trendline>
          <c:xVal>
            <c:numRef>
              <c:f>'Min-Max ALL(responses)'!$E$2:$E$203</c:f>
            </c:numRef>
          </c:xVal>
          <c:yVal>
            <c:numRef>
              <c:f>'Min-Max ALL(responses)'!$J$2:$J$203</c:f>
              <c:numCache/>
            </c:numRef>
          </c:yVal>
        </c:ser>
        <c:ser>
          <c:idx val="5"/>
          <c:order val="5"/>
          <c:tx>
            <c:strRef>
              <c:f>'Min-Max ALL(responses)'!$K$1</c:f>
            </c:strRef>
          </c:tx>
          <c:spPr>
            <a:ln>
              <a:noFill/>
            </a:ln>
          </c:spPr>
          <c:marker>
            <c:symbol val="square"/>
            <c:size val="10"/>
            <c:spPr>
              <a:solidFill>
                <a:srgbClr val="12D245"/>
              </a:solidFill>
              <a:ln cmpd="sng">
                <a:solidFill>
                  <a:srgbClr val="12D245"/>
                </a:solidFill>
              </a:ln>
            </c:spPr>
          </c:marker>
          <c:trendline>
            <c:name/>
            <c:spPr>
              <a:ln w="19050">
                <a:solidFill>
                  <a:srgbClr val="000000"/>
                </a:solidFill>
              </a:ln>
            </c:spPr>
            <c:trendlineType val="linear"/>
            <c:dispRSqr val="0"/>
            <c:dispEq val="0"/>
          </c:trendline>
          <c:xVal>
            <c:numRef>
              <c:f>'Min-Max ALL(responses)'!$E$2:$E$203</c:f>
            </c:numRef>
          </c:xVal>
          <c:yVal>
            <c:numRef>
              <c:f>'Min-Max ALL(responses)'!$K$2:$K$203</c:f>
              <c:numCache/>
            </c:numRef>
          </c:yVal>
        </c:ser>
        <c:ser>
          <c:idx val="6"/>
          <c:order val="6"/>
          <c:tx>
            <c:strRef>
              <c:f>'Min-Max ALL(responses)'!$L$1</c:f>
            </c:strRef>
          </c:tx>
          <c:spPr>
            <a:ln>
              <a:noFill/>
            </a:ln>
          </c:spPr>
          <c:marker>
            <c:symbol val="triangle"/>
            <c:size val="7"/>
            <c:spPr>
              <a:solidFill>
                <a:schemeClr val="accent1">
                  <a:lumOff val="30000"/>
                </a:schemeClr>
              </a:solidFill>
              <a:ln cmpd="sng">
                <a:solidFill>
                  <a:schemeClr val="accent1">
                    <a:lumOff val="30000"/>
                  </a:schemeClr>
                </a:solidFill>
              </a:ln>
            </c:spPr>
          </c:marker>
          <c:trendline>
            <c:name/>
            <c:spPr>
              <a:ln w="19050">
                <a:solidFill>
                  <a:srgbClr val="000000"/>
                </a:solidFill>
              </a:ln>
            </c:spPr>
            <c:trendlineType val="linear"/>
            <c:dispRSqr val="0"/>
            <c:dispEq val="0"/>
          </c:trendline>
          <c:xVal>
            <c:numRef>
              <c:f>'Min-Max ALL(responses)'!$E$2:$E$203</c:f>
            </c:numRef>
          </c:xVal>
          <c:yVal>
            <c:numRef>
              <c:f>'Min-Max ALL(responses)'!$L$2:$L$203</c:f>
              <c:numCache/>
            </c:numRef>
          </c:yVal>
        </c:ser>
        <c:ser>
          <c:idx val="7"/>
          <c:order val="7"/>
          <c:tx>
            <c:strRef>
              <c:f>'Min-Max ALL(responses)'!$M$1</c:f>
            </c:strRef>
          </c:tx>
          <c:spPr>
            <a:ln>
              <a:noFill/>
            </a:ln>
          </c:spPr>
          <c:marker>
            <c:symbol val="triangle"/>
            <c:size val="7"/>
            <c:spPr>
              <a:solidFill>
                <a:schemeClr val="accent2">
                  <a:lumOff val="30000"/>
                </a:schemeClr>
              </a:solidFill>
              <a:ln cmpd="sng">
                <a:solidFill>
                  <a:schemeClr val="accent2">
                    <a:lumOff val="30000"/>
                  </a:schemeClr>
                </a:solidFill>
              </a:ln>
            </c:spPr>
          </c:marker>
          <c:trendline>
            <c:name/>
            <c:spPr>
              <a:ln w="19050">
                <a:solidFill>
                  <a:srgbClr val="000000"/>
                </a:solidFill>
              </a:ln>
            </c:spPr>
            <c:trendlineType val="linear"/>
            <c:dispRSqr val="0"/>
            <c:dispEq val="0"/>
          </c:trendline>
          <c:xVal>
            <c:numRef>
              <c:f>'Min-Max ALL(responses)'!$E$2:$E$203</c:f>
            </c:numRef>
          </c:xVal>
          <c:yVal>
            <c:numRef>
              <c:f>'Min-Max ALL(responses)'!$M$2:$M$203</c:f>
              <c:numCache/>
            </c:numRef>
          </c:yVal>
        </c:ser>
        <c:ser>
          <c:idx val="8"/>
          <c:order val="8"/>
          <c:tx>
            <c:strRef>
              <c:f>'Min-Max ALL(responses)'!$N$1</c:f>
            </c:strRef>
          </c:tx>
          <c:spPr>
            <a:ln>
              <a:noFill/>
            </a:ln>
          </c:spPr>
          <c:marker>
            <c:symbol val="triangle"/>
            <c:size val="7"/>
            <c:spPr>
              <a:solidFill>
                <a:schemeClr val="accent3">
                  <a:lumOff val="30000"/>
                </a:schemeClr>
              </a:solidFill>
              <a:ln cmpd="sng">
                <a:solidFill>
                  <a:schemeClr val="accent3">
                    <a:lumOff val="30000"/>
                  </a:schemeClr>
                </a:solidFill>
              </a:ln>
            </c:spPr>
          </c:marker>
          <c:trendline>
            <c:name/>
            <c:spPr>
              <a:ln w="19050">
                <a:solidFill>
                  <a:srgbClr val="000000"/>
                </a:solidFill>
              </a:ln>
            </c:spPr>
            <c:trendlineType val="linear"/>
            <c:dispRSqr val="0"/>
            <c:dispEq val="0"/>
          </c:trendline>
          <c:xVal>
            <c:numRef>
              <c:f>'Min-Max ALL(responses)'!$E$2:$E$203</c:f>
            </c:numRef>
          </c:xVal>
          <c:yVal>
            <c:numRef>
              <c:f>'Min-Max ALL(responses)'!$N$2:$N$203</c:f>
              <c:numCache/>
            </c:numRef>
          </c:yVal>
        </c:ser>
        <c:ser>
          <c:idx val="9"/>
          <c:order val="9"/>
          <c:tx>
            <c:strRef>
              <c:f>'Min-Max ALL(responses)'!$O$1</c:f>
            </c:strRef>
          </c:tx>
          <c:spPr>
            <a:ln>
              <a:noFill/>
            </a:ln>
          </c:spPr>
          <c:marker>
            <c:symbol val="triangle"/>
            <c:size val="7"/>
            <c:spPr>
              <a:solidFill>
                <a:srgbClr val="A64D79"/>
              </a:solidFill>
              <a:ln cmpd="sng">
                <a:solidFill>
                  <a:srgbClr val="A64D79"/>
                </a:solidFill>
              </a:ln>
            </c:spPr>
          </c:marker>
          <c:trendline>
            <c:name/>
            <c:spPr>
              <a:ln w="19050">
                <a:solidFill>
                  <a:srgbClr val="000000"/>
                </a:solidFill>
              </a:ln>
            </c:spPr>
            <c:trendlineType val="linear"/>
            <c:dispRSqr val="0"/>
            <c:dispEq val="0"/>
          </c:trendline>
          <c:xVal>
            <c:numRef>
              <c:f>'Min-Max ALL(responses)'!$E$2:$E$203</c:f>
            </c:numRef>
          </c:xVal>
          <c:yVal>
            <c:numRef>
              <c:f>'Min-Max ALL(responses)'!$O$2:$O$203</c:f>
              <c:numCache/>
            </c:numRef>
          </c:yVal>
        </c:ser>
        <c:ser>
          <c:idx val="10"/>
          <c:order val="10"/>
          <c:tx>
            <c:strRef>
              <c:f>'Min-Max ALL(responses)'!$P$1</c:f>
            </c:strRef>
          </c:tx>
          <c:spPr>
            <a:ln>
              <a:noFill/>
            </a:ln>
          </c:spPr>
          <c:marker>
            <c:symbol val="triangle"/>
            <c:size val="7"/>
            <c:spPr>
              <a:solidFill>
                <a:schemeClr val="accent5">
                  <a:lumOff val="30000"/>
                </a:schemeClr>
              </a:solidFill>
              <a:ln cmpd="sng">
                <a:solidFill>
                  <a:schemeClr val="accent5">
                    <a:lumOff val="30000"/>
                  </a:schemeClr>
                </a:solidFill>
              </a:ln>
            </c:spPr>
          </c:marker>
          <c:trendline>
            <c:name/>
            <c:spPr>
              <a:ln w="19050">
                <a:solidFill>
                  <a:srgbClr val="000000"/>
                </a:solidFill>
              </a:ln>
            </c:spPr>
            <c:trendlineType val="linear"/>
            <c:dispRSqr val="0"/>
            <c:dispEq val="0"/>
          </c:trendline>
          <c:xVal>
            <c:numRef>
              <c:f>'Min-Max ALL(responses)'!$E$2:$E$203</c:f>
            </c:numRef>
          </c:xVal>
          <c:yVal>
            <c:numRef>
              <c:f>'Min-Max ALL(responses)'!$P$2:$P$203</c:f>
              <c:numCache/>
            </c:numRef>
          </c:yVal>
        </c:ser>
        <c:ser>
          <c:idx val="11"/>
          <c:order val="11"/>
          <c:tx>
            <c:strRef>
              <c:f>'Min-Max ALL(responses)'!$Q$1</c:f>
            </c:strRef>
          </c:tx>
          <c:spPr>
            <a:ln>
              <a:noFill/>
            </a:ln>
          </c:spPr>
          <c:marker>
            <c:symbol val="circle"/>
            <c:size val="18"/>
            <c:spPr>
              <a:solidFill>
                <a:srgbClr val="000000"/>
              </a:solidFill>
              <a:ln cmpd="sng">
                <a:solidFill>
                  <a:srgbClr val="000000"/>
                </a:solidFill>
              </a:ln>
            </c:spPr>
          </c:marker>
          <c:xVal>
            <c:numRef>
              <c:f>'Min-Max ALL(responses)'!$E$2:$E$203</c:f>
            </c:numRef>
          </c:xVal>
          <c:yVal>
            <c:numRef>
              <c:f>'Min-Max ALL(responses)'!$Q$2:$Q$203</c:f>
              <c:numCache/>
            </c:numRef>
          </c:yVal>
        </c:ser>
        <c:dLbls>
          <c:showLegendKey val="0"/>
          <c:showVal val="0"/>
          <c:showCatName val="0"/>
          <c:showSerName val="0"/>
          <c:showPercent val="0"/>
          <c:showBubbleSize val="0"/>
        </c:dLbls>
        <c:axId val="454103207"/>
        <c:axId val="1286997915"/>
      </c:scatterChart>
      <c:valAx>
        <c:axId val="454103207"/>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1286997915"/>
      </c:valAx>
      <c:valAx>
        <c:axId val="1286997915"/>
        <c:scaling>
          <c:orientation val="minMax"/>
        </c:scaling>
        <c:delete val="0"/>
        <c:axPos val="l"/>
        <c:minorGridlines>
          <c:spPr>
            <a:ln>
              <a:solidFill>
                <a:srgbClr val="CCCCCC">
                  <a:alpha val="0"/>
                </a:srgbClr>
              </a:solidFill>
            </a:ln>
          </c:spPr>
        </c:minorGridlines>
        <c:title>
          <c:tx>
            <c:rich>
              <a:bodyPr/>
              <a:lstStyle/>
              <a:p>
                <a:pPr lvl="0">
                  <a:defRPr b="0" sz="2000">
                    <a:solidFill>
                      <a:srgbClr val="000000"/>
                    </a:solidFill>
                    <a:latin typeface="+mn-lt"/>
                  </a:defRPr>
                </a:pPr>
                <a:r>
                  <a:rPr b="0" sz="2000">
                    <a:solidFill>
                      <a:srgbClr val="000000"/>
                    </a:solidFill>
                    <a:latin typeface="+mn-lt"/>
                  </a:rPr>
                  <a:t>Intimacy score</a:t>
                </a:r>
              </a:p>
            </c:rich>
          </c:tx>
          <c:overlay val="0"/>
        </c:title>
        <c:numFmt formatCode="General" sourceLinked="1"/>
        <c:majorTickMark val="none"/>
        <c:minorTickMark val="none"/>
        <c:tickLblPos val="nextTo"/>
        <c:spPr>
          <a:ln/>
        </c:spPr>
        <c:txPr>
          <a:bodyPr/>
          <a:lstStyle/>
          <a:p>
            <a:pPr lvl="0">
              <a:defRPr b="0" sz="1600">
                <a:solidFill>
                  <a:srgbClr val="000000"/>
                </a:solidFill>
                <a:latin typeface="+mn-lt"/>
              </a:defRPr>
            </a:pPr>
          </a:p>
        </c:txPr>
        <c:crossAx val="454103207"/>
      </c:valAx>
    </c:plotArea>
    <c:legend>
      <c:legendPos val="r"/>
      <c:legendEntry>
        <c:idx val="11"/>
        <c:txPr>
          <a:bodyPr/>
          <a:lstStyle/>
          <a:p>
            <a:pPr lvl="0">
              <a:defRPr b="1" sz="1800"/>
            </a:pPr>
          </a:p>
        </c:txPr>
      </c:legendEntry>
      <c:layout>
        <c:manualLayout>
          <c:xMode val="edge"/>
          <c:yMode val="edge"/>
          <c:x val="0.7175379375689471"/>
          <c:y val="0.18706011409708342"/>
        </c:manualLayout>
      </c:layout>
      <c:overlay val="0"/>
      <c:txPr>
        <a:bodyPr/>
        <a:lstStyle/>
        <a:p>
          <a:pPr lvl="0">
            <a:defRPr b="0" sz="140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286049791849255"/>
          <c:y val="0.06418201133144476"/>
          <c:w val="0.5594362535047379"/>
          <c:h val="0.7849681303116147"/>
        </c:manualLayout>
      </c:layout>
      <c:scatterChart>
        <c:scatterStyle val="lineMarker"/>
        <c:ser>
          <c:idx val="0"/>
          <c:order val="0"/>
          <c:spPr>
            <a:ln>
              <a:noFill/>
            </a:ln>
          </c:spPr>
          <c:marker>
            <c:symbol val="diamond"/>
            <c:size val="7"/>
            <c:spPr>
              <a:solidFill>
                <a:srgbClr val="4285F4"/>
              </a:solidFill>
              <a:ln cmpd="sng">
                <a:solidFill>
                  <a:srgbClr val="4285F4"/>
                </a:solidFill>
              </a:ln>
            </c:spPr>
          </c:marker>
          <c:trendline>
            <c:name/>
            <c:spPr>
              <a:ln w="19050">
                <a:solidFill>
                  <a:srgbClr val="000000"/>
                </a:solidFill>
              </a:ln>
            </c:spPr>
            <c:trendlineType val="linear"/>
            <c:dispRSqr val="0"/>
            <c:dispEq val="0"/>
          </c:trendline>
          <c:xVal>
            <c:numRef>
              <c:f>'Min-Max ALL(responses)'!$E$164:$E$203</c:f>
            </c:numRef>
          </c:xVal>
          <c:yVal>
            <c:numRef>
              <c:f>'Min-Max ALL(responses)'!$F$164:$F$203</c:f>
              <c:numCache/>
            </c:numRef>
          </c:yVal>
        </c:ser>
        <c:ser>
          <c:idx val="1"/>
          <c:order val="1"/>
          <c:spPr>
            <a:ln>
              <a:noFill/>
            </a:ln>
          </c:spPr>
          <c:marker>
            <c:symbol val="diamond"/>
            <c:size val="7"/>
            <c:spPr>
              <a:solidFill>
                <a:schemeClr val="accent2"/>
              </a:solidFill>
              <a:ln cmpd="sng">
                <a:solidFill>
                  <a:schemeClr val="accent2"/>
                </a:solidFill>
              </a:ln>
            </c:spPr>
          </c:marker>
          <c:trendline>
            <c:name/>
            <c:spPr>
              <a:ln w="19050">
                <a:solidFill>
                  <a:srgbClr val="000000"/>
                </a:solidFill>
              </a:ln>
            </c:spPr>
            <c:trendlineType val="linear"/>
            <c:dispRSqr val="0"/>
            <c:dispEq val="0"/>
          </c:trendline>
          <c:xVal>
            <c:numRef>
              <c:f>'Min-Max ALL(responses)'!$E$164:$E$203</c:f>
            </c:numRef>
          </c:xVal>
          <c:yVal>
            <c:numRef>
              <c:f>'Min-Max ALL(responses)'!$G$164:$G$203</c:f>
              <c:numCache/>
            </c:numRef>
          </c:yVal>
        </c:ser>
        <c:ser>
          <c:idx val="2"/>
          <c:order val="2"/>
          <c:spPr>
            <a:ln>
              <a:noFill/>
            </a:ln>
          </c:spPr>
          <c:marker>
            <c:symbol val="diamond"/>
            <c:size val="7"/>
            <c:spPr>
              <a:solidFill>
                <a:schemeClr val="accent3"/>
              </a:solidFill>
              <a:ln cmpd="sng">
                <a:solidFill>
                  <a:schemeClr val="accent3"/>
                </a:solidFill>
              </a:ln>
            </c:spPr>
          </c:marker>
          <c:trendline>
            <c:name/>
            <c:spPr>
              <a:ln w="19050">
                <a:solidFill>
                  <a:srgbClr val="000000"/>
                </a:solidFill>
              </a:ln>
            </c:spPr>
            <c:trendlineType val="linear"/>
            <c:dispRSqr val="0"/>
            <c:dispEq val="0"/>
          </c:trendline>
          <c:xVal>
            <c:numRef>
              <c:f>'Min-Max ALL(responses)'!$E$164:$E$203</c:f>
            </c:numRef>
          </c:xVal>
          <c:yVal>
            <c:numRef>
              <c:f>'Min-Max ALL(responses)'!$H$164:$H$203</c:f>
              <c:numCache/>
            </c:numRef>
          </c:yVal>
        </c:ser>
        <c:ser>
          <c:idx val="3"/>
          <c:order val="3"/>
          <c:spPr>
            <a:ln>
              <a:noFill/>
            </a:ln>
          </c:spPr>
          <c:marker>
            <c:symbol val="diamond"/>
            <c:size val="7"/>
            <c:spPr>
              <a:solidFill>
                <a:srgbClr val="C27BA0"/>
              </a:solidFill>
              <a:ln cmpd="sng">
                <a:solidFill>
                  <a:srgbClr val="C27BA0"/>
                </a:solidFill>
              </a:ln>
            </c:spPr>
          </c:marker>
          <c:trendline>
            <c:name/>
            <c:spPr>
              <a:ln w="19050">
                <a:solidFill>
                  <a:srgbClr val="000000"/>
                </a:solidFill>
              </a:ln>
            </c:spPr>
            <c:trendlineType val="linear"/>
            <c:dispRSqr val="0"/>
            <c:dispEq val="0"/>
          </c:trendline>
          <c:xVal>
            <c:numRef>
              <c:f>'Min-Max ALL(responses)'!$E$164:$E$203</c:f>
            </c:numRef>
          </c:xVal>
          <c:yVal>
            <c:numRef>
              <c:f>'Min-Max ALL(responses)'!$I$164:$I$203</c:f>
              <c:numCache/>
            </c:numRef>
          </c:yVal>
        </c:ser>
        <c:ser>
          <c:idx val="4"/>
          <c:order val="4"/>
          <c:spPr>
            <a:ln>
              <a:noFill/>
            </a:ln>
          </c:spPr>
          <c:marker>
            <c:symbol val="diamond"/>
            <c:size val="7"/>
            <c:spPr>
              <a:solidFill>
                <a:schemeClr val="accent5"/>
              </a:solidFill>
              <a:ln cmpd="sng">
                <a:solidFill>
                  <a:schemeClr val="accent5"/>
                </a:solidFill>
              </a:ln>
            </c:spPr>
          </c:marker>
          <c:trendline>
            <c:name/>
            <c:spPr>
              <a:ln w="19050">
                <a:solidFill>
                  <a:srgbClr val="000000"/>
                </a:solidFill>
              </a:ln>
            </c:spPr>
            <c:trendlineType val="linear"/>
            <c:dispRSqr val="0"/>
            <c:dispEq val="0"/>
          </c:trendline>
          <c:xVal>
            <c:numRef>
              <c:f>'Min-Max ALL(responses)'!$E$164:$E$203</c:f>
            </c:numRef>
          </c:xVal>
          <c:yVal>
            <c:numRef>
              <c:f>'Min-Max ALL(responses)'!$J$164:$J$203</c:f>
              <c:numCache/>
            </c:numRef>
          </c:yVal>
        </c:ser>
        <c:ser>
          <c:idx val="5"/>
          <c:order val="5"/>
          <c:spPr>
            <a:ln>
              <a:noFill/>
            </a:ln>
          </c:spPr>
          <c:marker>
            <c:symbol val="square"/>
            <c:size val="10"/>
            <c:spPr>
              <a:solidFill>
                <a:srgbClr val="12D245"/>
              </a:solidFill>
              <a:ln cmpd="sng">
                <a:solidFill>
                  <a:srgbClr val="12D245"/>
                </a:solidFill>
              </a:ln>
            </c:spPr>
          </c:marker>
          <c:trendline>
            <c:name/>
            <c:spPr>
              <a:ln w="19050">
                <a:solidFill>
                  <a:srgbClr val="000000"/>
                </a:solidFill>
              </a:ln>
            </c:spPr>
            <c:trendlineType val="linear"/>
            <c:dispRSqr val="0"/>
            <c:dispEq val="0"/>
          </c:trendline>
          <c:xVal>
            <c:numRef>
              <c:f>'Min-Max ALL(responses)'!$E$164:$E$203</c:f>
            </c:numRef>
          </c:xVal>
          <c:yVal>
            <c:numRef>
              <c:f>'Min-Max ALL(responses)'!$K$164:$K$203</c:f>
              <c:numCache/>
            </c:numRef>
          </c:yVal>
        </c:ser>
        <c:ser>
          <c:idx val="6"/>
          <c:order val="6"/>
          <c:spPr>
            <a:ln>
              <a:noFill/>
            </a:ln>
          </c:spPr>
          <c:marker>
            <c:symbol val="triangle"/>
            <c:size val="7"/>
            <c:spPr>
              <a:solidFill>
                <a:schemeClr val="accent1">
                  <a:lumOff val="30000"/>
                </a:schemeClr>
              </a:solidFill>
              <a:ln cmpd="sng">
                <a:solidFill>
                  <a:schemeClr val="accent1">
                    <a:lumOff val="30000"/>
                  </a:schemeClr>
                </a:solidFill>
              </a:ln>
            </c:spPr>
          </c:marker>
          <c:trendline>
            <c:name/>
            <c:spPr>
              <a:ln w="19050">
                <a:solidFill>
                  <a:srgbClr val="000000"/>
                </a:solidFill>
              </a:ln>
            </c:spPr>
            <c:trendlineType val="linear"/>
            <c:dispRSqr val="0"/>
            <c:dispEq val="0"/>
          </c:trendline>
          <c:xVal>
            <c:numRef>
              <c:f>'Min-Max ALL(responses)'!$E$164:$E$203</c:f>
            </c:numRef>
          </c:xVal>
          <c:yVal>
            <c:numRef>
              <c:f>'Min-Max ALL(responses)'!$L$164:$L$203</c:f>
              <c:numCache/>
            </c:numRef>
          </c:yVal>
        </c:ser>
        <c:ser>
          <c:idx val="7"/>
          <c:order val="7"/>
          <c:spPr>
            <a:ln>
              <a:noFill/>
            </a:ln>
          </c:spPr>
          <c:marker>
            <c:symbol val="triangle"/>
            <c:size val="7"/>
            <c:spPr>
              <a:solidFill>
                <a:schemeClr val="accent2">
                  <a:lumOff val="30000"/>
                </a:schemeClr>
              </a:solidFill>
              <a:ln cmpd="sng">
                <a:solidFill>
                  <a:schemeClr val="accent2">
                    <a:lumOff val="30000"/>
                  </a:schemeClr>
                </a:solidFill>
              </a:ln>
            </c:spPr>
          </c:marker>
          <c:trendline>
            <c:name/>
            <c:spPr>
              <a:ln w="19050">
                <a:solidFill>
                  <a:srgbClr val="000000"/>
                </a:solidFill>
              </a:ln>
            </c:spPr>
            <c:trendlineType val="linear"/>
            <c:dispRSqr val="0"/>
            <c:dispEq val="0"/>
          </c:trendline>
          <c:xVal>
            <c:numRef>
              <c:f>'Min-Max ALL(responses)'!$E$164:$E$203</c:f>
            </c:numRef>
          </c:xVal>
          <c:yVal>
            <c:numRef>
              <c:f>'Min-Max ALL(responses)'!$M$164:$M$203</c:f>
              <c:numCache/>
            </c:numRef>
          </c:yVal>
        </c:ser>
        <c:ser>
          <c:idx val="8"/>
          <c:order val="8"/>
          <c:spPr>
            <a:ln>
              <a:noFill/>
            </a:ln>
          </c:spPr>
          <c:marker>
            <c:symbol val="triangle"/>
            <c:size val="7"/>
            <c:spPr>
              <a:solidFill>
                <a:schemeClr val="accent3">
                  <a:lumOff val="30000"/>
                </a:schemeClr>
              </a:solidFill>
              <a:ln cmpd="sng">
                <a:solidFill>
                  <a:schemeClr val="accent3">
                    <a:lumOff val="30000"/>
                  </a:schemeClr>
                </a:solidFill>
              </a:ln>
            </c:spPr>
          </c:marker>
          <c:trendline>
            <c:name/>
            <c:spPr>
              <a:ln w="19050">
                <a:solidFill>
                  <a:srgbClr val="000000"/>
                </a:solidFill>
              </a:ln>
            </c:spPr>
            <c:trendlineType val="linear"/>
            <c:dispRSqr val="0"/>
            <c:dispEq val="0"/>
          </c:trendline>
          <c:xVal>
            <c:numRef>
              <c:f>'Min-Max ALL(responses)'!$E$164:$E$203</c:f>
            </c:numRef>
          </c:xVal>
          <c:yVal>
            <c:numRef>
              <c:f>'Min-Max ALL(responses)'!$N$164:$N$203</c:f>
              <c:numCache/>
            </c:numRef>
          </c:yVal>
        </c:ser>
        <c:ser>
          <c:idx val="9"/>
          <c:order val="9"/>
          <c:spPr>
            <a:ln>
              <a:noFill/>
            </a:ln>
          </c:spPr>
          <c:marker>
            <c:symbol val="triangle"/>
            <c:size val="7"/>
            <c:spPr>
              <a:solidFill>
                <a:srgbClr val="A64D79"/>
              </a:solidFill>
              <a:ln cmpd="sng">
                <a:solidFill>
                  <a:srgbClr val="A64D79"/>
                </a:solidFill>
              </a:ln>
            </c:spPr>
          </c:marker>
          <c:trendline>
            <c:name/>
            <c:spPr>
              <a:ln w="19050">
                <a:solidFill>
                  <a:srgbClr val="000000"/>
                </a:solidFill>
              </a:ln>
            </c:spPr>
            <c:trendlineType val="linear"/>
            <c:dispRSqr val="0"/>
            <c:dispEq val="0"/>
          </c:trendline>
          <c:xVal>
            <c:numRef>
              <c:f>'Min-Max ALL(responses)'!$E$164:$E$203</c:f>
            </c:numRef>
          </c:xVal>
          <c:yVal>
            <c:numRef>
              <c:f>'Min-Max ALL(responses)'!$O$164:$O$203</c:f>
              <c:numCache/>
            </c:numRef>
          </c:yVal>
        </c:ser>
        <c:ser>
          <c:idx val="10"/>
          <c:order val="10"/>
          <c:spPr>
            <a:ln>
              <a:noFill/>
            </a:ln>
          </c:spPr>
          <c:marker>
            <c:symbol val="triangle"/>
            <c:size val="7"/>
            <c:spPr>
              <a:solidFill>
                <a:schemeClr val="accent5">
                  <a:lumOff val="30000"/>
                </a:schemeClr>
              </a:solidFill>
              <a:ln cmpd="sng">
                <a:solidFill>
                  <a:schemeClr val="accent5">
                    <a:lumOff val="30000"/>
                  </a:schemeClr>
                </a:solidFill>
              </a:ln>
            </c:spPr>
          </c:marker>
          <c:trendline>
            <c:name/>
            <c:spPr>
              <a:ln w="19050">
                <a:solidFill>
                  <a:srgbClr val="000000"/>
                </a:solidFill>
              </a:ln>
            </c:spPr>
            <c:trendlineType val="linear"/>
            <c:dispRSqr val="0"/>
            <c:dispEq val="0"/>
          </c:trendline>
          <c:xVal>
            <c:numRef>
              <c:f>'Min-Max ALL(responses)'!$E$164:$E$203</c:f>
            </c:numRef>
          </c:xVal>
          <c:yVal>
            <c:numRef>
              <c:f>'Min-Max ALL(responses)'!$P$164:$P$203</c:f>
              <c:numCache/>
            </c:numRef>
          </c:yVal>
        </c:ser>
        <c:ser>
          <c:idx val="11"/>
          <c:order val="11"/>
          <c:spPr>
            <a:ln>
              <a:noFill/>
            </a:ln>
          </c:spPr>
          <c:marker>
            <c:symbol val="circle"/>
            <c:size val="18"/>
            <c:spPr>
              <a:solidFill>
                <a:srgbClr val="000000"/>
              </a:solidFill>
              <a:ln cmpd="sng">
                <a:solidFill>
                  <a:srgbClr val="000000"/>
                </a:solidFill>
              </a:ln>
            </c:spPr>
          </c:marker>
          <c:xVal>
            <c:numRef>
              <c:f>'Min-Max ALL(responses)'!$E$164:$E$203</c:f>
            </c:numRef>
          </c:xVal>
          <c:yVal>
            <c:numRef>
              <c:f>'Min-Max ALL(responses)'!$Q$164:$Q$203</c:f>
              <c:numCache/>
            </c:numRef>
          </c:yVal>
        </c:ser>
        <c:dLbls>
          <c:showLegendKey val="0"/>
          <c:showVal val="0"/>
          <c:showCatName val="0"/>
          <c:showSerName val="0"/>
          <c:showPercent val="0"/>
          <c:showBubbleSize val="0"/>
        </c:dLbls>
        <c:axId val="1284760128"/>
        <c:axId val="1952186024"/>
      </c:scatterChart>
      <c:valAx>
        <c:axId val="1284760128"/>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1952186024"/>
      </c:valAx>
      <c:valAx>
        <c:axId val="1952186024"/>
        <c:scaling>
          <c:orientation val="minMax"/>
        </c:scaling>
        <c:delete val="0"/>
        <c:axPos val="l"/>
        <c:minorGridlines>
          <c:spPr>
            <a:ln>
              <a:solidFill>
                <a:srgbClr val="CCCCCC">
                  <a:alpha val="0"/>
                </a:srgbClr>
              </a:solidFill>
            </a:ln>
          </c:spPr>
        </c:minorGridlines>
        <c:title>
          <c:tx>
            <c:rich>
              <a:bodyPr/>
              <a:lstStyle/>
              <a:p>
                <a:pPr lvl="0">
                  <a:defRPr b="0" sz="2000">
                    <a:solidFill>
                      <a:srgbClr val="000000"/>
                    </a:solidFill>
                    <a:latin typeface="+mn-lt"/>
                  </a:defRPr>
                </a:pPr>
                <a:r>
                  <a:rPr b="0" sz="2000">
                    <a:solidFill>
                      <a:srgbClr val="000000"/>
                    </a:solidFill>
                    <a:latin typeface="+mn-lt"/>
                  </a:rPr>
                  <a:t>Intimacy score</a:t>
                </a:r>
              </a:p>
            </c:rich>
          </c:tx>
          <c:overlay val="0"/>
        </c:title>
        <c:numFmt formatCode="General" sourceLinked="1"/>
        <c:majorTickMark val="none"/>
        <c:minorTickMark val="none"/>
        <c:tickLblPos val="nextTo"/>
        <c:spPr>
          <a:ln/>
        </c:spPr>
        <c:txPr>
          <a:bodyPr/>
          <a:lstStyle/>
          <a:p>
            <a:pPr lvl="0">
              <a:defRPr b="0" sz="1600">
                <a:solidFill>
                  <a:srgbClr val="000000"/>
                </a:solidFill>
                <a:latin typeface="+mn-lt"/>
              </a:defRPr>
            </a:pPr>
          </a:p>
        </c:txPr>
        <c:crossAx val="1284760128"/>
      </c:valAx>
    </c:plotArea>
    <c:legend>
      <c:legendPos val="r"/>
      <c:legendEntry>
        <c:idx val="11"/>
        <c:txPr>
          <a:bodyPr/>
          <a:lstStyle/>
          <a:p>
            <a:pPr lvl="0">
              <a:defRPr b="1" sz="1800"/>
            </a:pPr>
          </a:p>
        </c:txPr>
      </c:legendEntry>
      <c:layout>
        <c:manualLayout>
          <c:xMode val="edge"/>
          <c:yMode val="edge"/>
          <c:x val="0.7175379375689471"/>
          <c:y val="0.18706011409708342"/>
        </c:manualLayout>
      </c:layout>
      <c:overlay val="0"/>
      <c:txPr>
        <a:bodyPr/>
        <a:lstStyle/>
        <a:p>
          <a:pPr lvl="0">
            <a:defRPr b="0" sz="140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tx>
            <c:strRef>
              <c:f>'z-score ALL(responses)'!$F$1</c:f>
            </c:strRef>
          </c:tx>
          <c:spPr>
            <a:ln>
              <a:noFill/>
            </a:ln>
          </c:spPr>
          <c:marker>
            <c:symbol val="circle"/>
            <c:size val="7"/>
            <c:spPr>
              <a:solidFill>
                <a:schemeClr val="accent1"/>
              </a:solidFill>
              <a:ln cmpd="sng">
                <a:solidFill>
                  <a:schemeClr val="accent1"/>
                </a:solidFill>
              </a:ln>
            </c:spPr>
          </c:marker>
          <c:xVal>
            <c:numRef>
              <c:f>'z-score ALL(responses)'!$E$2:$E$161</c:f>
            </c:numRef>
          </c:xVal>
          <c:yVal>
            <c:numRef>
              <c:f>'z-score ALL(responses)'!$F$2:$F$161</c:f>
              <c:numCache/>
            </c:numRef>
          </c:yVal>
        </c:ser>
        <c:ser>
          <c:idx val="1"/>
          <c:order val="1"/>
          <c:tx>
            <c:strRef>
              <c:f>'z-score ALL(responses)'!$G$1</c:f>
            </c:strRef>
          </c:tx>
          <c:spPr>
            <a:ln>
              <a:noFill/>
            </a:ln>
          </c:spPr>
          <c:marker>
            <c:symbol val="circle"/>
            <c:size val="7"/>
            <c:spPr>
              <a:solidFill>
                <a:schemeClr val="accent2"/>
              </a:solidFill>
              <a:ln cmpd="sng">
                <a:solidFill>
                  <a:schemeClr val="accent2"/>
                </a:solidFill>
              </a:ln>
            </c:spPr>
          </c:marker>
          <c:xVal>
            <c:numRef>
              <c:f>'z-score ALL(responses)'!$E$2:$E$161</c:f>
            </c:numRef>
          </c:xVal>
          <c:yVal>
            <c:numRef>
              <c:f>'z-score ALL(responses)'!$G$2:$G$161</c:f>
              <c:numCache/>
            </c:numRef>
          </c:yVal>
        </c:ser>
        <c:ser>
          <c:idx val="2"/>
          <c:order val="2"/>
          <c:tx>
            <c:strRef>
              <c:f>'z-score ALL(responses)'!$H$1</c:f>
            </c:strRef>
          </c:tx>
          <c:spPr>
            <a:ln>
              <a:noFill/>
            </a:ln>
          </c:spPr>
          <c:marker>
            <c:symbol val="circle"/>
            <c:size val="7"/>
            <c:spPr>
              <a:solidFill>
                <a:schemeClr val="accent3"/>
              </a:solidFill>
              <a:ln cmpd="sng">
                <a:solidFill>
                  <a:schemeClr val="accent3"/>
                </a:solidFill>
              </a:ln>
            </c:spPr>
          </c:marker>
          <c:xVal>
            <c:numRef>
              <c:f>'z-score ALL(responses)'!$E$2:$E$161</c:f>
            </c:numRef>
          </c:xVal>
          <c:yVal>
            <c:numRef>
              <c:f>'z-score ALL(responses)'!$H$2:$H$161</c:f>
              <c:numCache/>
            </c:numRef>
          </c:yVal>
        </c:ser>
        <c:ser>
          <c:idx val="3"/>
          <c:order val="3"/>
          <c:tx>
            <c:strRef>
              <c:f>'z-score ALL(responses)'!$I$1</c:f>
            </c:strRef>
          </c:tx>
          <c:spPr>
            <a:ln>
              <a:noFill/>
            </a:ln>
          </c:spPr>
          <c:marker>
            <c:symbol val="circle"/>
            <c:size val="7"/>
            <c:spPr>
              <a:solidFill>
                <a:schemeClr val="accent4"/>
              </a:solidFill>
              <a:ln cmpd="sng">
                <a:solidFill>
                  <a:schemeClr val="accent4"/>
                </a:solidFill>
              </a:ln>
            </c:spPr>
          </c:marker>
          <c:xVal>
            <c:numRef>
              <c:f>'z-score ALL(responses)'!$E$2:$E$161</c:f>
            </c:numRef>
          </c:xVal>
          <c:yVal>
            <c:numRef>
              <c:f>'z-score ALL(responses)'!$I$2:$I$161</c:f>
              <c:numCache/>
            </c:numRef>
          </c:yVal>
        </c:ser>
        <c:ser>
          <c:idx val="4"/>
          <c:order val="4"/>
          <c:tx>
            <c:strRef>
              <c:f>'z-score ALL(responses)'!$J$1</c:f>
            </c:strRef>
          </c:tx>
          <c:spPr>
            <a:ln>
              <a:noFill/>
            </a:ln>
          </c:spPr>
          <c:marker>
            <c:symbol val="circle"/>
            <c:size val="7"/>
            <c:spPr>
              <a:solidFill>
                <a:schemeClr val="accent5"/>
              </a:solidFill>
              <a:ln cmpd="sng">
                <a:solidFill>
                  <a:schemeClr val="accent5"/>
                </a:solidFill>
              </a:ln>
            </c:spPr>
          </c:marker>
          <c:xVal>
            <c:numRef>
              <c:f>'z-score ALL(responses)'!$E$2:$E$161</c:f>
            </c:numRef>
          </c:xVal>
          <c:yVal>
            <c:numRef>
              <c:f>'z-score ALL(responses)'!$J$2:$J$161</c:f>
              <c:numCache/>
            </c:numRef>
          </c:yVal>
        </c:ser>
        <c:ser>
          <c:idx val="5"/>
          <c:order val="5"/>
          <c:tx>
            <c:strRef>
              <c:f>'z-score ALL(responses)'!$K$1</c:f>
            </c:strRef>
          </c:tx>
          <c:spPr>
            <a:ln>
              <a:noFill/>
            </a:ln>
          </c:spPr>
          <c:marker>
            <c:symbol val="circle"/>
            <c:size val="7"/>
            <c:spPr>
              <a:solidFill>
                <a:schemeClr val="accent6"/>
              </a:solidFill>
              <a:ln cmpd="sng">
                <a:solidFill>
                  <a:schemeClr val="accent6"/>
                </a:solidFill>
              </a:ln>
            </c:spPr>
          </c:marker>
          <c:xVal>
            <c:numRef>
              <c:f>'z-score ALL(responses)'!$E$2:$E$161</c:f>
            </c:numRef>
          </c:xVal>
          <c:yVal>
            <c:numRef>
              <c:f>'z-score ALL(responses)'!$K$2:$K$161</c:f>
              <c:numCache/>
            </c:numRef>
          </c:yVal>
        </c:ser>
        <c:ser>
          <c:idx val="6"/>
          <c:order val="6"/>
          <c:tx>
            <c:strRef>
              <c:f>'z-score ALL(responses)'!$L$1</c:f>
            </c:strRef>
          </c:tx>
          <c:spPr>
            <a:ln>
              <a:noFill/>
            </a:ln>
          </c:spPr>
          <c:marker>
            <c:symbol val="circle"/>
            <c:size val="7"/>
            <c:spPr>
              <a:solidFill>
                <a:schemeClr val="accent1">
                  <a:lumOff val="30000"/>
                </a:schemeClr>
              </a:solidFill>
              <a:ln cmpd="sng">
                <a:solidFill>
                  <a:schemeClr val="accent1">
                    <a:lumOff val="30000"/>
                  </a:schemeClr>
                </a:solidFill>
              </a:ln>
            </c:spPr>
          </c:marker>
          <c:xVal>
            <c:numRef>
              <c:f>'z-score ALL(responses)'!$E$2:$E$161</c:f>
            </c:numRef>
          </c:xVal>
          <c:yVal>
            <c:numRef>
              <c:f>'z-score ALL(responses)'!$L$2:$L$161</c:f>
              <c:numCache/>
            </c:numRef>
          </c:yVal>
        </c:ser>
        <c:ser>
          <c:idx val="7"/>
          <c:order val="7"/>
          <c:tx>
            <c:strRef>
              <c:f>'z-score ALL(responses)'!$M$1</c:f>
            </c:strRef>
          </c:tx>
          <c:spPr>
            <a:ln>
              <a:noFill/>
            </a:ln>
          </c:spPr>
          <c:marker>
            <c:symbol val="circle"/>
            <c:size val="7"/>
            <c:spPr>
              <a:solidFill>
                <a:schemeClr val="accent2">
                  <a:lumOff val="30000"/>
                </a:schemeClr>
              </a:solidFill>
              <a:ln cmpd="sng">
                <a:solidFill>
                  <a:schemeClr val="accent2">
                    <a:lumOff val="30000"/>
                  </a:schemeClr>
                </a:solidFill>
              </a:ln>
            </c:spPr>
          </c:marker>
          <c:xVal>
            <c:numRef>
              <c:f>'z-score ALL(responses)'!$E$2:$E$161</c:f>
            </c:numRef>
          </c:xVal>
          <c:yVal>
            <c:numRef>
              <c:f>'z-score ALL(responses)'!$M$2:$M$161</c:f>
              <c:numCache/>
            </c:numRef>
          </c:yVal>
        </c:ser>
        <c:ser>
          <c:idx val="8"/>
          <c:order val="8"/>
          <c:tx>
            <c:strRef>
              <c:f>'z-score ALL(responses)'!$N$1</c:f>
            </c:strRef>
          </c:tx>
          <c:spPr>
            <a:ln>
              <a:noFill/>
            </a:ln>
          </c:spPr>
          <c:marker>
            <c:symbol val="circle"/>
            <c:size val="7"/>
            <c:spPr>
              <a:solidFill>
                <a:schemeClr val="accent3">
                  <a:lumOff val="30000"/>
                </a:schemeClr>
              </a:solidFill>
              <a:ln cmpd="sng">
                <a:solidFill>
                  <a:schemeClr val="accent3">
                    <a:lumOff val="30000"/>
                  </a:schemeClr>
                </a:solidFill>
              </a:ln>
            </c:spPr>
          </c:marker>
          <c:xVal>
            <c:numRef>
              <c:f>'z-score ALL(responses)'!$E$2:$E$161</c:f>
            </c:numRef>
          </c:xVal>
          <c:yVal>
            <c:numRef>
              <c:f>'z-score ALL(responses)'!$N$2:$N$161</c:f>
              <c:numCache/>
            </c:numRef>
          </c:yVal>
        </c:ser>
        <c:ser>
          <c:idx val="9"/>
          <c:order val="9"/>
          <c:tx>
            <c:strRef>
              <c:f>'z-score ALL(responses)'!$O$1</c:f>
            </c:strRef>
          </c:tx>
          <c:spPr>
            <a:ln>
              <a:noFill/>
            </a:ln>
          </c:spPr>
          <c:marker>
            <c:symbol val="circle"/>
            <c:size val="7"/>
            <c:spPr>
              <a:solidFill>
                <a:schemeClr val="accent4">
                  <a:lumOff val="30000"/>
                </a:schemeClr>
              </a:solidFill>
              <a:ln cmpd="sng">
                <a:solidFill>
                  <a:schemeClr val="accent4">
                    <a:lumOff val="30000"/>
                  </a:schemeClr>
                </a:solidFill>
              </a:ln>
            </c:spPr>
          </c:marker>
          <c:xVal>
            <c:numRef>
              <c:f>'z-score ALL(responses)'!$E$2:$E$161</c:f>
            </c:numRef>
          </c:xVal>
          <c:yVal>
            <c:numRef>
              <c:f>'z-score ALL(responses)'!$O$2:$O$161</c:f>
              <c:numCache/>
            </c:numRef>
          </c:yVal>
        </c:ser>
        <c:ser>
          <c:idx val="10"/>
          <c:order val="10"/>
          <c:tx>
            <c:strRef>
              <c:f>'z-score ALL(responses)'!$P$1</c:f>
            </c:strRef>
          </c:tx>
          <c:spPr>
            <a:ln>
              <a:noFill/>
            </a:ln>
          </c:spPr>
          <c:marker>
            <c:symbol val="circle"/>
            <c:size val="7"/>
            <c:spPr>
              <a:solidFill>
                <a:schemeClr val="accent5">
                  <a:lumOff val="30000"/>
                </a:schemeClr>
              </a:solidFill>
              <a:ln cmpd="sng">
                <a:solidFill>
                  <a:schemeClr val="accent5">
                    <a:lumOff val="30000"/>
                  </a:schemeClr>
                </a:solidFill>
              </a:ln>
            </c:spPr>
          </c:marker>
          <c:xVal>
            <c:numRef>
              <c:f>'z-score ALL(responses)'!$E$2:$E$161</c:f>
            </c:numRef>
          </c:xVal>
          <c:yVal>
            <c:numRef>
              <c:f>'z-score ALL(responses)'!$P$2:$P$161</c:f>
              <c:numCache/>
            </c:numRef>
          </c:yVal>
        </c:ser>
        <c:ser>
          <c:idx val="11"/>
          <c:order val="11"/>
          <c:tx>
            <c:strRef>
              <c:f>'z-score ALL(responses)'!$Q$1</c:f>
            </c:strRef>
          </c:tx>
          <c:spPr>
            <a:ln>
              <a:noFill/>
            </a:ln>
          </c:spPr>
          <c:marker>
            <c:symbol val="circle"/>
            <c:size val="14"/>
            <c:spPr>
              <a:solidFill>
                <a:srgbClr val="000000"/>
              </a:solidFill>
              <a:ln cmpd="sng">
                <a:solidFill>
                  <a:srgbClr val="000000"/>
                </a:solidFill>
              </a:ln>
            </c:spPr>
          </c:marker>
          <c:dPt>
            <c:idx val="119"/>
            <c:marker>
              <c:symbol val="none"/>
            </c:marker>
          </c:dPt>
          <c:dPt>
            <c:idx val="159"/>
            <c:marker>
              <c:symbol val="none"/>
            </c:marker>
          </c:dPt>
          <c:trendline>
            <c:name/>
            <c:spPr>
              <a:ln w="38100">
                <a:solidFill>
                  <a:srgbClr val="000000"/>
                </a:solidFill>
              </a:ln>
            </c:spPr>
            <c:trendlineType val="linear"/>
            <c:dispRSqr val="0"/>
            <c:dispEq val="0"/>
          </c:trendline>
          <c:xVal>
            <c:numRef>
              <c:f>'z-score ALL(responses)'!$E$2:$E$161</c:f>
            </c:numRef>
          </c:xVal>
          <c:yVal>
            <c:numRef>
              <c:f>'z-score ALL(responses)'!$Q$2:$Q$161</c:f>
              <c:numCache/>
            </c:numRef>
          </c:yVal>
        </c:ser>
        <c:dLbls>
          <c:showLegendKey val="0"/>
          <c:showVal val="0"/>
          <c:showCatName val="0"/>
          <c:showSerName val="0"/>
          <c:showPercent val="0"/>
          <c:showBubbleSize val="0"/>
        </c:dLbls>
        <c:axId val="1896809101"/>
        <c:axId val="2076275813"/>
      </c:scatterChart>
      <c:valAx>
        <c:axId val="189680910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76275813"/>
      </c:valAx>
      <c:valAx>
        <c:axId val="2076275813"/>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96809101"/>
      </c:valAx>
    </c:plotArea>
    <c:legend>
      <c:legendPos val="r"/>
      <c:overlay val="0"/>
      <c:txPr>
        <a:bodyPr/>
        <a:lstStyle/>
        <a:p>
          <a:pPr lvl="0">
            <a:defRPr b="0">
              <a:solidFill>
                <a:srgbClr val="1A1A1A"/>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1143000</xdr:colOff>
      <xdr:row>21</xdr:row>
      <xdr:rowOff>133350</xdr:rowOff>
    </xdr:from>
    <xdr:ext cx="8696325" cy="53816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1209675</xdr:colOff>
      <xdr:row>52</xdr:row>
      <xdr:rowOff>19050</xdr:rowOff>
    </xdr:from>
    <xdr:ext cx="8696325" cy="538162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7</xdr:col>
      <xdr:colOff>1209675</xdr:colOff>
      <xdr:row>81</xdr:row>
      <xdr:rowOff>19050</xdr:rowOff>
    </xdr:from>
    <xdr:ext cx="8696325" cy="538162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9</xdr:col>
      <xdr:colOff>323850</xdr:colOff>
      <xdr:row>43</xdr:row>
      <xdr:rowOff>38100</xdr:rowOff>
    </xdr:from>
    <xdr:ext cx="1114425" cy="571500"/>
    <xdr:sp>
      <xdr:nvSpPr>
        <xdr:cNvPr id="3" name="Shape 3"/>
        <xdr:cNvSpPr txBox="1"/>
      </xdr:nvSpPr>
      <xdr:spPr>
        <a:xfrm>
          <a:off x="-95100" y="43700"/>
          <a:ext cx="1198800" cy="554700"/>
        </a:xfrm>
        <a:prstGeom prst="rect">
          <a:avLst/>
        </a:prstGeom>
        <a:solidFill>
          <a:srgbClr val="FFFFFF"/>
        </a:solid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b="1" lang="en-US" sz="1400"/>
            <a:t>GPT-4</a:t>
          </a:r>
          <a:endParaRPr b="1" sz="1400"/>
        </a:p>
        <a:p>
          <a:pPr indent="0" lvl="0" marL="0" rtl="0" algn="ctr">
            <a:spcBef>
              <a:spcPts val="0"/>
            </a:spcBef>
            <a:spcAft>
              <a:spcPts val="0"/>
            </a:spcAft>
            <a:buNone/>
          </a:pPr>
          <a:r>
            <a:rPr lang="en-US" sz="1100"/>
            <a:t>March 14, 2023</a:t>
          </a:r>
          <a:endParaRPr sz="1100"/>
        </a:p>
      </xdr:txBody>
    </xdr:sp>
    <xdr:clientData fLocksWithSheet="0"/>
  </xdr:oneCellAnchor>
  <xdr:oneCellAnchor>
    <xdr:from>
      <xdr:col>7</xdr:col>
      <xdr:colOff>1190625</xdr:colOff>
      <xdr:row>43</xdr:row>
      <xdr:rowOff>95250</xdr:rowOff>
    </xdr:from>
    <xdr:ext cx="1085850" cy="523875"/>
    <xdr:sp>
      <xdr:nvSpPr>
        <xdr:cNvPr id="4" name="Shape 4"/>
        <xdr:cNvSpPr txBox="1"/>
      </xdr:nvSpPr>
      <xdr:spPr>
        <a:xfrm>
          <a:off x="-114925" y="23875"/>
          <a:ext cx="1188900" cy="505200"/>
        </a:xfrm>
        <a:prstGeom prst="rect">
          <a:avLst/>
        </a:prstGeom>
        <a:solidFill>
          <a:srgbClr val="FFFFFF"/>
        </a:solid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b="1" lang="en-US" sz="1400"/>
            <a:t>GPT-3.5</a:t>
          </a:r>
          <a:endParaRPr b="1" sz="1400"/>
        </a:p>
        <a:p>
          <a:pPr indent="0" lvl="0" marL="0" rtl="0" algn="ctr">
            <a:spcBef>
              <a:spcPts val="0"/>
            </a:spcBef>
            <a:spcAft>
              <a:spcPts val="0"/>
            </a:spcAft>
            <a:buNone/>
          </a:pPr>
          <a:r>
            <a:rPr lang="en-US" sz="1100"/>
            <a:t>March 15, 2022</a:t>
          </a:r>
          <a:endParaRPr sz="1100"/>
        </a:p>
      </xdr:txBody>
    </xdr:sp>
    <xdr:clientData fLocksWithSheet="0"/>
  </xdr:oneCellAnchor>
  <xdr:oneCellAnchor>
    <xdr:from>
      <xdr:col>10</xdr:col>
      <xdr:colOff>85725</xdr:colOff>
      <xdr:row>43</xdr:row>
      <xdr:rowOff>66675</xdr:rowOff>
    </xdr:from>
    <xdr:ext cx="1381125" cy="504825"/>
    <xdr:sp>
      <xdr:nvSpPr>
        <xdr:cNvPr id="5" name="Shape 5"/>
        <xdr:cNvSpPr txBox="1"/>
      </xdr:nvSpPr>
      <xdr:spPr>
        <a:xfrm>
          <a:off x="-85200" y="-5825"/>
          <a:ext cx="1456200" cy="505200"/>
        </a:xfrm>
        <a:prstGeom prst="rect">
          <a:avLst/>
        </a:prstGeom>
        <a:solidFill>
          <a:srgbClr val="FFFFFF"/>
        </a:solid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b="1" lang="en-US" sz="1400"/>
            <a:t>GPT-3.5-Turbo</a:t>
          </a:r>
          <a:endParaRPr b="1" sz="1400"/>
        </a:p>
        <a:p>
          <a:pPr indent="0" lvl="0" marL="0" rtl="0" algn="ctr">
            <a:spcBef>
              <a:spcPts val="0"/>
            </a:spcBef>
            <a:spcAft>
              <a:spcPts val="0"/>
            </a:spcAft>
            <a:buNone/>
          </a:pPr>
          <a:r>
            <a:rPr lang="en-US" sz="1100"/>
            <a:t>Nov. 6, 2023</a:t>
          </a:r>
          <a:endParaRPr sz="1100"/>
        </a:p>
      </xdr:txBody>
    </xdr:sp>
    <xdr:clientData fLocksWithSheet="0"/>
  </xdr:oneCellAnchor>
  <xdr:oneCellAnchor>
    <xdr:from>
      <xdr:col>10</xdr:col>
      <xdr:colOff>1285875</xdr:colOff>
      <xdr:row>43</xdr:row>
      <xdr:rowOff>57150</xdr:rowOff>
    </xdr:from>
    <xdr:ext cx="971550" cy="533400"/>
    <xdr:sp>
      <xdr:nvSpPr>
        <xdr:cNvPr id="6" name="Shape 6"/>
        <xdr:cNvSpPr txBox="1"/>
      </xdr:nvSpPr>
      <xdr:spPr>
        <a:xfrm>
          <a:off x="-85200" y="13975"/>
          <a:ext cx="1050000" cy="5151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b="1" lang="en-US" sz="1400"/>
            <a:t>GPT-4o</a:t>
          </a:r>
          <a:endParaRPr b="1" sz="1400"/>
        </a:p>
        <a:p>
          <a:pPr indent="0" lvl="0" marL="0" rtl="0" algn="ctr">
            <a:spcBef>
              <a:spcPts val="0"/>
            </a:spcBef>
            <a:spcAft>
              <a:spcPts val="0"/>
            </a:spcAft>
            <a:buNone/>
          </a:pPr>
          <a:r>
            <a:rPr lang="en-US" sz="1100"/>
            <a:t>May 13, 2024</a:t>
          </a:r>
          <a:endParaRPr sz="1100"/>
        </a:p>
      </xdr:txBody>
    </xdr:sp>
    <xdr:clientData fLocksWithSheet="0"/>
  </xdr:oneCellAnchor>
  <xdr:oneCellAnchor>
    <xdr:from>
      <xdr:col>7</xdr:col>
      <xdr:colOff>762000</xdr:colOff>
      <xdr:row>75</xdr:row>
      <xdr:rowOff>171450</xdr:rowOff>
    </xdr:from>
    <xdr:ext cx="1095375" cy="561975"/>
    <xdr:sp>
      <xdr:nvSpPr>
        <xdr:cNvPr id="7" name="Shape 7"/>
        <xdr:cNvSpPr txBox="1"/>
      </xdr:nvSpPr>
      <xdr:spPr>
        <a:xfrm>
          <a:off x="-114925" y="13975"/>
          <a:ext cx="1198800" cy="544800"/>
        </a:xfrm>
        <a:prstGeom prst="rect">
          <a:avLst/>
        </a:prstGeom>
        <a:solidFill>
          <a:srgbClr val="FFFFFF"/>
        </a:solid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b="1" lang="en-US" sz="1400"/>
            <a:t>GPT-3.5</a:t>
          </a:r>
          <a:endParaRPr b="1" sz="1400"/>
        </a:p>
        <a:p>
          <a:pPr indent="0" lvl="0" marL="0" rtl="0" algn="ctr">
            <a:spcBef>
              <a:spcPts val="0"/>
            </a:spcBef>
            <a:spcAft>
              <a:spcPts val="0"/>
            </a:spcAft>
            <a:buNone/>
          </a:pPr>
          <a:r>
            <a:rPr lang="en-US" sz="1100"/>
            <a:t>March 15, 2022</a:t>
          </a:r>
          <a:endParaRPr sz="1100"/>
        </a:p>
      </xdr:txBody>
    </xdr:sp>
    <xdr:clientData fLocksWithSheet="0"/>
  </xdr:oneCellAnchor>
  <xdr:oneCellAnchor>
    <xdr:from>
      <xdr:col>8</xdr:col>
      <xdr:colOff>895350</xdr:colOff>
      <xdr:row>75</xdr:row>
      <xdr:rowOff>190500</xdr:rowOff>
    </xdr:from>
    <xdr:ext cx="1123950" cy="523875"/>
    <xdr:sp>
      <xdr:nvSpPr>
        <xdr:cNvPr id="8" name="Shape 8"/>
        <xdr:cNvSpPr txBox="1"/>
      </xdr:nvSpPr>
      <xdr:spPr>
        <a:xfrm>
          <a:off x="-95100" y="33800"/>
          <a:ext cx="1208700" cy="5052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b="1" lang="en-US" sz="1400"/>
            <a:t>GPT-4</a:t>
          </a:r>
          <a:endParaRPr b="1" sz="1400"/>
        </a:p>
        <a:p>
          <a:pPr indent="0" lvl="0" marL="0" rtl="0" algn="ctr">
            <a:spcBef>
              <a:spcPts val="0"/>
            </a:spcBef>
            <a:spcAft>
              <a:spcPts val="0"/>
            </a:spcAft>
            <a:buNone/>
          </a:pPr>
          <a:r>
            <a:rPr lang="en-US" sz="1100"/>
            <a:t>March 14, 2023</a:t>
          </a:r>
          <a:endParaRPr sz="1400"/>
        </a:p>
      </xdr:txBody>
    </xdr:sp>
    <xdr:clientData fLocksWithSheet="0"/>
  </xdr:oneCellAnchor>
  <xdr:oneCellAnchor>
    <xdr:from>
      <xdr:col>9</xdr:col>
      <xdr:colOff>685800</xdr:colOff>
      <xdr:row>75</xdr:row>
      <xdr:rowOff>190500</xdr:rowOff>
    </xdr:from>
    <xdr:ext cx="1314450" cy="542925"/>
    <xdr:sp>
      <xdr:nvSpPr>
        <xdr:cNvPr id="9" name="Shape 9"/>
        <xdr:cNvSpPr txBox="1"/>
      </xdr:nvSpPr>
      <xdr:spPr>
        <a:xfrm>
          <a:off x="-124825" y="23875"/>
          <a:ext cx="1426500" cy="5250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b="1" lang="en-US" sz="1400"/>
            <a:t>GPT-3.5-Turbo</a:t>
          </a:r>
          <a:endParaRPr b="1" sz="1400"/>
        </a:p>
        <a:p>
          <a:pPr indent="0" lvl="0" marL="0" rtl="0" algn="ctr">
            <a:spcBef>
              <a:spcPts val="0"/>
            </a:spcBef>
            <a:spcAft>
              <a:spcPts val="0"/>
            </a:spcAft>
            <a:buNone/>
          </a:pPr>
          <a:r>
            <a:rPr lang="en-US" sz="1100"/>
            <a:t>Nov. 6, 2023</a:t>
          </a:r>
          <a:endParaRPr sz="1400"/>
        </a:p>
      </xdr:txBody>
    </xdr:sp>
    <xdr:clientData fLocksWithSheet="0"/>
  </xdr:oneCellAnchor>
  <xdr:oneCellAnchor>
    <xdr:from>
      <xdr:col>10</xdr:col>
      <xdr:colOff>657225</xdr:colOff>
      <xdr:row>75</xdr:row>
      <xdr:rowOff>180975</xdr:rowOff>
    </xdr:from>
    <xdr:ext cx="1104900" cy="533400"/>
    <xdr:sp>
      <xdr:nvSpPr>
        <xdr:cNvPr id="10" name="Shape 10"/>
        <xdr:cNvSpPr txBox="1"/>
      </xdr:nvSpPr>
      <xdr:spPr>
        <a:xfrm>
          <a:off x="-95100" y="23875"/>
          <a:ext cx="1188900" cy="5151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b="1" lang="en-US" sz="1400"/>
            <a:t>GPT-4o</a:t>
          </a:r>
          <a:endParaRPr b="1" sz="1400"/>
        </a:p>
        <a:p>
          <a:pPr indent="0" lvl="0" marL="0" rtl="0" algn="ctr">
            <a:spcBef>
              <a:spcPts val="0"/>
            </a:spcBef>
            <a:spcAft>
              <a:spcPts val="0"/>
            </a:spcAft>
            <a:buNone/>
          </a:pPr>
          <a:r>
            <a:rPr lang="en-US" sz="1100"/>
            <a:t>March 13, 2024</a:t>
          </a:r>
          <a:endParaRPr sz="1400"/>
        </a:p>
      </xdr:txBody>
    </xdr:sp>
    <xdr:clientData fLocksWithSheet="0"/>
  </xdr:oneCellAnchor>
  <xdr:oneCellAnchor>
    <xdr:from>
      <xdr:col>10</xdr:col>
      <xdr:colOff>1752600</xdr:colOff>
      <xdr:row>75</xdr:row>
      <xdr:rowOff>171450</xdr:rowOff>
    </xdr:from>
    <xdr:ext cx="895350" cy="514350"/>
    <xdr:sp>
      <xdr:nvSpPr>
        <xdr:cNvPr id="11" name="Shape 11"/>
        <xdr:cNvSpPr txBox="1"/>
      </xdr:nvSpPr>
      <xdr:spPr>
        <a:xfrm>
          <a:off x="-105025" y="23875"/>
          <a:ext cx="990600" cy="4953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b="1" lang="en-US" sz="1400"/>
            <a:t>GPT-o1</a:t>
          </a:r>
          <a:endParaRPr b="1" sz="1400"/>
        </a:p>
        <a:p>
          <a:pPr indent="0" lvl="0" marL="0" rtl="0" algn="ctr">
            <a:spcBef>
              <a:spcPts val="0"/>
            </a:spcBef>
            <a:spcAft>
              <a:spcPts val="0"/>
            </a:spcAft>
            <a:buNone/>
          </a:pPr>
          <a:r>
            <a:rPr lang="en-US" sz="1100"/>
            <a:t>Dec. 5, 2024</a:t>
          </a:r>
          <a:endParaRPr sz="1400"/>
        </a:p>
      </xdr:txBody>
    </xdr:sp>
    <xdr:clientData fLocksWithSheet="0"/>
  </xdr:oneCellAnchor>
  <xdr:oneCellAnchor>
    <xdr:from>
      <xdr:col>7</xdr:col>
      <xdr:colOff>1238250</xdr:colOff>
      <xdr:row>62</xdr:row>
      <xdr:rowOff>161925</xdr:rowOff>
    </xdr:from>
    <xdr:ext cx="3638550" cy="962025"/>
    <xdr:grpSp>
      <xdr:nvGrpSpPr>
        <xdr:cNvPr id="2" name="Shape 2" title="Drawing"/>
        <xdr:cNvGrpSpPr/>
      </xdr:nvGrpSpPr>
      <xdr:grpSpPr>
        <a:xfrm>
          <a:off x="1816900" y="3283150"/>
          <a:ext cx="5389350" cy="1377125"/>
          <a:chOff x="1816900" y="3283150"/>
          <a:chExt cx="5389350" cy="1377125"/>
        </a:xfrm>
      </xdr:grpSpPr>
      <xdr:cxnSp>
        <xdr:nvCxnSpPr>
          <xdr:cNvPr id="12" name="Shape 12"/>
          <xdr:cNvCxnSpPr/>
        </xdr:nvCxnSpPr>
        <xdr:spPr>
          <a:xfrm flipH="1" rot="10800000">
            <a:off x="1816900" y="3808275"/>
            <a:ext cx="2496600" cy="852000"/>
          </a:xfrm>
          <a:prstGeom prst="straightConnector1">
            <a:avLst/>
          </a:prstGeom>
          <a:noFill/>
          <a:ln cap="flat" cmpd="sng" w="76200">
            <a:solidFill>
              <a:srgbClr val="000000"/>
            </a:solidFill>
            <a:prstDash val="solid"/>
            <a:round/>
            <a:headEnd len="med" w="med" type="none"/>
            <a:tailEnd len="med" w="med" type="none"/>
          </a:ln>
        </xdr:spPr>
      </xdr:cxnSp>
      <xdr:cxnSp>
        <xdr:nvCxnSpPr>
          <xdr:cNvPr id="13" name="Shape 13"/>
          <xdr:cNvCxnSpPr/>
        </xdr:nvCxnSpPr>
        <xdr:spPr>
          <a:xfrm flipH="1" rot="10800000">
            <a:off x="4313425" y="3590225"/>
            <a:ext cx="1614900" cy="247800"/>
          </a:xfrm>
          <a:prstGeom prst="straightConnector1">
            <a:avLst/>
          </a:prstGeom>
          <a:noFill/>
          <a:ln cap="flat" cmpd="sng" w="76200">
            <a:solidFill>
              <a:srgbClr val="000000"/>
            </a:solidFill>
            <a:prstDash val="solid"/>
            <a:round/>
            <a:headEnd len="med" w="med" type="none"/>
            <a:tailEnd len="med" w="med" type="none"/>
          </a:ln>
        </xdr:spPr>
      </xdr:cxnSp>
      <xdr:cxnSp>
        <xdr:nvCxnSpPr>
          <xdr:cNvPr id="14" name="Shape 14"/>
          <xdr:cNvCxnSpPr/>
        </xdr:nvCxnSpPr>
        <xdr:spPr>
          <a:xfrm flipH="1" rot="10800000">
            <a:off x="5928250" y="3283150"/>
            <a:ext cx="1278000" cy="327000"/>
          </a:xfrm>
          <a:prstGeom prst="straightConnector1">
            <a:avLst/>
          </a:prstGeom>
          <a:noFill/>
          <a:ln cap="flat" cmpd="sng" w="76200">
            <a:solidFill>
              <a:srgbClr val="000000"/>
            </a:solidFill>
            <a:prstDash val="solid"/>
            <a:round/>
            <a:headEnd len="med" w="med" type="none"/>
            <a:tailEnd len="med" w="med" type="none"/>
          </a:ln>
        </xdr:spPr>
      </xdr:cxnSp>
    </xdr:grpSp>
    <xdr:clientData fLocksWithSheet="0"/>
  </xdr:oneCellAnchor>
  <xdr:oneCellAnchor>
    <xdr:from>
      <xdr:col>11</xdr:col>
      <xdr:colOff>314325</xdr:colOff>
      <xdr:row>43</xdr:row>
      <xdr:rowOff>95250</xdr:rowOff>
    </xdr:from>
    <xdr:ext cx="914400" cy="523875"/>
    <xdr:sp>
      <xdr:nvSpPr>
        <xdr:cNvPr id="15" name="Shape 15"/>
        <xdr:cNvSpPr txBox="1"/>
      </xdr:nvSpPr>
      <xdr:spPr>
        <a:xfrm>
          <a:off x="-105025" y="53600"/>
          <a:ext cx="1010400" cy="5052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b="1" lang="en-US" sz="1400"/>
            <a:t>GPT-o1</a:t>
          </a:r>
          <a:endParaRPr b="1" sz="1400"/>
        </a:p>
        <a:p>
          <a:pPr indent="0" lvl="0" marL="0" rtl="0" algn="ctr">
            <a:spcBef>
              <a:spcPts val="0"/>
            </a:spcBef>
            <a:spcAft>
              <a:spcPts val="0"/>
            </a:spcAft>
            <a:buNone/>
          </a:pPr>
          <a:r>
            <a:rPr lang="en-US" sz="1100"/>
            <a:t>Dec. 5, 2024</a:t>
          </a:r>
          <a:endParaRPr sz="1100"/>
        </a:p>
      </xdr:txBody>
    </xdr:sp>
    <xdr:clientData fLocksWithSheet="0"/>
  </xdr:oneCellAnchor>
  <xdr:oneCellAnchor>
    <xdr:from>
      <xdr:col>8</xdr:col>
      <xdr:colOff>495300</xdr:colOff>
      <xdr:row>30</xdr:row>
      <xdr:rowOff>161925</xdr:rowOff>
    </xdr:from>
    <xdr:ext cx="3733800" cy="962025"/>
    <xdr:grpSp>
      <xdr:nvGrpSpPr>
        <xdr:cNvPr id="2" name="Shape 2" title="Drawing"/>
        <xdr:cNvGrpSpPr/>
      </xdr:nvGrpSpPr>
      <xdr:grpSpPr>
        <a:xfrm>
          <a:off x="1618775" y="2767950"/>
          <a:ext cx="4616700" cy="1159225"/>
          <a:chOff x="1618775" y="2767950"/>
          <a:chExt cx="4616700" cy="1159225"/>
        </a:xfrm>
      </xdr:grpSpPr>
      <xdr:cxnSp>
        <xdr:nvCxnSpPr>
          <xdr:cNvPr id="16" name="Shape 16"/>
          <xdr:cNvCxnSpPr/>
        </xdr:nvCxnSpPr>
        <xdr:spPr>
          <a:xfrm flipH="1" rot="10800000">
            <a:off x="1618775" y="3203875"/>
            <a:ext cx="2120100" cy="723300"/>
          </a:xfrm>
          <a:prstGeom prst="straightConnector1">
            <a:avLst/>
          </a:prstGeom>
          <a:noFill/>
          <a:ln cap="flat" cmpd="sng" w="76200">
            <a:solidFill>
              <a:srgbClr val="000000"/>
            </a:solidFill>
            <a:prstDash val="solid"/>
            <a:round/>
            <a:headEnd len="med" w="med" type="none"/>
            <a:tailEnd len="med" w="med" type="none"/>
          </a:ln>
        </xdr:spPr>
      </xdr:cxnSp>
      <xdr:cxnSp>
        <xdr:nvCxnSpPr>
          <xdr:cNvPr id="17" name="Shape 17"/>
          <xdr:cNvCxnSpPr/>
        </xdr:nvCxnSpPr>
        <xdr:spPr>
          <a:xfrm flipH="1" rot="10800000">
            <a:off x="3748750" y="3025775"/>
            <a:ext cx="1377000" cy="188100"/>
          </a:xfrm>
          <a:prstGeom prst="straightConnector1">
            <a:avLst/>
          </a:prstGeom>
          <a:noFill/>
          <a:ln cap="flat" cmpd="sng" w="76200">
            <a:solidFill>
              <a:srgbClr val="000000"/>
            </a:solidFill>
            <a:prstDash val="solid"/>
            <a:round/>
            <a:headEnd len="med" w="med" type="none"/>
            <a:tailEnd len="med" w="med" type="none"/>
          </a:ln>
        </xdr:spPr>
      </xdr:cxnSp>
      <xdr:cxnSp>
        <xdr:nvCxnSpPr>
          <xdr:cNvPr id="18" name="Shape 18"/>
          <xdr:cNvCxnSpPr/>
        </xdr:nvCxnSpPr>
        <xdr:spPr>
          <a:xfrm flipH="1" rot="10800000">
            <a:off x="5105975" y="2767950"/>
            <a:ext cx="1129500" cy="257700"/>
          </a:xfrm>
          <a:prstGeom prst="straightConnector1">
            <a:avLst/>
          </a:prstGeom>
          <a:noFill/>
          <a:ln cap="flat" cmpd="sng" w="76200">
            <a:solidFill>
              <a:srgbClr val="000000"/>
            </a:solidFill>
            <a:prstDash val="solid"/>
            <a:round/>
            <a:headEnd len="med" w="med" type="none"/>
            <a:tailEnd len="med" w="med" type="none"/>
          </a:ln>
        </xdr:spPr>
      </xdr:cxnSp>
    </xdr:grpSp>
    <xdr:clientData fLocksWithSheet="0"/>
  </xdr:oneCellAnchor>
  <xdr:oneCellAnchor>
    <xdr:from>
      <xdr:col>11</xdr:col>
      <xdr:colOff>314325</xdr:colOff>
      <xdr:row>21</xdr:row>
      <xdr:rowOff>133350</xdr:rowOff>
    </xdr:from>
    <xdr:ext cx="523875" cy="4343400"/>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180975</xdr:colOff>
      <xdr:row>22</xdr:row>
      <xdr:rowOff>0</xdr:rowOff>
    </xdr:from>
    <xdr:ext cx="7362825" cy="4552950"/>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3.88"/>
    <col customWidth="1" min="2" max="2" width="19.63"/>
    <col customWidth="1" min="3" max="3" width="37.5"/>
    <col customWidth="1" min="4" max="4" width="40.75"/>
    <col customWidth="1" min="6" max="10" width="16.25"/>
    <col customWidth="1" min="11" max="13" width="26.38"/>
    <col customWidth="1" min="14" max="14" width="19.75"/>
    <col customWidth="1" min="15" max="20" width="15.75"/>
  </cols>
  <sheetData>
    <row r="1">
      <c r="A1" s="1" t="s">
        <v>0</v>
      </c>
      <c r="B1" s="1" t="s">
        <v>1</v>
      </c>
      <c r="C1" s="1" t="s">
        <v>2</v>
      </c>
      <c r="D1" s="1" t="s">
        <v>3</v>
      </c>
      <c r="E1" s="1" t="s">
        <v>4</v>
      </c>
      <c r="F1" s="2" t="s">
        <v>5</v>
      </c>
      <c r="G1" s="2" t="s">
        <v>6</v>
      </c>
      <c r="H1" s="2" t="s">
        <v>7</v>
      </c>
      <c r="I1" s="2" t="s">
        <v>8</v>
      </c>
      <c r="J1" s="2" t="s">
        <v>9</v>
      </c>
      <c r="K1" s="2" t="s">
        <v>10</v>
      </c>
      <c r="L1" s="2" t="s">
        <v>11</v>
      </c>
      <c r="M1" s="2" t="s">
        <v>12</v>
      </c>
      <c r="N1" s="3" t="s">
        <v>13</v>
      </c>
      <c r="O1" s="4" t="s">
        <v>14</v>
      </c>
      <c r="P1" s="4" t="s">
        <v>15</v>
      </c>
      <c r="Q1" s="4" t="s">
        <v>16</v>
      </c>
      <c r="R1" s="4" t="s">
        <v>17</v>
      </c>
      <c r="S1" s="4" t="s">
        <v>18</v>
      </c>
      <c r="T1" s="4" t="s">
        <v>19</v>
      </c>
    </row>
    <row r="2">
      <c r="A2" s="5" t="s">
        <v>20</v>
      </c>
      <c r="B2" s="6" t="s">
        <v>21</v>
      </c>
      <c r="C2" s="7" t="s">
        <v>22</v>
      </c>
      <c r="D2" s="8" t="s">
        <v>23</v>
      </c>
      <c r="E2" s="9">
        <v>44635.0</v>
      </c>
      <c r="F2" s="6">
        <v>1.0</v>
      </c>
      <c r="G2" s="6">
        <v>1.0</v>
      </c>
      <c r="H2" s="6">
        <v>2.0</v>
      </c>
      <c r="I2" s="6">
        <v>1.0</v>
      </c>
      <c r="J2" s="6">
        <v>5.0</v>
      </c>
      <c r="K2" s="10">
        <v>0.62381374835968</v>
      </c>
      <c r="L2" s="10">
        <v>0.173953980207443</v>
      </c>
      <c r="M2" s="10">
        <v>-0.096666008234024</v>
      </c>
      <c r="N2" s="11">
        <v>-0.09666616</v>
      </c>
      <c r="O2" s="6">
        <f t="shared" ref="O2:O681" si="1">M2 - N2
</f>
        <v>0.000000151765976</v>
      </c>
      <c r="P2" s="6">
        <v>0.024390243902439</v>
      </c>
      <c r="Q2" s="6">
        <v>0.153846153846153</v>
      </c>
      <c r="R2" s="6">
        <v>0.8335</v>
      </c>
      <c r="S2" s="6">
        <v>0.8335</v>
      </c>
      <c r="T2" s="6">
        <v>13.2715447154472</v>
      </c>
    </row>
    <row r="3">
      <c r="A3" s="5" t="s">
        <v>20</v>
      </c>
      <c r="B3" s="6" t="s">
        <v>21</v>
      </c>
      <c r="C3" s="7" t="s">
        <v>24</v>
      </c>
      <c r="D3" s="8" t="s">
        <v>25</v>
      </c>
      <c r="E3" s="9">
        <v>44635.0</v>
      </c>
      <c r="F3" s="6">
        <v>1.0</v>
      </c>
      <c r="G3" s="6">
        <v>1.0</v>
      </c>
      <c r="H3" s="6">
        <v>2.0</v>
      </c>
      <c r="I3" s="6">
        <v>1.0</v>
      </c>
      <c r="J3" s="6">
        <v>1.0</v>
      </c>
      <c r="K3" s="10">
        <v>0.614345788955688</v>
      </c>
      <c r="L3" s="10">
        <v>0.152389615774154</v>
      </c>
      <c r="M3" s="10">
        <v>-0.0951456427574157</v>
      </c>
      <c r="N3" s="11">
        <v>-0.095145635</v>
      </c>
      <c r="O3" s="6">
        <f t="shared" si="1"/>
        <v>-0.000000007757415696</v>
      </c>
      <c r="P3" s="6">
        <v>0.014492753623188</v>
      </c>
      <c r="Q3" s="6">
        <v>0.059701492537313</v>
      </c>
      <c r="R3" s="6">
        <v>0.9717</v>
      </c>
      <c r="S3" s="6">
        <v>0.9717</v>
      </c>
      <c r="T3" s="6">
        <v>21.3739130434783</v>
      </c>
    </row>
    <row r="4">
      <c r="A4" s="5" t="s">
        <v>20</v>
      </c>
      <c r="B4" s="6" t="s">
        <v>21</v>
      </c>
      <c r="C4" s="8" t="s">
        <v>26</v>
      </c>
      <c r="D4" s="8" t="s">
        <v>27</v>
      </c>
      <c r="E4" s="9">
        <v>44635.0</v>
      </c>
      <c r="F4" s="6">
        <v>1.0</v>
      </c>
      <c r="G4" s="6">
        <v>1.0</v>
      </c>
      <c r="H4" s="6">
        <v>2.0</v>
      </c>
      <c r="I4" s="6">
        <v>3.0</v>
      </c>
      <c r="J4" s="6">
        <v>1.0</v>
      </c>
      <c r="K4" s="10">
        <v>0.632582426071167</v>
      </c>
      <c r="L4" s="10">
        <v>0.166362941265106</v>
      </c>
      <c r="M4" s="10">
        <v>-0.0847072303295135</v>
      </c>
      <c r="N4" s="11">
        <v>-0.0847071</v>
      </c>
      <c r="O4" s="6">
        <f t="shared" si="1"/>
        <v>-0.0000001303295135</v>
      </c>
      <c r="P4" s="6">
        <v>0.046511627906976</v>
      </c>
      <c r="Q4" s="6">
        <v>0.095238095238095</v>
      </c>
      <c r="R4" s="6">
        <v>0.8555</v>
      </c>
      <c r="S4" s="6">
        <v>0.8555</v>
      </c>
      <c r="T4" s="6">
        <v>16.8961240310078</v>
      </c>
    </row>
    <row r="5">
      <c r="A5" s="5" t="s">
        <v>20</v>
      </c>
      <c r="B5" s="6" t="s">
        <v>21</v>
      </c>
      <c r="C5" s="12" t="s">
        <v>28</v>
      </c>
      <c r="D5" s="13" t="s">
        <v>29</v>
      </c>
      <c r="E5" s="9">
        <v>44635.0</v>
      </c>
      <c r="F5" s="6">
        <v>1.0</v>
      </c>
      <c r="G5" s="6">
        <v>1.0</v>
      </c>
      <c r="H5" s="6">
        <v>5.0</v>
      </c>
      <c r="I5" s="6">
        <v>3.0</v>
      </c>
      <c r="J5" s="6">
        <v>4.0</v>
      </c>
      <c r="K5" s="14">
        <v>0.635621190071106</v>
      </c>
      <c r="L5" s="14">
        <v>0.183059334754943</v>
      </c>
      <c r="M5" s="14">
        <v>0.0178545992821455</v>
      </c>
      <c r="N5" s="11">
        <v>0.017854545</v>
      </c>
      <c r="O5" s="6">
        <f t="shared" si="1"/>
        <v>0.0000000542821455</v>
      </c>
      <c r="P5" s="5">
        <v>0.047619047619047</v>
      </c>
      <c r="Q5" s="6">
        <v>0.2</v>
      </c>
      <c r="R5" s="6">
        <v>0.836</v>
      </c>
      <c r="S5" s="6">
        <v>0.836</v>
      </c>
      <c r="T5" s="6">
        <v>15.6285714285714</v>
      </c>
      <c r="U5" s="15"/>
      <c r="V5" s="15"/>
      <c r="W5" s="15"/>
      <c r="X5" s="15"/>
      <c r="Y5" s="15"/>
      <c r="Z5" s="15"/>
    </row>
    <row r="6">
      <c r="A6" s="5" t="s">
        <v>20</v>
      </c>
      <c r="B6" s="6" t="s">
        <v>21</v>
      </c>
      <c r="C6" s="7" t="s">
        <v>30</v>
      </c>
      <c r="D6" s="8" t="s">
        <v>31</v>
      </c>
      <c r="E6" s="9">
        <v>44635.0</v>
      </c>
      <c r="F6" s="6">
        <v>1.0</v>
      </c>
      <c r="G6" s="6">
        <v>1.0</v>
      </c>
      <c r="H6" s="6">
        <v>2.0</v>
      </c>
      <c r="I6" s="6">
        <v>3.0</v>
      </c>
      <c r="J6" s="6">
        <v>1.0</v>
      </c>
      <c r="K6" s="10">
        <v>0.631288409233093</v>
      </c>
      <c r="L6" s="10">
        <v>0.192426562309265</v>
      </c>
      <c r="M6" s="10">
        <v>-0.0513402819633483</v>
      </c>
      <c r="N6" s="11">
        <v>-0.051340155</v>
      </c>
      <c r="O6" s="6">
        <f t="shared" si="1"/>
        <v>-0.0000001269633483</v>
      </c>
      <c r="P6" s="6">
        <v>0.044444444444444</v>
      </c>
      <c r="Q6" s="6">
        <v>0.113636363636363</v>
      </c>
      <c r="R6" s="6">
        <v>0.6705</v>
      </c>
      <c r="S6" s="6">
        <v>0.6705</v>
      </c>
      <c r="T6" s="6">
        <v>15.7777777777778</v>
      </c>
    </row>
    <row r="7">
      <c r="A7" s="5" t="s">
        <v>20</v>
      </c>
      <c r="B7" s="6" t="s">
        <v>21</v>
      </c>
      <c r="C7" s="7" t="s">
        <v>32</v>
      </c>
      <c r="D7" s="8" t="s">
        <v>33</v>
      </c>
      <c r="E7" s="9">
        <v>44635.0</v>
      </c>
      <c r="F7" s="6">
        <v>1.0</v>
      </c>
      <c r="G7" s="6">
        <v>1.0</v>
      </c>
      <c r="H7" s="6">
        <v>2.0</v>
      </c>
      <c r="I7" s="6">
        <v>3.0</v>
      </c>
      <c r="J7" s="6">
        <v>1.0</v>
      </c>
      <c r="K7" s="10">
        <v>0.598124384880065</v>
      </c>
      <c r="L7" s="10">
        <v>0.114115923643112</v>
      </c>
      <c r="M7" s="10">
        <v>-0.144524544477462</v>
      </c>
      <c r="N7" s="11">
        <v>-0.14452459</v>
      </c>
      <c r="O7" s="6">
        <f t="shared" si="1"/>
        <v>0.00000004552253802</v>
      </c>
      <c r="P7" s="6">
        <v>0.020833333333333</v>
      </c>
      <c r="Q7" s="6">
        <v>0.130434782608695</v>
      </c>
      <c r="R7" s="6">
        <v>0.6369</v>
      </c>
      <c r="S7" s="6">
        <v>0.6369</v>
      </c>
      <c r="T7" s="6">
        <v>18.9</v>
      </c>
    </row>
    <row r="8">
      <c r="A8" s="5" t="s">
        <v>20</v>
      </c>
      <c r="B8" s="6" t="s">
        <v>21</v>
      </c>
      <c r="C8" s="7" t="s">
        <v>34</v>
      </c>
      <c r="D8" s="8" t="s">
        <v>35</v>
      </c>
      <c r="E8" s="9">
        <v>44635.0</v>
      </c>
      <c r="F8" s="6">
        <v>1.0</v>
      </c>
      <c r="G8" s="6">
        <v>1.0</v>
      </c>
      <c r="H8" s="6">
        <v>2.0</v>
      </c>
      <c r="I8" s="6">
        <v>3.0</v>
      </c>
      <c r="J8" s="6">
        <v>1.0</v>
      </c>
      <c r="K8" s="10">
        <v>0.63460350036621</v>
      </c>
      <c r="L8" s="10">
        <v>0.167322486639022</v>
      </c>
      <c r="M8" s="10">
        <v>-0.0927077531814575</v>
      </c>
      <c r="N8" s="11">
        <v>-0.092707805</v>
      </c>
      <c r="O8" s="6">
        <f t="shared" si="1"/>
        <v>0.0000000518185425</v>
      </c>
      <c r="P8" s="6">
        <v>0.025</v>
      </c>
      <c r="Q8" s="6">
        <v>0.128205128205128</v>
      </c>
      <c r="R8" s="6">
        <v>0.6369</v>
      </c>
      <c r="S8" s="6">
        <v>0.6369</v>
      </c>
      <c r="T8" s="6">
        <v>14.3333333333333</v>
      </c>
    </row>
    <row r="9">
      <c r="A9" s="5" t="s">
        <v>20</v>
      </c>
      <c r="B9" s="6" t="s">
        <v>21</v>
      </c>
      <c r="C9" s="7" t="s">
        <v>36</v>
      </c>
      <c r="D9" s="8" t="s">
        <v>37</v>
      </c>
      <c r="E9" s="9">
        <v>44635.0</v>
      </c>
      <c r="F9" s="6">
        <v>1.0</v>
      </c>
      <c r="G9" s="6">
        <v>1.0</v>
      </c>
      <c r="H9" s="6">
        <v>2.0</v>
      </c>
      <c r="I9" s="6">
        <v>3.0</v>
      </c>
      <c r="J9" s="6">
        <v>1.0</v>
      </c>
      <c r="K9" s="10">
        <v>0.630344152450561</v>
      </c>
      <c r="L9" s="10">
        <v>0.177141591906547</v>
      </c>
      <c r="M9" s="10">
        <v>-0.0748971402645111</v>
      </c>
      <c r="N9" s="11">
        <v>-0.074896865</v>
      </c>
      <c r="O9" s="6">
        <f t="shared" si="1"/>
        <v>-0.0000002752645111</v>
      </c>
      <c r="P9" s="6">
        <v>0.042553191489361</v>
      </c>
      <c r="Q9" s="6">
        <v>0.08695652173913</v>
      </c>
      <c r="R9" s="6">
        <v>0.7717</v>
      </c>
      <c r="S9" s="6">
        <v>0.7717</v>
      </c>
      <c r="T9" s="6">
        <v>15.6283687943262</v>
      </c>
    </row>
    <row r="10">
      <c r="A10" s="5" t="s">
        <v>20</v>
      </c>
      <c r="B10" s="6" t="s">
        <v>21</v>
      </c>
      <c r="C10" s="7" t="s">
        <v>38</v>
      </c>
      <c r="D10" s="8" t="s">
        <v>39</v>
      </c>
      <c r="E10" s="9">
        <v>44635.0</v>
      </c>
      <c r="F10" s="6">
        <v>1.0</v>
      </c>
      <c r="G10" s="6">
        <v>1.0</v>
      </c>
      <c r="H10" s="6">
        <v>2.0</v>
      </c>
      <c r="I10" s="6">
        <v>3.0</v>
      </c>
      <c r="J10" s="6">
        <v>1.0</v>
      </c>
      <c r="K10" s="10">
        <v>0.623023688793182</v>
      </c>
      <c r="L10" s="10">
        <v>0.167557403445243</v>
      </c>
      <c r="M10" s="10">
        <v>-0.264366000890731</v>
      </c>
      <c r="N10" s="11">
        <v>-0.26436594</v>
      </c>
      <c r="O10" s="6">
        <f t="shared" si="1"/>
        <v>-0.00000006089073096</v>
      </c>
      <c r="P10" s="6">
        <v>0.018867924528301</v>
      </c>
      <c r="Q10" s="6">
        <v>0.134615384615384</v>
      </c>
      <c r="R10" s="6">
        <v>0.7351</v>
      </c>
      <c r="S10" s="6">
        <v>0.7351</v>
      </c>
      <c r="T10" s="6">
        <v>19.1421383647799</v>
      </c>
    </row>
    <row r="11">
      <c r="A11" s="5" t="s">
        <v>20</v>
      </c>
      <c r="B11" s="6" t="s">
        <v>21</v>
      </c>
      <c r="C11" s="7" t="s">
        <v>40</v>
      </c>
      <c r="D11" s="8" t="s">
        <v>41</v>
      </c>
      <c r="E11" s="9">
        <v>44635.0</v>
      </c>
      <c r="F11" s="6">
        <v>1.0</v>
      </c>
      <c r="G11" s="6">
        <v>1.0</v>
      </c>
      <c r="H11" s="6">
        <v>2.0</v>
      </c>
      <c r="I11" s="6">
        <v>1.0</v>
      </c>
      <c r="J11" s="6">
        <v>1.0</v>
      </c>
      <c r="K11" s="10">
        <v>0.621002674102783</v>
      </c>
      <c r="L11" s="10">
        <v>0.163792535662651</v>
      </c>
      <c r="M11" s="10">
        <v>-0.163288727402687</v>
      </c>
      <c r="N11" s="11">
        <v>-0.16328885</v>
      </c>
      <c r="O11" s="6">
        <f t="shared" si="1"/>
        <v>0.000000122597313</v>
      </c>
      <c r="P11" s="6">
        <v>0.03030303030303</v>
      </c>
      <c r="Q11" s="6">
        <v>0.158730158730158</v>
      </c>
      <c r="R11" s="6">
        <v>0.4184</v>
      </c>
      <c r="S11" s="6">
        <v>0.4184</v>
      </c>
      <c r="T11" s="6">
        <v>15.6909090909091</v>
      </c>
    </row>
    <row r="12">
      <c r="A12" s="5" t="s">
        <v>42</v>
      </c>
      <c r="B12" s="6" t="s">
        <v>21</v>
      </c>
      <c r="C12" s="7" t="s">
        <v>43</v>
      </c>
      <c r="D12" s="8" t="s">
        <v>44</v>
      </c>
      <c r="E12" s="9">
        <v>44635.0</v>
      </c>
      <c r="F12" s="6">
        <v>1.0</v>
      </c>
      <c r="G12" s="6">
        <v>1.0</v>
      </c>
      <c r="H12" s="6">
        <v>2.0</v>
      </c>
      <c r="I12" s="6">
        <v>1.0</v>
      </c>
      <c r="J12" s="6">
        <v>1.0</v>
      </c>
      <c r="K12" s="10">
        <v>0.613972306251525</v>
      </c>
      <c r="L12" s="10">
        <v>0.165112435817718</v>
      </c>
      <c r="M12" s="10">
        <v>-0.0524546280503273</v>
      </c>
      <c r="N12" s="11">
        <v>-0.052454587</v>
      </c>
      <c r="O12" s="6">
        <f t="shared" si="1"/>
        <v>-0.0000000410503273</v>
      </c>
      <c r="P12" s="6">
        <v>0.020408163265306</v>
      </c>
      <c r="Q12" s="6">
        <v>0.042553191489361</v>
      </c>
      <c r="R12" s="6">
        <v>0.9652</v>
      </c>
      <c r="S12" s="6">
        <v>0.9652</v>
      </c>
      <c r="T12" s="6">
        <v>17.9619047619048</v>
      </c>
    </row>
    <row r="13">
      <c r="A13" s="5" t="s">
        <v>42</v>
      </c>
      <c r="B13" s="6" t="s">
        <v>21</v>
      </c>
      <c r="C13" s="7" t="s">
        <v>45</v>
      </c>
      <c r="D13" s="8" t="s">
        <v>46</v>
      </c>
      <c r="E13" s="9">
        <v>44635.0</v>
      </c>
      <c r="F13" s="6">
        <v>5.0</v>
      </c>
      <c r="G13" s="6">
        <v>1.0</v>
      </c>
      <c r="H13" s="6">
        <v>2.0</v>
      </c>
      <c r="I13" s="6">
        <v>3.0</v>
      </c>
      <c r="J13" s="6">
        <v>1.0</v>
      </c>
      <c r="K13" s="10">
        <v>0.608406662940979</v>
      </c>
      <c r="L13" s="10">
        <v>0.186257362365722</v>
      </c>
      <c r="M13" s="10">
        <v>-0.140699967741966</v>
      </c>
      <c r="N13" s="11">
        <v>-0.14070004</v>
      </c>
      <c r="O13" s="6">
        <f t="shared" si="1"/>
        <v>0.000000072258034</v>
      </c>
      <c r="P13" s="6">
        <v>0.018867924528301</v>
      </c>
      <c r="Q13" s="6">
        <v>0.1</v>
      </c>
      <c r="R13" s="6">
        <v>0.6239</v>
      </c>
      <c r="S13" s="6">
        <v>0.6239</v>
      </c>
      <c r="T13" s="6">
        <v>22.1610062893082</v>
      </c>
    </row>
    <row r="14">
      <c r="A14" s="5" t="s">
        <v>42</v>
      </c>
      <c r="B14" s="6" t="s">
        <v>21</v>
      </c>
      <c r="C14" s="7" t="s">
        <v>47</v>
      </c>
      <c r="D14" s="8" t="s">
        <v>48</v>
      </c>
      <c r="E14" s="9">
        <v>44635.0</v>
      </c>
      <c r="F14" s="6">
        <v>1.0</v>
      </c>
      <c r="G14" s="6">
        <v>1.0</v>
      </c>
      <c r="H14" s="6">
        <v>2.0</v>
      </c>
      <c r="I14" s="6">
        <v>1.0</v>
      </c>
      <c r="J14" s="6">
        <v>1.0</v>
      </c>
      <c r="K14" s="10">
        <v>0.613051176071167</v>
      </c>
      <c r="L14" s="10">
        <v>0.142950102686882</v>
      </c>
      <c r="M14" s="10">
        <v>-0.0849303305149078</v>
      </c>
      <c r="N14" s="11">
        <v>-0.08493036</v>
      </c>
      <c r="O14" s="6">
        <f t="shared" si="1"/>
        <v>0.0000000294850922</v>
      </c>
      <c r="P14" s="6">
        <v>0.024390243902439</v>
      </c>
      <c r="Q14" s="6">
        <v>0.1</v>
      </c>
      <c r="R14" s="6">
        <v>0.6705</v>
      </c>
      <c r="S14" s="6">
        <v>0.6705</v>
      </c>
      <c r="T14" s="6">
        <v>18.149593495935</v>
      </c>
    </row>
    <row r="15">
      <c r="A15" s="5" t="s">
        <v>42</v>
      </c>
      <c r="B15" s="6" t="s">
        <v>21</v>
      </c>
      <c r="C15" s="7" t="s">
        <v>49</v>
      </c>
      <c r="D15" s="8" t="s">
        <v>50</v>
      </c>
      <c r="E15" s="9">
        <v>44635.0</v>
      </c>
      <c r="F15" s="6">
        <v>1.0</v>
      </c>
      <c r="G15" s="6">
        <v>1.0</v>
      </c>
      <c r="H15" s="6">
        <v>2.0</v>
      </c>
      <c r="I15" s="6">
        <v>1.0</v>
      </c>
      <c r="J15" s="6">
        <v>1.0</v>
      </c>
      <c r="K15" s="10">
        <v>0.60872995853424</v>
      </c>
      <c r="L15" s="10">
        <v>0.139773771166801</v>
      </c>
      <c r="M15" s="10">
        <v>0.11486729979515</v>
      </c>
      <c r="N15" s="11">
        <v>0.11486735</v>
      </c>
      <c r="O15" s="6">
        <f t="shared" si="1"/>
        <v>-0.00000005020485</v>
      </c>
      <c r="P15" s="6">
        <v>0.043956043956043</v>
      </c>
      <c r="Q15" s="6">
        <v>0.089887640449438</v>
      </c>
      <c r="R15" s="6">
        <v>0.9514</v>
      </c>
      <c r="S15" s="6">
        <v>0.9514</v>
      </c>
      <c r="T15" s="6">
        <v>16.0712087912088</v>
      </c>
    </row>
    <row r="16">
      <c r="A16" s="5" t="s">
        <v>42</v>
      </c>
      <c r="B16" s="6" t="s">
        <v>21</v>
      </c>
      <c r="C16" s="7" t="s">
        <v>51</v>
      </c>
      <c r="D16" s="8" t="s">
        <v>52</v>
      </c>
      <c r="E16" s="9">
        <v>44635.0</v>
      </c>
      <c r="F16" s="6">
        <v>1.0</v>
      </c>
      <c r="G16" s="6">
        <v>1.0</v>
      </c>
      <c r="H16" s="6">
        <v>2.0</v>
      </c>
      <c r="I16" s="6">
        <v>3.0</v>
      </c>
      <c r="J16" s="6">
        <v>1.0</v>
      </c>
      <c r="K16" s="10">
        <v>0.604326128959655</v>
      </c>
      <c r="L16" s="10">
        <v>0.137693911790847</v>
      </c>
      <c r="M16" s="10">
        <v>0.136127412319183</v>
      </c>
      <c r="N16" s="11">
        <v>0.13612732</v>
      </c>
      <c r="O16" s="6">
        <f t="shared" si="1"/>
        <v>0.00000009231918299</v>
      </c>
      <c r="P16" s="6">
        <v>0.006666666666666</v>
      </c>
      <c r="Q16" s="6">
        <v>0.040816326530612</v>
      </c>
      <c r="R16" s="6">
        <v>0.9611</v>
      </c>
      <c r="S16" s="6">
        <v>0.9611</v>
      </c>
      <c r="T16" s="6">
        <v>16.0</v>
      </c>
    </row>
    <row r="17">
      <c r="A17" s="5" t="s">
        <v>42</v>
      </c>
      <c r="B17" s="6" t="s">
        <v>21</v>
      </c>
      <c r="C17" s="7" t="s">
        <v>53</v>
      </c>
      <c r="D17" s="8" t="s">
        <v>54</v>
      </c>
      <c r="E17" s="9">
        <v>44635.0</v>
      </c>
      <c r="F17" s="6">
        <v>1.0</v>
      </c>
      <c r="G17" s="6">
        <v>1.0</v>
      </c>
      <c r="H17" s="6">
        <v>2.0</v>
      </c>
      <c r="I17" s="6">
        <v>3.0</v>
      </c>
      <c r="J17" s="6">
        <v>1.0</v>
      </c>
      <c r="K17" s="10">
        <v>0.619657337665557</v>
      </c>
      <c r="L17" s="10">
        <v>0.141832783818244</v>
      </c>
      <c r="M17" s="10">
        <v>-0.0858418568968772</v>
      </c>
      <c r="N17" s="11">
        <v>-0.08584201</v>
      </c>
      <c r="O17" s="6">
        <f t="shared" si="1"/>
        <v>0.0000001531031228</v>
      </c>
      <c r="P17" s="6">
        <v>0.0</v>
      </c>
      <c r="Q17" s="6">
        <v>0.088235294117647</v>
      </c>
      <c r="R17" s="6">
        <v>0.9531</v>
      </c>
      <c r="S17" s="6">
        <v>0.9531</v>
      </c>
      <c r="T17" s="6">
        <v>20.0577464788732</v>
      </c>
    </row>
    <row r="18">
      <c r="A18" s="5" t="s">
        <v>42</v>
      </c>
      <c r="B18" s="6" t="s">
        <v>21</v>
      </c>
      <c r="C18" s="7" t="s">
        <v>55</v>
      </c>
      <c r="D18" s="8" t="s">
        <v>56</v>
      </c>
      <c r="E18" s="9">
        <v>44635.0</v>
      </c>
      <c r="F18" s="6">
        <v>1.0</v>
      </c>
      <c r="G18" s="6">
        <v>1.0</v>
      </c>
      <c r="H18" s="6">
        <v>2.0</v>
      </c>
      <c r="I18" s="6">
        <v>1.0</v>
      </c>
      <c r="J18" s="6">
        <v>1.0</v>
      </c>
      <c r="K18" s="10">
        <v>0.617753624916076</v>
      </c>
      <c r="L18" s="10">
        <v>0.139538913965225</v>
      </c>
      <c r="M18" s="10">
        <v>-0.0746271163225174</v>
      </c>
      <c r="N18" s="11">
        <v>-0.074627206</v>
      </c>
      <c r="O18" s="6">
        <f t="shared" si="1"/>
        <v>0.00000008967748261</v>
      </c>
      <c r="P18" s="6">
        <v>0.026819923371647</v>
      </c>
      <c r="Q18" s="6">
        <v>0.034883720930232</v>
      </c>
      <c r="R18" s="6">
        <v>0.8779</v>
      </c>
      <c r="S18" s="6">
        <v>0.8779</v>
      </c>
      <c r="T18" s="6">
        <v>21.771724137931</v>
      </c>
    </row>
    <row r="19">
      <c r="A19" s="5" t="s">
        <v>42</v>
      </c>
      <c r="B19" s="6" t="s">
        <v>21</v>
      </c>
      <c r="C19" s="7" t="s">
        <v>57</v>
      </c>
      <c r="D19" s="8" t="s">
        <v>58</v>
      </c>
      <c r="E19" s="9">
        <v>44635.0</v>
      </c>
      <c r="F19" s="6">
        <v>1.0</v>
      </c>
      <c r="G19" s="6">
        <v>1.0</v>
      </c>
      <c r="H19" s="6">
        <v>2.0</v>
      </c>
      <c r="I19" s="6">
        <v>3.0</v>
      </c>
      <c r="J19" s="6">
        <v>1.0</v>
      </c>
      <c r="K19" s="10">
        <v>0.622112095355987</v>
      </c>
      <c r="L19" s="10">
        <v>0.143962383270263</v>
      </c>
      <c r="M19" s="10">
        <v>-0.153560236096382</v>
      </c>
      <c r="N19" s="11">
        <v>-0.15356027</v>
      </c>
      <c r="O19" s="6">
        <f t="shared" si="1"/>
        <v>0.000000033903618</v>
      </c>
      <c r="P19" s="6">
        <v>0.026086956521739</v>
      </c>
      <c r="Q19" s="6">
        <v>0.035398230088495</v>
      </c>
      <c r="R19" s="6">
        <v>0.9864</v>
      </c>
      <c r="S19" s="6">
        <v>0.9864</v>
      </c>
      <c r="T19" s="6">
        <v>18.1014492753623</v>
      </c>
    </row>
    <row r="20">
      <c r="A20" s="5" t="s">
        <v>42</v>
      </c>
      <c r="B20" s="6" t="s">
        <v>21</v>
      </c>
      <c r="C20" s="7" t="s">
        <v>59</v>
      </c>
      <c r="D20" s="8" t="s">
        <v>60</v>
      </c>
      <c r="E20" s="9">
        <v>44635.0</v>
      </c>
      <c r="F20" s="6">
        <v>1.0</v>
      </c>
      <c r="G20" s="6">
        <v>4.0</v>
      </c>
      <c r="H20" s="6">
        <v>2.0</v>
      </c>
      <c r="I20" s="6">
        <v>1.0</v>
      </c>
      <c r="J20" s="6">
        <v>1.0</v>
      </c>
      <c r="K20" s="10">
        <v>0.611637830734252</v>
      </c>
      <c r="L20" s="10">
        <v>0.16788338124752</v>
      </c>
      <c r="M20" s="10">
        <v>-0.0712504833936691</v>
      </c>
      <c r="N20" s="11">
        <v>-0.07125052</v>
      </c>
      <c r="O20" s="6">
        <f t="shared" si="1"/>
        <v>0.0000000366063309</v>
      </c>
      <c r="P20" s="6">
        <v>0.014285714285714</v>
      </c>
      <c r="Q20" s="6">
        <v>0.088235294117647</v>
      </c>
      <c r="R20" s="6">
        <v>0.872</v>
      </c>
      <c r="S20" s="6">
        <v>0.872</v>
      </c>
      <c r="T20" s="6">
        <v>17.2857142857143</v>
      </c>
    </row>
    <row r="21">
      <c r="A21" s="5" t="s">
        <v>42</v>
      </c>
      <c r="B21" s="6" t="s">
        <v>21</v>
      </c>
      <c r="C21" s="7" t="s">
        <v>61</v>
      </c>
      <c r="D21" s="8" t="s">
        <v>62</v>
      </c>
      <c r="E21" s="9">
        <v>44635.0</v>
      </c>
      <c r="F21" s="6">
        <v>1.0</v>
      </c>
      <c r="G21" s="6">
        <v>1.0</v>
      </c>
      <c r="H21" s="6">
        <v>2.0</v>
      </c>
      <c r="I21" s="6">
        <v>3.0</v>
      </c>
      <c r="J21" s="6">
        <v>1.0</v>
      </c>
      <c r="K21" s="10">
        <v>0.612520813941955</v>
      </c>
      <c r="L21" s="10">
        <v>0.13962872326374</v>
      </c>
      <c r="M21" s="10">
        <v>0.0757361501455307</v>
      </c>
      <c r="N21" s="11">
        <v>0.07573646</v>
      </c>
      <c r="O21" s="6">
        <f t="shared" si="1"/>
        <v>-0.0000003098544693</v>
      </c>
      <c r="P21" s="6">
        <v>0.017241379310344</v>
      </c>
      <c r="Q21" s="6">
        <v>0.092592592592592</v>
      </c>
      <c r="R21" s="6">
        <v>0.9601</v>
      </c>
      <c r="S21" s="6">
        <v>0.9601</v>
      </c>
      <c r="T21" s="6">
        <v>15.3195402298851</v>
      </c>
    </row>
    <row r="22">
      <c r="A22" s="5" t="s">
        <v>63</v>
      </c>
      <c r="B22" s="6" t="s">
        <v>21</v>
      </c>
      <c r="C22" s="7" t="s">
        <v>64</v>
      </c>
      <c r="D22" s="8" t="s">
        <v>65</v>
      </c>
      <c r="E22" s="9">
        <v>44635.0</v>
      </c>
      <c r="F22" s="6">
        <v>1.0</v>
      </c>
      <c r="G22" s="6">
        <v>1.0</v>
      </c>
      <c r="H22" s="6">
        <v>2.0</v>
      </c>
      <c r="I22" s="6">
        <v>1.0</v>
      </c>
      <c r="J22" s="6">
        <v>1.0</v>
      </c>
      <c r="K22" s="10">
        <v>0.609015107154846</v>
      </c>
      <c r="L22" s="10">
        <v>0.157494813203811</v>
      </c>
      <c r="M22" s="10">
        <v>-0.188054770231246</v>
      </c>
      <c r="N22" s="11">
        <v>-0.18805507</v>
      </c>
      <c r="O22" s="6">
        <f t="shared" si="1"/>
        <v>0.000000299768754</v>
      </c>
      <c r="P22" s="6">
        <v>0.055555555555555</v>
      </c>
      <c r="Q22" s="6">
        <v>0.101449275362318</v>
      </c>
      <c r="R22" s="6">
        <v>0.743</v>
      </c>
      <c r="S22" s="6">
        <v>-0.743</v>
      </c>
      <c r="T22" s="6">
        <v>18.8666666666667</v>
      </c>
    </row>
    <row r="23">
      <c r="A23" s="5" t="s">
        <v>63</v>
      </c>
      <c r="B23" s="6" t="s">
        <v>21</v>
      </c>
      <c r="C23" s="7" t="s">
        <v>66</v>
      </c>
      <c r="D23" s="8" t="s">
        <v>67</v>
      </c>
      <c r="E23" s="9">
        <v>44635.0</v>
      </c>
      <c r="F23" s="6">
        <v>1.0</v>
      </c>
      <c r="G23" s="6">
        <v>1.0</v>
      </c>
      <c r="H23" s="6">
        <v>2.0</v>
      </c>
      <c r="I23" s="6">
        <v>1.0</v>
      </c>
      <c r="J23" s="6">
        <v>1.0</v>
      </c>
      <c r="K23" s="10">
        <v>0.61991000175476</v>
      </c>
      <c r="L23" s="10">
        <v>0.14190125465393</v>
      </c>
      <c r="M23" s="10">
        <v>-0.200291961431503</v>
      </c>
      <c r="N23" s="11">
        <v>-0.20029192</v>
      </c>
      <c r="O23" s="6">
        <f t="shared" si="1"/>
        <v>-0.00000004143150298</v>
      </c>
      <c r="P23" s="6">
        <v>0.057553956834532</v>
      </c>
      <c r="Q23" s="6">
        <v>0.051470588235294</v>
      </c>
      <c r="R23" s="6">
        <v>0.9081</v>
      </c>
      <c r="S23" s="6">
        <v>-0.9081</v>
      </c>
      <c r="T23" s="6">
        <v>18.1730215827338</v>
      </c>
    </row>
    <row r="24">
      <c r="A24" s="5" t="s">
        <v>63</v>
      </c>
      <c r="B24" s="6" t="s">
        <v>21</v>
      </c>
      <c r="C24" s="7" t="s">
        <v>68</v>
      </c>
      <c r="D24" s="8" t="s">
        <v>69</v>
      </c>
      <c r="E24" s="9">
        <v>44635.0</v>
      </c>
      <c r="F24" s="6">
        <v>1.0</v>
      </c>
      <c r="G24" s="6">
        <v>1.0</v>
      </c>
      <c r="H24" s="6">
        <v>2.0</v>
      </c>
      <c r="I24" s="6">
        <v>1.0</v>
      </c>
      <c r="J24" s="6">
        <v>1.0</v>
      </c>
      <c r="K24" s="10">
        <v>0.616516828536987</v>
      </c>
      <c r="L24" s="10">
        <v>0.175479218363761</v>
      </c>
      <c r="M24" s="10">
        <v>-0.149667620658874</v>
      </c>
      <c r="N24" s="11">
        <v>-0.14966767</v>
      </c>
      <c r="O24" s="6">
        <f t="shared" si="1"/>
        <v>0.00000004934112599</v>
      </c>
      <c r="P24" s="6">
        <v>0.0</v>
      </c>
      <c r="Q24" s="6">
        <v>0.083333333333333</v>
      </c>
      <c r="R24" s="6">
        <v>0.962</v>
      </c>
      <c r="S24" s="6">
        <v>0.962</v>
      </c>
      <c r="T24" s="6">
        <v>21.9455657492355</v>
      </c>
    </row>
    <row r="25">
      <c r="A25" s="5" t="s">
        <v>63</v>
      </c>
      <c r="B25" s="6" t="s">
        <v>21</v>
      </c>
      <c r="C25" s="7" t="s">
        <v>70</v>
      </c>
      <c r="D25" s="8" t="s">
        <v>71</v>
      </c>
      <c r="E25" s="9">
        <v>44635.0</v>
      </c>
      <c r="F25" s="6">
        <v>1.0</v>
      </c>
      <c r="G25" s="6">
        <v>1.0</v>
      </c>
      <c r="H25" s="6">
        <v>2.0</v>
      </c>
      <c r="I25" s="6">
        <v>3.0</v>
      </c>
      <c r="J25" s="6">
        <v>1.0</v>
      </c>
      <c r="K25" s="10">
        <v>0.625011920928955</v>
      </c>
      <c r="L25" s="10">
        <v>0.181590482592582</v>
      </c>
      <c r="M25" s="10">
        <v>0.0571481510996818</v>
      </c>
      <c r="N25" s="11">
        <v>0.057148084</v>
      </c>
      <c r="O25" s="6">
        <f t="shared" si="1"/>
        <v>0.0000000670996818</v>
      </c>
      <c r="P25" s="6">
        <v>0.0</v>
      </c>
      <c r="Q25" s="6">
        <v>0.088888888888888</v>
      </c>
      <c r="R25" s="6">
        <v>0.9819</v>
      </c>
      <c r="S25" s="6">
        <v>0.9819</v>
      </c>
      <c r="T25" s="6">
        <v>21.7731182795699</v>
      </c>
    </row>
    <row r="26">
      <c r="A26" s="5" t="s">
        <v>63</v>
      </c>
      <c r="B26" s="6" t="s">
        <v>21</v>
      </c>
      <c r="C26" s="7" t="s">
        <v>72</v>
      </c>
      <c r="D26" s="8" t="s">
        <v>73</v>
      </c>
      <c r="E26" s="9">
        <v>44635.0</v>
      </c>
      <c r="F26" s="6">
        <v>1.0</v>
      </c>
      <c r="G26" s="6">
        <v>1.0</v>
      </c>
      <c r="H26" s="6">
        <v>2.0</v>
      </c>
      <c r="I26" s="6">
        <v>1.0</v>
      </c>
      <c r="J26" s="6">
        <v>1.0</v>
      </c>
      <c r="K26" s="10">
        <v>0.629060208797454</v>
      </c>
      <c r="L26" s="10">
        <v>0.165146753191947</v>
      </c>
      <c r="M26" s="10">
        <v>-0.0746847093105316</v>
      </c>
      <c r="N26" s="11">
        <v>-0.07468473</v>
      </c>
      <c r="O26" s="6">
        <f t="shared" si="1"/>
        <v>0.0000000206894684</v>
      </c>
      <c r="P26" s="6">
        <v>0.034090909090909</v>
      </c>
      <c r="Q26" s="6">
        <v>0.094117647058823</v>
      </c>
      <c r="R26" s="6">
        <v>0.9501</v>
      </c>
      <c r="S26" s="6">
        <v>0.9501</v>
      </c>
      <c r="T26" s="6">
        <v>21.0727272727273</v>
      </c>
    </row>
    <row r="27">
      <c r="A27" s="5" t="s">
        <v>63</v>
      </c>
      <c r="B27" s="6" t="s">
        <v>21</v>
      </c>
      <c r="C27" s="7" t="s">
        <v>74</v>
      </c>
      <c r="D27" s="8" t="s">
        <v>75</v>
      </c>
      <c r="E27" s="9">
        <v>44635.0</v>
      </c>
      <c r="F27" s="6">
        <v>1.0</v>
      </c>
      <c r="G27" s="6">
        <v>4.0</v>
      </c>
      <c r="H27" s="6">
        <v>2.0</v>
      </c>
      <c r="I27" s="6">
        <v>1.0</v>
      </c>
      <c r="J27" s="6">
        <v>5.0</v>
      </c>
      <c r="K27" s="10">
        <v>0.620031595230102</v>
      </c>
      <c r="L27" s="10">
        <v>0.174424424767494</v>
      </c>
      <c r="M27" s="10">
        <v>0.245129093527793</v>
      </c>
      <c r="N27" s="11">
        <v>0.245129</v>
      </c>
      <c r="O27" s="6">
        <f t="shared" si="1"/>
        <v>0.00000009352779298</v>
      </c>
      <c r="P27" s="6">
        <v>0.039215686274509</v>
      </c>
      <c r="Q27" s="6">
        <v>0.079207920792079</v>
      </c>
      <c r="R27" s="6">
        <v>0.9822</v>
      </c>
      <c r="S27" s="6">
        <v>0.9822</v>
      </c>
      <c r="T27" s="6">
        <v>21.9647058823529</v>
      </c>
    </row>
    <row r="28">
      <c r="A28" s="5" t="s">
        <v>63</v>
      </c>
      <c r="B28" s="6" t="s">
        <v>21</v>
      </c>
      <c r="C28" s="7" t="s">
        <v>76</v>
      </c>
      <c r="D28" s="8" t="s">
        <v>77</v>
      </c>
      <c r="E28" s="9">
        <v>44635.0</v>
      </c>
      <c r="F28" s="6">
        <v>1.0</v>
      </c>
      <c r="G28" s="6">
        <v>1.0</v>
      </c>
      <c r="H28" s="6">
        <v>2.0</v>
      </c>
      <c r="I28" s="6">
        <v>3.0</v>
      </c>
      <c r="J28" s="6">
        <v>1.0</v>
      </c>
      <c r="K28" s="10">
        <v>0.631342768669128</v>
      </c>
      <c r="L28" s="10">
        <v>0.168838754296302</v>
      </c>
      <c r="M28" s="10">
        <v>0.194574728608131</v>
      </c>
      <c r="N28" s="11">
        <v>0.19457452</v>
      </c>
      <c r="O28" s="6">
        <f t="shared" si="1"/>
        <v>0.000000208608131</v>
      </c>
      <c r="P28" s="6">
        <v>0.0234375</v>
      </c>
      <c r="Q28" s="6">
        <v>0.031372549019607</v>
      </c>
      <c r="R28" s="6">
        <v>0.9981</v>
      </c>
      <c r="S28" s="6">
        <v>0.9981</v>
      </c>
      <c r="T28" s="6">
        <v>20.1232954545455</v>
      </c>
    </row>
    <row r="29">
      <c r="A29" s="5" t="s">
        <v>63</v>
      </c>
      <c r="B29" s="6" t="s">
        <v>21</v>
      </c>
      <c r="C29" s="7" t="s">
        <v>78</v>
      </c>
      <c r="D29" s="8" t="s">
        <v>79</v>
      </c>
      <c r="E29" s="9">
        <v>44635.0</v>
      </c>
      <c r="F29" s="6">
        <v>1.0</v>
      </c>
      <c r="G29" s="6">
        <v>1.0</v>
      </c>
      <c r="H29" s="6">
        <v>2.0</v>
      </c>
      <c r="I29" s="6">
        <v>3.0</v>
      </c>
      <c r="J29" s="6">
        <v>1.0</v>
      </c>
      <c r="K29" s="10">
        <v>0.6132652759552</v>
      </c>
      <c r="L29" s="10">
        <v>0.142387777566909</v>
      </c>
      <c r="M29" s="10">
        <v>-0.127415403723716</v>
      </c>
      <c r="N29" s="11">
        <v>-0.12741551</v>
      </c>
      <c r="O29" s="6">
        <f t="shared" si="1"/>
        <v>0.000000106276284</v>
      </c>
      <c r="P29" s="6">
        <v>0.032727272727272</v>
      </c>
      <c r="Q29" s="6">
        <v>0.025830258302583</v>
      </c>
      <c r="R29" s="6">
        <v>0.9989</v>
      </c>
      <c r="S29" s="6">
        <v>0.9989</v>
      </c>
      <c r="T29" s="6">
        <v>20.9167464114833</v>
      </c>
    </row>
    <row r="30">
      <c r="A30" s="5" t="s">
        <v>63</v>
      </c>
      <c r="B30" s="6" t="s">
        <v>21</v>
      </c>
      <c r="C30" s="7" t="s">
        <v>80</v>
      </c>
      <c r="D30" s="8" t="s">
        <v>81</v>
      </c>
      <c r="E30" s="9">
        <v>44635.0</v>
      </c>
      <c r="F30" s="6">
        <v>1.0</v>
      </c>
      <c r="G30" s="6">
        <v>1.0</v>
      </c>
      <c r="H30" s="6">
        <v>2.0</v>
      </c>
      <c r="I30" s="6">
        <v>3.0</v>
      </c>
      <c r="J30" s="6">
        <v>1.0</v>
      </c>
      <c r="K30" s="10">
        <v>0.627960801124572</v>
      </c>
      <c r="L30" s="10">
        <v>0.203955560922622</v>
      </c>
      <c r="M30" s="10">
        <v>-0.175350412726402</v>
      </c>
      <c r="N30" s="11">
        <v>-0.17535046</v>
      </c>
      <c r="O30" s="6">
        <f t="shared" si="1"/>
        <v>0.00000004727359801</v>
      </c>
      <c r="P30" s="6">
        <v>0.033057851239669</v>
      </c>
      <c r="Q30" s="6">
        <v>0.100840336134453</v>
      </c>
      <c r="R30" s="6">
        <v>0.946</v>
      </c>
      <c r="S30" s="6">
        <v>0.946</v>
      </c>
      <c r="T30" s="6">
        <v>19.5973553719008</v>
      </c>
    </row>
    <row r="31">
      <c r="A31" s="5" t="s">
        <v>63</v>
      </c>
      <c r="B31" s="6" t="s">
        <v>21</v>
      </c>
      <c r="C31" s="7" t="s">
        <v>82</v>
      </c>
      <c r="D31" s="8" t="s">
        <v>83</v>
      </c>
      <c r="E31" s="9">
        <v>44635.0</v>
      </c>
      <c r="F31" s="6">
        <v>1.0</v>
      </c>
      <c r="G31" s="6">
        <v>1.0</v>
      </c>
      <c r="H31" s="6">
        <v>2.0</v>
      </c>
      <c r="I31" s="6">
        <v>3.0</v>
      </c>
      <c r="J31" s="6">
        <v>1.0</v>
      </c>
      <c r="K31" s="10">
        <v>0.62938779592514</v>
      </c>
      <c r="L31" s="10">
        <v>0.177763223648071</v>
      </c>
      <c r="M31" s="10">
        <v>-0.104186549782752</v>
      </c>
      <c r="N31" s="11">
        <v>-0.1041865</v>
      </c>
      <c r="O31" s="6">
        <f t="shared" si="1"/>
        <v>-0.000000049782752</v>
      </c>
      <c r="P31" s="6">
        <v>0.050251256281407</v>
      </c>
      <c r="Q31" s="6">
        <v>0.035714285714285</v>
      </c>
      <c r="R31" s="6">
        <v>0.9894</v>
      </c>
      <c r="S31" s="6">
        <v>0.9894</v>
      </c>
      <c r="T31" s="6">
        <v>19.2162814070352</v>
      </c>
    </row>
    <row r="32">
      <c r="A32" s="5" t="s">
        <v>84</v>
      </c>
      <c r="B32" s="6" t="s">
        <v>21</v>
      </c>
      <c r="C32" s="7" t="s">
        <v>85</v>
      </c>
      <c r="D32" s="8" t="s">
        <v>86</v>
      </c>
      <c r="E32" s="9">
        <v>44635.0</v>
      </c>
      <c r="F32" s="6">
        <v>1.0</v>
      </c>
      <c r="G32" s="6">
        <v>1.0</v>
      </c>
      <c r="H32" s="6">
        <v>2.0</v>
      </c>
      <c r="I32" s="6">
        <v>1.0</v>
      </c>
      <c r="J32" s="6">
        <v>1.0</v>
      </c>
      <c r="K32" s="10">
        <v>0.615237414836883</v>
      </c>
      <c r="L32" s="10">
        <v>0.139074355363845</v>
      </c>
      <c r="M32" s="10">
        <v>0.0622332915663719</v>
      </c>
      <c r="N32" s="11">
        <v>0.06223348</v>
      </c>
      <c r="O32" s="6">
        <f t="shared" si="1"/>
        <v>-0.0000001884336281</v>
      </c>
      <c r="P32" s="6">
        <v>0.021164021164021</v>
      </c>
      <c r="Q32" s="6">
        <v>0.021857923497267</v>
      </c>
      <c r="R32" s="6">
        <v>0.9957</v>
      </c>
      <c r="S32" s="6">
        <v>0.9957</v>
      </c>
      <c r="T32" s="6">
        <v>21.3334447229184</v>
      </c>
    </row>
    <row r="33">
      <c r="A33" s="5" t="s">
        <v>84</v>
      </c>
      <c r="B33" s="6" t="s">
        <v>21</v>
      </c>
      <c r="C33" s="7" t="s">
        <v>87</v>
      </c>
      <c r="D33" s="8" t="s">
        <v>88</v>
      </c>
      <c r="E33" s="9">
        <v>44635.0</v>
      </c>
      <c r="F33" s="6">
        <v>1.0</v>
      </c>
      <c r="G33" s="6">
        <v>1.0</v>
      </c>
      <c r="H33" s="6">
        <v>2.0</v>
      </c>
      <c r="I33" s="6">
        <v>1.0</v>
      </c>
      <c r="J33" s="6">
        <v>1.0</v>
      </c>
      <c r="K33" s="10">
        <v>0.63826185464859</v>
      </c>
      <c r="L33" s="10">
        <v>0.173541411757469</v>
      </c>
      <c r="M33" s="10">
        <v>-0.0442215017974376</v>
      </c>
      <c r="N33" s="11">
        <v>-0.04422105</v>
      </c>
      <c r="O33" s="6">
        <f t="shared" si="1"/>
        <v>-0.0000004517974376</v>
      </c>
      <c r="P33" s="6">
        <v>0.017543859649122</v>
      </c>
      <c r="Q33" s="6">
        <v>0.087719298245614</v>
      </c>
      <c r="R33" s="6">
        <v>0.8759</v>
      </c>
      <c r="S33" s="6">
        <v>0.8759</v>
      </c>
      <c r="T33" s="6">
        <v>17.4245614035088</v>
      </c>
    </row>
    <row r="34">
      <c r="A34" s="5" t="s">
        <v>84</v>
      </c>
      <c r="B34" s="6" t="s">
        <v>21</v>
      </c>
      <c r="C34" s="7" t="s">
        <v>89</v>
      </c>
      <c r="D34" s="8" t="s">
        <v>90</v>
      </c>
      <c r="E34" s="9">
        <v>44635.0</v>
      </c>
      <c r="F34" s="6">
        <v>1.0</v>
      </c>
      <c r="G34" s="6">
        <v>1.0</v>
      </c>
      <c r="H34" s="6">
        <v>2.0</v>
      </c>
      <c r="I34" s="6">
        <v>3.0</v>
      </c>
      <c r="J34" s="6">
        <v>1.0</v>
      </c>
      <c r="K34" s="10">
        <v>0.617403864860534</v>
      </c>
      <c r="L34" s="10">
        <v>0.143890842795372</v>
      </c>
      <c r="M34" s="10">
        <v>-0.0971445813775062</v>
      </c>
      <c r="N34" s="11">
        <v>-0.09714449</v>
      </c>
      <c r="O34" s="6">
        <f t="shared" si="1"/>
        <v>-0.0000000913775062</v>
      </c>
      <c r="P34" s="6">
        <v>0.014423076923076</v>
      </c>
      <c r="Q34" s="6">
        <v>0.034313725490196</v>
      </c>
      <c r="R34" s="6">
        <v>0.946</v>
      </c>
      <c r="S34" s="6">
        <v>0.946</v>
      </c>
      <c r="T34" s="6">
        <v>20.6984615384615</v>
      </c>
    </row>
    <row r="35">
      <c r="A35" s="5" t="s">
        <v>84</v>
      </c>
      <c r="B35" s="6" t="s">
        <v>21</v>
      </c>
      <c r="C35" s="7" t="s">
        <v>91</v>
      </c>
      <c r="D35" s="8" t="s">
        <v>92</v>
      </c>
      <c r="E35" s="9">
        <v>44635.0</v>
      </c>
      <c r="F35" s="6">
        <v>1.0</v>
      </c>
      <c r="G35" s="6">
        <v>1.0</v>
      </c>
      <c r="H35" s="6">
        <v>2.0</v>
      </c>
      <c r="I35" s="6">
        <v>3.0</v>
      </c>
      <c r="J35" s="6">
        <v>1.0</v>
      </c>
      <c r="K35" s="10">
        <v>0.613619327545166</v>
      </c>
      <c r="L35" s="10">
        <v>0.143200442194938</v>
      </c>
      <c r="M35" s="10">
        <v>0.0864848345518112</v>
      </c>
      <c r="N35" s="11">
        <v>0.08648517</v>
      </c>
      <c r="O35" s="6">
        <f t="shared" si="1"/>
        <v>-0.0000003354481888</v>
      </c>
      <c r="P35" s="6">
        <v>0.019455252918287</v>
      </c>
      <c r="Q35" s="6">
        <v>0.02755905511811</v>
      </c>
      <c r="R35" s="6">
        <v>0.9971</v>
      </c>
      <c r="S35" s="6">
        <v>0.9971</v>
      </c>
      <c r="T35" s="6">
        <v>20.0816342412451</v>
      </c>
    </row>
    <row r="36">
      <c r="A36" s="5" t="s">
        <v>84</v>
      </c>
      <c r="B36" s="6" t="s">
        <v>21</v>
      </c>
      <c r="C36" s="7" t="s">
        <v>93</v>
      </c>
      <c r="D36" s="8" t="s">
        <v>94</v>
      </c>
      <c r="E36" s="9">
        <v>44635.0</v>
      </c>
      <c r="F36" s="6">
        <v>1.0</v>
      </c>
      <c r="G36" s="6">
        <v>1.0</v>
      </c>
      <c r="H36" s="6">
        <v>2.0</v>
      </c>
      <c r="I36" s="6">
        <v>3.0</v>
      </c>
      <c r="J36" s="6">
        <v>1.0</v>
      </c>
      <c r="K36" s="10">
        <v>0.61439174413681</v>
      </c>
      <c r="L36" s="10">
        <v>0.159782424569129</v>
      </c>
      <c r="M36" s="10">
        <v>-0.14930436015129</v>
      </c>
      <c r="N36" s="11">
        <v>-0.14930433</v>
      </c>
      <c r="O36" s="6">
        <f t="shared" si="1"/>
        <v>-0.00000003015128999</v>
      </c>
      <c r="P36" s="6">
        <v>0.042622950819672</v>
      </c>
      <c r="Q36" s="6">
        <v>0.109271523178807</v>
      </c>
      <c r="R36" s="6">
        <v>0.9948</v>
      </c>
      <c r="S36" s="6">
        <v>0.9948</v>
      </c>
      <c r="T36" s="6">
        <v>20.2551674982181</v>
      </c>
    </row>
    <row r="37">
      <c r="A37" s="5" t="s">
        <v>84</v>
      </c>
      <c r="B37" s="6" t="s">
        <v>21</v>
      </c>
      <c r="C37" s="7" t="s">
        <v>95</v>
      </c>
      <c r="D37" s="8" t="s">
        <v>96</v>
      </c>
      <c r="E37" s="9">
        <v>44635.0</v>
      </c>
      <c r="F37" s="6">
        <v>1.0</v>
      </c>
      <c r="G37" s="6">
        <v>1.0</v>
      </c>
      <c r="H37" s="6">
        <v>2.0</v>
      </c>
      <c r="I37" s="6">
        <v>1.0</v>
      </c>
      <c r="J37" s="6">
        <v>1.0</v>
      </c>
      <c r="K37" s="10">
        <v>0.624236643314361</v>
      </c>
      <c r="L37" s="10">
        <v>0.161715805530548</v>
      </c>
      <c r="M37" s="10">
        <v>-0.260621041059494</v>
      </c>
      <c r="N37" s="11">
        <v>-0.26062074</v>
      </c>
      <c r="O37" s="6">
        <f t="shared" si="1"/>
        <v>-0.000000301059494</v>
      </c>
      <c r="P37" s="6">
        <v>0.014492753623188</v>
      </c>
      <c r="Q37" s="6">
        <v>0.072463768115942</v>
      </c>
      <c r="R37" s="6">
        <v>0.8126</v>
      </c>
      <c r="S37" s="6">
        <v>0.8126</v>
      </c>
      <c r="T37" s="6">
        <v>21.3739130434783</v>
      </c>
    </row>
    <row r="38">
      <c r="A38" s="5" t="s">
        <v>84</v>
      </c>
      <c r="B38" s="6" t="s">
        <v>21</v>
      </c>
      <c r="C38" s="7" t="s">
        <v>97</v>
      </c>
      <c r="D38" s="8" t="s">
        <v>98</v>
      </c>
      <c r="E38" s="9">
        <v>44635.0</v>
      </c>
      <c r="F38" s="6">
        <v>1.0</v>
      </c>
      <c r="G38" s="6">
        <v>1.0</v>
      </c>
      <c r="H38" s="6">
        <v>2.0</v>
      </c>
      <c r="I38" s="6">
        <v>3.0</v>
      </c>
      <c r="J38" s="6">
        <v>1.0</v>
      </c>
      <c r="K38" s="10">
        <v>0.610677540302276</v>
      </c>
      <c r="L38" s="10">
        <v>0.131191760301589</v>
      </c>
      <c r="M38" s="10">
        <v>0.284339934587478</v>
      </c>
      <c r="N38" s="11">
        <v>0.28433993</v>
      </c>
      <c r="O38" s="6">
        <f t="shared" si="1"/>
        <v>0.000000004587478009</v>
      </c>
      <c r="P38" s="6">
        <v>0.023598820058997</v>
      </c>
      <c r="Q38" s="6">
        <v>0.08433734939759</v>
      </c>
      <c r="R38" s="6">
        <v>0.9654</v>
      </c>
      <c r="S38" s="6">
        <v>0.9654</v>
      </c>
      <c r="T38" s="6">
        <v>21.4708734128511</v>
      </c>
    </row>
    <row r="39">
      <c r="A39" s="5" t="s">
        <v>84</v>
      </c>
      <c r="B39" s="6" t="s">
        <v>21</v>
      </c>
      <c r="C39" s="7" t="s">
        <v>99</v>
      </c>
      <c r="D39" s="8" t="s">
        <v>100</v>
      </c>
      <c r="E39" s="9">
        <v>44635.0</v>
      </c>
      <c r="F39" s="6">
        <v>1.0</v>
      </c>
      <c r="G39" s="6">
        <v>1.0</v>
      </c>
      <c r="H39" s="6">
        <v>2.0</v>
      </c>
      <c r="I39" s="6">
        <v>3.0</v>
      </c>
      <c r="J39" s="6">
        <v>1.0</v>
      </c>
      <c r="K39" s="10">
        <v>0.616548180580139</v>
      </c>
      <c r="L39" s="10">
        <v>0.142208829522132</v>
      </c>
      <c r="M39" s="10">
        <v>-0.0968486070632934</v>
      </c>
      <c r="N39" s="11">
        <v>-0.09684863</v>
      </c>
      <c r="O39" s="6">
        <f t="shared" si="1"/>
        <v>0.0000000229367066</v>
      </c>
      <c r="P39" s="6">
        <v>0.041800643086816</v>
      </c>
      <c r="Q39" s="6">
        <v>0.026490066225165</v>
      </c>
      <c r="R39" s="6">
        <v>0.9982</v>
      </c>
      <c r="S39" s="6">
        <v>0.9982</v>
      </c>
      <c r="T39" s="6">
        <v>22.2582146685041</v>
      </c>
    </row>
    <row r="40">
      <c r="A40" s="5" t="s">
        <v>84</v>
      </c>
      <c r="B40" s="6" t="s">
        <v>21</v>
      </c>
      <c r="C40" s="7" t="s">
        <v>101</v>
      </c>
      <c r="D40" s="8" t="s">
        <v>102</v>
      </c>
      <c r="E40" s="9">
        <v>44635.0</v>
      </c>
      <c r="F40" s="6">
        <v>1.0</v>
      </c>
      <c r="G40" s="6">
        <v>1.0</v>
      </c>
      <c r="H40" s="6">
        <v>2.0</v>
      </c>
      <c r="I40" s="6">
        <v>3.0</v>
      </c>
      <c r="J40" s="6">
        <v>1.0</v>
      </c>
      <c r="K40" s="10">
        <v>0.616022586822509</v>
      </c>
      <c r="L40" s="10">
        <v>0.141625419259071</v>
      </c>
      <c r="M40" s="10">
        <v>0.0477255322039127</v>
      </c>
      <c r="N40" s="11">
        <v>0.0477258</v>
      </c>
      <c r="O40" s="6">
        <f t="shared" si="1"/>
        <v>-0.0000002677960873</v>
      </c>
      <c r="P40" s="6">
        <v>0.04885993485342</v>
      </c>
      <c r="Q40" s="6">
        <v>0.0265780730897</v>
      </c>
      <c r="R40" s="6">
        <v>0.9588</v>
      </c>
      <c r="S40" s="6">
        <v>-0.9588</v>
      </c>
      <c r="T40" s="6">
        <v>21.60787681374</v>
      </c>
    </row>
    <row r="41">
      <c r="A41" s="5" t="s">
        <v>84</v>
      </c>
      <c r="B41" s="6" t="s">
        <v>21</v>
      </c>
      <c r="C41" s="7" t="s">
        <v>103</v>
      </c>
      <c r="D41" s="8" t="s">
        <v>104</v>
      </c>
      <c r="E41" s="9">
        <v>44635.0</v>
      </c>
      <c r="F41" s="6">
        <v>1.0</v>
      </c>
      <c r="G41" s="6">
        <v>1.0</v>
      </c>
      <c r="H41" s="6">
        <v>2.0</v>
      </c>
      <c r="I41" s="6">
        <v>3.0</v>
      </c>
      <c r="J41" s="6">
        <v>1.0</v>
      </c>
      <c r="K41" s="10">
        <v>0.607121884822845</v>
      </c>
      <c r="L41" s="10">
        <v>0.156213134527206</v>
      </c>
      <c r="M41" s="10">
        <v>0.0475580170750618</v>
      </c>
      <c r="N41" s="11">
        <v>0.047557935</v>
      </c>
      <c r="O41" s="6">
        <f t="shared" si="1"/>
        <v>0.0000000820750618</v>
      </c>
      <c r="P41" s="6">
        <v>0.014285714285714</v>
      </c>
      <c r="Q41" s="6">
        <v>0.105571847507331</v>
      </c>
      <c r="R41" s="6">
        <v>0.9955</v>
      </c>
      <c r="S41" s="6">
        <v>0.9955</v>
      </c>
      <c r="T41" s="6">
        <v>19.2131868131868</v>
      </c>
    </row>
    <row r="42">
      <c r="A42" s="5" t="s">
        <v>20</v>
      </c>
      <c r="B42" s="6" t="s">
        <v>105</v>
      </c>
      <c r="C42" s="7" t="s">
        <v>22</v>
      </c>
      <c r="D42" s="7" t="s">
        <v>106</v>
      </c>
      <c r="E42" s="9">
        <v>44999.0</v>
      </c>
      <c r="F42" s="6">
        <v>4.0</v>
      </c>
      <c r="G42" s="6">
        <v>4.0</v>
      </c>
      <c r="H42" s="6">
        <v>5.0</v>
      </c>
      <c r="I42" s="6">
        <v>2.0</v>
      </c>
      <c r="J42" s="6">
        <v>3.0</v>
      </c>
      <c r="K42" s="14">
        <v>0.626280009746551</v>
      </c>
      <c r="L42" s="14">
        <v>0.169209048151969</v>
      </c>
      <c r="M42" s="16">
        <v>0.0945139452815055</v>
      </c>
      <c r="N42" s="11">
        <v>0.06551135</v>
      </c>
      <c r="O42" s="6">
        <f t="shared" si="1"/>
        <v>0.02900259528</v>
      </c>
      <c r="P42" s="6">
        <v>0.03703703704</v>
      </c>
      <c r="Q42" s="6">
        <v>0.125</v>
      </c>
      <c r="R42" s="6">
        <v>0.8574</v>
      </c>
      <c r="S42" s="6">
        <v>0.8574</v>
      </c>
      <c r="T42" s="6">
        <v>10.10740741</v>
      </c>
    </row>
    <row r="43">
      <c r="A43" s="5" t="s">
        <v>20</v>
      </c>
      <c r="B43" s="6" t="s">
        <v>105</v>
      </c>
      <c r="C43" s="7" t="s">
        <v>24</v>
      </c>
      <c r="D43" s="7" t="s">
        <v>107</v>
      </c>
      <c r="E43" s="9">
        <v>44999.0</v>
      </c>
      <c r="F43" s="6">
        <v>5.0</v>
      </c>
      <c r="G43" s="6">
        <v>1.0</v>
      </c>
      <c r="H43" s="6">
        <v>1.0</v>
      </c>
      <c r="I43" s="6">
        <v>4.0</v>
      </c>
      <c r="J43" s="6">
        <v>1.0</v>
      </c>
      <c r="K43" s="14">
        <v>0.643461823463439</v>
      </c>
      <c r="L43" s="14">
        <v>0.209639281034469</v>
      </c>
      <c r="M43" s="16">
        <v>0.0328391417860984</v>
      </c>
      <c r="N43" s="11">
        <v>0.08589434</v>
      </c>
      <c r="O43" s="6">
        <f t="shared" si="1"/>
        <v>-0.05305519821</v>
      </c>
      <c r="P43" s="6">
        <v>0.05454545455</v>
      </c>
      <c r="Q43" s="6">
        <v>0.05660377358</v>
      </c>
      <c r="R43" s="6">
        <v>0.9766</v>
      </c>
      <c r="S43" s="6">
        <v>0.9766</v>
      </c>
      <c r="T43" s="6">
        <v>15.33333333</v>
      </c>
    </row>
    <row r="44">
      <c r="A44" s="5" t="s">
        <v>20</v>
      </c>
      <c r="B44" s="6" t="s">
        <v>105</v>
      </c>
      <c r="C44" s="7" t="s">
        <v>26</v>
      </c>
      <c r="D44" s="7" t="s">
        <v>108</v>
      </c>
      <c r="E44" s="9">
        <v>44999.0</v>
      </c>
      <c r="F44" s="6">
        <v>3.0</v>
      </c>
      <c r="G44" s="6">
        <v>4.0</v>
      </c>
      <c r="H44" s="6">
        <v>5.0</v>
      </c>
      <c r="I44" s="6">
        <v>5.0</v>
      </c>
      <c r="J44" s="6">
        <v>5.0</v>
      </c>
      <c r="K44" s="14">
        <v>0.625999927520752</v>
      </c>
      <c r="L44" s="14">
        <v>0.241792887449264</v>
      </c>
      <c r="M44" s="16">
        <v>0.0224019698798656</v>
      </c>
      <c r="N44" s="11">
        <v>0.067964904</v>
      </c>
      <c r="O44" s="6">
        <f t="shared" si="1"/>
        <v>-0.04556293412</v>
      </c>
      <c r="P44" s="6">
        <v>0.01886792453</v>
      </c>
      <c r="Q44" s="6">
        <v>0.12</v>
      </c>
      <c r="R44" s="6">
        <v>0.8934</v>
      </c>
      <c r="S44" s="6">
        <v>0.8934</v>
      </c>
      <c r="T44" s="6">
        <v>18.38742138</v>
      </c>
    </row>
    <row r="45">
      <c r="A45" s="5" t="s">
        <v>20</v>
      </c>
      <c r="B45" s="6" t="s">
        <v>105</v>
      </c>
      <c r="C45" s="7" t="s">
        <v>28</v>
      </c>
      <c r="D45" s="7" t="s">
        <v>109</v>
      </c>
      <c r="E45" s="9">
        <v>44999.0</v>
      </c>
      <c r="F45" s="6">
        <v>5.0</v>
      </c>
      <c r="G45" s="6">
        <v>2.0</v>
      </c>
      <c r="H45" s="6">
        <v>5.0</v>
      </c>
      <c r="I45" s="6">
        <v>3.0</v>
      </c>
      <c r="J45" s="6">
        <v>1.0</v>
      </c>
      <c r="K45" s="14">
        <v>0.61517196893692</v>
      </c>
      <c r="L45" s="14">
        <v>0.174175128340721</v>
      </c>
      <c r="M45" s="16">
        <v>0.00673405081033706</v>
      </c>
      <c r="N45" s="11">
        <v>0.005620603</v>
      </c>
      <c r="O45" s="6">
        <f t="shared" si="1"/>
        <v>0.00111344781</v>
      </c>
      <c r="P45" s="6">
        <v>0.02222222222</v>
      </c>
      <c r="Q45" s="6">
        <v>0.07317073171</v>
      </c>
      <c r="R45" s="6">
        <v>0.8718</v>
      </c>
      <c r="S45" s="6">
        <v>0.8718</v>
      </c>
      <c r="T45" s="6">
        <v>14.27777778</v>
      </c>
    </row>
    <row r="46">
      <c r="A46" s="5" t="s">
        <v>20</v>
      </c>
      <c r="B46" s="6" t="s">
        <v>105</v>
      </c>
      <c r="C46" s="7" t="s">
        <v>30</v>
      </c>
      <c r="D46" s="7" t="s">
        <v>110</v>
      </c>
      <c r="E46" s="9">
        <v>44999.0</v>
      </c>
      <c r="F46" s="6">
        <v>5.0</v>
      </c>
      <c r="G46" s="6">
        <v>2.0</v>
      </c>
      <c r="H46" s="6">
        <v>1.0</v>
      </c>
      <c r="I46" s="6">
        <v>1.0</v>
      </c>
      <c r="J46" s="6">
        <v>3.0</v>
      </c>
      <c r="K46" s="14">
        <v>0.650757789611816</v>
      </c>
      <c r="L46" s="14">
        <v>0.250110834836959</v>
      </c>
      <c r="M46" s="16">
        <v>0.0104746874421834</v>
      </c>
      <c r="N46" s="11">
        <v>-0.08811569</v>
      </c>
      <c r="O46" s="6">
        <f t="shared" si="1"/>
        <v>0.09859037744</v>
      </c>
      <c r="P46" s="6">
        <v>0.0</v>
      </c>
      <c r="Q46" s="6">
        <v>0.02325581395</v>
      </c>
      <c r="R46" s="6">
        <v>0.9583</v>
      </c>
      <c r="S46" s="6">
        <v>0.9583</v>
      </c>
      <c r="T46" s="6">
        <v>14.8</v>
      </c>
    </row>
    <row r="47">
      <c r="A47" s="5" t="s">
        <v>20</v>
      </c>
      <c r="B47" s="6" t="s">
        <v>105</v>
      </c>
      <c r="C47" s="7" t="s">
        <v>32</v>
      </c>
      <c r="D47" s="7" t="s">
        <v>111</v>
      </c>
      <c r="E47" s="9">
        <v>44999.0</v>
      </c>
      <c r="F47" s="6">
        <v>2.0</v>
      </c>
      <c r="G47" s="6">
        <v>1.0</v>
      </c>
      <c r="H47" s="6">
        <v>1.0</v>
      </c>
      <c r="I47" s="6">
        <v>4.0</v>
      </c>
      <c r="J47" s="6">
        <v>2.0</v>
      </c>
      <c r="K47" s="14">
        <v>0.61173129081726</v>
      </c>
      <c r="L47" s="14">
        <v>0.178488090634346</v>
      </c>
      <c r="M47" s="16">
        <v>-0.0734235346317291</v>
      </c>
      <c r="N47" s="11">
        <v>0.005320553</v>
      </c>
      <c r="O47" s="6">
        <f t="shared" si="1"/>
        <v>-0.07874408763</v>
      </c>
      <c r="P47" s="6">
        <v>0.04109589041</v>
      </c>
      <c r="Q47" s="6">
        <v>0.07246376812</v>
      </c>
      <c r="R47" s="6">
        <v>0.6748</v>
      </c>
      <c r="S47" s="6">
        <v>0.6748</v>
      </c>
      <c r="T47" s="6">
        <v>18.25890411</v>
      </c>
    </row>
    <row r="48">
      <c r="A48" s="5" t="s">
        <v>20</v>
      </c>
      <c r="B48" s="6" t="s">
        <v>105</v>
      </c>
      <c r="C48" s="7" t="s">
        <v>34</v>
      </c>
      <c r="D48" s="7" t="s">
        <v>112</v>
      </c>
      <c r="E48" s="9">
        <v>44999.0</v>
      </c>
      <c r="F48" s="6">
        <v>3.0</v>
      </c>
      <c r="G48" s="6">
        <v>2.0</v>
      </c>
      <c r="H48" s="6">
        <v>1.0</v>
      </c>
      <c r="I48" s="6">
        <v>5.0</v>
      </c>
      <c r="J48" s="6">
        <v>4.0</v>
      </c>
      <c r="K48" s="14">
        <v>0.647050201892852</v>
      </c>
      <c r="L48" s="14">
        <v>0.247984826564788</v>
      </c>
      <c r="M48" s="16">
        <v>0.118733465671539</v>
      </c>
      <c r="N48" s="11">
        <v>0.0027727452</v>
      </c>
      <c r="O48" s="6">
        <f t="shared" si="1"/>
        <v>0.1159607205</v>
      </c>
      <c r="P48" s="6">
        <v>0.0</v>
      </c>
      <c r="Q48" s="6">
        <v>0.2</v>
      </c>
      <c r="R48" s="6">
        <v>0.9493</v>
      </c>
      <c r="S48" s="6">
        <v>0.9493</v>
      </c>
      <c r="T48" s="6">
        <v>16.4</v>
      </c>
    </row>
    <row r="49">
      <c r="A49" s="5" t="s">
        <v>20</v>
      </c>
      <c r="B49" s="6" t="s">
        <v>105</v>
      </c>
      <c r="C49" s="7" t="s">
        <v>36</v>
      </c>
      <c r="D49" s="7" t="s">
        <v>113</v>
      </c>
      <c r="E49" s="9">
        <v>44999.0</v>
      </c>
      <c r="F49" s="6">
        <v>3.0</v>
      </c>
      <c r="G49" s="6">
        <v>5.0</v>
      </c>
      <c r="H49" s="6">
        <v>1.0</v>
      </c>
      <c r="I49" s="6">
        <v>4.0</v>
      </c>
      <c r="J49" s="6">
        <v>3.0</v>
      </c>
      <c r="K49" s="14">
        <v>0.625319063663482</v>
      </c>
      <c r="L49" s="14">
        <v>0.219038441777229</v>
      </c>
      <c r="M49" s="16">
        <v>-0.0757810696959495</v>
      </c>
      <c r="N49" s="11">
        <v>-0.06088157</v>
      </c>
      <c r="O49" s="6">
        <f t="shared" si="1"/>
        <v>-0.0148994997</v>
      </c>
      <c r="P49" s="6">
        <v>0.01960784314</v>
      </c>
      <c r="Q49" s="6">
        <v>0.06382978723</v>
      </c>
      <c r="R49" s="6">
        <v>0.8625</v>
      </c>
      <c r="S49" s="6">
        <v>0.8625</v>
      </c>
      <c r="T49" s="6">
        <v>18.56470588</v>
      </c>
    </row>
    <row r="50">
      <c r="A50" s="5" t="s">
        <v>20</v>
      </c>
      <c r="B50" s="6" t="s">
        <v>105</v>
      </c>
      <c r="C50" s="7" t="s">
        <v>38</v>
      </c>
      <c r="D50" s="7" t="s">
        <v>114</v>
      </c>
      <c r="E50" s="9">
        <v>44999.0</v>
      </c>
      <c r="F50" s="6">
        <v>3.0</v>
      </c>
      <c r="G50" s="6">
        <v>2.0</v>
      </c>
      <c r="H50" s="6">
        <v>4.0</v>
      </c>
      <c r="I50" s="6">
        <v>5.0</v>
      </c>
      <c r="J50" s="6">
        <v>1.0</v>
      </c>
      <c r="K50" s="14">
        <v>0.617761671543121</v>
      </c>
      <c r="L50" s="14">
        <v>0.203554689884185</v>
      </c>
      <c r="M50" s="16">
        <v>-0.0381230488419532</v>
      </c>
      <c r="N50" s="11">
        <v>0.008039767</v>
      </c>
      <c r="O50" s="6">
        <f t="shared" si="1"/>
        <v>-0.04616281584</v>
      </c>
      <c r="P50" s="6">
        <v>0.01470588235</v>
      </c>
      <c r="Q50" s="6">
        <v>0.09375</v>
      </c>
      <c r="R50" s="6">
        <v>0.8721</v>
      </c>
      <c r="S50" s="6">
        <v>0.8721</v>
      </c>
      <c r="T50" s="6">
        <v>15.5372549</v>
      </c>
    </row>
    <row r="51">
      <c r="A51" s="5" t="s">
        <v>20</v>
      </c>
      <c r="B51" s="6" t="s">
        <v>105</v>
      </c>
      <c r="C51" s="7" t="s">
        <v>40</v>
      </c>
      <c r="D51" s="7" t="s">
        <v>115</v>
      </c>
      <c r="E51" s="9">
        <v>44999.0</v>
      </c>
      <c r="F51" s="6">
        <v>5.0</v>
      </c>
      <c r="G51" s="6">
        <v>4.0</v>
      </c>
      <c r="H51" s="6">
        <v>3.0</v>
      </c>
      <c r="I51" s="6">
        <v>5.0</v>
      </c>
      <c r="J51" s="6">
        <v>4.0</v>
      </c>
      <c r="K51" s="14">
        <v>0.63271427154541</v>
      </c>
      <c r="L51" s="14">
        <v>0.225650459527969</v>
      </c>
      <c r="M51" s="16">
        <v>0.0484880842268466</v>
      </c>
      <c r="N51" s="11">
        <v>0.025636189</v>
      </c>
      <c r="O51" s="6">
        <f t="shared" si="1"/>
        <v>0.02285189523</v>
      </c>
      <c r="P51" s="6">
        <v>0.07142857143</v>
      </c>
      <c r="Q51" s="6">
        <v>0.1111111111</v>
      </c>
      <c r="R51" s="6">
        <v>0.1779</v>
      </c>
      <c r="S51" s="6">
        <v>0.1779</v>
      </c>
      <c r="T51" s="6">
        <v>13.18095238</v>
      </c>
    </row>
    <row r="52">
      <c r="A52" s="5" t="s">
        <v>42</v>
      </c>
      <c r="B52" s="6" t="s">
        <v>105</v>
      </c>
      <c r="C52" s="7" t="s">
        <v>43</v>
      </c>
      <c r="D52" s="7" t="s">
        <v>116</v>
      </c>
      <c r="E52" s="9">
        <v>44999.0</v>
      </c>
      <c r="F52" s="6">
        <v>4.0</v>
      </c>
      <c r="G52" s="6">
        <v>4.0</v>
      </c>
      <c r="H52" s="6">
        <v>3.0</v>
      </c>
      <c r="I52" s="6">
        <v>3.0</v>
      </c>
      <c r="J52" s="6">
        <v>1.0</v>
      </c>
      <c r="K52" s="14">
        <v>0.639470100402832</v>
      </c>
      <c r="L52" s="14">
        <v>0.216322898864746</v>
      </c>
      <c r="M52" s="16">
        <v>-0.0693385601043701</v>
      </c>
      <c r="N52" s="11">
        <v>0.009117333</v>
      </c>
      <c r="O52" s="6">
        <f t="shared" si="1"/>
        <v>-0.0784558931</v>
      </c>
      <c r="P52" s="6">
        <v>0.05633802817</v>
      </c>
      <c r="Q52" s="6">
        <v>0.046875</v>
      </c>
      <c r="R52" s="6">
        <v>0.9539</v>
      </c>
      <c r="S52" s="6">
        <v>0.9539</v>
      </c>
      <c r="T52" s="6">
        <v>16.11408451</v>
      </c>
    </row>
    <row r="53">
      <c r="A53" s="5" t="s">
        <v>42</v>
      </c>
      <c r="B53" s="6" t="s">
        <v>105</v>
      </c>
      <c r="C53" s="7" t="s">
        <v>45</v>
      </c>
      <c r="D53" s="7" t="s">
        <v>117</v>
      </c>
      <c r="E53" s="9">
        <v>44999.0</v>
      </c>
      <c r="F53" s="6">
        <v>3.0</v>
      </c>
      <c r="G53" s="6">
        <v>4.0</v>
      </c>
      <c r="H53" s="6">
        <v>1.0</v>
      </c>
      <c r="I53" s="6">
        <v>5.0</v>
      </c>
      <c r="J53" s="6">
        <v>1.0</v>
      </c>
      <c r="K53" s="14">
        <v>0.62841910123825</v>
      </c>
      <c r="L53" s="14">
        <v>0.197799861431121</v>
      </c>
      <c r="M53" s="16">
        <v>-0.0547605380415916</v>
      </c>
      <c r="N53" s="11">
        <v>-0.05297968</v>
      </c>
      <c r="O53" s="6">
        <f t="shared" si="1"/>
        <v>-0.001780858042</v>
      </c>
      <c r="P53" s="6">
        <v>0.05479452055</v>
      </c>
      <c r="Q53" s="6">
        <v>0.05797101449</v>
      </c>
      <c r="R53" s="6">
        <v>0.9409</v>
      </c>
      <c r="S53" s="6">
        <v>0.9409</v>
      </c>
      <c r="T53" s="6">
        <v>13.63378995</v>
      </c>
    </row>
    <row r="54">
      <c r="A54" s="5" t="s">
        <v>42</v>
      </c>
      <c r="B54" s="6" t="s">
        <v>105</v>
      </c>
      <c r="C54" s="7" t="s">
        <v>47</v>
      </c>
      <c r="D54" s="7" t="s">
        <v>118</v>
      </c>
      <c r="E54" s="9">
        <v>44999.0</v>
      </c>
      <c r="F54" s="6">
        <v>5.0</v>
      </c>
      <c r="G54" s="6">
        <v>4.0</v>
      </c>
      <c r="H54" s="6">
        <v>3.0</v>
      </c>
      <c r="I54" s="6">
        <v>4.0</v>
      </c>
      <c r="J54" s="6">
        <v>2.0</v>
      </c>
      <c r="K54" s="14">
        <v>0.630386710166931</v>
      </c>
      <c r="L54" s="14">
        <v>0.183670237660408</v>
      </c>
      <c r="M54" s="16">
        <v>-0.0332665890455246</v>
      </c>
      <c r="N54" s="11">
        <v>0.02933529</v>
      </c>
      <c r="O54" s="6">
        <f t="shared" si="1"/>
        <v>-0.06260187905</v>
      </c>
      <c r="P54" s="6">
        <v>0.03947368421</v>
      </c>
      <c r="Q54" s="6">
        <v>0.07142857143</v>
      </c>
      <c r="R54" s="6">
        <v>0.8313</v>
      </c>
      <c r="S54" s="6">
        <v>0.8313</v>
      </c>
      <c r="T54" s="6">
        <v>15.49473684</v>
      </c>
    </row>
    <row r="55">
      <c r="A55" s="5" t="s">
        <v>42</v>
      </c>
      <c r="B55" s="6" t="s">
        <v>105</v>
      </c>
      <c r="C55" s="7" t="s">
        <v>49</v>
      </c>
      <c r="D55" s="7" t="s">
        <v>119</v>
      </c>
      <c r="E55" s="9">
        <v>44999.0</v>
      </c>
      <c r="F55" s="6">
        <v>2.0</v>
      </c>
      <c r="G55" s="6">
        <v>5.0</v>
      </c>
      <c r="H55" s="6">
        <v>3.0</v>
      </c>
      <c r="I55" s="6">
        <v>5.0</v>
      </c>
      <c r="J55" s="6">
        <v>4.0</v>
      </c>
      <c r="K55" s="14">
        <v>0.643882930278778</v>
      </c>
      <c r="L55" s="14">
        <v>0.209327429533004</v>
      </c>
      <c r="M55" s="16">
        <v>0.0452716052532196</v>
      </c>
      <c r="N55" s="11">
        <v>0.14258592</v>
      </c>
      <c r="O55" s="6">
        <f t="shared" si="1"/>
        <v>-0.09731431475</v>
      </c>
      <c r="P55" s="6">
        <v>0.0487804878</v>
      </c>
      <c r="Q55" s="6">
        <v>0.1153846154</v>
      </c>
      <c r="R55" s="6">
        <v>0.9209</v>
      </c>
      <c r="S55" s="6">
        <v>0.9209</v>
      </c>
      <c r="T55" s="6">
        <v>15.3404878</v>
      </c>
    </row>
    <row r="56">
      <c r="A56" s="5" t="s">
        <v>42</v>
      </c>
      <c r="B56" s="6" t="s">
        <v>105</v>
      </c>
      <c r="C56" s="7" t="s">
        <v>51</v>
      </c>
      <c r="D56" s="7" t="s">
        <v>120</v>
      </c>
      <c r="E56" s="9">
        <v>44999.0</v>
      </c>
      <c r="F56" s="6">
        <v>4.0</v>
      </c>
      <c r="G56" s="6">
        <v>3.0</v>
      </c>
      <c r="H56" s="6">
        <v>1.0</v>
      </c>
      <c r="I56" s="6">
        <v>3.0</v>
      </c>
      <c r="J56" s="6">
        <v>4.0</v>
      </c>
      <c r="K56" s="14">
        <v>0.637239336967468</v>
      </c>
      <c r="L56" s="14">
        <v>0.214489981532096</v>
      </c>
      <c r="M56" s="16">
        <v>0.216923087835311</v>
      </c>
      <c r="N56" s="11">
        <v>0.14524625</v>
      </c>
      <c r="O56" s="6">
        <f t="shared" si="1"/>
        <v>0.07167683784</v>
      </c>
      <c r="P56" s="6">
        <v>0.04901960784</v>
      </c>
      <c r="Q56" s="6">
        <v>0.08333333333</v>
      </c>
      <c r="R56" s="6">
        <v>0.8165</v>
      </c>
      <c r="S56" s="6">
        <v>0.8165</v>
      </c>
      <c r="T56" s="6">
        <v>14.25098039</v>
      </c>
    </row>
    <row r="57">
      <c r="A57" s="5" t="s">
        <v>42</v>
      </c>
      <c r="B57" s="6" t="s">
        <v>105</v>
      </c>
      <c r="C57" s="7" t="s">
        <v>53</v>
      </c>
      <c r="D57" s="7" t="s">
        <v>121</v>
      </c>
      <c r="E57" s="9">
        <v>44999.0</v>
      </c>
      <c r="F57" s="6">
        <v>2.0</v>
      </c>
      <c r="G57" s="6">
        <v>1.0</v>
      </c>
      <c r="H57" s="6">
        <v>3.0</v>
      </c>
      <c r="I57" s="6">
        <v>3.0</v>
      </c>
      <c r="J57" s="6">
        <v>2.0</v>
      </c>
      <c r="K57" s="14">
        <v>0.66459047794342</v>
      </c>
      <c r="L57" s="14">
        <v>0.244439736008644</v>
      </c>
      <c r="M57" s="16">
        <v>0.0310533717274665</v>
      </c>
      <c r="N57" s="11">
        <v>0.13087893</v>
      </c>
      <c r="O57" s="6">
        <f t="shared" si="1"/>
        <v>-0.09982555827</v>
      </c>
      <c r="P57" s="6">
        <v>0.03571428571</v>
      </c>
      <c r="Q57" s="6">
        <v>0.1219512195</v>
      </c>
      <c r="R57" s="6">
        <v>0.8883</v>
      </c>
      <c r="S57" s="6">
        <v>0.8883</v>
      </c>
      <c r="T57" s="6">
        <v>18.4</v>
      </c>
    </row>
    <row r="58">
      <c r="A58" s="5" t="s">
        <v>42</v>
      </c>
      <c r="B58" s="6" t="s">
        <v>105</v>
      </c>
      <c r="C58" s="7" t="s">
        <v>55</v>
      </c>
      <c r="D58" s="7" t="s">
        <v>122</v>
      </c>
      <c r="E58" s="9">
        <v>44999.0</v>
      </c>
      <c r="F58" s="6">
        <v>4.0</v>
      </c>
      <c r="G58" s="6">
        <v>4.0</v>
      </c>
      <c r="H58" s="6">
        <v>5.0</v>
      </c>
      <c r="I58" s="6">
        <v>4.0</v>
      </c>
      <c r="J58" s="6">
        <v>3.0</v>
      </c>
      <c r="K58" s="14">
        <v>0.650430858135223</v>
      </c>
      <c r="L58" s="14">
        <v>0.17745266854763</v>
      </c>
      <c r="M58" s="16">
        <v>-0.132213145494461</v>
      </c>
      <c r="N58" s="11">
        <v>-0.10079642</v>
      </c>
      <c r="O58" s="6">
        <f t="shared" si="1"/>
        <v>-0.03141672549</v>
      </c>
      <c r="P58" s="6">
        <v>0.0406504065</v>
      </c>
      <c r="Q58" s="6">
        <v>0.09482758621</v>
      </c>
      <c r="R58" s="6">
        <v>0.8675</v>
      </c>
      <c r="S58" s="6">
        <v>0.8675</v>
      </c>
      <c r="T58" s="6">
        <v>18.085482</v>
      </c>
    </row>
    <row r="59">
      <c r="A59" s="5" t="s">
        <v>42</v>
      </c>
      <c r="B59" s="6" t="s">
        <v>105</v>
      </c>
      <c r="C59" s="7" t="s">
        <v>57</v>
      </c>
      <c r="D59" s="7" t="s">
        <v>123</v>
      </c>
      <c r="E59" s="9">
        <v>44999.0</v>
      </c>
      <c r="F59" s="6">
        <v>5.0</v>
      </c>
      <c r="G59" s="6">
        <v>2.0</v>
      </c>
      <c r="H59" s="6">
        <v>2.0</v>
      </c>
      <c r="I59" s="6">
        <v>2.0</v>
      </c>
      <c r="J59" s="6">
        <v>1.0</v>
      </c>
      <c r="K59" s="14">
        <v>0.651728093624115</v>
      </c>
      <c r="L59" s="14">
        <v>0.207601577043533</v>
      </c>
      <c r="M59" s="16">
        <v>-0.0111742746084928</v>
      </c>
      <c r="N59" s="11">
        <v>-0.011243835</v>
      </c>
      <c r="O59" s="6">
        <f t="shared" si="1"/>
        <v>0.00006956039151</v>
      </c>
      <c r="P59" s="6">
        <v>0.06172839506</v>
      </c>
      <c r="Q59" s="6">
        <v>0.1333333333</v>
      </c>
      <c r="R59" s="6">
        <v>0.9325</v>
      </c>
      <c r="S59" s="6">
        <v>0.9325</v>
      </c>
      <c r="T59" s="6">
        <v>15.77037037</v>
      </c>
    </row>
    <row r="60">
      <c r="A60" s="5" t="s">
        <v>42</v>
      </c>
      <c r="B60" s="6" t="s">
        <v>105</v>
      </c>
      <c r="C60" s="7" t="s">
        <v>59</v>
      </c>
      <c r="D60" s="7" t="s">
        <v>124</v>
      </c>
      <c r="E60" s="9">
        <v>44999.0</v>
      </c>
      <c r="F60" s="6">
        <v>1.0</v>
      </c>
      <c r="G60" s="6">
        <v>4.0</v>
      </c>
      <c r="H60" s="6">
        <v>2.0</v>
      </c>
      <c r="I60" s="6">
        <v>2.0</v>
      </c>
      <c r="J60" s="6">
        <v>5.0</v>
      </c>
      <c r="K60" s="14">
        <v>0.656861364841461</v>
      </c>
      <c r="L60" s="14">
        <v>0.225673466920852</v>
      </c>
      <c r="M60" s="16">
        <v>0.0510646551847457</v>
      </c>
      <c r="N60" s="11">
        <v>0.1036028</v>
      </c>
      <c r="O60" s="6">
        <f t="shared" si="1"/>
        <v>-0.05253814482</v>
      </c>
      <c r="P60" s="6">
        <v>0.06976744186</v>
      </c>
      <c r="Q60" s="6">
        <v>0.08235294118</v>
      </c>
      <c r="R60" s="6">
        <v>0.8875</v>
      </c>
      <c r="S60" s="6">
        <v>0.8875</v>
      </c>
      <c r="T60" s="6">
        <v>16.64744186</v>
      </c>
    </row>
    <row r="61">
      <c r="A61" s="5" t="s">
        <v>42</v>
      </c>
      <c r="B61" s="6" t="s">
        <v>105</v>
      </c>
      <c r="C61" s="7" t="s">
        <v>61</v>
      </c>
      <c r="D61" s="7" t="s">
        <v>125</v>
      </c>
      <c r="E61" s="9">
        <v>44999.0</v>
      </c>
      <c r="F61" s="6">
        <v>4.0</v>
      </c>
      <c r="G61" s="6">
        <v>2.0</v>
      </c>
      <c r="H61" s="6">
        <v>1.0</v>
      </c>
      <c r="I61" s="6">
        <v>5.0</v>
      </c>
      <c r="J61" s="6">
        <v>1.0</v>
      </c>
      <c r="K61" s="14">
        <v>0.601765632629394</v>
      </c>
      <c r="L61" s="14">
        <v>0.154148057103157</v>
      </c>
      <c r="M61" s="16">
        <v>0.192244887351989</v>
      </c>
      <c r="N61" s="11">
        <v>0.1036028</v>
      </c>
      <c r="O61" s="6">
        <f t="shared" si="1"/>
        <v>0.08864208735</v>
      </c>
      <c r="P61" s="6">
        <v>0.04285714286</v>
      </c>
      <c r="Q61" s="6">
        <v>0.1176470588</v>
      </c>
      <c r="R61" s="6">
        <v>0.9862</v>
      </c>
      <c r="S61" s="6">
        <v>0.9862</v>
      </c>
      <c r="T61" s="6">
        <v>16.14285714</v>
      </c>
    </row>
    <row r="62">
      <c r="A62" s="5" t="s">
        <v>63</v>
      </c>
      <c r="B62" s="6" t="s">
        <v>105</v>
      </c>
      <c r="C62" s="7" t="s">
        <v>64</v>
      </c>
      <c r="D62" s="7" t="s">
        <v>126</v>
      </c>
      <c r="E62" s="9">
        <v>44999.0</v>
      </c>
      <c r="F62" s="6">
        <v>2.0</v>
      </c>
      <c r="G62" s="6">
        <v>2.0</v>
      </c>
      <c r="H62" s="6">
        <v>4.0</v>
      </c>
      <c r="I62" s="6">
        <v>1.0</v>
      </c>
      <c r="J62" s="6">
        <v>1.0</v>
      </c>
      <c r="K62" s="14">
        <v>0.638274669647216</v>
      </c>
      <c r="L62" s="14">
        <v>0.19121053814888</v>
      </c>
      <c r="M62" s="16">
        <v>-0.0303007941693067</v>
      </c>
      <c r="N62" s="11">
        <v>0.18226884</v>
      </c>
      <c r="O62" s="6">
        <f t="shared" si="1"/>
        <v>-0.2125696342</v>
      </c>
      <c r="P62" s="6">
        <v>0.03703703704</v>
      </c>
      <c r="Q62" s="6">
        <v>0.07692307692</v>
      </c>
      <c r="R62" s="6">
        <v>0.5941</v>
      </c>
      <c r="S62" s="6">
        <v>-0.5941</v>
      </c>
      <c r="T62" s="6">
        <v>18.96419753</v>
      </c>
    </row>
    <row r="63">
      <c r="A63" s="5" t="s">
        <v>63</v>
      </c>
      <c r="B63" s="6" t="s">
        <v>105</v>
      </c>
      <c r="C63" s="7" t="s">
        <v>66</v>
      </c>
      <c r="D63" s="7" t="s">
        <v>127</v>
      </c>
      <c r="E63" s="9">
        <v>44999.0</v>
      </c>
      <c r="F63" s="6">
        <v>5.0</v>
      </c>
      <c r="G63" s="6">
        <v>4.0</v>
      </c>
      <c r="H63" s="6">
        <v>1.0</v>
      </c>
      <c r="I63" s="6">
        <v>5.0</v>
      </c>
      <c r="J63" s="6">
        <v>3.0</v>
      </c>
      <c r="K63" s="14">
        <v>0.61139041185379</v>
      </c>
      <c r="L63" s="14">
        <v>0.169742837548255</v>
      </c>
      <c r="M63" s="16">
        <v>0.214700952172279</v>
      </c>
      <c r="N63" s="11">
        <v>0.003994849</v>
      </c>
      <c r="O63" s="6">
        <f t="shared" si="1"/>
        <v>0.2107061032</v>
      </c>
      <c r="P63" s="6">
        <v>0.07</v>
      </c>
      <c r="Q63" s="6">
        <v>0.1224489796</v>
      </c>
      <c r="R63" s="6">
        <v>0.932</v>
      </c>
      <c r="S63" s="6">
        <v>-0.932</v>
      </c>
      <c r="T63" s="6">
        <v>19.2</v>
      </c>
    </row>
    <row r="64">
      <c r="A64" s="5" t="s">
        <v>63</v>
      </c>
      <c r="B64" s="6" t="s">
        <v>105</v>
      </c>
      <c r="C64" s="7" t="s">
        <v>68</v>
      </c>
      <c r="D64" s="7" t="s">
        <v>128</v>
      </c>
      <c r="E64" s="9">
        <v>44999.0</v>
      </c>
      <c r="F64" s="6">
        <v>4.0</v>
      </c>
      <c r="G64" s="6">
        <v>5.0</v>
      </c>
      <c r="H64" s="6">
        <v>4.0</v>
      </c>
      <c r="I64" s="6">
        <v>4.0</v>
      </c>
      <c r="J64" s="6">
        <v>1.0</v>
      </c>
      <c r="K64" s="14">
        <v>0.606409728527069</v>
      </c>
      <c r="L64" s="14">
        <v>0.187043085694313</v>
      </c>
      <c r="M64" s="16">
        <v>0.063784010708332</v>
      </c>
      <c r="N64" s="11">
        <v>0.1391909</v>
      </c>
      <c r="O64" s="6">
        <f t="shared" si="1"/>
        <v>-0.07540688929</v>
      </c>
      <c r="P64" s="6">
        <v>0.05797101449</v>
      </c>
      <c r="Q64" s="6">
        <v>0.1212121212</v>
      </c>
      <c r="R64" s="6">
        <v>0.6199</v>
      </c>
      <c r="S64" s="6">
        <v>0.6199</v>
      </c>
      <c r="T64" s="6">
        <v>20.23333333</v>
      </c>
    </row>
    <row r="65">
      <c r="A65" s="5" t="s">
        <v>63</v>
      </c>
      <c r="B65" s="6" t="s">
        <v>105</v>
      </c>
      <c r="C65" s="7" t="s">
        <v>70</v>
      </c>
      <c r="D65" s="7" t="s">
        <v>129</v>
      </c>
      <c r="E65" s="9">
        <v>44999.0</v>
      </c>
      <c r="F65" s="6">
        <v>1.0</v>
      </c>
      <c r="G65" s="6">
        <v>2.0</v>
      </c>
      <c r="H65" s="6">
        <v>2.0</v>
      </c>
      <c r="I65" s="6">
        <v>4.0</v>
      </c>
      <c r="J65" s="6">
        <v>2.0</v>
      </c>
      <c r="K65" s="14">
        <v>0.636443674564361</v>
      </c>
      <c r="L65" s="14">
        <v>0.157821878790855</v>
      </c>
      <c r="M65" s="16">
        <v>0.210714146494865</v>
      </c>
      <c r="N65" s="11">
        <v>0.04414651</v>
      </c>
      <c r="O65" s="6">
        <f t="shared" si="1"/>
        <v>0.1665676365</v>
      </c>
      <c r="P65" s="6">
        <v>0.02941176471</v>
      </c>
      <c r="Q65" s="6">
        <v>0.1076923077</v>
      </c>
      <c r="R65" s="6">
        <v>0.9743</v>
      </c>
      <c r="S65" s="6">
        <v>0.9743</v>
      </c>
      <c r="T65" s="6">
        <v>20.83137255</v>
      </c>
    </row>
    <row r="66">
      <c r="A66" s="5" t="s">
        <v>63</v>
      </c>
      <c r="B66" s="6" t="s">
        <v>105</v>
      </c>
      <c r="C66" s="7" t="s">
        <v>72</v>
      </c>
      <c r="D66" s="7" t="s">
        <v>130</v>
      </c>
      <c r="E66" s="9">
        <v>44999.0</v>
      </c>
      <c r="F66" s="6">
        <v>1.0</v>
      </c>
      <c r="G66" s="6">
        <v>2.0</v>
      </c>
      <c r="H66" s="6">
        <v>1.0</v>
      </c>
      <c r="I66" s="6">
        <v>4.0</v>
      </c>
      <c r="J66" s="6">
        <v>2.0</v>
      </c>
      <c r="K66" s="14">
        <v>0.627555310726165</v>
      </c>
      <c r="L66" s="14">
        <v>0.175166204571723</v>
      </c>
      <c r="M66" s="16">
        <v>0.229610785841941</v>
      </c>
      <c r="N66" s="11">
        <v>0.26016748</v>
      </c>
      <c r="O66" s="6">
        <f t="shared" si="1"/>
        <v>-0.03055669416</v>
      </c>
      <c r="P66" s="6">
        <v>0.03797468354</v>
      </c>
      <c r="Q66" s="6">
        <v>0.08</v>
      </c>
      <c r="R66" s="6">
        <v>0.9595</v>
      </c>
      <c r="S66" s="6">
        <v>0.9595</v>
      </c>
      <c r="T66" s="6">
        <v>20.65991561</v>
      </c>
    </row>
    <row r="67">
      <c r="A67" s="5" t="s">
        <v>63</v>
      </c>
      <c r="B67" s="6" t="s">
        <v>105</v>
      </c>
      <c r="C67" s="7" t="s">
        <v>74</v>
      </c>
      <c r="D67" s="7" t="s">
        <v>131</v>
      </c>
      <c r="E67" s="9">
        <v>44999.0</v>
      </c>
      <c r="F67" s="6">
        <v>3.0</v>
      </c>
      <c r="G67" s="6">
        <v>4.0</v>
      </c>
      <c r="H67" s="6">
        <v>5.0</v>
      </c>
      <c r="I67" s="6">
        <v>4.0</v>
      </c>
      <c r="J67" s="6">
        <v>4.0</v>
      </c>
      <c r="K67" s="14">
        <v>0.616077899932861</v>
      </c>
      <c r="L67" s="14">
        <v>0.160583317279815</v>
      </c>
      <c r="M67" s="16">
        <v>0.346935510635376</v>
      </c>
      <c r="N67" s="11">
        <v>0.12091132</v>
      </c>
      <c r="O67" s="6">
        <f t="shared" si="1"/>
        <v>0.2260241906</v>
      </c>
      <c r="P67" s="6">
        <v>0.03658536585</v>
      </c>
      <c r="Q67" s="6">
        <v>0.1111111111</v>
      </c>
      <c r="R67" s="6">
        <v>0.9863</v>
      </c>
      <c r="S67" s="6">
        <v>0.9863</v>
      </c>
      <c r="T67" s="6">
        <v>16.49268293</v>
      </c>
    </row>
    <row r="68">
      <c r="A68" s="5" t="s">
        <v>63</v>
      </c>
      <c r="B68" s="6" t="s">
        <v>105</v>
      </c>
      <c r="C68" s="7" t="s">
        <v>76</v>
      </c>
      <c r="D68" s="7" t="s">
        <v>132</v>
      </c>
      <c r="E68" s="9">
        <v>44999.0</v>
      </c>
      <c r="F68" s="6">
        <v>3.0</v>
      </c>
      <c r="G68" s="6">
        <v>2.0</v>
      </c>
      <c r="H68" s="6">
        <v>3.0</v>
      </c>
      <c r="I68" s="6">
        <v>4.0</v>
      </c>
      <c r="J68" s="6">
        <v>5.0</v>
      </c>
      <c r="K68" s="14">
        <v>0.630816042423248</v>
      </c>
      <c r="L68" s="14">
        <v>0.156086519360542</v>
      </c>
      <c r="M68" s="16">
        <v>0.18528863787651</v>
      </c>
      <c r="N68" s="11">
        <v>0.114847995</v>
      </c>
      <c r="O68" s="6">
        <f t="shared" si="1"/>
        <v>0.07044064288</v>
      </c>
      <c r="P68" s="6">
        <v>0.04504504505</v>
      </c>
      <c r="Q68" s="6">
        <v>0.06666666667</v>
      </c>
      <c r="R68" s="6">
        <v>0.9725</v>
      </c>
      <c r="S68" s="6">
        <v>0.9725</v>
      </c>
      <c r="T68" s="6">
        <v>17.87438867</v>
      </c>
    </row>
    <row r="69">
      <c r="A69" s="5" t="s">
        <v>63</v>
      </c>
      <c r="B69" s="6" t="s">
        <v>105</v>
      </c>
      <c r="C69" s="7" t="s">
        <v>78</v>
      </c>
      <c r="D69" s="7" t="s">
        <v>133</v>
      </c>
      <c r="E69" s="9">
        <v>44999.0</v>
      </c>
      <c r="F69" s="6">
        <v>2.0</v>
      </c>
      <c r="G69" s="6">
        <v>2.0</v>
      </c>
      <c r="H69" s="6">
        <v>4.0</v>
      </c>
      <c r="I69" s="6">
        <v>3.0</v>
      </c>
      <c r="J69" s="6">
        <v>1.0</v>
      </c>
      <c r="K69" s="14">
        <v>0.624153733253479</v>
      </c>
      <c r="L69" s="14">
        <v>0.179717421531677</v>
      </c>
      <c r="M69" s="16">
        <v>0.194503858685493</v>
      </c>
      <c r="N69" s="11">
        <v>0.0043865223</v>
      </c>
      <c r="O69" s="6">
        <f t="shared" si="1"/>
        <v>0.1901173364</v>
      </c>
      <c r="P69" s="6">
        <v>0.01680672269</v>
      </c>
      <c r="Q69" s="6">
        <v>0.06034482759</v>
      </c>
      <c r="R69" s="6">
        <v>0.9839</v>
      </c>
      <c r="S69" s="6">
        <v>0.9839</v>
      </c>
      <c r="T69" s="6">
        <v>16.88403361</v>
      </c>
    </row>
    <row r="70">
      <c r="A70" s="5" t="s">
        <v>63</v>
      </c>
      <c r="B70" s="6" t="s">
        <v>105</v>
      </c>
      <c r="C70" s="7" t="s">
        <v>80</v>
      </c>
      <c r="D70" s="7" t="s">
        <v>134</v>
      </c>
      <c r="E70" s="9">
        <v>44999.0</v>
      </c>
      <c r="F70" s="6">
        <v>4.0</v>
      </c>
      <c r="G70" s="6">
        <v>4.0</v>
      </c>
      <c r="H70" s="6">
        <v>3.0</v>
      </c>
      <c r="I70" s="6">
        <v>2.0</v>
      </c>
      <c r="J70" s="6">
        <v>1.0</v>
      </c>
      <c r="K70" s="14">
        <v>0.656745672225952</v>
      </c>
      <c r="L70" s="14">
        <v>0.196043580770492</v>
      </c>
      <c r="M70" s="16">
        <v>0.161075711250305</v>
      </c>
      <c r="N70" s="11">
        <v>0.29899332</v>
      </c>
      <c r="O70" s="6">
        <f t="shared" si="1"/>
        <v>-0.1379176087</v>
      </c>
      <c r="P70" s="6">
        <v>0.03571428571</v>
      </c>
      <c r="Q70" s="6">
        <v>0.125</v>
      </c>
      <c r="R70" s="6">
        <v>0.2406</v>
      </c>
      <c r="S70" s="6">
        <v>0.2406</v>
      </c>
      <c r="T70" s="6">
        <v>17.92380952</v>
      </c>
    </row>
    <row r="71">
      <c r="A71" s="5" t="s">
        <v>63</v>
      </c>
      <c r="B71" s="6" t="s">
        <v>105</v>
      </c>
      <c r="C71" s="7" t="s">
        <v>82</v>
      </c>
      <c r="D71" s="8" t="s">
        <v>134</v>
      </c>
      <c r="E71" s="9">
        <v>44999.0</v>
      </c>
      <c r="F71" s="6">
        <v>4.0</v>
      </c>
      <c r="G71" s="6">
        <v>4.0</v>
      </c>
      <c r="H71" s="6">
        <v>3.0</v>
      </c>
      <c r="I71" s="6">
        <v>4.0</v>
      </c>
      <c r="J71" s="6">
        <v>3.0</v>
      </c>
      <c r="K71" s="14">
        <v>0.656745672225952</v>
      </c>
      <c r="L71" s="14">
        <v>0.196043580770492</v>
      </c>
      <c r="M71" s="16">
        <v>0.168350100517272</v>
      </c>
      <c r="N71" s="11">
        <v>0.29899332</v>
      </c>
      <c r="O71" s="6">
        <f t="shared" si="1"/>
        <v>-0.1306432195</v>
      </c>
      <c r="P71" s="6">
        <v>0.05084745763</v>
      </c>
      <c r="Q71" s="6">
        <v>0.08849557522</v>
      </c>
      <c r="R71" s="6">
        <v>0.9474</v>
      </c>
      <c r="S71" s="6">
        <v>0.9474</v>
      </c>
      <c r="T71" s="6">
        <v>14.30734463</v>
      </c>
    </row>
    <row r="72">
      <c r="A72" s="5" t="s">
        <v>84</v>
      </c>
      <c r="B72" s="6" t="s">
        <v>105</v>
      </c>
      <c r="C72" s="7" t="s">
        <v>85</v>
      </c>
      <c r="D72" s="7" t="s">
        <v>135</v>
      </c>
      <c r="E72" s="9">
        <v>44999.0</v>
      </c>
      <c r="F72" s="6">
        <v>3.0</v>
      </c>
      <c r="G72" s="6">
        <v>1.0</v>
      </c>
      <c r="H72" s="6">
        <v>1.0</v>
      </c>
      <c r="I72" s="6">
        <v>1.0</v>
      </c>
      <c r="J72" s="6">
        <v>2.0</v>
      </c>
      <c r="K72" s="14">
        <v>0.618772029876709</v>
      </c>
      <c r="L72" s="14">
        <v>0.165689423680305</v>
      </c>
      <c r="M72" s="16">
        <v>0.144549921154975</v>
      </c>
      <c r="N72" s="11">
        <v>0.20054306</v>
      </c>
      <c r="O72" s="6">
        <f t="shared" si="1"/>
        <v>-0.05599313885</v>
      </c>
      <c r="P72" s="6">
        <v>0.03658536585</v>
      </c>
      <c r="Q72" s="6">
        <v>0.075</v>
      </c>
      <c r="R72" s="6">
        <v>0.9931</v>
      </c>
      <c r="S72" s="6">
        <v>0.9931</v>
      </c>
      <c r="T72" s="6">
        <v>20.21853659</v>
      </c>
    </row>
    <row r="73">
      <c r="A73" s="5" t="s">
        <v>84</v>
      </c>
      <c r="B73" s="6" t="s">
        <v>105</v>
      </c>
      <c r="C73" s="7" t="s">
        <v>87</v>
      </c>
      <c r="D73" s="7" t="s">
        <v>136</v>
      </c>
      <c r="E73" s="9">
        <v>44999.0</v>
      </c>
      <c r="F73" s="6">
        <v>4.0</v>
      </c>
      <c r="G73" s="6">
        <v>5.0</v>
      </c>
      <c r="H73" s="6">
        <v>3.0</v>
      </c>
      <c r="I73" s="6">
        <v>1.0</v>
      </c>
      <c r="J73" s="6">
        <v>5.0</v>
      </c>
      <c r="K73" s="14">
        <v>0.630345404148101</v>
      </c>
      <c r="L73" s="14">
        <v>0.179697170853614</v>
      </c>
      <c r="M73" s="16">
        <v>0.134374737739563</v>
      </c>
      <c r="N73" s="11">
        <v>0.009640764</v>
      </c>
      <c r="O73" s="6">
        <f t="shared" si="1"/>
        <v>0.1247339737</v>
      </c>
      <c r="P73" s="6">
        <v>0.05494505495</v>
      </c>
      <c r="Q73" s="6">
        <v>0.1609195402</v>
      </c>
      <c r="R73" s="6">
        <v>0.8882</v>
      </c>
      <c r="S73" s="6">
        <v>-0.8882</v>
      </c>
      <c r="T73" s="6">
        <v>17.38989011</v>
      </c>
    </row>
    <row r="74">
      <c r="A74" s="5" t="s">
        <v>84</v>
      </c>
      <c r="B74" s="6" t="s">
        <v>105</v>
      </c>
      <c r="C74" s="7" t="s">
        <v>89</v>
      </c>
      <c r="D74" s="7" t="s">
        <v>137</v>
      </c>
      <c r="E74" s="9">
        <v>44999.0</v>
      </c>
      <c r="F74" s="6">
        <v>4.0</v>
      </c>
      <c r="G74" s="6">
        <v>5.0</v>
      </c>
      <c r="H74" s="6">
        <v>5.0</v>
      </c>
      <c r="I74" s="6">
        <v>1.0</v>
      </c>
      <c r="J74" s="6">
        <v>4.0</v>
      </c>
      <c r="K74" s="14">
        <v>0.617405772209167</v>
      </c>
      <c r="L74" s="14">
        <v>0.174562945961952</v>
      </c>
      <c r="M74" s="16">
        <v>-0.0425707623362541</v>
      </c>
      <c r="N74" s="11">
        <v>-0.010846999</v>
      </c>
      <c r="O74" s="6">
        <f t="shared" si="1"/>
        <v>-0.03172376334</v>
      </c>
      <c r="P74" s="6">
        <v>0.025</v>
      </c>
      <c r="Q74" s="6">
        <v>0.07692307692</v>
      </c>
      <c r="R74" s="6">
        <v>0.69</v>
      </c>
      <c r="S74" s="6">
        <v>0.69</v>
      </c>
      <c r="T74" s="6">
        <v>19.9</v>
      </c>
    </row>
    <row r="75">
      <c r="A75" s="5" t="s">
        <v>84</v>
      </c>
      <c r="B75" s="6" t="s">
        <v>105</v>
      </c>
      <c r="C75" s="7" t="s">
        <v>91</v>
      </c>
      <c r="D75" s="7" t="s">
        <v>138</v>
      </c>
      <c r="E75" s="9">
        <v>44999.0</v>
      </c>
      <c r="F75" s="6">
        <v>1.0</v>
      </c>
      <c r="G75" s="6">
        <v>2.0</v>
      </c>
      <c r="H75" s="6">
        <v>3.0</v>
      </c>
      <c r="I75" s="6">
        <v>1.0</v>
      </c>
      <c r="J75" s="6">
        <v>2.0</v>
      </c>
      <c r="K75" s="14">
        <v>0.622955799102783</v>
      </c>
      <c r="L75" s="14">
        <v>0.172512248158454</v>
      </c>
      <c r="M75" s="16">
        <v>6.85453414916992E-4</v>
      </c>
      <c r="N75" s="11">
        <v>0.011071209</v>
      </c>
      <c r="O75" s="6">
        <f t="shared" si="1"/>
        <v>-0.01038575559</v>
      </c>
      <c r="P75" s="6">
        <v>0.0347826087</v>
      </c>
      <c r="Q75" s="6">
        <v>0.1</v>
      </c>
      <c r="R75" s="6">
        <v>0.9224</v>
      </c>
      <c r="S75" s="6">
        <v>0.9224</v>
      </c>
      <c r="T75" s="6">
        <v>20.88405797</v>
      </c>
    </row>
    <row r="76">
      <c r="A76" s="5" t="s">
        <v>84</v>
      </c>
      <c r="B76" s="6" t="s">
        <v>105</v>
      </c>
      <c r="C76" s="7" t="s">
        <v>93</v>
      </c>
      <c r="D76" s="7" t="s">
        <v>139</v>
      </c>
      <c r="E76" s="9">
        <v>44999.0</v>
      </c>
      <c r="F76" s="6">
        <v>3.0</v>
      </c>
      <c r="G76" s="6">
        <v>5.0</v>
      </c>
      <c r="H76" s="6">
        <v>1.0</v>
      </c>
      <c r="I76" s="6">
        <v>3.0</v>
      </c>
      <c r="J76" s="6">
        <v>4.0</v>
      </c>
      <c r="K76" s="14">
        <v>0.62727290391922</v>
      </c>
      <c r="L76" s="14">
        <v>0.170603916049003</v>
      </c>
      <c r="M76" s="16">
        <v>0.0925851389765739</v>
      </c>
      <c r="N76" s="11">
        <v>0.104521975</v>
      </c>
      <c r="O76" s="6">
        <f t="shared" si="1"/>
        <v>-0.01193683602</v>
      </c>
      <c r="P76" s="6">
        <v>0.02654867257</v>
      </c>
      <c r="Q76" s="6">
        <v>0.1018518519</v>
      </c>
      <c r="R76" s="6">
        <v>0.9398</v>
      </c>
      <c r="S76" s="6">
        <v>0.9398</v>
      </c>
      <c r="T76" s="6">
        <v>20.27669617</v>
      </c>
    </row>
    <row r="77">
      <c r="A77" s="5" t="s">
        <v>84</v>
      </c>
      <c r="B77" s="6" t="s">
        <v>105</v>
      </c>
      <c r="C77" s="7" t="s">
        <v>95</v>
      </c>
      <c r="D77" s="7" t="s">
        <v>140</v>
      </c>
      <c r="E77" s="9">
        <v>44999.0</v>
      </c>
      <c r="F77" s="6">
        <v>5.0</v>
      </c>
      <c r="G77" s="6">
        <v>2.0</v>
      </c>
      <c r="H77" s="6">
        <v>5.0</v>
      </c>
      <c r="I77" s="6">
        <v>1.0</v>
      </c>
      <c r="J77" s="6">
        <v>3.0</v>
      </c>
      <c r="K77" s="14">
        <v>0.62549352645874</v>
      </c>
      <c r="L77" s="14">
        <v>0.19873009622097</v>
      </c>
      <c r="M77" s="16">
        <v>-0.0425707697868347</v>
      </c>
      <c r="N77" s="11">
        <v>-0.104060814</v>
      </c>
      <c r="O77" s="6">
        <f t="shared" si="1"/>
        <v>0.06149004421</v>
      </c>
      <c r="P77" s="6">
        <v>0.025</v>
      </c>
      <c r="Q77" s="6">
        <v>0.07692307692</v>
      </c>
      <c r="R77" s="6">
        <v>0.69</v>
      </c>
      <c r="S77" s="6">
        <v>0.69</v>
      </c>
      <c r="T77" s="6">
        <v>19.9</v>
      </c>
    </row>
    <row r="78">
      <c r="A78" s="5" t="s">
        <v>84</v>
      </c>
      <c r="B78" s="6" t="s">
        <v>105</v>
      </c>
      <c r="C78" s="7" t="s">
        <v>97</v>
      </c>
      <c r="D78" s="7" t="s">
        <v>141</v>
      </c>
      <c r="E78" s="9">
        <v>44999.0</v>
      </c>
      <c r="F78" s="6">
        <v>3.0</v>
      </c>
      <c r="G78" s="6">
        <v>1.0</v>
      </c>
      <c r="H78" s="6">
        <v>2.0</v>
      </c>
      <c r="I78" s="6">
        <v>4.0</v>
      </c>
      <c r="J78" s="6">
        <v>3.0</v>
      </c>
      <c r="K78" s="14">
        <v>0.64254230260849</v>
      </c>
      <c r="L78" s="14">
        <v>0.186156526207923</v>
      </c>
      <c r="M78" s="16">
        <v>0.184615135192871</v>
      </c>
      <c r="N78" s="11">
        <v>-0.009770207</v>
      </c>
      <c r="O78" s="6">
        <f t="shared" si="1"/>
        <v>0.1943853422</v>
      </c>
      <c r="P78" s="6">
        <v>0.01851851852</v>
      </c>
      <c r="Q78" s="6">
        <v>0.07766990291</v>
      </c>
      <c r="R78" s="6">
        <v>0.9447</v>
      </c>
      <c r="S78" s="6">
        <v>0.9447</v>
      </c>
      <c r="T78" s="6">
        <v>19.42222222</v>
      </c>
    </row>
    <row r="79">
      <c r="A79" s="5" t="s">
        <v>84</v>
      </c>
      <c r="B79" s="6" t="s">
        <v>105</v>
      </c>
      <c r="C79" s="7" t="s">
        <v>99</v>
      </c>
      <c r="D79" s="7" t="s">
        <v>142</v>
      </c>
      <c r="E79" s="9">
        <v>44999.0</v>
      </c>
      <c r="F79" s="6">
        <v>5.0</v>
      </c>
      <c r="G79" s="6">
        <v>4.0</v>
      </c>
      <c r="H79" s="6">
        <v>3.0</v>
      </c>
      <c r="I79" s="6">
        <v>5.0</v>
      </c>
      <c r="J79" s="6">
        <v>1.0</v>
      </c>
      <c r="K79" s="14">
        <v>0.626515090465545</v>
      </c>
      <c r="L79" s="14">
        <v>0.18058742582798</v>
      </c>
      <c r="M79" s="16">
        <v>0.0360679551959037</v>
      </c>
      <c r="N79" s="11">
        <v>-0.10939348</v>
      </c>
      <c r="O79" s="6">
        <f t="shared" si="1"/>
        <v>0.1454614352</v>
      </c>
      <c r="P79" s="6">
        <v>0.03703703704</v>
      </c>
      <c r="Q79" s="6">
        <v>0.05263157895</v>
      </c>
      <c r="R79" s="6">
        <v>0.992</v>
      </c>
      <c r="S79" s="6">
        <v>0.992</v>
      </c>
      <c r="T79" s="6">
        <v>20.97222222</v>
      </c>
    </row>
    <row r="80">
      <c r="A80" s="5" t="s">
        <v>84</v>
      </c>
      <c r="B80" s="6" t="s">
        <v>105</v>
      </c>
      <c r="C80" s="7" t="s">
        <v>101</v>
      </c>
      <c r="D80" s="7" t="s">
        <v>143</v>
      </c>
      <c r="E80" s="9">
        <v>44999.0</v>
      </c>
      <c r="F80" s="6">
        <v>1.0</v>
      </c>
      <c r="G80" s="6">
        <v>4.0</v>
      </c>
      <c r="H80" s="6">
        <v>1.0</v>
      </c>
      <c r="I80" s="6">
        <v>1.0</v>
      </c>
      <c r="J80" s="6">
        <v>5.0</v>
      </c>
      <c r="K80" s="14">
        <v>0.622764408588409</v>
      </c>
      <c r="L80" s="14">
        <v>0.161991462111473</v>
      </c>
      <c r="M80" s="16">
        <v>0.190135166049003</v>
      </c>
      <c r="N80" s="11">
        <v>0.107038364</v>
      </c>
      <c r="O80" s="6">
        <f t="shared" si="1"/>
        <v>0.08309680205</v>
      </c>
      <c r="P80" s="6">
        <v>0.06666666667</v>
      </c>
      <c r="Q80" s="6">
        <v>0.06837606838</v>
      </c>
      <c r="R80" s="6">
        <v>0.5719</v>
      </c>
      <c r="S80" s="6">
        <v>-0.5719</v>
      </c>
      <c r="T80" s="6">
        <v>20.0</v>
      </c>
    </row>
    <row r="81">
      <c r="A81" s="5" t="s">
        <v>84</v>
      </c>
      <c r="B81" s="6" t="s">
        <v>105</v>
      </c>
      <c r="C81" s="7" t="s">
        <v>103</v>
      </c>
      <c r="D81" s="7" t="s">
        <v>144</v>
      </c>
      <c r="E81" s="9">
        <v>44999.0</v>
      </c>
      <c r="F81" s="6">
        <v>2.0</v>
      </c>
      <c r="G81" s="6">
        <v>4.0</v>
      </c>
      <c r="H81" s="6">
        <v>2.0</v>
      </c>
      <c r="I81" s="6">
        <v>3.0</v>
      </c>
      <c r="J81" s="6">
        <v>4.0</v>
      </c>
      <c r="K81" s="14">
        <v>0.630300045013427</v>
      </c>
      <c r="L81" s="14">
        <v>0.183634728193283</v>
      </c>
      <c r="M81" s="16">
        <v>0.184437319636344</v>
      </c>
      <c r="N81" s="11">
        <v>-0.13388015</v>
      </c>
      <c r="O81" s="6">
        <f t="shared" si="1"/>
        <v>0.3183174696</v>
      </c>
      <c r="P81" s="6">
        <v>0.02189781022</v>
      </c>
      <c r="Q81" s="6">
        <v>0.09090909091</v>
      </c>
      <c r="R81" s="6">
        <v>0.9903</v>
      </c>
      <c r="S81" s="6">
        <v>0.9903</v>
      </c>
      <c r="T81" s="6">
        <v>18.04754953</v>
      </c>
    </row>
    <row r="82">
      <c r="A82" s="5" t="s">
        <v>20</v>
      </c>
      <c r="B82" s="17" t="s">
        <v>145</v>
      </c>
      <c r="C82" s="7" t="s">
        <v>22</v>
      </c>
      <c r="D82" s="8" t="s">
        <v>146</v>
      </c>
      <c r="E82" s="18">
        <v>45090.0</v>
      </c>
      <c r="F82" s="6">
        <v>1.0</v>
      </c>
      <c r="G82" s="6">
        <v>8.0</v>
      </c>
      <c r="H82" s="6">
        <v>5.0</v>
      </c>
      <c r="I82" s="6">
        <v>8.0</v>
      </c>
      <c r="J82" s="6">
        <v>5.0</v>
      </c>
      <c r="K82" s="10">
        <v>0.627794504165649</v>
      </c>
      <c r="L82" s="10">
        <v>0.160768538713455</v>
      </c>
      <c r="M82" s="10">
        <v>-0.00448743626475334</v>
      </c>
      <c r="N82" s="11">
        <v>-0.0044875103</v>
      </c>
      <c r="O82" s="6">
        <f t="shared" si="1"/>
        <v>0.00000007403524666</v>
      </c>
      <c r="P82" s="6">
        <v>0.04</v>
      </c>
      <c r="Q82" s="6">
        <v>0.17391304347826</v>
      </c>
      <c r="R82" s="6">
        <v>0.8074</v>
      </c>
      <c r="S82" s="6">
        <v>0.8074</v>
      </c>
      <c r="T82" s="6">
        <v>17.7333333333333</v>
      </c>
    </row>
    <row r="83">
      <c r="A83" s="5" t="s">
        <v>20</v>
      </c>
      <c r="B83" s="17" t="s">
        <v>145</v>
      </c>
      <c r="C83" s="7" t="s">
        <v>24</v>
      </c>
      <c r="D83" s="8" t="s">
        <v>147</v>
      </c>
      <c r="E83" s="18">
        <v>45090.0</v>
      </c>
      <c r="F83" s="6">
        <v>8.0</v>
      </c>
      <c r="G83" s="6">
        <v>8.0</v>
      </c>
      <c r="H83" s="6">
        <v>5.0</v>
      </c>
      <c r="I83" s="6">
        <v>8.0</v>
      </c>
      <c r="J83" s="6">
        <v>1.0</v>
      </c>
      <c r="K83" s="10">
        <v>0.625216245651245</v>
      </c>
      <c r="L83" s="10">
        <v>0.156184867024421</v>
      </c>
      <c r="M83" s="10">
        <v>-0.0492231175303459</v>
      </c>
      <c r="N83" s="11">
        <v>-0.04922304</v>
      </c>
      <c r="O83" s="6">
        <f t="shared" si="1"/>
        <v>-0.0000000775303459</v>
      </c>
      <c r="P83" s="6">
        <v>0.078431372549019</v>
      </c>
      <c r="Q83" s="6">
        <v>0.12</v>
      </c>
      <c r="R83" s="6">
        <v>0.7596</v>
      </c>
      <c r="S83" s="6">
        <v>0.7596</v>
      </c>
      <c r="T83" s="6">
        <v>18.5647058823529</v>
      </c>
    </row>
    <row r="84">
      <c r="A84" s="5" t="s">
        <v>20</v>
      </c>
      <c r="B84" s="17" t="s">
        <v>145</v>
      </c>
      <c r="C84" s="7" t="s">
        <v>26</v>
      </c>
      <c r="D84" s="8" t="s">
        <v>148</v>
      </c>
      <c r="E84" s="18">
        <v>45090.0</v>
      </c>
      <c r="F84" s="6">
        <v>1.0</v>
      </c>
      <c r="G84" s="6">
        <v>8.0</v>
      </c>
      <c r="H84" s="6">
        <v>5.0</v>
      </c>
      <c r="I84" s="6">
        <v>8.0</v>
      </c>
      <c r="J84" s="6">
        <v>5.0</v>
      </c>
      <c r="K84" s="10">
        <v>0.617187976837158</v>
      </c>
      <c r="L84" s="10">
        <v>0.197794124484062</v>
      </c>
      <c r="M84" s="10">
        <v>0.0348683968186378</v>
      </c>
      <c r="N84" s="11">
        <v>0.034868527</v>
      </c>
      <c r="O84" s="6">
        <f t="shared" si="1"/>
        <v>-0.0000001301813622</v>
      </c>
      <c r="P84" s="6">
        <v>0.048780487804878</v>
      </c>
      <c r="Q84" s="6">
        <v>0.179487179487179</v>
      </c>
      <c r="R84" s="6">
        <v>0.8268</v>
      </c>
      <c r="S84" s="6">
        <v>0.8268</v>
      </c>
      <c r="T84" s="6">
        <v>14.2471544715447</v>
      </c>
    </row>
    <row r="85">
      <c r="A85" s="5" t="s">
        <v>20</v>
      </c>
      <c r="B85" s="17" t="s">
        <v>145</v>
      </c>
      <c r="C85" s="7" t="s">
        <v>28</v>
      </c>
      <c r="D85" s="8" t="s">
        <v>149</v>
      </c>
      <c r="E85" s="18">
        <v>45090.0</v>
      </c>
      <c r="F85" s="6">
        <v>1.0</v>
      </c>
      <c r="G85" s="6">
        <v>1.0</v>
      </c>
      <c r="H85" s="6">
        <v>5.0</v>
      </c>
      <c r="I85" s="6">
        <v>8.0</v>
      </c>
      <c r="J85" s="6">
        <v>5.0</v>
      </c>
      <c r="K85" s="10">
        <v>0.592030465602874</v>
      </c>
      <c r="L85" s="10">
        <v>0.169120922684669</v>
      </c>
      <c r="M85" s="10">
        <v>-0.163025379180908</v>
      </c>
      <c r="N85" s="11">
        <v>-0.16302507</v>
      </c>
      <c r="O85" s="6">
        <f t="shared" si="1"/>
        <v>-0.000000309180908</v>
      </c>
      <c r="P85" s="6">
        <v>0.0</v>
      </c>
      <c r="Q85" s="6">
        <v>0.1</v>
      </c>
      <c r="R85" s="6">
        <v>0.8762</v>
      </c>
      <c r="S85" s="6">
        <v>0.8762</v>
      </c>
      <c r="T85" s="6">
        <v>16.4</v>
      </c>
    </row>
    <row r="86">
      <c r="A86" s="5" t="s">
        <v>20</v>
      </c>
      <c r="B86" s="17" t="s">
        <v>145</v>
      </c>
      <c r="C86" s="7" t="s">
        <v>30</v>
      </c>
      <c r="D86" s="8" t="s">
        <v>150</v>
      </c>
      <c r="E86" s="18">
        <v>45090.0</v>
      </c>
      <c r="F86" s="6">
        <v>1.0</v>
      </c>
      <c r="G86" s="6">
        <v>8.0</v>
      </c>
      <c r="H86" s="6">
        <v>5.0</v>
      </c>
      <c r="I86" s="6">
        <v>8.0</v>
      </c>
      <c r="J86" s="6">
        <v>5.0</v>
      </c>
      <c r="K86" s="10">
        <v>0.628281831741333</v>
      </c>
      <c r="L86" s="10">
        <v>0.167712390422821</v>
      </c>
      <c r="M86" s="10">
        <v>-0.298821181058883</v>
      </c>
      <c r="N86" s="11">
        <v>-0.29882124</v>
      </c>
      <c r="O86" s="6">
        <f t="shared" si="1"/>
        <v>0.00000005894111699</v>
      </c>
      <c r="P86" s="6">
        <v>0.048780487804878</v>
      </c>
      <c r="Q86" s="6">
        <v>0.076923076923076</v>
      </c>
      <c r="R86" s="6">
        <v>0.4404</v>
      </c>
      <c r="S86" s="6">
        <v>0.4404</v>
      </c>
      <c r="T86" s="6">
        <v>14.2471544715447</v>
      </c>
    </row>
    <row r="87">
      <c r="A87" s="5" t="s">
        <v>20</v>
      </c>
      <c r="B87" s="17" t="s">
        <v>145</v>
      </c>
      <c r="C87" s="7" t="s">
        <v>32</v>
      </c>
      <c r="D87" s="8" t="s">
        <v>151</v>
      </c>
      <c r="E87" s="18">
        <v>45090.0</v>
      </c>
      <c r="F87" s="6">
        <v>8.0</v>
      </c>
      <c r="G87" s="6">
        <v>8.0</v>
      </c>
      <c r="H87" s="6">
        <v>5.0</v>
      </c>
      <c r="I87" s="6">
        <v>8.0</v>
      </c>
      <c r="J87" s="6">
        <v>5.0</v>
      </c>
      <c r="K87" s="10">
        <v>0.605958580970764</v>
      </c>
      <c r="L87" s="10">
        <v>0.176687479019165</v>
      </c>
      <c r="M87" s="10">
        <v>-0.298254400491714</v>
      </c>
      <c r="N87" s="11">
        <v>-0.29825425</v>
      </c>
      <c r="O87" s="6">
        <f t="shared" si="1"/>
        <v>-0.000000150491714</v>
      </c>
      <c r="P87" s="6">
        <v>0.0</v>
      </c>
      <c r="Q87" s="6">
        <v>0.081081081081081</v>
      </c>
      <c r="R87" s="6">
        <v>0.8122</v>
      </c>
      <c r="S87" s="6">
        <v>0.8122</v>
      </c>
      <c r="T87" s="6">
        <v>22.6857142857143</v>
      </c>
    </row>
    <row r="88">
      <c r="A88" s="5" t="s">
        <v>20</v>
      </c>
      <c r="B88" s="17" t="s">
        <v>145</v>
      </c>
      <c r="C88" s="7" t="s">
        <v>34</v>
      </c>
      <c r="D88" s="8" t="s">
        <v>152</v>
      </c>
      <c r="E88" s="18">
        <v>45090.0</v>
      </c>
      <c r="F88" s="6">
        <v>1.0</v>
      </c>
      <c r="G88" s="6">
        <v>8.0</v>
      </c>
      <c r="H88" s="6">
        <v>5.0</v>
      </c>
      <c r="I88" s="6">
        <v>8.0</v>
      </c>
      <c r="J88" s="6">
        <v>5.0</v>
      </c>
      <c r="K88" s="10">
        <v>0.615020871162414</v>
      </c>
      <c r="L88" s="10">
        <v>0.190809711813926</v>
      </c>
      <c r="M88" s="10">
        <v>-0.0268086269497871</v>
      </c>
      <c r="N88" s="11">
        <v>-0.026808549</v>
      </c>
      <c r="O88" s="6">
        <f t="shared" si="1"/>
        <v>-0.0000000779497871</v>
      </c>
      <c r="P88" s="6">
        <v>0.0</v>
      </c>
      <c r="Q88" s="6">
        <v>0.111111111111111</v>
      </c>
      <c r="R88" s="6">
        <v>0.8516</v>
      </c>
      <c r="S88" s="6">
        <v>0.8516</v>
      </c>
      <c r="T88" s="6">
        <v>16.6456140350877</v>
      </c>
    </row>
    <row r="89">
      <c r="A89" s="5" t="s">
        <v>20</v>
      </c>
      <c r="B89" s="17" t="s">
        <v>145</v>
      </c>
      <c r="C89" s="7" t="s">
        <v>36</v>
      </c>
      <c r="D89" s="8" t="s">
        <v>153</v>
      </c>
      <c r="E89" s="18">
        <v>45090.0</v>
      </c>
      <c r="F89" s="6">
        <v>1.0</v>
      </c>
      <c r="G89" s="6">
        <v>8.0</v>
      </c>
      <c r="H89" s="6">
        <v>5.0</v>
      </c>
      <c r="I89" s="6">
        <v>8.0</v>
      </c>
      <c r="J89" s="6">
        <v>5.0</v>
      </c>
      <c r="K89" s="10">
        <v>0.635210514068603</v>
      </c>
      <c r="L89" s="10">
        <v>0.191961139440536</v>
      </c>
      <c r="M89" s="10">
        <v>-0.0567839294672012</v>
      </c>
      <c r="N89" s="11">
        <v>-0.056783814</v>
      </c>
      <c r="O89" s="6">
        <f t="shared" si="1"/>
        <v>-0.0000001154672012</v>
      </c>
      <c r="P89" s="6">
        <v>0.017543859649122</v>
      </c>
      <c r="Q89" s="6">
        <v>0.129629629629629</v>
      </c>
      <c r="R89" s="6">
        <v>0.9552</v>
      </c>
      <c r="S89" s="6">
        <v>0.9552</v>
      </c>
      <c r="T89" s="6">
        <v>18.1263157894737</v>
      </c>
    </row>
    <row r="90">
      <c r="A90" s="5" t="s">
        <v>20</v>
      </c>
      <c r="B90" s="17" t="s">
        <v>145</v>
      </c>
      <c r="C90" s="7" t="s">
        <v>38</v>
      </c>
      <c r="D90" s="13" t="s">
        <v>154</v>
      </c>
      <c r="E90" s="18">
        <v>45090.0</v>
      </c>
      <c r="F90" s="6">
        <v>1.0</v>
      </c>
      <c r="G90" s="6">
        <v>8.0</v>
      </c>
      <c r="H90" s="6">
        <v>5.0</v>
      </c>
      <c r="I90" s="6">
        <v>8.0</v>
      </c>
      <c r="J90" s="6">
        <v>5.0</v>
      </c>
      <c r="K90" s="14">
        <v>0.628253817558288</v>
      </c>
      <c r="L90" s="14">
        <v>0.175203189253807</v>
      </c>
      <c r="M90" s="14">
        <v>-0.249711990356445</v>
      </c>
      <c r="N90" s="11">
        <v>-0.24971206</v>
      </c>
      <c r="O90" s="6">
        <f t="shared" si="1"/>
        <v>0.00000006964355501</v>
      </c>
      <c r="P90" s="19">
        <v>0.0</v>
      </c>
      <c r="Q90" s="6">
        <v>0.070175438596491</v>
      </c>
      <c r="R90" s="6">
        <v>0.4404</v>
      </c>
      <c r="S90" s="6">
        <v>0.4404</v>
      </c>
      <c r="T90" s="6">
        <v>20.0700564971751</v>
      </c>
    </row>
    <row r="91">
      <c r="A91" s="5" t="s">
        <v>20</v>
      </c>
      <c r="B91" s="17" t="s">
        <v>145</v>
      </c>
      <c r="C91" s="7" t="s">
        <v>40</v>
      </c>
      <c r="D91" s="8" t="s">
        <v>155</v>
      </c>
      <c r="E91" s="18">
        <v>45090.0</v>
      </c>
      <c r="F91" s="6">
        <v>8.0</v>
      </c>
      <c r="G91" s="6">
        <v>1.0</v>
      </c>
      <c r="H91" s="6">
        <v>5.0</v>
      </c>
      <c r="I91" s="6">
        <v>8.0</v>
      </c>
      <c r="J91" s="6">
        <v>5.0</v>
      </c>
      <c r="K91" s="10">
        <v>0.632982671260833</v>
      </c>
      <c r="L91" s="10">
        <v>0.173666402697563</v>
      </c>
      <c r="M91" s="10">
        <v>-0.206218317151069</v>
      </c>
      <c r="N91" s="11">
        <v>-0.20621833</v>
      </c>
      <c r="O91" s="6">
        <f t="shared" si="1"/>
        <v>0.000000012848931</v>
      </c>
      <c r="P91" s="6">
        <v>0.045454545454545</v>
      </c>
      <c r="Q91" s="6">
        <v>0.119047619047619</v>
      </c>
      <c r="R91" s="6">
        <v>0.258</v>
      </c>
      <c r="S91" s="6">
        <v>-0.258</v>
      </c>
      <c r="T91" s="6">
        <v>19.5030303030303</v>
      </c>
    </row>
    <row r="92">
      <c r="A92" s="5" t="s">
        <v>42</v>
      </c>
      <c r="B92" s="17" t="s">
        <v>145</v>
      </c>
      <c r="C92" s="7" t="s">
        <v>43</v>
      </c>
      <c r="D92" s="8" t="s">
        <v>156</v>
      </c>
      <c r="E92" s="18">
        <v>45090.0</v>
      </c>
      <c r="F92" s="6">
        <v>1.0</v>
      </c>
      <c r="G92" s="6">
        <v>8.0</v>
      </c>
      <c r="H92" s="6">
        <v>5.0</v>
      </c>
      <c r="I92" s="6">
        <v>8.0</v>
      </c>
      <c r="J92" s="6">
        <v>5.0</v>
      </c>
      <c r="K92" s="10">
        <v>0.634802818298339</v>
      </c>
      <c r="L92" s="10">
        <v>0.184458971023559</v>
      </c>
      <c r="M92" s="10">
        <v>-0.0221619606018066</v>
      </c>
      <c r="N92" s="11">
        <v>-0.022162125</v>
      </c>
      <c r="O92" s="6">
        <f t="shared" si="1"/>
        <v>0.0000001643981934</v>
      </c>
      <c r="P92" s="6">
        <v>0.065217391304347</v>
      </c>
      <c r="Q92" s="6">
        <v>0.068181818181818</v>
      </c>
      <c r="R92" s="6">
        <v>0.93</v>
      </c>
      <c r="S92" s="6">
        <v>0.93</v>
      </c>
      <c r="T92" s="6">
        <v>18.7652173913044</v>
      </c>
    </row>
    <row r="93">
      <c r="A93" s="5" t="s">
        <v>42</v>
      </c>
      <c r="B93" s="17" t="s">
        <v>145</v>
      </c>
      <c r="C93" s="7" t="s">
        <v>45</v>
      </c>
      <c r="D93" s="8" t="s">
        <v>157</v>
      </c>
      <c r="E93" s="18">
        <v>45090.0</v>
      </c>
      <c r="F93" s="6">
        <v>1.0</v>
      </c>
      <c r="G93" s="6">
        <v>8.0</v>
      </c>
      <c r="H93" s="6">
        <v>5.0</v>
      </c>
      <c r="I93" s="6">
        <v>8.0</v>
      </c>
      <c r="J93" s="6">
        <v>5.0</v>
      </c>
      <c r="K93" s="10">
        <v>0.638503611087799</v>
      </c>
      <c r="L93" s="10">
        <v>0.166034638881683</v>
      </c>
      <c r="M93" s="10">
        <v>-0.0261469502002</v>
      </c>
      <c r="N93" s="11">
        <v>-0.02614687</v>
      </c>
      <c r="O93" s="6">
        <f t="shared" si="1"/>
        <v>-0.0000000802002</v>
      </c>
      <c r="P93" s="6">
        <v>0.0</v>
      </c>
      <c r="Q93" s="6">
        <v>0.108108108108108</v>
      </c>
      <c r="R93" s="6">
        <v>0.4767</v>
      </c>
      <c r="S93" s="6">
        <v>0.4767</v>
      </c>
      <c r="T93" s="6">
        <v>22.0</v>
      </c>
    </row>
    <row r="94">
      <c r="A94" s="5" t="s">
        <v>42</v>
      </c>
      <c r="B94" s="17" t="s">
        <v>145</v>
      </c>
      <c r="C94" s="7" t="s">
        <v>47</v>
      </c>
      <c r="D94" s="8" t="s">
        <v>158</v>
      </c>
      <c r="E94" s="18">
        <v>45090.0</v>
      </c>
      <c r="F94" s="6">
        <v>8.0</v>
      </c>
      <c r="G94" s="6">
        <v>8.0</v>
      </c>
      <c r="H94" s="6">
        <v>5.0</v>
      </c>
      <c r="I94" s="6">
        <v>8.0</v>
      </c>
      <c r="J94" s="6">
        <v>5.0</v>
      </c>
      <c r="K94" s="10">
        <v>0.621309459209442</v>
      </c>
      <c r="L94" s="10">
        <v>0.161465153098106</v>
      </c>
      <c r="M94" s="10">
        <v>-0.144054472446441</v>
      </c>
      <c r="N94" s="11">
        <v>-0.14405428</v>
      </c>
      <c r="O94" s="6">
        <f t="shared" si="1"/>
        <v>-0.000000192446441</v>
      </c>
      <c r="P94" s="6">
        <v>0.085714285714285</v>
      </c>
      <c r="Q94" s="6">
        <v>0.117647058823529</v>
      </c>
      <c r="R94" s="6">
        <v>0.867</v>
      </c>
      <c r="S94" s="6">
        <v>0.867</v>
      </c>
      <c r="T94" s="6">
        <v>20.7142857142857</v>
      </c>
    </row>
    <row r="95">
      <c r="A95" s="5" t="s">
        <v>42</v>
      </c>
      <c r="B95" s="17" t="s">
        <v>145</v>
      </c>
      <c r="C95" s="7" t="s">
        <v>49</v>
      </c>
      <c r="D95" s="8" t="s">
        <v>159</v>
      </c>
      <c r="E95" s="18">
        <v>45090.0</v>
      </c>
      <c r="F95" s="6">
        <v>1.0</v>
      </c>
      <c r="G95" s="6">
        <v>8.0</v>
      </c>
      <c r="H95" s="6">
        <v>5.0</v>
      </c>
      <c r="I95" s="6">
        <v>8.0</v>
      </c>
      <c r="J95" s="6">
        <v>5.0</v>
      </c>
      <c r="K95" s="10">
        <v>0.623917877674102</v>
      </c>
      <c r="L95" s="10">
        <v>0.169787377119064</v>
      </c>
      <c r="M95" s="10">
        <v>-0.129053756594657</v>
      </c>
      <c r="N95" s="11">
        <v>-0.12905362</v>
      </c>
      <c r="O95" s="6">
        <f t="shared" si="1"/>
        <v>-0.000000136594657</v>
      </c>
      <c r="P95" s="6">
        <v>0.019607843137254</v>
      </c>
      <c r="Q95" s="6">
        <v>0.122448979591836</v>
      </c>
      <c r="R95" s="6">
        <v>0.8625</v>
      </c>
      <c r="S95" s="6">
        <v>0.8625</v>
      </c>
      <c r="T95" s="6">
        <v>20.1333333333333</v>
      </c>
    </row>
    <row r="96">
      <c r="A96" s="5" t="s">
        <v>42</v>
      </c>
      <c r="B96" s="17" t="s">
        <v>145</v>
      </c>
      <c r="C96" s="7" t="s">
        <v>51</v>
      </c>
      <c r="D96" s="8" t="s">
        <v>160</v>
      </c>
      <c r="E96" s="18">
        <v>45090.0</v>
      </c>
      <c r="F96" s="6">
        <v>8.0</v>
      </c>
      <c r="G96" s="6">
        <v>1.0</v>
      </c>
      <c r="H96" s="6">
        <v>5.0</v>
      </c>
      <c r="I96" s="6">
        <v>8.0</v>
      </c>
      <c r="J96" s="6">
        <v>5.0</v>
      </c>
      <c r="K96" s="10">
        <v>0.632520198822021</v>
      </c>
      <c r="L96" s="10">
        <v>0.187227547168731</v>
      </c>
      <c r="M96" s="10">
        <v>-0.0448508374392986</v>
      </c>
      <c r="N96" s="11">
        <v>-0.04485115</v>
      </c>
      <c r="O96" s="6">
        <f t="shared" si="1"/>
        <v>0.0000003125607014</v>
      </c>
      <c r="P96" s="6">
        <v>0.03125</v>
      </c>
      <c r="Q96" s="6">
        <v>0.064516129032258</v>
      </c>
      <c r="R96" s="6">
        <v>0.9195</v>
      </c>
      <c r="S96" s="6">
        <v>0.9195</v>
      </c>
      <c r="T96" s="6">
        <v>27.65</v>
      </c>
    </row>
    <row r="97">
      <c r="A97" s="5" t="s">
        <v>42</v>
      </c>
      <c r="B97" s="17" t="s">
        <v>145</v>
      </c>
      <c r="C97" s="7" t="s">
        <v>53</v>
      </c>
      <c r="D97" s="8" t="s">
        <v>161</v>
      </c>
      <c r="E97" s="18">
        <v>45090.0</v>
      </c>
      <c r="F97" s="6">
        <v>8.0</v>
      </c>
      <c r="G97" s="6">
        <v>8.0</v>
      </c>
      <c r="H97" s="6">
        <v>5.0</v>
      </c>
      <c r="I97" s="6">
        <v>8.0</v>
      </c>
      <c r="J97" s="6">
        <v>5.0</v>
      </c>
      <c r="K97" s="10">
        <v>0.641648828983306</v>
      </c>
      <c r="L97" s="10">
        <v>0.178097143769264</v>
      </c>
      <c r="M97" s="10">
        <v>-0.0184583067893981</v>
      </c>
      <c r="N97" s="11">
        <v>-0.018458288</v>
      </c>
      <c r="O97" s="6">
        <f t="shared" si="1"/>
        <v>-0.0000000187893981</v>
      </c>
      <c r="P97" s="6">
        <v>0.0</v>
      </c>
      <c r="Q97" s="6">
        <v>0.107142857142857</v>
      </c>
      <c r="R97" s="6">
        <v>0.8793</v>
      </c>
      <c r="S97" s="6">
        <v>0.8793</v>
      </c>
      <c r="T97" s="6">
        <v>20.1471264367816</v>
      </c>
    </row>
    <row r="98">
      <c r="A98" s="5" t="s">
        <v>42</v>
      </c>
      <c r="B98" s="17" t="s">
        <v>145</v>
      </c>
      <c r="C98" s="7" t="s">
        <v>55</v>
      </c>
      <c r="D98" s="8" t="s">
        <v>162</v>
      </c>
      <c r="E98" s="18">
        <v>45090.0</v>
      </c>
      <c r="F98" s="6">
        <v>1.0</v>
      </c>
      <c r="G98" s="6">
        <v>8.0</v>
      </c>
      <c r="H98" s="6">
        <v>5.0</v>
      </c>
      <c r="I98" s="6">
        <v>8.0</v>
      </c>
      <c r="J98" s="6">
        <v>5.0</v>
      </c>
      <c r="K98" s="10">
        <v>0.630082964897155</v>
      </c>
      <c r="L98" s="10">
        <v>0.172616690397262</v>
      </c>
      <c r="M98" s="10">
        <v>-0.0577361211180686</v>
      </c>
      <c r="N98" s="11">
        <v>-0.057736214</v>
      </c>
      <c r="O98" s="6">
        <f t="shared" si="1"/>
        <v>0.0000000928819314</v>
      </c>
      <c r="P98" s="6">
        <v>0.053333333333333</v>
      </c>
      <c r="Q98" s="6">
        <v>0.04054054054054</v>
      </c>
      <c r="R98" s="6">
        <v>0.8625</v>
      </c>
      <c r="S98" s="6">
        <v>0.8625</v>
      </c>
      <c r="T98" s="6">
        <v>21.9</v>
      </c>
    </row>
    <row r="99">
      <c r="A99" s="5" t="s">
        <v>42</v>
      </c>
      <c r="B99" s="17" t="s">
        <v>145</v>
      </c>
      <c r="C99" s="7" t="s">
        <v>57</v>
      </c>
      <c r="D99" s="8" t="s">
        <v>163</v>
      </c>
      <c r="E99" s="18">
        <v>45090.0</v>
      </c>
      <c r="F99" s="6">
        <v>8.0</v>
      </c>
      <c r="G99" s="6">
        <v>8.0</v>
      </c>
      <c r="H99" s="6">
        <v>5.0</v>
      </c>
      <c r="I99" s="6">
        <v>8.0</v>
      </c>
      <c r="J99" s="6">
        <v>5.0</v>
      </c>
      <c r="K99" s="10">
        <v>0.61196231842041</v>
      </c>
      <c r="L99" s="10">
        <v>0.142883658409118</v>
      </c>
      <c r="M99" s="10">
        <v>-0.13018874824047</v>
      </c>
      <c r="N99" s="11">
        <v>-0.13018863</v>
      </c>
      <c r="O99" s="6">
        <f t="shared" si="1"/>
        <v>-0.00000011824047</v>
      </c>
      <c r="P99" s="6">
        <v>0.055555555555555</v>
      </c>
      <c r="Q99" s="6">
        <v>0.058823529411764</v>
      </c>
      <c r="R99" s="6">
        <v>0.5911</v>
      </c>
      <c r="S99" s="6">
        <v>0.5911</v>
      </c>
      <c r="T99" s="6">
        <v>16.0888888888889</v>
      </c>
    </row>
    <row r="100">
      <c r="A100" s="5" t="s">
        <v>42</v>
      </c>
      <c r="B100" s="17" t="s">
        <v>145</v>
      </c>
      <c r="C100" s="7" t="s">
        <v>59</v>
      </c>
      <c r="D100" s="8" t="s">
        <v>164</v>
      </c>
      <c r="E100" s="18">
        <v>45090.0</v>
      </c>
      <c r="F100" s="6">
        <v>8.0</v>
      </c>
      <c r="G100" s="6">
        <v>8.0</v>
      </c>
      <c r="H100" s="6">
        <v>5.0</v>
      </c>
      <c r="I100" s="6">
        <v>8.0</v>
      </c>
      <c r="J100" s="6">
        <v>5.0</v>
      </c>
      <c r="K100" s="10">
        <v>0.623851895332336</v>
      </c>
      <c r="L100" s="10">
        <v>0.186450496315956</v>
      </c>
      <c r="M100" s="10">
        <v>-0.0622261762619018</v>
      </c>
      <c r="N100" s="11">
        <v>-0.06222625</v>
      </c>
      <c r="O100" s="6">
        <f t="shared" si="1"/>
        <v>0.0000000737380982</v>
      </c>
      <c r="P100" s="6">
        <v>0.065217391304347</v>
      </c>
      <c r="Q100" s="6">
        <v>0.116279069767441</v>
      </c>
      <c r="R100" s="6">
        <v>0.7003</v>
      </c>
      <c r="S100" s="6">
        <v>0.7003</v>
      </c>
      <c r="T100" s="6">
        <v>24.8521739130435</v>
      </c>
    </row>
    <row r="101">
      <c r="A101" s="5" t="s">
        <v>42</v>
      </c>
      <c r="B101" s="17" t="s">
        <v>145</v>
      </c>
      <c r="C101" s="7" t="s">
        <v>61</v>
      </c>
      <c r="D101" s="8" t="s">
        <v>165</v>
      </c>
      <c r="E101" s="18">
        <v>45090.0</v>
      </c>
      <c r="F101" s="6">
        <v>1.0</v>
      </c>
      <c r="G101" s="6">
        <v>8.0</v>
      </c>
      <c r="H101" s="6">
        <v>5.0</v>
      </c>
      <c r="I101" s="6">
        <v>8.0</v>
      </c>
      <c r="J101" s="6">
        <v>5.0</v>
      </c>
      <c r="K101" s="10">
        <v>0.628007054328918</v>
      </c>
      <c r="L101" s="10">
        <v>0.164750501513481</v>
      </c>
      <c r="M101" s="10">
        <v>-0.0528583824634552</v>
      </c>
      <c r="N101" s="11">
        <v>-0.052858356</v>
      </c>
      <c r="O101" s="6">
        <f t="shared" si="1"/>
        <v>-0.0000000264634552</v>
      </c>
      <c r="P101" s="6">
        <v>0.0</v>
      </c>
      <c r="Q101" s="6">
        <v>0.065217391304347</v>
      </c>
      <c r="R101" s="6">
        <v>0.9223</v>
      </c>
      <c r="S101" s="6">
        <v>0.9223</v>
      </c>
      <c r="T101" s="6">
        <v>18.778231292517</v>
      </c>
    </row>
    <row r="102">
      <c r="A102" s="5" t="s">
        <v>63</v>
      </c>
      <c r="B102" s="17" t="s">
        <v>145</v>
      </c>
      <c r="C102" s="7" t="s">
        <v>64</v>
      </c>
      <c r="D102" s="8" t="s">
        <v>166</v>
      </c>
      <c r="E102" s="18">
        <v>45090.0</v>
      </c>
      <c r="F102" s="6">
        <v>8.0</v>
      </c>
      <c r="G102" s="6">
        <v>8.0</v>
      </c>
      <c r="H102" s="6">
        <v>5.0</v>
      </c>
      <c r="I102" s="6">
        <v>8.0</v>
      </c>
      <c r="J102" s="6">
        <v>5.0</v>
      </c>
      <c r="K102" s="10">
        <v>0.62839138507843</v>
      </c>
      <c r="L102" s="10">
        <v>0.146764367818832</v>
      </c>
      <c r="M102" s="10">
        <v>-0.152310982346534</v>
      </c>
      <c r="N102" s="11">
        <v>-0.15231103</v>
      </c>
      <c r="O102" s="6">
        <f t="shared" si="1"/>
        <v>0.00000004765346598</v>
      </c>
      <c r="P102" s="6">
        <v>0.0</v>
      </c>
      <c r="Q102" s="6">
        <v>0.09090909090909</v>
      </c>
      <c r="R102" s="6">
        <v>0.4767</v>
      </c>
      <c r="S102" s="6">
        <v>0.4767</v>
      </c>
      <c r="T102" s="6">
        <v>21.9913043478261</v>
      </c>
    </row>
    <row r="103">
      <c r="A103" s="5" t="s">
        <v>63</v>
      </c>
      <c r="B103" s="17" t="s">
        <v>145</v>
      </c>
      <c r="C103" s="7" t="s">
        <v>66</v>
      </c>
      <c r="D103" s="8" t="s">
        <v>167</v>
      </c>
      <c r="E103" s="18">
        <v>45090.0</v>
      </c>
      <c r="F103" s="6">
        <v>8.0</v>
      </c>
      <c r="G103" s="6">
        <v>8.0</v>
      </c>
      <c r="H103" s="6">
        <v>5.0</v>
      </c>
      <c r="I103" s="6">
        <v>8.0</v>
      </c>
      <c r="J103" s="6">
        <v>1.0</v>
      </c>
      <c r="K103" s="10">
        <v>0.631203770637512</v>
      </c>
      <c r="L103" s="10">
        <v>0.157903164625167</v>
      </c>
      <c r="M103" s="10">
        <v>-0.290982842445373</v>
      </c>
      <c r="N103" s="11">
        <v>-0.29098284</v>
      </c>
      <c r="O103" s="6">
        <f t="shared" si="1"/>
        <v>-0.00000000244537296</v>
      </c>
      <c r="P103" s="6">
        <v>0.0</v>
      </c>
      <c r="Q103" s="6">
        <v>0.12</v>
      </c>
      <c r="R103" s="6">
        <v>0.8843</v>
      </c>
      <c r="S103" s="6">
        <v>0.8843</v>
      </c>
      <c r="T103" s="6">
        <v>18.5647058823529</v>
      </c>
    </row>
    <row r="104">
      <c r="A104" s="5" t="s">
        <v>63</v>
      </c>
      <c r="B104" s="17" t="s">
        <v>145</v>
      </c>
      <c r="C104" s="7" t="s">
        <v>68</v>
      </c>
      <c r="D104" s="8" t="s">
        <v>168</v>
      </c>
      <c r="E104" s="18">
        <v>45090.0</v>
      </c>
      <c r="F104" s="6">
        <v>1.0</v>
      </c>
      <c r="G104" s="6">
        <v>8.0</v>
      </c>
      <c r="H104" s="6">
        <v>5.0</v>
      </c>
      <c r="I104" s="6">
        <v>8.0</v>
      </c>
      <c r="J104" s="6">
        <v>5.0</v>
      </c>
      <c r="K104" s="10">
        <v>0.632964551448822</v>
      </c>
      <c r="L104" s="10">
        <v>0.174381777644157</v>
      </c>
      <c r="M104" s="10">
        <v>-0.2234708070755</v>
      </c>
      <c r="N104" s="11">
        <v>-0.22347078</v>
      </c>
      <c r="O104" s="6">
        <f t="shared" si="1"/>
        <v>-0.00000002707549998</v>
      </c>
      <c r="P104" s="6">
        <v>0.033333333333333</v>
      </c>
      <c r="Q104" s="6">
        <v>0.084745762711864</v>
      </c>
      <c r="R104" s="6">
        <v>0.8173</v>
      </c>
      <c r="S104" s="6">
        <v>0.8173</v>
      </c>
      <c r="T104" s="6">
        <v>20.0</v>
      </c>
    </row>
    <row r="105">
      <c r="A105" s="5" t="s">
        <v>63</v>
      </c>
      <c r="B105" s="17" t="s">
        <v>145</v>
      </c>
      <c r="C105" s="7" t="s">
        <v>70</v>
      </c>
      <c r="D105" s="8" t="s">
        <v>169</v>
      </c>
      <c r="E105" s="18">
        <v>45090.0</v>
      </c>
      <c r="F105" s="6">
        <v>8.0</v>
      </c>
      <c r="G105" s="6">
        <v>8.0</v>
      </c>
      <c r="H105" s="6">
        <v>5.0</v>
      </c>
      <c r="I105" s="6">
        <v>8.0</v>
      </c>
      <c r="J105" s="6">
        <v>5.0</v>
      </c>
      <c r="K105" s="10">
        <v>0.637286365032196</v>
      </c>
      <c r="L105" s="10">
        <v>0.1792943328619</v>
      </c>
      <c r="M105" s="10">
        <v>0.0274481885135173</v>
      </c>
      <c r="N105" s="11">
        <v>0.027448345</v>
      </c>
      <c r="O105" s="6">
        <f t="shared" si="1"/>
        <v>-0.0000001564864827</v>
      </c>
      <c r="P105" s="6">
        <v>0.0</v>
      </c>
      <c r="Q105" s="6">
        <v>0.09090909090909</v>
      </c>
      <c r="R105" s="6">
        <v>0.9153</v>
      </c>
      <c r="S105" s="6">
        <v>0.9153</v>
      </c>
      <c r="T105" s="6">
        <v>22.8888888888889</v>
      </c>
    </row>
    <row r="106">
      <c r="A106" s="5" t="s">
        <v>63</v>
      </c>
      <c r="B106" s="17" t="s">
        <v>145</v>
      </c>
      <c r="C106" s="7" t="s">
        <v>72</v>
      </c>
      <c r="D106" s="8" t="s">
        <v>170</v>
      </c>
      <c r="E106" s="18">
        <v>45090.0</v>
      </c>
      <c r="F106" s="6">
        <v>8.0</v>
      </c>
      <c r="G106" s="6">
        <v>8.0</v>
      </c>
      <c r="H106" s="6">
        <v>5.0</v>
      </c>
      <c r="I106" s="6">
        <v>8.0</v>
      </c>
      <c r="J106" s="6">
        <v>1.0</v>
      </c>
      <c r="K106" s="10">
        <v>0.647212505340576</v>
      </c>
      <c r="L106" s="10">
        <v>0.173711732029914</v>
      </c>
      <c r="M106" s="10">
        <v>0.0103708729147911</v>
      </c>
      <c r="N106" s="11">
        <v>0.010370649</v>
      </c>
      <c r="O106" s="6">
        <f t="shared" si="1"/>
        <v>0.0000002239147911</v>
      </c>
      <c r="P106" s="6">
        <v>0.0</v>
      </c>
      <c r="Q106" s="6">
        <v>0.074074074074074</v>
      </c>
      <c r="R106" s="6">
        <v>0.7964</v>
      </c>
      <c r="S106" s="6">
        <v>0.7964</v>
      </c>
      <c r="T106" s="6">
        <v>14.2888888888889</v>
      </c>
    </row>
    <row r="107">
      <c r="A107" s="5" t="s">
        <v>63</v>
      </c>
      <c r="B107" s="17" t="s">
        <v>145</v>
      </c>
      <c r="C107" s="7" t="s">
        <v>74</v>
      </c>
      <c r="D107" s="8" t="s">
        <v>171</v>
      </c>
      <c r="E107" s="18">
        <v>45090.0</v>
      </c>
      <c r="F107" s="6">
        <v>1.0</v>
      </c>
      <c r="G107" s="6">
        <v>8.0</v>
      </c>
      <c r="H107" s="6">
        <v>5.0</v>
      </c>
      <c r="I107" s="6">
        <v>8.0</v>
      </c>
      <c r="J107" s="6">
        <v>5.0</v>
      </c>
      <c r="K107" s="10">
        <v>0.641770303249359</v>
      </c>
      <c r="L107" s="10">
        <v>0.176375970244407</v>
      </c>
      <c r="M107" s="10">
        <v>-0.140001565217971</v>
      </c>
      <c r="N107" s="11">
        <v>-0.14000168</v>
      </c>
      <c r="O107" s="6">
        <f t="shared" si="1"/>
        <v>0.000000114782029</v>
      </c>
      <c r="P107" s="6">
        <v>0.0</v>
      </c>
      <c r="Q107" s="6">
        <v>0.114285714285714</v>
      </c>
      <c r="R107" s="6">
        <v>0.6597</v>
      </c>
      <c r="S107" s="6">
        <v>0.6597</v>
      </c>
      <c r="T107" s="6">
        <v>21.6444444444444</v>
      </c>
    </row>
    <row r="108">
      <c r="A108" s="5" t="s">
        <v>63</v>
      </c>
      <c r="B108" s="17" t="s">
        <v>145</v>
      </c>
      <c r="C108" s="7" t="s">
        <v>76</v>
      </c>
      <c r="D108" s="8" t="s">
        <v>172</v>
      </c>
      <c r="E108" s="18">
        <v>45090.0</v>
      </c>
      <c r="F108" s="6">
        <v>8.0</v>
      </c>
      <c r="G108" s="6">
        <v>8.0</v>
      </c>
      <c r="H108" s="6">
        <v>5.0</v>
      </c>
      <c r="I108" s="6">
        <v>8.0</v>
      </c>
      <c r="J108" s="6">
        <v>5.0</v>
      </c>
      <c r="K108" s="10">
        <v>0.621687591075897</v>
      </c>
      <c r="L108" s="10">
        <v>0.143515706062316</v>
      </c>
      <c r="M108" s="10">
        <v>0.0287965349853038</v>
      </c>
      <c r="N108" s="11">
        <v>0.028796382</v>
      </c>
      <c r="O108" s="6">
        <f t="shared" si="1"/>
        <v>0.0000001529853038</v>
      </c>
      <c r="P108" s="6">
        <v>0.050691244239631</v>
      </c>
      <c r="Q108" s="6">
        <v>0.068965517241379</v>
      </c>
      <c r="R108" s="6">
        <v>0.9959</v>
      </c>
      <c r="S108" s="6">
        <v>0.9959</v>
      </c>
      <c r="T108" s="6">
        <v>15.7685714285714</v>
      </c>
    </row>
    <row r="109">
      <c r="A109" s="5" t="s">
        <v>63</v>
      </c>
      <c r="B109" s="17" t="s">
        <v>145</v>
      </c>
      <c r="C109" s="7" t="s">
        <v>78</v>
      </c>
      <c r="D109" s="8" t="s">
        <v>173</v>
      </c>
      <c r="E109" s="18">
        <v>45090.0</v>
      </c>
      <c r="F109" s="6">
        <v>8.0</v>
      </c>
      <c r="G109" s="6">
        <v>1.0</v>
      </c>
      <c r="H109" s="6">
        <v>5.0</v>
      </c>
      <c r="I109" s="6">
        <v>8.0</v>
      </c>
      <c r="J109" s="6">
        <v>5.0</v>
      </c>
      <c r="K109" s="10">
        <v>0.6244558095932</v>
      </c>
      <c r="L109" s="10">
        <v>0.150313511490821</v>
      </c>
      <c r="M109" s="10">
        <v>-0.0315964259207248</v>
      </c>
      <c r="N109" s="11">
        <v>-0.031596478</v>
      </c>
      <c r="O109" s="6">
        <f t="shared" si="1"/>
        <v>0.0000000520792752</v>
      </c>
      <c r="P109" s="6">
        <v>0.027397260273972</v>
      </c>
      <c r="Q109" s="6">
        <v>0.071428571428571</v>
      </c>
      <c r="R109" s="6">
        <v>0.9771</v>
      </c>
      <c r="S109" s="6">
        <v>0.9771</v>
      </c>
      <c r="T109" s="6">
        <v>18.8068493150685</v>
      </c>
    </row>
    <row r="110">
      <c r="A110" s="5" t="s">
        <v>63</v>
      </c>
      <c r="B110" s="17" t="s">
        <v>145</v>
      </c>
      <c r="C110" s="7" t="s">
        <v>80</v>
      </c>
      <c r="D110" s="8" t="s">
        <v>174</v>
      </c>
      <c r="E110" s="18">
        <v>45090.0</v>
      </c>
      <c r="F110" s="6">
        <v>1.0</v>
      </c>
      <c r="G110" s="6">
        <v>8.0</v>
      </c>
      <c r="H110" s="6">
        <v>5.0</v>
      </c>
      <c r="I110" s="6">
        <v>8.0</v>
      </c>
      <c r="J110" s="6">
        <v>5.0</v>
      </c>
      <c r="K110" s="10">
        <v>0.635185718536377</v>
      </c>
      <c r="L110" s="10">
        <v>0.168603643774986</v>
      </c>
      <c r="M110" s="10">
        <v>-0.108694165945053</v>
      </c>
      <c r="N110" s="11">
        <v>-0.10869435</v>
      </c>
      <c r="O110" s="6">
        <f t="shared" si="1"/>
        <v>0.000000184054947</v>
      </c>
      <c r="P110" s="6">
        <v>0.016949152542372</v>
      </c>
      <c r="Q110" s="6">
        <v>0.105263157894736</v>
      </c>
      <c r="R110" s="6">
        <v>0.8689</v>
      </c>
      <c r="S110" s="6">
        <v>0.8689</v>
      </c>
      <c r="T110" s="6">
        <v>20.7480225988701</v>
      </c>
    </row>
    <row r="111">
      <c r="A111" s="5" t="s">
        <v>63</v>
      </c>
      <c r="B111" s="17" t="s">
        <v>145</v>
      </c>
      <c r="C111" s="7" t="s">
        <v>82</v>
      </c>
      <c r="D111" s="8" t="s">
        <v>175</v>
      </c>
      <c r="E111" s="18">
        <v>45090.0</v>
      </c>
      <c r="F111" s="6">
        <v>1.0</v>
      </c>
      <c r="G111" s="6">
        <v>8.0</v>
      </c>
      <c r="H111" s="6">
        <v>5.0</v>
      </c>
      <c r="I111" s="6">
        <v>8.0</v>
      </c>
      <c r="J111" s="6">
        <v>5.0</v>
      </c>
      <c r="K111" s="10">
        <v>0.631182551383972</v>
      </c>
      <c r="L111" s="10">
        <v>0.158700630068779</v>
      </c>
      <c r="M111" s="10">
        <v>-0.21719978749752</v>
      </c>
      <c r="N111" s="11">
        <v>-0.21719955</v>
      </c>
      <c r="O111" s="6">
        <f t="shared" si="1"/>
        <v>-0.00000023749752</v>
      </c>
      <c r="P111" s="6">
        <v>0.029411764705882</v>
      </c>
      <c r="Q111" s="6">
        <v>0.076923076923076</v>
      </c>
      <c r="R111" s="6">
        <v>0.872</v>
      </c>
      <c r="S111" s="6">
        <v>0.872</v>
      </c>
      <c r="T111" s="6">
        <v>17.3019607843137</v>
      </c>
    </row>
    <row r="112">
      <c r="A112" s="5" t="s">
        <v>84</v>
      </c>
      <c r="B112" s="17" t="s">
        <v>145</v>
      </c>
      <c r="C112" s="7" t="s">
        <v>85</v>
      </c>
      <c r="D112" s="8" t="s">
        <v>176</v>
      </c>
      <c r="E112" s="18">
        <v>45090.0</v>
      </c>
      <c r="F112" s="6">
        <v>8.0</v>
      </c>
      <c r="G112" s="6">
        <v>8.0</v>
      </c>
      <c r="H112" s="6">
        <v>5.0</v>
      </c>
      <c r="I112" s="6">
        <v>8.0</v>
      </c>
      <c r="J112" s="6">
        <v>5.0</v>
      </c>
      <c r="K112" s="10">
        <v>0.614876985549926</v>
      </c>
      <c r="L112" s="10">
        <v>0.162312433123588</v>
      </c>
      <c r="M112" s="10">
        <v>-0.0128598362207412</v>
      </c>
      <c r="N112" s="11">
        <v>-0.012859736</v>
      </c>
      <c r="O112" s="6">
        <f t="shared" si="1"/>
        <v>-0.0000001002207412</v>
      </c>
      <c r="P112" s="6">
        <v>0.018518518518518</v>
      </c>
      <c r="Q112" s="6">
        <v>0.096153846153846</v>
      </c>
      <c r="R112" s="6">
        <v>0.9777</v>
      </c>
      <c r="S112" s="6">
        <v>0.9777</v>
      </c>
      <c r="T112" s="6">
        <v>22.7555555555556</v>
      </c>
    </row>
    <row r="113">
      <c r="A113" s="5" t="s">
        <v>84</v>
      </c>
      <c r="B113" s="17" t="s">
        <v>145</v>
      </c>
      <c r="C113" s="7" t="s">
        <v>87</v>
      </c>
      <c r="D113" s="8" t="s">
        <v>177</v>
      </c>
      <c r="E113" s="18">
        <v>45090.0</v>
      </c>
      <c r="F113" s="6">
        <v>8.0</v>
      </c>
      <c r="G113" s="6">
        <v>8.0</v>
      </c>
      <c r="H113" s="6">
        <v>5.0</v>
      </c>
      <c r="I113" s="6">
        <v>8.0</v>
      </c>
      <c r="J113" s="6">
        <v>5.0</v>
      </c>
      <c r="K113" s="10">
        <v>0.619695901870727</v>
      </c>
      <c r="L113" s="10">
        <v>0.160174921154975</v>
      </c>
      <c r="M113" s="10">
        <v>0.0337925888597965</v>
      </c>
      <c r="N113" s="11">
        <v>0.033792518</v>
      </c>
      <c r="O113" s="6">
        <f t="shared" si="1"/>
        <v>0.0000000708597965</v>
      </c>
      <c r="P113" s="6">
        <v>0.0</v>
      </c>
      <c r="Q113" s="6">
        <v>0.15</v>
      </c>
      <c r="R113" s="6">
        <v>0.814</v>
      </c>
      <c r="S113" s="6">
        <v>0.814</v>
      </c>
      <c r="T113" s="6">
        <v>17.6848484848485</v>
      </c>
    </row>
    <row r="114">
      <c r="A114" s="5" t="s">
        <v>84</v>
      </c>
      <c r="B114" s="17" t="s">
        <v>145</v>
      </c>
      <c r="C114" s="7" t="s">
        <v>89</v>
      </c>
      <c r="D114" s="8" t="s">
        <v>178</v>
      </c>
      <c r="E114" s="18">
        <v>45090.0</v>
      </c>
      <c r="F114" s="6">
        <v>8.0</v>
      </c>
      <c r="G114" s="6">
        <v>8.0</v>
      </c>
      <c r="H114" s="6">
        <v>5.0</v>
      </c>
      <c r="I114" s="6">
        <v>8.0</v>
      </c>
      <c r="J114" s="6">
        <v>5.0</v>
      </c>
      <c r="K114" s="10">
        <v>0.62457662820816</v>
      </c>
      <c r="L114" s="10">
        <v>0.150887310504913</v>
      </c>
      <c r="M114" s="10">
        <v>-0.20569209754467</v>
      </c>
      <c r="N114" s="11">
        <v>-0.20569193</v>
      </c>
      <c r="O114" s="6">
        <f t="shared" si="1"/>
        <v>-0.00000016754467</v>
      </c>
      <c r="P114" s="6">
        <v>0.0</v>
      </c>
      <c r="Q114" s="6">
        <v>0.102564102564102</v>
      </c>
      <c r="R114" s="6">
        <v>0.6023</v>
      </c>
      <c r="S114" s="6">
        <v>0.6023</v>
      </c>
      <c r="T114" s="6">
        <v>24.0032520325203</v>
      </c>
    </row>
    <row r="115">
      <c r="A115" s="5" t="s">
        <v>84</v>
      </c>
      <c r="B115" s="17" t="s">
        <v>145</v>
      </c>
      <c r="C115" s="7" t="s">
        <v>91</v>
      </c>
      <c r="D115" s="8" t="s">
        <v>179</v>
      </c>
      <c r="E115" s="18">
        <v>45090.0</v>
      </c>
      <c r="F115" s="6">
        <v>8.0</v>
      </c>
      <c r="G115" s="6">
        <v>1.0</v>
      </c>
      <c r="H115" s="6">
        <v>5.0</v>
      </c>
      <c r="I115" s="6">
        <v>8.0</v>
      </c>
      <c r="J115" s="6">
        <v>5.0</v>
      </c>
      <c r="K115" s="10">
        <v>0.619874000549316</v>
      </c>
      <c r="L115" s="10">
        <v>0.158934786915779</v>
      </c>
      <c r="M115" s="10">
        <v>0.132971465587615</v>
      </c>
      <c r="N115" s="11">
        <v>0.13297124</v>
      </c>
      <c r="O115" s="6">
        <f t="shared" si="1"/>
        <v>0.000000225587615</v>
      </c>
      <c r="P115" s="6">
        <v>0.0</v>
      </c>
      <c r="Q115" s="6">
        <v>0.088235294117647</v>
      </c>
      <c r="R115" s="6">
        <v>0.4836</v>
      </c>
      <c r="S115" s="6">
        <v>0.4836</v>
      </c>
      <c r="T115" s="6">
        <v>18.9873873873874</v>
      </c>
    </row>
    <row r="116">
      <c r="A116" s="5" t="s">
        <v>84</v>
      </c>
      <c r="B116" s="17" t="s">
        <v>145</v>
      </c>
      <c r="C116" s="7" t="s">
        <v>93</v>
      </c>
      <c r="D116" s="8" t="s">
        <v>180</v>
      </c>
      <c r="E116" s="18">
        <v>45090.0</v>
      </c>
      <c r="F116" s="6">
        <v>8.0</v>
      </c>
      <c r="G116" s="6">
        <v>1.0</v>
      </c>
      <c r="H116" s="6">
        <v>5.0</v>
      </c>
      <c r="I116" s="6">
        <v>8.0</v>
      </c>
      <c r="J116" s="6">
        <v>5.0</v>
      </c>
      <c r="K116" s="10">
        <v>0.631210207939148</v>
      </c>
      <c r="L116" s="10">
        <v>0.162985876202583</v>
      </c>
      <c r="M116" s="10">
        <v>-0.102347150444984</v>
      </c>
      <c r="N116" s="11">
        <v>-0.10234735</v>
      </c>
      <c r="O116" s="6">
        <f t="shared" si="1"/>
        <v>0.000000199555016</v>
      </c>
      <c r="P116" s="6">
        <v>0.0</v>
      </c>
      <c r="Q116" s="6">
        <v>0.070175438596491</v>
      </c>
      <c r="R116" s="6">
        <v>0.4215</v>
      </c>
      <c r="S116" s="6">
        <v>0.4215</v>
      </c>
      <c r="T116" s="6">
        <v>17.9032786885246</v>
      </c>
    </row>
    <row r="117">
      <c r="A117" s="5" t="s">
        <v>84</v>
      </c>
      <c r="B117" s="17" t="s">
        <v>145</v>
      </c>
      <c r="C117" s="7" t="s">
        <v>95</v>
      </c>
      <c r="D117" s="8" t="s">
        <v>181</v>
      </c>
      <c r="E117" s="18">
        <v>45090.0</v>
      </c>
      <c r="F117" s="6">
        <v>8.0</v>
      </c>
      <c r="G117" s="6">
        <v>8.0</v>
      </c>
      <c r="H117" s="6">
        <v>5.0</v>
      </c>
      <c r="I117" s="6">
        <v>8.0</v>
      </c>
      <c r="J117" s="6">
        <v>1.0</v>
      </c>
      <c r="K117" s="10">
        <v>0.628872036933898</v>
      </c>
      <c r="L117" s="10">
        <v>0.161643922328948</v>
      </c>
      <c r="M117" s="10">
        <v>-0.222080826759338</v>
      </c>
      <c r="N117" s="11">
        <v>-0.22208123</v>
      </c>
      <c r="O117" s="6">
        <f t="shared" si="1"/>
        <v>0.000000403240662</v>
      </c>
      <c r="P117" s="6">
        <v>0.032786885245901</v>
      </c>
      <c r="Q117" s="6">
        <v>0.066666666666666</v>
      </c>
      <c r="R117" s="6">
        <v>0.4767</v>
      </c>
      <c r="S117" s="6">
        <v>0.4767</v>
      </c>
      <c r="T117" s="6">
        <v>18.6251366120219</v>
      </c>
    </row>
    <row r="118">
      <c r="A118" s="5" t="s">
        <v>84</v>
      </c>
      <c r="B118" s="17" t="s">
        <v>145</v>
      </c>
      <c r="C118" s="7" t="s">
        <v>97</v>
      </c>
      <c r="D118" s="8" t="s">
        <v>182</v>
      </c>
      <c r="E118" s="18">
        <v>45090.0</v>
      </c>
      <c r="F118" s="6">
        <v>8.0</v>
      </c>
      <c r="G118" s="6">
        <v>1.0</v>
      </c>
      <c r="H118" s="6">
        <v>5.0</v>
      </c>
      <c r="I118" s="6">
        <v>8.0</v>
      </c>
      <c r="J118" s="6">
        <v>5.0</v>
      </c>
      <c r="K118" s="10">
        <v>0.614640951156616</v>
      </c>
      <c r="L118" s="10">
        <v>0.155708238482475</v>
      </c>
      <c r="M118" s="10">
        <v>-0.00677087530493736</v>
      </c>
      <c r="N118" s="11">
        <v>-0.0067709084</v>
      </c>
      <c r="O118" s="6">
        <f t="shared" si="1"/>
        <v>0.00000003309506264</v>
      </c>
      <c r="P118" s="6">
        <v>0.069444444444444</v>
      </c>
      <c r="Q118" s="6">
        <v>0.088235294117647</v>
      </c>
      <c r="R118" s="6">
        <v>0.9587</v>
      </c>
      <c r="S118" s="6">
        <v>0.9587</v>
      </c>
      <c r="T118" s="6">
        <v>19.9777777777778</v>
      </c>
    </row>
    <row r="119">
      <c r="A119" s="5" t="s">
        <v>84</v>
      </c>
      <c r="B119" s="17" t="s">
        <v>145</v>
      </c>
      <c r="C119" s="7" t="s">
        <v>99</v>
      </c>
      <c r="D119" s="8" t="s">
        <v>183</v>
      </c>
      <c r="E119" s="18">
        <v>45090.0</v>
      </c>
      <c r="F119" s="6">
        <v>8.0</v>
      </c>
      <c r="G119" s="6">
        <v>8.0</v>
      </c>
      <c r="H119" s="6">
        <v>5.0</v>
      </c>
      <c r="I119" s="6">
        <v>8.0</v>
      </c>
      <c r="J119" s="6">
        <v>5.0</v>
      </c>
      <c r="K119" s="10">
        <v>0.630290687084198</v>
      </c>
      <c r="L119" s="10">
        <v>0.151933774352073</v>
      </c>
      <c r="M119" s="10">
        <v>-0.216916859149932</v>
      </c>
      <c r="N119" s="11">
        <v>-0.21691702</v>
      </c>
      <c r="O119" s="6">
        <f t="shared" si="1"/>
        <v>0.000000160850068</v>
      </c>
      <c r="P119" s="6">
        <v>0.016129032258064</v>
      </c>
      <c r="Q119" s="6">
        <v>0.083333333333333</v>
      </c>
      <c r="R119" s="6">
        <v>0.8795</v>
      </c>
      <c r="S119" s="6">
        <v>0.8795</v>
      </c>
      <c r="T119" s="6">
        <v>25.0408602150538</v>
      </c>
    </row>
    <row r="120">
      <c r="A120" s="5" t="s">
        <v>84</v>
      </c>
      <c r="B120" s="17" t="s">
        <v>145</v>
      </c>
      <c r="C120" s="7" t="s">
        <v>101</v>
      </c>
      <c r="D120" s="8" t="s">
        <v>184</v>
      </c>
      <c r="E120" s="18">
        <v>45090.0</v>
      </c>
      <c r="F120" s="6">
        <v>1.0</v>
      </c>
      <c r="G120" s="6">
        <v>1.0</v>
      </c>
      <c r="H120" s="6">
        <v>5.0</v>
      </c>
      <c r="I120" s="6">
        <v>8.0</v>
      </c>
      <c r="J120" s="6">
        <v>5.0</v>
      </c>
      <c r="K120" s="10">
        <v>0.63245552778244</v>
      </c>
      <c r="L120" s="10">
        <v>0.1473298817873</v>
      </c>
      <c r="M120" s="10">
        <v>0.0170359835028648</v>
      </c>
      <c r="N120" s="11">
        <v>0.017035622</v>
      </c>
      <c r="O120" s="6">
        <f t="shared" si="1"/>
        <v>0.0000003615028648</v>
      </c>
      <c r="P120" s="6">
        <v>0.0</v>
      </c>
      <c r="Q120" s="6">
        <v>0.125</v>
      </c>
      <c r="R120" s="6">
        <v>0.128</v>
      </c>
      <c r="S120" s="6">
        <v>0.128</v>
      </c>
      <c r="T120" s="6">
        <v>21.5472868217054</v>
      </c>
    </row>
    <row r="121">
      <c r="A121" s="5" t="s">
        <v>84</v>
      </c>
      <c r="B121" s="17" t="s">
        <v>145</v>
      </c>
      <c r="C121" s="7" t="s">
        <v>103</v>
      </c>
      <c r="D121" s="8" t="s">
        <v>185</v>
      </c>
      <c r="E121" s="18">
        <v>45090.0</v>
      </c>
      <c r="F121" s="6">
        <v>8.0</v>
      </c>
      <c r="G121" s="6">
        <v>8.0</v>
      </c>
      <c r="H121" s="6">
        <v>5.0</v>
      </c>
      <c r="I121" s="6">
        <v>8.0</v>
      </c>
      <c r="J121" s="6">
        <v>5.0</v>
      </c>
      <c r="K121" s="10">
        <v>0.617277979850769</v>
      </c>
      <c r="L121" s="10">
        <v>0.167792454361915</v>
      </c>
      <c r="M121" s="10">
        <v>-0.0768565088510513</v>
      </c>
      <c r="N121" s="11">
        <v>-0.07685646</v>
      </c>
      <c r="O121" s="6">
        <f t="shared" si="1"/>
        <v>-0.0000000488510513</v>
      </c>
      <c r="P121" s="6">
        <v>0.013698630136986</v>
      </c>
      <c r="Q121" s="6">
        <v>0.08695652173913</v>
      </c>
      <c r="R121" s="6">
        <v>0.8342</v>
      </c>
      <c r="S121" s="6">
        <v>0.8342</v>
      </c>
      <c r="T121" s="6">
        <v>22.3360730593607</v>
      </c>
    </row>
    <row r="122">
      <c r="A122" s="5" t="s">
        <v>20</v>
      </c>
      <c r="B122" s="6" t="s">
        <v>186</v>
      </c>
      <c r="C122" s="12" t="s">
        <v>22</v>
      </c>
      <c r="D122" s="8" t="s">
        <v>187</v>
      </c>
      <c r="E122" s="20">
        <v>45236.0</v>
      </c>
      <c r="F122" s="6">
        <v>6.0</v>
      </c>
      <c r="G122" s="6">
        <v>2.0</v>
      </c>
      <c r="H122" s="6">
        <v>2.0</v>
      </c>
      <c r="I122" s="6">
        <v>2.0</v>
      </c>
      <c r="J122" s="6">
        <v>1.0</v>
      </c>
      <c r="K122" s="10">
        <v>0.634072244167327</v>
      </c>
      <c r="L122" s="10">
        <v>0.147377058863639</v>
      </c>
      <c r="M122" s="10">
        <v>-0.175729095935821</v>
      </c>
      <c r="N122" s="11">
        <v>-0.17572922</v>
      </c>
      <c r="O122" s="6">
        <f t="shared" si="1"/>
        <v>0.000000124064179</v>
      </c>
      <c r="P122" s="6">
        <v>0.028571428571428</v>
      </c>
      <c r="Q122" s="6">
        <v>0.147058823529411</v>
      </c>
      <c r="R122" s="6">
        <v>0.6369</v>
      </c>
      <c r="S122" s="6">
        <v>0.6369</v>
      </c>
      <c r="T122" s="6">
        <v>13.8095238095238</v>
      </c>
    </row>
    <row r="123">
      <c r="A123" s="5" t="s">
        <v>20</v>
      </c>
      <c r="B123" s="6" t="s">
        <v>186</v>
      </c>
      <c r="C123" s="12" t="s">
        <v>24</v>
      </c>
      <c r="D123" s="8" t="s">
        <v>188</v>
      </c>
      <c r="E123" s="20">
        <v>45236.0</v>
      </c>
      <c r="F123" s="6">
        <v>1.0</v>
      </c>
      <c r="G123" s="6">
        <v>2.0</v>
      </c>
      <c r="H123" s="6">
        <v>7.0</v>
      </c>
      <c r="I123" s="6">
        <v>2.0</v>
      </c>
      <c r="J123" s="6">
        <v>1.0</v>
      </c>
      <c r="K123" s="10">
        <v>0.626808762550354</v>
      </c>
      <c r="L123" s="10">
        <v>0.166860148310661</v>
      </c>
      <c r="M123" s="10">
        <v>0.0765316486358642</v>
      </c>
      <c r="N123" s="11">
        <v>0.07653155</v>
      </c>
      <c r="O123" s="6">
        <f t="shared" si="1"/>
        <v>0.0000000986358642</v>
      </c>
      <c r="P123" s="6">
        <v>0.0</v>
      </c>
      <c r="Q123" s="6">
        <v>0.037735849056603</v>
      </c>
      <c r="R123" s="6">
        <v>0.9393</v>
      </c>
      <c r="S123" s="6">
        <v>0.9393</v>
      </c>
      <c r="T123" s="6">
        <v>16.8296296296296</v>
      </c>
    </row>
    <row r="124">
      <c r="A124" s="5" t="s">
        <v>20</v>
      </c>
      <c r="B124" s="6" t="s">
        <v>186</v>
      </c>
      <c r="C124" s="13" t="s">
        <v>26</v>
      </c>
      <c r="D124" s="21" t="s">
        <v>189</v>
      </c>
      <c r="E124" s="20">
        <v>45236.0</v>
      </c>
      <c r="F124" s="6">
        <v>6.0</v>
      </c>
      <c r="G124" s="6">
        <v>2.0</v>
      </c>
      <c r="H124" s="6">
        <v>2.0</v>
      </c>
      <c r="I124" s="6">
        <v>2.0</v>
      </c>
      <c r="J124" s="6">
        <v>1.0</v>
      </c>
      <c r="K124" s="14">
        <v>0.631543636322021</v>
      </c>
      <c r="L124" s="14">
        <v>0.182507902383804</v>
      </c>
      <c r="M124" s="14">
        <v>-0.0482971668243408</v>
      </c>
      <c r="N124" s="11">
        <v>-0.04829709</v>
      </c>
      <c r="O124" s="6">
        <f t="shared" si="1"/>
        <v>-0.0000000768243408</v>
      </c>
      <c r="P124" s="5">
        <v>0.022727272727272</v>
      </c>
      <c r="Q124" s="6">
        <v>0.113636363636363</v>
      </c>
      <c r="R124" s="6">
        <v>0.8442</v>
      </c>
      <c r="S124" s="6">
        <v>0.8442</v>
      </c>
      <c r="T124" s="6">
        <v>17.6848484848485</v>
      </c>
    </row>
    <row r="125">
      <c r="A125" s="5" t="s">
        <v>20</v>
      </c>
      <c r="B125" s="6" t="s">
        <v>186</v>
      </c>
      <c r="C125" s="12" t="s">
        <v>28</v>
      </c>
      <c r="D125" s="8" t="s">
        <v>190</v>
      </c>
      <c r="E125" s="20">
        <v>45236.0</v>
      </c>
      <c r="F125" s="6">
        <v>1.0</v>
      </c>
      <c r="G125" s="6">
        <v>6.0</v>
      </c>
      <c r="H125" s="6">
        <v>2.0</v>
      </c>
      <c r="I125" s="6">
        <v>2.0</v>
      </c>
      <c r="J125" s="6">
        <v>1.0</v>
      </c>
      <c r="K125" s="10">
        <v>0.628286123275756</v>
      </c>
      <c r="L125" s="10">
        <v>0.154981479048728</v>
      </c>
      <c r="M125" s="10">
        <v>-0.146538749337196</v>
      </c>
      <c r="N125" s="11">
        <v>-0.14653875</v>
      </c>
      <c r="O125" s="6">
        <f t="shared" si="1"/>
        <v>0.0000000006628040061</v>
      </c>
      <c r="P125" s="6">
        <v>0.047619047619047</v>
      </c>
      <c r="Q125" s="6">
        <v>0.170731707317073</v>
      </c>
      <c r="R125" s="6">
        <v>0.7003</v>
      </c>
      <c r="S125" s="6">
        <v>0.7003</v>
      </c>
      <c r="T125" s="6">
        <v>17.0285714285714</v>
      </c>
    </row>
    <row r="126">
      <c r="A126" s="5" t="s">
        <v>20</v>
      </c>
      <c r="B126" s="6" t="s">
        <v>186</v>
      </c>
      <c r="C126" s="12" t="s">
        <v>30</v>
      </c>
      <c r="D126" s="8" t="s">
        <v>191</v>
      </c>
      <c r="E126" s="20">
        <v>45236.0</v>
      </c>
      <c r="F126" s="6">
        <v>6.0</v>
      </c>
      <c r="G126" s="6">
        <v>6.0</v>
      </c>
      <c r="H126" s="6">
        <v>2.0</v>
      </c>
      <c r="I126" s="6">
        <v>2.0</v>
      </c>
      <c r="J126" s="6">
        <v>1.0</v>
      </c>
      <c r="K126" s="10">
        <v>0.619677007198333</v>
      </c>
      <c r="L126" s="10">
        <v>0.195104569196701</v>
      </c>
      <c r="M126" s="10">
        <v>-0.0475841462612152</v>
      </c>
      <c r="N126" s="11">
        <v>-0.047584344</v>
      </c>
      <c r="O126" s="6">
        <f t="shared" si="1"/>
        <v>0.0000001977387848</v>
      </c>
      <c r="P126" s="6">
        <v>0.023255813953488</v>
      </c>
      <c r="Q126" s="6">
        <v>0.1</v>
      </c>
      <c r="R126" s="6">
        <v>0.9509</v>
      </c>
      <c r="S126" s="6">
        <v>0.9509</v>
      </c>
      <c r="T126" s="6">
        <v>17.9023255813953</v>
      </c>
    </row>
    <row r="127">
      <c r="A127" s="5" t="s">
        <v>20</v>
      </c>
      <c r="B127" s="6" t="s">
        <v>186</v>
      </c>
      <c r="C127" s="12" t="s">
        <v>32</v>
      </c>
      <c r="D127" s="8" t="s">
        <v>192</v>
      </c>
      <c r="E127" s="20">
        <v>45236.0</v>
      </c>
      <c r="F127" s="6">
        <v>1.0</v>
      </c>
      <c r="G127" s="6">
        <v>2.0</v>
      </c>
      <c r="H127" s="6">
        <v>2.0</v>
      </c>
      <c r="I127" s="6">
        <v>2.0</v>
      </c>
      <c r="J127" s="6">
        <v>1.0</v>
      </c>
      <c r="K127" s="10">
        <v>0.602704286575317</v>
      </c>
      <c r="L127" s="10">
        <v>0.133690133690834</v>
      </c>
      <c r="M127" s="10">
        <v>-0.140259772539138</v>
      </c>
      <c r="N127" s="11">
        <v>-0.14025973</v>
      </c>
      <c r="O127" s="6">
        <f t="shared" si="1"/>
        <v>-0.00000004253913799</v>
      </c>
      <c r="P127" s="6">
        <v>0.020833333333333</v>
      </c>
      <c r="Q127" s="6">
        <v>0.108695652173913</v>
      </c>
      <c r="R127" s="6">
        <v>0.6369</v>
      </c>
      <c r="S127" s="6">
        <v>0.6369</v>
      </c>
      <c r="T127" s="6">
        <v>18.9</v>
      </c>
    </row>
    <row r="128">
      <c r="A128" s="5" t="s">
        <v>20</v>
      </c>
      <c r="B128" s="6" t="s">
        <v>186</v>
      </c>
      <c r="C128" s="12" t="s">
        <v>34</v>
      </c>
      <c r="D128" s="8" t="s">
        <v>193</v>
      </c>
      <c r="E128" s="20">
        <v>45236.0</v>
      </c>
      <c r="F128" s="6">
        <v>1.0</v>
      </c>
      <c r="G128" s="6">
        <v>6.0</v>
      </c>
      <c r="H128" s="6">
        <v>2.0</v>
      </c>
      <c r="I128" s="6">
        <v>2.0</v>
      </c>
      <c r="J128" s="6">
        <v>1.0</v>
      </c>
      <c r="K128" s="10">
        <v>0.628668785095214</v>
      </c>
      <c r="L128" s="10">
        <v>0.187584087252616</v>
      </c>
      <c r="M128" s="10">
        <v>0.0120420344173908</v>
      </c>
      <c r="N128" s="11">
        <v>0.012042202</v>
      </c>
      <c r="O128" s="6">
        <f t="shared" si="1"/>
        <v>-0.0000001675826092</v>
      </c>
      <c r="P128" s="6">
        <v>0.034482758620689</v>
      </c>
      <c r="Q128" s="6">
        <v>0.181818181818181</v>
      </c>
      <c r="R128" s="6">
        <v>0.8977</v>
      </c>
      <c r="S128" s="6">
        <v>0.8977</v>
      </c>
      <c r="T128" s="6">
        <v>16.1448275862069</v>
      </c>
    </row>
    <row r="129">
      <c r="A129" s="5" t="s">
        <v>20</v>
      </c>
      <c r="B129" s="6" t="s">
        <v>186</v>
      </c>
      <c r="C129" s="12" t="s">
        <v>36</v>
      </c>
      <c r="D129" s="8" t="s">
        <v>194</v>
      </c>
      <c r="E129" s="20">
        <v>45236.0</v>
      </c>
      <c r="F129" s="6">
        <v>6.0</v>
      </c>
      <c r="G129" s="6">
        <v>2.0</v>
      </c>
      <c r="H129" s="6">
        <v>2.0</v>
      </c>
      <c r="I129" s="6">
        <v>2.0</v>
      </c>
      <c r="J129" s="6">
        <v>1.0</v>
      </c>
      <c r="K129" s="10">
        <v>0.62275743484497</v>
      </c>
      <c r="L129" s="10">
        <v>0.165177568793296</v>
      </c>
      <c r="M129" s="10">
        <v>-0.116249032318592</v>
      </c>
      <c r="N129" s="11">
        <v>-0.11624891</v>
      </c>
      <c r="O129" s="6">
        <f t="shared" si="1"/>
        <v>-0.000000122318592</v>
      </c>
      <c r="P129" s="6">
        <v>0.01639344262295</v>
      </c>
      <c r="Q129" s="6">
        <v>0.101694915254237</v>
      </c>
      <c r="R129" s="6">
        <v>0.6369</v>
      </c>
      <c r="S129" s="6">
        <v>0.6369</v>
      </c>
      <c r="T129" s="6">
        <v>18.6251366120219</v>
      </c>
    </row>
    <row r="130">
      <c r="A130" s="5" t="s">
        <v>20</v>
      </c>
      <c r="B130" s="6" t="s">
        <v>186</v>
      </c>
      <c r="C130" s="12" t="s">
        <v>38</v>
      </c>
      <c r="D130" s="8" t="s">
        <v>195</v>
      </c>
      <c r="E130" s="20">
        <v>45236.0</v>
      </c>
      <c r="F130" s="6">
        <v>6.0</v>
      </c>
      <c r="G130" s="6">
        <v>2.0</v>
      </c>
      <c r="H130" s="6">
        <v>2.0</v>
      </c>
      <c r="I130" s="6">
        <v>2.0</v>
      </c>
      <c r="J130" s="6">
        <v>1.0</v>
      </c>
      <c r="K130" s="10">
        <v>0.630283176898956</v>
      </c>
      <c r="L130" s="10">
        <v>0.183428734540939</v>
      </c>
      <c r="M130" s="10">
        <v>-0.326376736164093</v>
      </c>
      <c r="N130" s="11">
        <v>-0.32637632</v>
      </c>
      <c r="O130" s="6">
        <f t="shared" si="1"/>
        <v>-0.000000416164093</v>
      </c>
      <c r="P130" s="6">
        <v>0.018867924528301</v>
      </c>
      <c r="Q130" s="6">
        <v>0.132075471698113</v>
      </c>
      <c r="R130" s="6">
        <v>0.8126</v>
      </c>
      <c r="S130" s="6">
        <v>0.8126</v>
      </c>
      <c r="T130" s="6">
        <v>24.4251572327044</v>
      </c>
    </row>
    <row r="131">
      <c r="A131" s="5" t="s">
        <v>20</v>
      </c>
      <c r="B131" s="6" t="s">
        <v>186</v>
      </c>
      <c r="C131" s="12" t="s">
        <v>40</v>
      </c>
      <c r="D131" s="8" t="s">
        <v>196</v>
      </c>
      <c r="E131" s="20">
        <v>45236.0</v>
      </c>
      <c r="F131" s="6">
        <v>6.0</v>
      </c>
      <c r="G131" s="6">
        <v>6.0</v>
      </c>
      <c r="H131" s="6">
        <v>7.0</v>
      </c>
      <c r="I131" s="6">
        <v>2.0</v>
      </c>
      <c r="J131" s="6">
        <v>1.0</v>
      </c>
      <c r="K131" s="10">
        <v>0.627725720405578</v>
      </c>
      <c r="L131" s="10">
        <v>0.182055339217185</v>
      </c>
      <c r="M131" s="10">
        <v>-0.180312409996986</v>
      </c>
      <c r="N131" s="11">
        <v>-0.18031235</v>
      </c>
      <c r="O131" s="6">
        <f t="shared" si="1"/>
        <v>-0.00000005999698599</v>
      </c>
      <c r="P131" s="6">
        <v>0.028985507246376</v>
      </c>
      <c r="Q131" s="6">
        <v>0.159420289855072</v>
      </c>
      <c r="R131" s="6">
        <v>0.9049</v>
      </c>
      <c r="S131" s="6">
        <v>0.9049</v>
      </c>
      <c r="T131" s="6">
        <v>17.9144927536232</v>
      </c>
    </row>
    <row r="132">
      <c r="A132" s="5" t="s">
        <v>42</v>
      </c>
      <c r="B132" s="6" t="s">
        <v>186</v>
      </c>
      <c r="C132" s="12" t="s">
        <v>43</v>
      </c>
      <c r="D132" s="8" t="s">
        <v>197</v>
      </c>
      <c r="E132" s="20">
        <v>45236.0</v>
      </c>
      <c r="F132" s="6">
        <v>1.0</v>
      </c>
      <c r="G132" s="6">
        <v>6.0</v>
      </c>
      <c r="H132" s="6">
        <v>2.0</v>
      </c>
      <c r="I132" s="6">
        <v>2.0</v>
      </c>
      <c r="J132" s="6">
        <v>1.0</v>
      </c>
      <c r="K132" s="10">
        <v>0.636253952980041</v>
      </c>
      <c r="L132" s="10">
        <v>0.201149016618728</v>
      </c>
      <c r="M132" s="10">
        <v>-0.029419757425785</v>
      </c>
      <c r="N132" s="11">
        <v>-0.02941974</v>
      </c>
      <c r="O132" s="6">
        <f t="shared" si="1"/>
        <v>-0.000000017425785</v>
      </c>
      <c r="P132" s="6">
        <v>0.041666666666666</v>
      </c>
      <c r="Q132" s="6">
        <v>0.065217391304347</v>
      </c>
      <c r="R132" s="6">
        <v>0.9744</v>
      </c>
      <c r="S132" s="6">
        <v>0.9744</v>
      </c>
      <c r="T132" s="6">
        <v>19.6</v>
      </c>
    </row>
    <row r="133">
      <c r="A133" s="5" t="s">
        <v>42</v>
      </c>
      <c r="B133" s="6" t="s">
        <v>186</v>
      </c>
      <c r="C133" s="12" t="s">
        <v>45</v>
      </c>
      <c r="D133" s="8" t="s">
        <v>198</v>
      </c>
      <c r="E133" s="20">
        <v>45236.0</v>
      </c>
      <c r="F133" s="6">
        <v>1.0</v>
      </c>
      <c r="G133" s="6">
        <v>2.0</v>
      </c>
      <c r="H133" s="6">
        <v>2.0</v>
      </c>
      <c r="I133" s="6">
        <v>2.0</v>
      </c>
      <c r="J133" s="6">
        <v>1.0</v>
      </c>
      <c r="K133" s="10">
        <v>0.624054372310638</v>
      </c>
      <c r="L133" s="10">
        <v>0.154494240880012</v>
      </c>
      <c r="M133" s="10">
        <v>-0.204015180468559</v>
      </c>
      <c r="N133" s="11">
        <v>-0.204015</v>
      </c>
      <c r="O133" s="6">
        <f t="shared" si="1"/>
        <v>-0.000000180468559</v>
      </c>
      <c r="P133" s="6">
        <v>0.048780487804878</v>
      </c>
      <c r="Q133" s="6">
        <v>0.102564102564102</v>
      </c>
      <c r="R133" s="6">
        <v>0.3182</v>
      </c>
      <c r="S133" s="6">
        <v>0.3182</v>
      </c>
      <c r="T133" s="6">
        <v>20.8829268292683</v>
      </c>
    </row>
    <row r="134">
      <c r="A134" s="5" t="s">
        <v>42</v>
      </c>
      <c r="B134" s="6" t="s">
        <v>186</v>
      </c>
      <c r="C134" s="12" t="s">
        <v>47</v>
      </c>
      <c r="D134" s="8" t="s">
        <v>199</v>
      </c>
      <c r="E134" s="20">
        <v>45236.0</v>
      </c>
      <c r="F134" s="6">
        <v>1.0</v>
      </c>
      <c r="G134" s="6">
        <v>6.0</v>
      </c>
      <c r="H134" s="6">
        <v>7.0</v>
      </c>
      <c r="I134" s="6">
        <v>2.0</v>
      </c>
      <c r="J134" s="6">
        <v>1.0</v>
      </c>
      <c r="K134" s="10">
        <v>0.619771242141723</v>
      </c>
      <c r="L134" s="10">
        <v>0.146485447883605</v>
      </c>
      <c r="M134" s="10">
        <v>-0.109412506222724</v>
      </c>
      <c r="N134" s="11">
        <v>-0.10941266</v>
      </c>
      <c r="O134" s="6">
        <f t="shared" si="1"/>
        <v>0.000000153777276</v>
      </c>
      <c r="P134" s="6">
        <v>0.045454545454545</v>
      </c>
      <c r="Q134" s="6">
        <v>0.093023255813953</v>
      </c>
      <c r="R134" s="6">
        <v>0.7906</v>
      </c>
      <c r="S134" s="6">
        <v>0.7906</v>
      </c>
      <c r="T134" s="6">
        <v>18.5939393939394</v>
      </c>
    </row>
    <row r="135">
      <c r="A135" s="5" t="s">
        <v>42</v>
      </c>
      <c r="B135" s="6" t="s">
        <v>186</v>
      </c>
      <c r="C135" s="12" t="s">
        <v>49</v>
      </c>
      <c r="D135" s="8" t="s">
        <v>200</v>
      </c>
      <c r="E135" s="20">
        <v>45236.0</v>
      </c>
      <c r="F135" s="6">
        <v>6.0</v>
      </c>
      <c r="G135" s="6">
        <v>6.0</v>
      </c>
      <c r="H135" s="6">
        <v>2.0</v>
      </c>
      <c r="I135" s="6">
        <v>2.0</v>
      </c>
      <c r="J135" s="6">
        <v>1.0</v>
      </c>
      <c r="K135" s="10">
        <v>0.616294205188751</v>
      </c>
      <c r="L135" s="10">
        <v>0.163174286484718</v>
      </c>
      <c r="M135" s="10">
        <v>-0.0127894766628742</v>
      </c>
      <c r="N135" s="11">
        <v>-0.012789566</v>
      </c>
      <c r="O135" s="6">
        <f t="shared" si="1"/>
        <v>0.0000000893371258</v>
      </c>
      <c r="P135" s="6">
        <v>0.035714285714285</v>
      </c>
      <c r="Q135" s="6">
        <v>0.127272727272727</v>
      </c>
      <c r="R135" s="6">
        <v>0.8234</v>
      </c>
      <c r="S135" s="6">
        <v>0.8234</v>
      </c>
      <c r="T135" s="6">
        <v>16.7523809523809</v>
      </c>
    </row>
    <row r="136">
      <c r="A136" s="5" t="s">
        <v>42</v>
      </c>
      <c r="B136" s="6" t="s">
        <v>186</v>
      </c>
      <c r="C136" s="12" t="s">
        <v>51</v>
      </c>
      <c r="D136" s="8" t="s">
        <v>201</v>
      </c>
      <c r="E136" s="20">
        <v>45236.0</v>
      </c>
      <c r="F136" s="6">
        <v>6.0</v>
      </c>
      <c r="G136" s="6">
        <v>6.0</v>
      </c>
      <c r="H136" s="6">
        <v>7.0</v>
      </c>
      <c r="I136" s="6">
        <v>2.0</v>
      </c>
      <c r="J136" s="6">
        <v>1.0</v>
      </c>
      <c r="K136" s="10">
        <v>0.628760337829589</v>
      </c>
      <c r="L136" s="10">
        <v>0.159120917320251</v>
      </c>
      <c r="M136" s="10">
        <v>-0.146683976054191</v>
      </c>
      <c r="N136" s="11">
        <v>-0.14668421</v>
      </c>
      <c r="O136" s="6">
        <f t="shared" si="1"/>
        <v>0.000000233945809</v>
      </c>
      <c r="P136" s="6">
        <v>0.011976047904191</v>
      </c>
      <c r="Q136" s="6">
        <v>0.018072289156626</v>
      </c>
      <c r="R136" s="6">
        <v>0.9845</v>
      </c>
      <c r="S136" s="6">
        <v>0.9845</v>
      </c>
      <c r="T136" s="6">
        <v>18.8245908183633</v>
      </c>
    </row>
    <row r="137">
      <c r="A137" s="5" t="s">
        <v>42</v>
      </c>
      <c r="B137" s="6" t="s">
        <v>186</v>
      </c>
      <c r="C137" s="12" t="s">
        <v>53</v>
      </c>
      <c r="D137" s="8" t="s">
        <v>202</v>
      </c>
      <c r="E137" s="20">
        <v>45236.0</v>
      </c>
      <c r="F137" s="6">
        <v>1.0</v>
      </c>
      <c r="G137" s="6">
        <v>6.0</v>
      </c>
      <c r="H137" s="6">
        <v>7.0</v>
      </c>
      <c r="I137" s="6">
        <v>2.0</v>
      </c>
      <c r="J137" s="6">
        <v>1.0</v>
      </c>
      <c r="K137" s="10">
        <v>0.623223662376403</v>
      </c>
      <c r="L137" s="10">
        <v>0.186139270663261</v>
      </c>
      <c r="M137" s="10">
        <v>0.0240468308329582</v>
      </c>
      <c r="N137" s="11">
        <v>0.024046812</v>
      </c>
      <c r="O137" s="6">
        <f t="shared" si="1"/>
        <v>0.0000000188329582</v>
      </c>
      <c r="P137" s="6">
        <v>0.0</v>
      </c>
      <c r="Q137" s="6">
        <v>0.118421052631578</v>
      </c>
      <c r="R137" s="6">
        <v>0.9732</v>
      </c>
      <c r="S137" s="6">
        <v>0.9732</v>
      </c>
      <c r="T137" s="6">
        <v>19.5948717948718</v>
      </c>
    </row>
    <row r="138">
      <c r="A138" s="5" t="s">
        <v>42</v>
      </c>
      <c r="B138" s="6" t="s">
        <v>186</v>
      </c>
      <c r="C138" s="12" t="s">
        <v>55</v>
      </c>
      <c r="D138" s="8" t="s">
        <v>203</v>
      </c>
      <c r="E138" s="20">
        <v>45236.0</v>
      </c>
      <c r="F138" s="6">
        <v>6.0</v>
      </c>
      <c r="G138" s="6">
        <v>2.0</v>
      </c>
      <c r="H138" s="6">
        <v>2.0</v>
      </c>
      <c r="I138" s="6">
        <v>2.0</v>
      </c>
      <c r="J138" s="6">
        <v>1.0</v>
      </c>
      <c r="K138" s="10">
        <v>0.626145601272583</v>
      </c>
      <c r="L138" s="10">
        <v>0.143175765872001</v>
      </c>
      <c r="M138" s="10">
        <v>-0.141245812177658</v>
      </c>
      <c r="N138" s="11">
        <v>-0.14124586</v>
      </c>
      <c r="O138" s="6">
        <f t="shared" si="1"/>
        <v>0.000000047822342</v>
      </c>
      <c r="P138" s="6">
        <v>0.007194244604316</v>
      </c>
      <c r="Q138" s="6">
        <v>0.02919708029197</v>
      </c>
      <c r="R138" s="6">
        <v>0.7579</v>
      </c>
      <c r="S138" s="6">
        <v>0.7579</v>
      </c>
      <c r="T138" s="6">
        <v>26.9473381294964</v>
      </c>
    </row>
    <row r="139">
      <c r="A139" s="5" t="s">
        <v>42</v>
      </c>
      <c r="B139" s="6" t="s">
        <v>186</v>
      </c>
      <c r="C139" s="12" t="s">
        <v>57</v>
      </c>
      <c r="D139" s="8" t="s">
        <v>204</v>
      </c>
      <c r="E139" s="20">
        <v>45236.0</v>
      </c>
      <c r="F139" s="6">
        <v>1.0</v>
      </c>
      <c r="G139" s="6">
        <v>2.0</v>
      </c>
      <c r="H139" s="6">
        <v>7.0</v>
      </c>
      <c r="I139" s="6">
        <v>2.0</v>
      </c>
      <c r="J139" s="6">
        <v>1.0</v>
      </c>
      <c r="K139" s="10">
        <v>0.622509837150573</v>
      </c>
      <c r="L139" s="10">
        <v>0.161815151572227</v>
      </c>
      <c r="M139" s="10">
        <v>-0.0786515101790428</v>
      </c>
      <c r="N139" s="11">
        <v>-0.07865134</v>
      </c>
      <c r="O139" s="6">
        <f t="shared" si="1"/>
        <v>-0.0000001701790428</v>
      </c>
      <c r="P139" s="6">
        <v>0.042168674698795</v>
      </c>
      <c r="Q139" s="6">
        <v>0.024390243902439</v>
      </c>
      <c r="R139" s="6">
        <v>0.9935</v>
      </c>
      <c r="S139" s="6">
        <v>0.9935</v>
      </c>
      <c r="T139" s="6">
        <v>19.6253012048193</v>
      </c>
    </row>
    <row r="140">
      <c r="A140" s="5" t="s">
        <v>42</v>
      </c>
      <c r="B140" s="6" t="s">
        <v>186</v>
      </c>
      <c r="C140" s="12" t="s">
        <v>59</v>
      </c>
      <c r="D140" s="8" t="s">
        <v>205</v>
      </c>
      <c r="E140" s="20">
        <v>45236.0</v>
      </c>
      <c r="F140" s="6">
        <v>6.0</v>
      </c>
      <c r="G140" s="6">
        <v>6.0</v>
      </c>
      <c r="H140" s="6">
        <v>2.0</v>
      </c>
      <c r="I140" s="6">
        <v>2.0</v>
      </c>
      <c r="J140" s="6">
        <v>1.0</v>
      </c>
      <c r="K140" s="10">
        <v>0.61826354265213</v>
      </c>
      <c r="L140" s="10">
        <v>0.172977402806282</v>
      </c>
      <c r="M140" s="10">
        <v>-0.127161592245101</v>
      </c>
      <c r="N140" s="11">
        <v>-0.12716173</v>
      </c>
      <c r="O140" s="6">
        <f t="shared" si="1"/>
        <v>0.000000137754899</v>
      </c>
      <c r="P140" s="6">
        <v>0.032258064516129</v>
      </c>
      <c r="Q140" s="6">
        <v>0.111111111111111</v>
      </c>
      <c r="R140" s="6">
        <v>0.9186</v>
      </c>
      <c r="S140" s="6">
        <v>0.9186</v>
      </c>
      <c r="T140" s="6">
        <v>21.7731182795699</v>
      </c>
    </row>
    <row r="141">
      <c r="A141" s="5" t="s">
        <v>42</v>
      </c>
      <c r="B141" s="6" t="s">
        <v>186</v>
      </c>
      <c r="C141" s="12" t="s">
        <v>61</v>
      </c>
      <c r="D141" s="8" t="s">
        <v>206</v>
      </c>
      <c r="E141" s="20">
        <v>45236.0</v>
      </c>
      <c r="F141" s="6">
        <v>1.0</v>
      </c>
      <c r="G141" s="6">
        <v>6.0</v>
      </c>
      <c r="H141" s="6">
        <v>2.0</v>
      </c>
      <c r="I141" s="6">
        <v>2.0</v>
      </c>
      <c r="J141" s="6">
        <v>1.0</v>
      </c>
      <c r="K141" s="10">
        <v>0.627712488174438</v>
      </c>
      <c r="L141" s="10">
        <v>0.18103776872158</v>
      </c>
      <c r="M141" s="10">
        <v>-0.00577371381223201</v>
      </c>
      <c r="N141" s="11">
        <v>-0.0057737525</v>
      </c>
      <c r="O141" s="6">
        <f t="shared" si="1"/>
        <v>0.00000003868776799</v>
      </c>
      <c r="P141" s="6">
        <v>0.0</v>
      </c>
      <c r="Q141" s="6">
        <v>0.075471698113207</v>
      </c>
      <c r="R141" s="6">
        <v>0.9519</v>
      </c>
      <c r="S141" s="6">
        <v>0.9519</v>
      </c>
      <c r="T141" s="6">
        <v>16.7228070175439</v>
      </c>
    </row>
    <row r="142">
      <c r="A142" s="5" t="s">
        <v>63</v>
      </c>
      <c r="B142" s="6" t="s">
        <v>186</v>
      </c>
      <c r="C142" s="12" t="s">
        <v>64</v>
      </c>
      <c r="D142" s="8" t="s">
        <v>207</v>
      </c>
      <c r="E142" s="20">
        <v>45236.0</v>
      </c>
      <c r="F142" s="6">
        <v>1.0</v>
      </c>
      <c r="G142" s="6">
        <v>6.0</v>
      </c>
      <c r="H142" s="6">
        <v>7.0</v>
      </c>
      <c r="I142" s="6">
        <v>7.0</v>
      </c>
      <c r="J142" s="6">
        <v>1.0</v>
      </c>
      <c r="K142" s="10">
        <v>0.602578818798065</v>
      </c>
      <c r="L142" s="10">
        <v>0.135002076625823</v>
      </c>
      <c r="M142" s="10">
        <v>-0.124109655618667</v>
      </c>
      <c r="N142" s="11">
        <v>-0.12410979</v>
      </c>
      <c r="O142" s="6">
        <f t="shared" si="1"/>
        <v>0.000000134381333</v>
      </c>
      <c r="P142" s="6">
        <v>0.064</v>
      </c>
      <c r="Q142" s="6">
        <v>0.044897959183673</v>
      </c>
      <c r="R142" s="6">
        <v>0.9984</v>
      </c>
      <c r="S142" s="6">
        <v>-0.9984</v>
      </c>
      <c r="T142" s="6">
        <v>19.6423529411765</v>
      </c>
    </row>
    <row r="143">
      <c r="A143" s="5" t="s">
        <v>63</v>
      </c>
      <c r="B143" s="6" t="s">
        <v>186</v>
      </c>
      <c r="C143" s="12" t="s">
        <v>66</v>
      </c>
      <c r="D143" s="8" t="s">
        <v>208</v>
      </c>
      <c r="E143" s="20">
        <v>45236.0</v>
      </c>
      <c r="F143" s="6">
        <v>1.0</v>
      </c>
      <c r="G143" s="6">
        <v>6.0</v>
      </c>
      <c r="H143" s="6">
        <v>7.0</v>
      </c>
      <c r="I143" s="6">
        <v>7.0</v>
      </c>
      <c r="J143" s="6">
        <v>1.0</v>
      </c>
      <c r="K143" s="10">
        <v>0.616224527359008</v>
      </c>
      <c r="L143" s="10">
        <v>0.151517003774642</v>
      </c>
      <c r="M143" s="10">
        <v>-0.0537072233855724</v>
      </c>
      <c r="N143" s="11">
        <v>-0.05370738</v>
      </c>
      <c r="O143" s="6">
        <f t="shared" si="1"/>
        <v>0.0000001566144276</v>
      </c>
      <c r="P143" s="6">
        <v>0.042194092827004</v>
      </c>
      <c r="Q143" s="6">
        <v>0.048034934497816</v>
      </c>
      <c r="R143" s="6">
        <v>0.9187</v>
      </c>
      <c r="S143" s="6">
        <v>0.9187</v>
      </c>
      <c r="T143" s="6">
        <v>21.2943459915612</v>
      </c>
    </row>
    <row r="144">
      <c r="A144" s="5" t="s">
        <v>63</v>
      </c>
      <c r="B144" s="6" t="s">
        <v>186</v>
      </c>
      <c r="C144" s="12" t="s">
        <v>68</v>
      </c>
      <c r="D144" s="8" t="s">
        <v>209</v>
      </c>
      <c r="E144" s="20">
        <v>45236.0</v>
      </c>
      <c r="F144" s="6">
        <v>6.0</v>
      </c>
      <c r="G144" s="6">
        <v>2.0</v>
      </c>
      <c r="H144" s="6">
        <v>7.0</v>
      </c>
      <c r="I144" s="6">
        <v>2.0</v>
      </c>
      <c r="J144" s="6">
        <v>1.0</v>
      </c>
      <c r="K144" s="10">
        <v>0.613016784191131</v>
      </c>
      <c r="L144" s="10">
        <v>0.183695837855339</v>
      </c>
      <c r="M144" s="10">
        <v>-0.262702107429504</v>
      </c>
      <c r="N144" s="11">
        <v>-0.2627018</v>
      </c>
      <c r="O144" s="6">
        <f t="shared" si="1"/>
        <v>-0.000000307429504</v>
      </c>
      <c r="P144" s="6">
        <v>0.015936254980079</v>
      </c>
      <c r="Q144" s="6">
        <v>0.072874493927125</v>
      </c>
      <c r="R144" s="6">
        <v>0.9818</v>
      </c>
      <c r="S144" s="6">
        <v>0.9818</v>
      </c>
      <c r="T144" s="6">
        <v>19.4674774585867</v>
      </c>
    </row>
    <row r="145">
      <c r="A145" s="5" t="s">
        <v>63</v>
      </c>
      <c r="B145" s="6" t="s">
        <v>186</v>
      </c>
      <c r="C145" s="12" t="s">
        <v>70</v>
      </c>
      <c r="D145" s="8" t="s">
        <v>210</v>
      </c>
      <c r="E145" s="20">
        <v>45236.0</v>
      </c>
      <c r="F145" s="6">
        <v>6.0</v>
      </c>
      <c r="G145" s="6">
        <v>2.0</v>
      </c>
      <c r="H145" s="6">
        <v>7.0</v>
      </c>
      <c r="I145" s="6">
        <v>2.0</v>
      </c>
      <c r="J145" s="6">
        <v>1.0</v>
      </c>
      <c r="K145" s="10">
        <v>0.621213734149932</v>
      </c>
      <c r="L145" s="10">
        <v>0.162744909524917</v>
      </c>
      <c r="M145" s="10">
        <v>-0.0979034528136253</v>
      </c>
      <c r="N145" s="11">
        <v>-0.097903445</v>
      </c>
      <c r="O145" s="6">
        <f t="shared" si="1"/>
        <v>-0.000000007813625288</v>
      </c>
      <c r="P145" s="6">
        <v>0.010526315789473</v>
      </c>
      <c r="Q145" s="6">
        <v>0.106382978723404</v>
      </c>
      <c r="R145" s="6">
        <v>0.9873</v>
      </c>
      <c r="S145" s="6">
        <v>0.9873</v>
      </c>
      <c r="T145" s="6">
        <v>24.1203007518797</v>
      </c>
    </row>
    <row r="146">
      <c r="A146" s="5" t="s">
        <v>63</v>
      </c>
      <c r="B146" s="6" t="s">
        <v>186</v>
      </c>
      <c r="C146" s="12" t="s">
        <v>72</v>
      </c>
      <c r="D146" s="8" t="s">
        <v>211</v>
      </c>
      <c r="E146" s="20">
        <v>45236.0</v>
      </c>
      <c r="F146" s="6">
        <v>6.0</v>
      </c>
      <c r="G146" s="6">
        <v>6.0</v>
      </c>
      <c r="H146" s="6">
        <v>2.0</v>
      </c>
      <c r="I146" s="6">
        <v>2.0</v>
      </c>
      <c r="J146" s="6">
        <v>1.0</v>
      </c>
      <c r="K146" s="10">
        <v>0.619674563407898</v>
      </c>
      <c r="L146" s="10">
        <v>0.147342205047607</v>
      </c>
      <c r="M146" s="10">
        <v>0.0230918265879154</v>
      </c>
      <c r="N146" s="11">
        <v>0.023091517</v>
      </c>
      <c r="O146" s="6">
        <f t="shared" si="1"/>
        <v>0.0000003095879154</v>
      </c>
      <c r="P146" s="6">
        <v>0.030456852791878</v>
      </c>
      <c r="Q146" s="6">
        <v>0.081218274111675</v>
      </c>
      <c r="R146" s="6">
        <v>0.9878</v>
      </c>
      <c r="S146" s="6">
        <v>0.9878</v>
      </c>
      <c r="T146" s="6">
        <v>23.6429296591733</v>
      </c>
    </row>
    <row r="147">
      <c r="A147" s="5" t="s">
        <v>63</v>
      </c>
      <c r="B147" s="6" t="s">
        <v>186</v>
      </c>
      <c r="C147" s="12" t="s">
        <v>74</v>
      </c>
      <c r="D147" s="8" t="s">
        <v>212</v>
      </c>
      <c r="E147" s="20">
        <v>45236.0</v>
      </c>
      <c r="F147" s="6">
        <v>6.0</v>
      </c>
      <c r="G147" s="6">
        <v>6.0</v>
      </c>
      <c r="H147" s="6">
        <v>7.0</v>
      </c>
      <c r="I147" s="6">
        <v>2.0</v>
      </c>
      <c r="J147" s="6">
        <v>1.0</v>
      </c>
      <c r="K147" s="10">
        <v>0.61457759141922</v>
      </c>
      <c r="L147" s="10">
        <v>0.145371615886688</v>
      </c>
      <c r="M147" s="10">
        <v>0.068871796131134</v>
      </c>
      <c r="N147" s="11">
        <v>0.06887179</v>
      </c>
      <c r="O147" s="6">
        <f t="shared" si="1"/>
        <v>0.000000006131134003</v>
      </c>
      <c r="P147" s="6">
        <v>0.062780269058295</v>
      </c>
      <c r="Q147" s="6">
        <v>0.041095890410958</v>
      </c>
      <c r="R147" s="6">
        <v>0.9983</v>
      </c>
      <c r="S147" s="6">
        <v>0.9983</v>
      </c>
      <c r="T147" s="6">
        <v>19.5969644705071</v>
      </c>
    </row>
    <row r="148">
      <c r="A148" s="5" t="s">
        <v>63</v>
      </c>
      <c r="B148" s="6" t="s">
        <v>186</v>
      </c>
      <c r="C148" s="12" t="s">
        <v>76</v>
      </c>
      <c r="D148" s="8" t="s">
        <v>213</v>
      </c>
      <c r="E148" s="20">
        <v>45236.0</v>
      </c>
      <c r="F148" s="6">
        <v>6.0</v>
      </c>
      <c r="G148" s="6">
        <v>6.0</v>
      </c>
      <c r="H148" s="6">
        <v>7.0</v>
      </c>
      <c r="I148" s="6">
        <v>7.0</v>
      </c>
      <c r="J148" s="6">
        <v>1.0</v>
      </c>
      <c r="K148" s="10">
        <v>0.615896821022033</v>
      </c>
      <c r="L148" s="10">
        <v>0.153204828500747</v>
      </c>
      <c r="M148" s="10">
        <v>0.235265329480171</v>
      </c>
      <c r="N148" s="11">
        <v>0.23526531</v>
      </c>
      <c r="O148" s="6">
        <f t="shared" si="1"/>
        <v>0.000000019480171</v>
      </c>
      <c r="P148" s="6">
        <v>0.02020202020202</v>
      </c>
      <c r="Q148" s="6">
        <v>0.027397260273972</v>
      </c>
      <c r="R148" s="6">
        <v>0.9989</v>
      </c>
      <c r="S148" s="6">
        <v>0.9989</v>
      </c>
      <c r="T148" s="6">
        <v>19.845352071439</v>
      </c>
    </row>
    <row r="149">
      <c r="A149" s="5" t="s">
        <v>63</v>
      </c>
      <c r="B149" s="6" t="s">
        <v>186</v>
      </c>
      <c r="C149" s="12" t="s">
        <v>78</v>
      </c>
      <c r="D149" s="8" t="s">
        <v>214</v>
      </c>
      <c r="E149" s="20">
        <v>45236.0</v>
      </c>
      <c r="F149" s="6">
        <v>1.0</v>
      </c>
      <c r="G149" s="6">
        <v>6.0</v>
      </c>
      <c r="H149" s="6">
        <v>7.0</v>
      </c>
      <c r="I149" s="6">
        <v>7.0</v>
      </c>
      <c r="J149" s="6">
        <v>1.0</v>
      </c>
      <c r="K149" s="10">
        <v>0.607697606086731</v>
      </c>
      <c r="L149" s="10">
        <v>0.147071927785873</v>
      </c>
      <c r="M149" s="10">
        <v>0.036831185221672</v>
      </c>
      <c r="N149" s="11">
        <v>0.03683117</v>
      </c>
      <c r="O149" s="6">
        <f t="shared" si="1"/>
        <v>0.000000015221672</v>
      </c>
      <c r="P149" s="6">
        <v>0.022012578616352</v>
      </c>
      <c r="Q149" s="6">
        <v>0.060509554140127</v>
      </c>
      <c r="R149" s="6">
        <v>0.9982</v>
      </c>
      <c r="S149" s="6">
        <v>0.9982</v>
      </c>
      <c r="T149" s="6">
        <v>19.3937106918239</v>
      </c>
    </row>
    <row r="150">
      <c r="A150" s="5" t="s">
        <v>63</v>
      </c>
      <c r="B150" s="6" t="s">
        <v>186</v>
      </c>
      <c r="C150" s="12" t="s">
        <v>80</v>
      </c>
      <c r="D150" s="8" t="s">
        <v>215</v>
      </c>
      <c r="E150" s="20">
        <v>45236.0</v>
      </c>
      <c r="F150" s="6">
        <v>6.0</v>
      </c>
      <c r="G150" s="6">
        <v>2.0</v>
      </c>
      <c r="H150" s="6">
        <v>7.0</v>
      </c>
      <c r="I150" s="6">
        <v>2.0</v>
      </c>
      <c r="J150" s="6">
        <v>1.0</v>
      </c>
      <c r="K150" s="10">
        <v>0.62240195274353</v>
      </c>
      <c r="L150" s="10">
        <v>0.169088721275329</v>
      </c>
      <c r="M150" s="10">
        <v>-0.182566493749618</v>
      </c>
      <c r="N150" s="11">
        <v>-0.1825664</v>
      </c>
      <c r="O150" s="6">
        <f t="shared" si="1"/>
        <v>-0.00000009374961801</v>
      </c>
      <c r="P150" s="6">
        <v>0.015</v>
      </c>
      <c r="Q150" s="6">
        <v>0.050251256281407</v>
      </c>
      <c r="R150" s="6">
        <v>0.9875</v>
      </c>
      <c r="S150" s="6">
        <v>0.9875</v>
      </c>
      <c r="T150" s="6">
        <v>24.8285714285714</v>
      </c>
    </row>
    <row r="151">
      <c r="A151" s="5" t="s">
        <v>63</v>
      </c>
      <c r="B151" s="6" t="s">
        <v>186</v>
      </c>
      <c r="C151" s="12" t="s">
        <v>82</v>
      </c>
      <c r="D151" s="8" t="s">
        <v>216</v>
      </c>
      <c r="E151" s="20">
        <v>45236.0</v>
      </c>
      <c r="F151" s="6">
        <v>6.0</v>
      </c>
      <c r="G151" s="6">
        <v>6.0</v>
      </c>
      <c r="H151" s="6">
        <v>7.0</v>
      </c>
      <c r="I151" s="6">
        <v>2.0</v>
      </c>
      <c r="J151" s="6">
        <v>1.0</v>
      </c>
      <c r="K151" s="10">
        <v>0.623652756214141</v>
      </c>
      <c r="L151" s="10">
        <v>0.16878892481327</v>
      </c>
      <c r="M151" s="10">
        <v>-0.24530616402626</v>
      </c>
      <c r="N151" s="11">
        <v>-0.24530636</v>
      </c>
      <c r="O151" s="6">
        <f t="shared" si="1"/>
        <v>0.00000019597374</v>
      </c>
      <c r="P151" s="6">
        <v>0.048387096774193</v>
      </c>
      <c r="Q151" s="6">
        <v>0.036734693877551</v>
      </c>
      <c r="R151" s="6">
        <v>0.989</v>
      </c>
      <c r="S151" s="6">
        <v>0.989</v>
      </c>
      <c r="T151" s="6">
        <v>21.3716129032258</v>
      </c>
    </row>
    <row r="152">
      <c r="A152" s="5" t="s">
        <v>84</v>
      </c>
      <c r="B152" s="6" t="s">
        <v>186</v>
      </c>
      <c r="C152" s="12" t="s">
        <v>85</v>
      </c>
      <c r="D152" s="8" t="s">
        <v>217</v>
      </c>
      <c r="E152" s="20">
        <v>45236.0</v>
      </c>
      <c r="F152" s="6">
        <v>6.0</v>
      </c>
      <c r="G152" s="6">
        <v>6.0</v>
      </c>
      <c r="H152" s="6">
        <v>7.0</v>
      </c>
      <c r="I152" s="6">
        <v>7.0</v>
      </c>
      <c r="J152" s="6">
        <v>1.0</v>
      </c>
      <c r="K152" s="10">
        <v>0.609832406044006</v>
      </c>
      <c r="L152" s="10">
        <v>0.154052674770355</v>
      </c>
      <c r="M152" s="10">
        <v>0.307534426450729</v>
      </c>
      <c r="N152" s="11">
        <v>0.30753443</v>
      </c>
      <c r="O152" s="6">
        <f t="shared" si="1"/>
        <v>-0.000000003549271044</v>
      </c>
      <c r="P152" s="6">
        <v>0.024</v>
      </c>
      <c r="Q152" s="6">
        <v>0.109311740890688</v>
      </c>
      <c r="R152" s="6">
        <v>0.9983</v>
      </c>
      <c r="S152" s="6">
        <v>0.9983</v>
      </c>
      <c r="T152" s="6">
        <v>20.1155555555556</v>
      </c>
    </row>
    <row r="153">
      <c r="A153" s="5" t="s">
        <v>84</v>
      </c>
      <c r="B153" s="6" t="s">
        <v>186</v>
      </c>
      <c r="C153" s="12" t="s">
        <v>87</v>
      </c>
      <c r="D153" s="8" t="s">
        <v>218</v>
      </c>
      <c r="E153" s="20">
        <v>45236.0</v>
      </c>
      <c r="F153" s="6">
        <v>6.0</v>
      </c>
      <c r="G153" s="6">
        <v>6.0</v>
      </c>
      <c r="H153" s="6">
        <v>7.0</v>
      </c>
      <c r="I153" s="6">
        <v>7.0</v>
      </c>
      <c r="J153" s="6">
        <v>1.0</v>
      </c>
      <c r="K153" s="10">
        <v>0.624575674533844</v>
      </c>
      <c r="L153" s="10">
        <v>0.17911472916603</v>
      </c>
      <c r="M153" s="10">
        <v>0.150769963860511</v>
      </c>
      <c r="N153" s="11">
        <v>0.15077013</v>
      </c>
      <c r="O153" s="6">
        <f t="shared" si="1"/>
        <v>-0.000000166139489</v>
      </c>
      <c r="P153" s="6">
        <v>0.035398230088495</v>
      </c>
      <c r="Q153" s="6">
        <v>0.097345132743362</v>
      </c>
      <c r="R153" s="6">
        <v>0.9877</v>
      </c>
      <c r="S153" s="6">
        <v>0.9877</v>
      </c>
      <c r="T153" s="6">
        <v>22.0466076696165</v>
      </c>
    </row>
    <row r="154">
      <c r="A154" s="5" t="s">
        <v>84</v>
      </c>
      <c r="B154" s="6" t="s">
        <v>186</v>
      </c>
      <c r="C154" s="12" t="s">
        <v>89</v>
      </c>
      <c r="D154" s="8" t="s">
        <v>219</v>
      </c>
      <c r="E154" s="20">
        <v>45236.0</v>
      </c>
      <c r="F154" s="6">
        <v>6.0</v>
      </c>
      <c r="G154" s="6">
        <v>6.0</v>
      </c>
      <c r="H154" s="6">
        <v>7.0</v>
      </c>
      <c r="I154" s="6">
        <v>7.0</v>
      </c>
      <c r="J154" s="6">
        <v>1.0</v>
      </c>
      <c r="K154" s="10">
        <v>0.614768087863922</v>
      </c>
      <c r="L154" s="10">
        <v>0.149681866168975</v>
      </c>
      <c r="M154" s="10">
        <v>0.166017115116119</v>
      </c>
      <c r="N154" s="11">
        <v>0.1660171</v>
      </c>
      <c r="O154" s="6">
        <f t="shared" si="1"/>
        <v>0.000000015116119</v>
      </c>
      <c r="P154" s="6">
        <v>0.005847953216374</v>
      </c>
      <c r="Q154" s="6">
        <v>0.053892215568862</v>
      </c>
      <c r="R154" s="6">
        <v>0.9633</v>
      </c>
      <c r="S154" s="6">
        <v>0.9633</v>
      </c>
      <c r="T154" s="6">
        <v>20.0281871345029</v>
      </c>
    </row>
    <row r="155">
      <c r="A155" s="5" t="s">
        <v>84</v>
      </c>
      <c r="B155" s="6" t="s">
        <v>186</v>
      </c>
      <c r="C155" s="12" t="s">
        <v>91</v>
      </c>
      <c r="D155" s="8" t="s">
        <v>220</v>
      </c>
      <c r="E155" s="20">
        <v>45236.0</v>
      </c>
      <c r="F155" s="6">
        <v>1.0</v>
      </c>
      <c r="G155" s="6">
        <v>6.0</v>
      </c>
      <c r="H155" s="6">
        <v>2.0</v>
      </c>
      <c r="I155" s="6">
        <v>2.0</v>
      </c>
      <c r="J155" s="6">
        <v>1.0</v>
      </c>
      <c r="K155" s="10">
        <v>0.615202903747558</v>
      </c>
      <c r="L155" s="10">
        <v>0.163309648633003</v>
      </c>
      <c r="M155" s="10">
        <v>0.114873819053173</v>
      </c>
      <c r="N155" s="11">
        <v>0.11487391</v>
      </c>
      <c r="O155" s="6">
        <f t="shared" si="1"/>
        <v>-0.000000090946827</v>
      </c>
      <c r="P155" s="6">
        <v>0.036144578313253</v>
      </c>
      <c r="Q155" s="6">
        <v>0.036144578313253</v>
      </c>
      <c r="R155" s="6">
        <v>0.9765</v>
      </c>
      <c r="S155" s="6">
        <v>0.9765</v>
      </c>
      <c r="T155" s="6">
        <v>20.8301204819277</v>
      </c>
    </row>
    <row r="156">
      <c r="A156" s="5" t="s">
        <v>84</v>
      </c>
      <c r="B156" s="6" t="s">
        <v>186</v>
      </c>
      <c r="C156" s="12" t="s">
        <v>93</v>
      </c>
      <c r="D156" s="8" t="s">
        <v>221</v>
      </c>
      <c r="E156" s="20">
        <v>45236.0</v>
      </c>
      <c r="F156" s="6">
        <v>6.0</v>
      </c>
      <c r="G156" s="6">
        <v>2.0</v>
      </c>
      <c r="H156" s="6">
        <v>7.0</v>
      </c>
      <c r="I156" s="6">
        <v>2.0</v>
      </c>
      <c r="J156" s="6">
        <v>1.0</v>
      </c>
      <c r="K156" s="10">
        <v>0.622460901737213</v>
      </c>
      <c r="L156" s="10">
        <v>0.178756490349769</v>
      </c>
      <c r="M156" s="10">
        <v>0.123692862689495</v>
      </c>
      <c r="N156" s="11">
        <v>0.12369303</v>
      </c>
      <c r="O156" s="6">
        <f t="shared" si="1"/>
        <v>-0.000000167310505</v>
      </c>
      <c r="P156" s="6">
        <v>0.042735042735042</v>
      </c>
      <c r="Q156" s="6">
        <v>0.060344827586206</v>
      </c>
      <c r="R156" s="6">
        <v>0.9217</v>
      </c>
      <c r="S156" s="6">
        <v>0.9217</v>
      </c>
      <c r="T156" s="6">
        <v>24.402735042735</v>
      </c>
    </row>
    <row r="157">
      <c r="A157" s="5" t="s">
        <v>84</v>
      </c>
      <c r="B157" s="6" t="s">
        <v>186</v>
      </c>
      <c r="C157" s="12" t="s">
        <v>95</v>
      </c>
      <c r="D157" s="8" t="s">
        <v>222</v>
      </c>
      <c r="E157" s="20">
        <v>45236.0</v>
      </c>
      <c r="F157" s="6">
        <v>6.0</v>
      </c>
      <c r="G157" s="6">
        <v>2.0</v>
      </c>
      <c r="H157" s="6">
        <v>2.0</v>
      </c>
      <c r="I157" s="6">
        <v>2.0</v>
      </c>
      <c r="J157" s="6">
        <v>1.0</v>
      </c>
      <c r="K157" s="10">
        <v>0.637997090816497</v>
      </c>
      <c r="L157" s="10">
        <v>0.173937872052192</v>
      </c>
      <c r="M157" s="10">
        <v>-0.160179778933525</v>
      </c>
      <c r="N157" s="11">
        <v>-0.1601799</v>
      </c>
      <c r="O157" s="6">
        <f t="shared" si="1"/>
        <v>0.000000121066475</v>
      </c>
      <c r="P157" s="6">
        <v>0.037037037037037</v>
      </c>
      <c r="Q157" s="6">
        <v>0.111111111111111</v>
      </c>
      <c r="R157" s="6">
        <v>0.0</v>
      </c>
      <c r="S157" s="6">
        <v>0.0</v>
      </c>
      <c r="T157" s="6">
        <v>15.7703703703704</v>
      </c>
    </row>
    <row r="158">
      <c r="A158" s="5" t="s">
        <v>84</v>
      </c>
      <c r="B158" s="6" t="s">
        <v>186</v>
      </c>
      <c r="C158" s="12" t="s">
        <v>97</v>
      </c>
      <c r="D158" s="8" t="s">
        <v>223</v>
      </c>
      <c r="E158" s="20">
        <v>45236.0</v>
      </c>
      <c r="F158" s="6">
        <v>6.0</v>
      </c>
      <c r="G158" s="6">
        <v>6.0</v>
      </c>
      <c r="H158" s="6">
        <v>7.0</v>
      </c>
      <c r="I158" s="6">
        <v>7.0</v>
      </c>
      <c r="J158" s="6">
        <v>1.0</v>
      </c>
      <c r="K158" s="10">
        <v>0.606874704360961</v>
      </c>
      <c r="L158" s="10">
        <v>0.147879958152771</v>
      </c>
      <c r="M158" s="10">
        <v>0.22146001458168</v>
      </c>
      <c r="N158" s="11">
        <v>0.22145995</v>
      </c>
      <c r="O158" s="6">
        <f t="shared" si="1"/>
        <v>0.00000006458168</v>
      </c>
      <c r="P158" s="6">
        <v>0.026936026936026</v>
      </c>
      <c r="Q158" s="6">
        <v>0.078231292517006</v>
      </c>
      <c r="R158" s="6">
        <v>0.997</v>
      </c>
      <c r="S158" s="6">
        <v>0.997</v>
      </c>
      <c r="T158" s="6">
        <v>19.5292929292929</v>
      </c>
    </row>
    <row r="159">
      <c r="A159" s="5" t="s">
        <v>84</v>
      </c>
      <c r="B159" s="6" t="s">
        <v>186</v>
      </c>
      <c r="C159" s="12" t="s">
        <v>99</v>
      </c>
      <c r="D159" s="8" t="s">
        <v>224</v>
      </c>
      <c r="E159" s="20">
        <v>45236.0</v>
      </c>
      <c r="F159" s="6">
        <v>6.0</v>
      </c>
      <c r="G159" s="6">
        <v>6.0</v>
      </c>
      <c r="H159" s="6">
        <v>7.0</v>
      </c>
      <c r="I159" s="6">
        <v>7.0</v>
      </c>
      <c r="J159" s="6">
        <v>1.0</v>
      </c>
      <c r="K159" s="10">
        <v>0.609517097473144</v>
      </c>
      <c r="L159" s="10">
        <v>0.149725005030632</v>
      </c>
      <c r="M159" s="10">
        <v>0.0137592554092407</v>
      </c>
      <c r="N159" s="11">
        <v>0.013759177</v>
      </c>
      <c r="O159" s="6">
        <f t="shared" si="1"/>
        <v>0.0000000784092407</v>
      </c>
      <c r="P159" s="6">
        <v>0.005376344086021</v>
      </c>
      <c r="Q159" s="6">
        <v>0.060773480662983</v>
      </c>
      <c r="R159" s="6">
        <v>0.99</v>
      </c>
      <c r="S159" s="6">
        <v>0.99</v>
      </c>
      <c r="T159" s="6">
        <v>26.1634408602151</v>
      </c>
    </row>
    <row r="160">
      <c r="A160" s="5" t="s">
        <v>84</v>
      </c>
      <c r="B160" s="6" t="s">
        <v>186</v>
      </c>
      <c r="C160" s="12" t="s">
        <v>101</v>
      </c>
      <c r="D160" s="8" t="s">
        <v>225</v>
      </c>
      <c r="E160" s="20">
        <v>45236.0</v>
      </c>
      <c r="F160" s="6">
        <v>6.0</v>
      </c>
      <c r="G160" s="6">
        <v>6.0</v>
      </c>
      <c r="H160" s="6">
        <v>7.0</v>
      </c>
      <c r="I160" s="6">
        <v>7.0</v>
      </c>
      <c r="J160" s="6">
        <v>1.0</v>
      </c>
      <c r="K160" s="10">
        <v>0.611582577228546</v>
      </c>
      <c r="L160" s="10">
        <v>0.133623734116554</v>
      </c>
      <c r="M160" s="10">
        <v>0.223758161067962</v>
      </c>
      <c r="N160" s="11">
        <v>0.22375786</v>
      </c>
      <c r="O160" s="6">
        <f t="shared" si="1"/>
        <v>0.000000301067962</v>
      </c>
      <c r="P160" s="6">
        <v>0.054838709677419</v>
      </c>
      <c r="Q160" s="6">
        <v>0.039215686274509</v>
      </c>
      <c r="R160" s="6">
        <v>0.9946</v>
      </c>
      <c r="S160" s="6">
        <v>-0.9946</v>
      </c>
      <c r="T160" s="6">
        <v>21.7521222410866</v>
      </c>
    </row>
    <row r="161">
      <c r="A161" s="5" t="s">
        <v>84</v>
      </c>
      <c r="B161" s="6" t="s">
        <v>186</v>
      </c>
      <c r="C161" s="12" t="s">
        <v>103</v>
      </c>
      <c r="D161" s="8" t="s">
        <v>226</v>
      </c>
      <c r="E161" s="20">
        <v>45236.0</v>
      </c>
      <c r="F161" s="6">
        <v>6.0</v>
      </c>
      <c r="G161" s="6">
        <v>6.0</v>
      </c>
      <c r="H161" s="6">
        <v>7.0</v>
      </c>
      <c r="I161" s="6">
        <v>2.0</v>
      </c>
      <c r="J161" s="6">
        <v>1.0</v>
      </c>
      <c r="K161" s="10">
        <v>0.613301813602447</v>
      </c>
      <c r="L161" s="10">
        <v>0.197442412376403</v>
      </c>
      <c r="M161" s="10">
        <v>0.288789629936218</v>
      </c>
      <c r="N161" s="11">
        <v>0.28878957</v>
      </c>
      <c r="O161" s="6">
        <f t="shared" si="1"/>
        <v>0.00000005993621799</v>
      </c>
      <c r="P161" s="6">
        <v>0.025806451612903</v>
      </c>
      <c r="Q161" s="6">
        <v>0.162162162162162</v>
      </c>
      <c r="R161" s="6">
        <v>0.9874</v>
      </c>
      <c r="S161" s="6">
        <v>0.9874</v>
      </c>
      <c r="T161" s="6">
        <v>16.8571428571429</v>
      </c>
    </row>
    <row r="162">
      <c r="A162" s="5" t="s">
        <v>20</v>
      </c>
      <c r="B162" s="17" t="s">
        <v>227</v>
      </c>
      <c r="C162" s="7" t="s">
        <v>22</v>
      </c>
      <c r="D162" s="8" t="s">
        <v>228</v>
      </c>
      <c r="E162" s="18">
        <v>45236.0</v>
      </c>
      <c r="F162" s="6">
        <v>1.0</v>
      </c>
      <c r="G162" s="6">
        <v>1.0</v>
      </c>
      <c r="H162" s="6">
        <v>1.0</v>
      </c>
      <c r="I162" s="6">
        <v>1.0</v>
      </c>
      <c r="J162" s="6">
        <v>1.0</v>
      </c>
      <c r="K162" s="10">
        <v>0.630263805389404</v>
      </c>
      <c r="L162" s="10">
        <v>0.168574750423431</v>
      </c>
      <c r="M162" s="10">
        <v>-0.144963279366493</v>
      </c>
      <c r="N162" s="11">
        <v>-0.14496301</v>
      </c>
      <c r="O162" s="6">
        <f t="shared" si="1"/>
        <v>-0.000000269366493</v>
      </c>
      <c r="P162" s="6">
        <v>0.034482758620689</v>
      </c>
      <c r="Q162" s="6">
        <v>0.148148148148148</v>
      </c>
      <c r="R162" s="6">
        <v>0.7783</v>
      </c>
      <c r="S162" s="6">
        <v>0.7783</v>
      </c>
      <c r="T162" s="6">
        <v>12.6965517241379</v>
      </c>
    </row>
    <row r="163">
      <c r="A163" s="5" t="s">
        <v>20</v>
      </c>
      <c r="B163" s="17" t="s">
        <v>227</v>
      </c>
      <c r="C163" s="7" t="s">
        <v>24</v>
      </c>
      <c r="D163" s="8" t="s">
        <v>229</v>
      </c>
      <c r="E163" s="18">
        <v>45236.0</v>
      </c>
      <c r="F163" s="6">
        <v>1.0</v>
      </c>
      <c r="G163" s="6">
        <v>1.0</v>
      </c>
      <c r="H163" s="6">
        <v>1.0</v>
      </c>
      <c r="I163" s="6">
        <v>1.0</v>
      </c>
      <c r="J163" s="6">
        <v>1.0</v>
      </c>
      <c r="K163" s="10">
        <v>0.63193392753601</v>
      </c>
      <c r="L163" s="10">
        <v>0.175474271178245</v>
      </c>
      <c r="M163" s="10">
        <v>0.147851467132568</v>
      </c>
      <c r="N163" s="11">
        <v>0.14785145</v>
      </c>
      <c r="O163" s="6">
        <f t="shared" si="1"/>
        <v>0.000000017132568</v>
      </c>
      <c r="P163" s="6">
        <v>0.0</v>
      </c>
      <c r="Q163" s="6">
        <v>0.05</v>
      </c>
      <c r="R163" s="6">
        <v>0.9587</v>
      </c>
      <c r="S163" s="6">
        <v>0.9587</v>
      </c>
      <c r="T163" s="6">
        <v>18.9317073170732</v>
      </c>
    </row>
    <row r="164">
      <c r="A164" s="5" t="s">
        <v>20</v>
      </c>
      <c r="B164" s="17" t="s">
        <v>227</v>
      </c>
      <c r="C164" s="7" t="s">
        <v>26</v>
      </c>
      <c r="D164" s="22" t="s">
        <v>230</v>
      </c>
      <c r="E164" s="18">
        <v>45236.0</v>
      </c>
      <c r="F164" s="6">
        <v>1.0</v>
      </c>
      <c r="G164" s="6">
        <v>1.0</v>
      </c>
      <c r="H164" s="6">
        <v>1.0</v>
      </c>
      <c r="I164" s="6">
        <v>1.0</v>
      </c>
      <c r="J164" s="6">
        <v>1.0</v>
      </c>
      <c r="K164" s="10">
        <v>0.621987044811248</v>
      </c>
      <c r="L164" s="10">
        <v>0.197235569357872</v>
      </c>
      <c r="M164" s="10">
        <v>-0.00359833985567092</v>
      </c>
      <c r="N164" s="11">
        <v>-0.0035985927</v>
      </c>
      <c r="O164" s="6">
        <f t="shared" si="1"/>
        <v>0.0000002528443291</v>
      </c>
      <c r="P164" s="6">
        <v>0.017857142857142</v>
      </c>
      <c r="Q164" s="6">
        <v>0.058823529411764</v>
      </c>
      <c r="R164" s="6">
        <v>0.8016</v>
      </c>
      <c r="S164" s="6">
        <v>0.8016</v>
      </c>
      <c r="T164" s="6">
        <v>17.4666666666667</v>
      </c>
    </row>
    <row r="165">
      <c r="A165" s="5" t="s">
        <v>20</v>
      </c>
      <c r="B165" s="17" t="s">
        <v>227</v>
      </c>
      <c r="C165" s="7" t="s">
        <v>28</v>
      </c>
      <c r="D165" s="22" t="s">
        <v>231</v>
      </c>
      <c r="E165" s="18">
        <v>45236.0</v>
      </c>
      <c r="F165" s="6">
        <v>1.0</v>
      </c>
      <c r="G165" s="6">
        <v>1.0</v>
      </c>
      <c r="H165" s="6">
        <v>1.0</v>
      </c>
      <c r="I165" s="6">
        <v>1.0</v>
      </c>
      <c r="J165" s="6">
        <v>1.0</v>
      </c>
      <c r="K165" s="10">
        <v>0.631960690021514</v>
      </c>
      <c r="L165" s="10">
        <v>0.20577198266983</v>
      </c>
      <c r="M165" s="10">
        <v>-0.131472676992416</v>
      </c>
      <c r="N165" s="11">
        <v>-0.13147256</v>
      </c>
      <c r="O165" s="6">
        <f t="shared" si="1"/>
        <v>-0.000000116992416</v>
      </c>
      <c r="P165" s="6">
        <v>0.0</v>
      </c>
      <c r="Q165" s="6">
        <v>0.146341463414634</v>
      </c>
      <c r="R165" s="6">
        <v>0.8313</v>
      </c>
      <c r="S165" s="6">
        <v>0.8313</v>
      </c>
      <c r="T165" s="6">
        <v>18.8325581395349</v>
      </c>
    </row>
    <row r="166">
      <c r="A166" s="5" t="s">
        <v>20</v>
      </c>
      <c r="B166" s="17" t="s">
        <v>227</v>
      </c>
      <c r="C166" s="7" t="s">
        <v>30</v>
      </c>
      <c r="D166" s="22" t="s">
        <v>232</v>
      </c>
      <c r="E166" s="18">
        <v>45236.0</v>
      </c>
      <c r="F166" s="6">
        <v>1.0</v>
      </c>
      <c r="G166" s="6">
        <v>1.0</v>
      </c>
      <c r="H166" s="6">
        <v>1.0</v>
      </c>
      <c r="I166" s="6">
        <v>1.0</v>
      </c>
      <c r="J166" s="6">
        <v>1.0</v>
      </c>
      <c r="K166" s="14">
        <v>0.63015079498291</v>
      </c>
      <c r="L166" s="14">
        <v>0.218371480703353</v>
      </c>
      <c r="M166" s="14">
        <v>-0.0415847152471542</v>
      </c>
      <c r="N166" s="11">
        <v>-0.041584533</v>
      </c>
      <c r="O166" s="6">
        <f t="shared" si="1"/>
        <v>-0.0000001822471542</v>
      </c>
      <c r="P166" s="5">
        <v>0.017857142857142</v>
      </c>
      <c r="Q166" s="5">
        <v>0.06</v>
      </c>
      <c r="R166" s="5">
        <v>0.9688</v>
      </c>
      <c r="S166" s="5">
        <v>0.9688</v>
      </c>
      <c r="T166" s="5">
        <v>17.6285714285714</v>
      </c>
    </row>
    <row r="167">
      <c r="A167" s="5" t="s">
        <v>20</v>
      </c>
      <c r="B167" s="17" t="s">
        <v>227</v>
      </c>
      <c r="C167" s="7" t="s">
        <v>32</v>
      </c>
      <c r="D167" s="8" t="s">
        <v>233</v>
      </c>
      <c r="E167" s="18">
        <v>45236.0</v>
      </c>
      <c r="F167" s="6">
        <v>1.0</v>
      </c>
      <c r="G167" s="6">
        <v>1.0</v>
      </c>
      <c r="H167" s="6">
        <v>1.0</v>
      </c>
      <c r="I167" s="6">
        <v>1.0</v>
      </c>
      <c r="J167" s="6">
        <v>1.0</v>
      </c>
      <c r="K167" s="10">
        <v>0.616175353527069</v>
      </c>
      <c r="L167" s="10">
        <v>0.162078008055686</v>
      </c>
      <c r="M167" s="10">
        <v>-0.253391444683074</v>
      </c>
      <c r="N167" s="11">
        <v>-0.25339156</v>
      </c>
      <c r="O167" s="6">
        <f t="shared" si="1"/>
        <v>0.000000115316926</v>
      </c>
      <c r="P167" s="6">
        <v>0.053571428571428</v>
      </c>
      <c r="Q167" s="6">
        <v>0.113207547169811</v>
      </c>
      <c r="R167" s="6">
        <v>0.2244</v>
      </c>
      <c r="S167" s="6">
        <v>-0.2244</v>
      </c>
      <c r="T167" s="6">
        <v>20.3238095238095</v>
      </c>
    </row>
    <row r="168">
      <c r="A168" s="5" t="s">
        <v>20</v>
      </c>
      <c r="B168" s="17" t="s">
        <v>227</v>
      </c>
      <c r="C168" s="7" t="s">
        <v>34</v>
      </c>
      <c r="D168" s="8" t="s">
        <v>234</v>
      </c>
      <c r="E168" s="18">
        <v>45236.0</v>
      </c>
      <c r="F168" s="6">
        <v>1.0</v>
      </c>
      <c r="G168" s="6">
        <v>1.0</v>
      </c>
      <c r="H168" s="6">
        <v>1.0</v>
      </c>
      <c r="I168" s="6">
        <v>1.0</v>
      </c>
      <c r="J168" s="6">
        <v>1.0</v>
      </c>
      <c r="K168" s="10">
        <v>0.62448912858963</v>
      </c>
      <c r="L168" s="10">
        <v>0.168320521712303</v>
      </c>
      <c r="M168" s="10">
        <v>0.0588027648627758</v>
      </c>
      <c r="N168" s="11">
        <v>0.05880266</v>
      </c>
      <c r="O168" s="6">
        <f t="shared" si="1"/>
        <v>0.0000001048627758</v>
      </c>
      <c r="P168" s="6">
        <v>0.023255813953488</v>
      </c>
      <c r="Q168" s="6">
        <v>0.15</v>
      </c>
      <c r="R168" s="6">
        <v>0.7845</v>
      </c>
      <c r="S168" s="6">
        <v>0.7845</v>
      </c>
      <c r="T168" s="6">
        <v>15.9658914728682</v>
      </c>
    </row>
    <row r="169">
      <c r="A169" s="5" t="s">
        <v>20</v>
      </c>
      <c r="B169" s="17" t="s">
        <v>227</v>
      </c>
      <c r="C169" s="7" t="s">
        <v>36</v>
      </c>
      <c r="D169" s="8" t="s">
        <v>235</v>
      </c>
      <c r="E169" s="18">
        <v>45236.0</v>
      </c>
      <c r="F169" s="6">
        <v>1.0</v>
      </c>
      <c r="G169" s="6">
        <v>1.0</v>
      </c>
      <c r="H169" s="6">
        <v>1.0</v>
      </c>
      <c r="I169" s="6">
        <v>1.0</v>
      </c>
      <c r="J169" s="6">
        <v>1.0</v>
      </c>
      <c r="K169" s="10">
        <v>0.620382130146026</v>
      </c>
      <c r="L169" s="10">
        <v>0.214101910591125</v>
      </c>
      <c r="M169" s="10">
        <v>-0.138757601380348</v>
      </c>
      <c r="N169" s="11">
        <v>-0.13875766</v>
      </c>
      <c r="O169" s="6">
        <f t="shared" si="1"/>
        <v>0.00000005861965199</v>
      </c>
      <c r="P169" s="6">
        <v>0.035714285714285</v>
      </c>
      <c r="Q169" s="6">
        <v>0.058823529411764</v>
      </c>
      <c r="R169" s="6">
        <v>0.7473</v>
      </c>
      <c r="S169" s="6">
        <v>0.7473</v>
      </c>
      <c r="T169" s="6">
        <v>17.4666666666667</v>
      </c>
    </row>
    <row r="170">
      <c r="A170" s="5" t="s">
        <v>20</v>
      </c>
      <c r="B170" s="17" t="s">
        <v>227</v>
      </c>
      <c r="C170" s="7" t="s">
        <v>38</v>
      </c>
      <c r="D170" s="8" t="s">
        <v>236</v>
      </c>
      <c r="E170" s="18">
        <v>45236.0</v>
      </c>
      <c r="F170" s="6">
        <v>1.0</v>
      </c>
      <c r="G170" s="6">
        <v>1.0</v>
      </c>
      <c r="H170" s="6">
        <v>1.0</v>
      </c>
      <c r="I170" s="6">
        <v>1.0</v>
      </c>
      <c r="J170" s="6">
        <v>1.0</v>
      </c>
      <c r="K170" s="10">
        <v>0.631400823593139</v>
      </c>
      <c r="L170" s="10">
        <v>0.190982788801193</v>
      </c>
      <c r="M170" s="10">
        <v>-0.259237825870513</v>
      </c>
      <c r="N170" s="11">
        <v>-0.25923774</v>
      </c>
      <c r="O170" s="6">
        <f t="shared" si="1"/>
        <v>-0.00000008587051298</v>
      </c>
      <c r="P170" s="6">
        <v>0.0</v>
      </c>
      <c r="Q170" s="6">
        <v>0.083333333333333</v>
      </c>
      <c r="R170" s="6">
        <v>0.6369</v>
      </c>
      <c r="S170" s="6">
        <v>0.6369</v>
      </c>
      <c r="T170" s="6">
        <v>23.3333333333333</v>
      </c>
    </row>
    <row r="171">
      <c r="A171" s="5" t="s">
        <v>20</v>
      </c>
      <c r="B171" s="17" t="s">
        <v>227</v>
      </c>
      <c r="C171" s="7" t="s">
        <v>40</v>
      </c>
      <c r="D171" s="8" t="s">
        <v>237</v>
      </c>
      <c r="E171" s="18">
        <v>45236.0</v>
      </c>
      <c r="F171" s="6">
        <v>1.0</v>
      </c>
      <c r="G171" s="6">
        <v>1.0</v>
      </c>
      <c r="H171" s="6">
        <v>1.0</v>
      </c>
      <c r="I171" s="6">
        <v>1.0</v>
      </c>
      <c r="J171" s="6">
        <v>1.0</v>
      </c>
      <c r="K171" s="10">
        <v>0.620100557804107</v>
      </c>
      <c r="L171" s="10">
        <v>0.151523545384407</v>
      </c>
      <c r="M171" s="10">
        <v>-0.317115575075149</v>
      </c>
      <c r="N171" s="11">
        <v>-0.31711558</v>
      </c>
      <c r="O171" s="6">
        <f t="shared" si="1"/>
        <v>0.000000004924851027</v>
      </c>
      <c r="P171" s="6">
        <v>0.014285714285714</v>
      </c>
      <c r="Q171" s="6">
        <v>0.061538461538461</v>
      </c>
      <c r="R171" s="6">
        <v>0.5764</v>
      </c>
      <c r="S171" s="6">
        <v>0.5764</v>
      </c>
      <c r="T171" s="6">
        <v>21.3333333333333</v>
      </c>
    </row>
    <row r="172">
      <c r="A172" s="5" t="s">
        <v>42</v>
      </c>
      <c r="B172" s="17" t="s">
        <v>227</v>
      </c>
      <c r="C172" s="7" t="s">
        <v>43</v>
      </c>
      <c r="D172" s="8" t="s">
        <v>238</v>
      </c>
      <c r="E172" s="18">
        <v>45236.0</v>
      </c>
      <c r="F172" s="6">
        <v>1.0</v>
      </c>
      <c r="G172" s="6">
        <v>1.0</v>
      </c>
      <c r="H172" s="6">
        <v>1.0</v>
      </c>
      <c r="I172" s="6">
        <v>1.0</v>
      </c>
      <c r="J172" s="6">
        <v>1.0</v>
      </c>
      <c r="K172" s="10">
        <v>0.605645358562469</v>
      </c>
      <c r="L172" s="10">
        <v>0.176450744271278</v>
      </c>
      <c r="M172" s="10">
        <v>-0.0912179350852966</v>
      </c>
      <c r="N172" s="11">
        <v>-0.09121799</v>
      </c>
      <c r="O172" s="6">
        <f t="shared" si="1"/>
        <v>0.0000000549147034</v>
      </c>
      <c r="P172" s="6">
        <v>0.038461538461538</v>
      </c>
      <c r="Q172" s="6">
        <v>0.064935064935064</v>
      </c>
      <c r="R172" s="6">
        <v>0.991</v>
      </c>
      <c r="S172" s="6">
        <v>0.991</v>
      </c>
      <c r="T172" s="6">
        <v>22.7076923076923</v>
      </c>
    </row>
    <row r="173">
      <c r="A173" s="5" t="s">
        <v>42</v>
      </c>
      <c r="B173" s="17" t="s">
        <v>227</v>
      </c>
      <c r="C173" s="7" t="s">
        <v>45</v>
      </c>
      <c r="D173" s="8" t="s">
        <v>239</v>
      </c>
      <c r="E173" s="18">
        <v>45236.0</v>
      </c>
      <c r="F173" s="6">
        <v>1.0</v>
      </c>
      <c r="G173" s="6">
        <v>1.0</v>
      </c>
      <c r="H173" s="6">
        <v>1.0</v>
      </c>
      <c r="I173" s="6">
        <v>1.0</v>
      </c>
      <c r="J173" s="6">
        <v>1.0</v>
      </c>
      <c r="K173" s="10">
        <v>0.618376970291137</v>
      </c>
      <c r="L173" s="10">
        <v>0.154462158679962</v>
      </c>
      <c r="M173" s="10">
        <v>-0.234059557318687</v>
      </c>
      <c r="N173" s="11">
        <v>-0.23405962</v>
      </c>
      <c r="O173" s="6">
        <f t="shared" si="1"/>
        <v>0.000000062681313</v>
      </c>
      <c r="P173" s="6">
        <v>0.03076923076923</v>
      </c>
      <c r="Q173" s="6">
        <v>0.048387096774193</v>
      </c>
      <c r="R173" s="6">
        <v>0.3612</v>
      </c>
      <c r="S173" s="6">
        <v>0.3612</v>
      </c>
      <c r="T173" s="6">
        <v>22.2051282051282</v>
      </c>
    </row>
    <row r="174">
      <c r="A174" s="5" t="s">
        <v>42</v>
      </c>
      <c r="B174" s="17" t="s">
        <v>227</v>
      </c>
      <c r="C174" s="7" t="s">
        <v>47</v>
      </c>
      <c r="D174" s="8" t="s">
        <v>240</v>
      </c>
      <c r="E174" s="18">
        <v>45236.0</v>
      </c>
      <c r="F174" s="6">
        <v>1.0</v>
      </c>
      <c r="G174" s="6">
        <v>1.0</v>
      </c>
      <c r="H174" s="6">
        <v>1.0</v>
      </c>
      <c r="I174" s="6">
        <v>1.0</v>
      </c>
      <c r="J174" s="6">
        <v>1.0</v>
      </c>
      <c r="K174" s="10">
        <v>0.621609926223754</v>
      </c>
      <c r="L174" s="10">
        <v>0.151672020554542</v>
      </c>
      <c r="M174" s="10">
        <v>-0.204649299383163</v>
      </c>
      <c r="N174" s="11">
        <v>-0.20464964</v>
      </c>
      <c r="O174" s="6">
        <f t="shared" si="1"/>
        <v>0.000000340616837</v>
      </c>
      <c r="P174" s="6">
        <v>0.058823529411764</v>
      </c>
      <c r="Q174" s="6">
        <v>0.09090909090909</v>
      </c>
      <c r="R174" s="6">
        <v>0.8201</v>
      </c>
      <c r="S174" s="6">
        <v>0.8201</v>
      </c>
      <c r="T174" s="6">
        <v>17.9764705882353</v>
      </c>
    </row>
    <row r="175">
      <c r="A175" s="5" t="s">
        <v>42</v>
      </c>
      <c r="B175" s="17" t="s">
        <v>227</v>
      </c>
      <c r="C175" s="7" t="s">
        <v>49</v>
      </c>
      <c r="D175" s="8" t="s">
        <v>241</v>
      </c>
      <c r="E175" s="18">
        <v>45236.0</v>
      </c>
      <c r="F175" s="6">
        <v>1.0</v>
      </c>
      <c r="G175" s="6">
        <v>1.0</v>
      </c>
      <c r="H175" s="6">
        <v>1.0</v>
      </c>
      <c r="I175" s="6">
        <v>1.0</v>
      </c>
      <c r="J175" s="6">
        <v>1.0</v>
      </c>
      <c r="K175" s="10">
        <v>0.61673903465271</v>
      </c>
      <c r="L175" s="10">
        <v>0.158069550991058</v>
      </c>
      <c r="M175" s="10">
        <v>0.020907025784254</v>
      </c>
      <c r="N175" s="11">
        <v>0.020907119</v>
      </c>
      <c r="O175" s="6">
        <f t="shared" si="1"/>
        <v>-0.000000093215746</v>
      </c>
      <c r="P175" s="6">
        <v>0.047904191616766</v>
      </c>
      <c r="Q175" s="6">
        <v>0.050314465408805</v>
      </c>
      <c r="R175" s="6">
        <v>0.9941</v>
      </c>
      <c r="S175" s="6">
        <v>0.9941</v>
      </c>
      <c r="T175" s="6">
        <v>18.4401862940785</v>
      </c>
    </row>
    <row r="176">
      <c r="A176" s="5" t="s">
        <v>42</v>
      </c>
      <c r="B176" s="17" t="s">
        <v>227</v>
      </c>
      <c r="C176" s="7" t="s">
        <v>51</v>
      </c>
      <c r="D176" s="8" t="s">
        <v>242</v>
      </c>
      <c r="E176" s="18">
        <v>45236.0</v>
      </c>
      <c r="F176" s="6">
        <v>1.0</v>
      </c>
      <c r="G176" s="6">
        <v>1.0</v>
      </c>
      <c r="H176" s="6">
        <v>1.0</v>
      </c>
      <c r="I176" s="6">
        <v>1.0</v>
      </c>
      <c r="J176" s="6">
        <v>1.0</v>
      </c>
      <c r="K176" s="10">
        <v>0.614909410476684</v>
      </c>
      <c r="L176" s="10">
        <v>0.145529866218566</v>
      </c>
      <c r="M176" s="10">
        <v>0.107360020279884</v>
      </c>
      <c r="N176" s="11">
        <v>0.10736005</v>
      </c>
      <c r="O176" s="6">
        <f t="shared" si="1"/>
        <v>-0.00000002972011599</v>
      </c>
      <c r="P176" s="6">
        <v>0.010791366906474</v>
      </c>
      <c r="Q176" s="6">
        <v>0.022556390977443</v>
      </c>
      <c r="R176" s="6">
        <v>0.9867</v>
      </c>
      <c r="S176" s="6">
        <v>0.9867</v>
      </c>
      <c r="T176" s="6">
        <v>18.2919555264879</v>
      </c>
    </row>
    <row r="177">
      <c r="A177" s="5" t="s">
        <v>42</v>
      </c>
      <c r="B177" s="17" t="s">
        <v>227</v>
      </c>
      <c r="C177" s="7" t="s">
        <v>53</v>
      </c>
      <c r="D177" s="8" t="s">
        <v>243</v>
      </c>
      <c r="E177" s="18">
        <v>45236.0</v>
      </c>
      <c r="F177" s="6">
        <v>1.0</v>
      </c>
      <c r="G177" s="6">
        <v>1.0</v>
      </c>
      <c r="H177" s="6">
        <v>1.0</v>
      </c>
      <c r="I177" s="6">
        <v>1.0</v>
      </c>
      <c r="J177" s="6">
        <v>1.0</v>
      </c>
      <c r="K177" s="10">
        <v>0.618627071380615</v>
      </c>
      <c r="L177" s="10">
        <v>0.179315775632858</v>
      </c>
      <c r="M177" s="10">
        <v>-0.101368673145771</v>
      </c>
      <c r="N177" s="11">
        <v>-0.10136872</v>
      </c>
      <c r="O177" s="6">
        <f t="shared" si="1"/>
        <v>0.000000046854229</v>
      </c>
      <c r="P177" s="6">
        <v>0.017094017094017</v>
      </c>
      <c r="Q177" s="6">
        <v>0.026548672566371</v>
      </c>
      <c r="R177" s="6">
        <v>0.9428</v>
      </c>
      <c r="S177" s="6">
        <v>0.9428</v>
      </c>
      <c r="T177" s="6">
        <v>24.8940170940171</v>
      </c>
    </row>
    <row r="178">
      <c r="A178" s="5" t="s">
        <v>42</v>
      </c>
      <c r="B178" s="17" t="s">
        <v>227</v>
      </c>
      <c r="C178" s="7" t="s">
        <v>55</v>
      </c>
      <c r="D178" s="8" t="s">
        <v>244</v>
      </c>
      <c r="E178" s="18">
        <v>45236.0</v>
      </c>
      <c r="F178" s="6">
        <v>1.0</v>
      </c>
      <c r="G178" s="6">
        <v>1.0</v>
      </c>
      <c r="H178" s="6">
        <v>1.0</v>
      </c>
      <c r="I178" s="6">
        <v>1.0</v>
      </c>
      <c r="J178" s="6">
        <v>1.0</v>
      </c>
      <c r="K178" s="10">
        <v>0.611902832984924</v>
      </c>
      <c r="L178" s="10">
        <v>0.138790592551231</v>
      </c>
      <c r="M178" s="10">
        <v>-0.128148287534713</v>
      </c>
      <c r="N178" s="11">
        <v>-0.12814839</v>
      </c>
      <c r="O178" s="6">
        <f t="shared" si="1"/>
        <v>0.000000102465287</v>
      </c>
      <c r="P178" s="6">
        <v>0.027450980392156</v>
      </c>
      <c r="Q178" s="6">
        <v>0.028</v>
      </c>
      <c r="R178" s="6">
        <v>0.5423</v>
      </c>
      <c r="S178" s="6">
        <v>0.5423</v>
      </c>
      <c r="T178" s="6">
        <v>26.9982174688057</v>
      </c>
    </row>
    <row r="179">
      <c r="A179" s="5" t="s">
        <v>42</v>
      </c>
      <c r="B179" s="17" t="s">
        <v>227</v>
      </c>
      <c r="C179" s="7" t="s">
        <v>57</v>
      </c>
      <c r="D179" s="8" t="s">
        <v>245</v>
      </c>
      <c r="E179" s="18">
        <v>45236.0</v>
      </c>
      <c r="F179" s="6">
        <v>1.0</v>
      </c>
      <c r="G179" s="6">
        <v>1.0</v>
      </c>
      <c r="H179" s="6">
        <v>1.0</v>
      </c>
      <c r="I179" s="6">
        <v>1.0</v>
      </c>
      <c r="J179" s="6">
        <v>1.0</v>
      </c>
      <c r="K179" s="10">
        <v>0.619653463363647</v>
      </c>
      <c r="L179" s="10">
        <v>0.153069540858268</v>
      </c>
      <c r="M179" s="10">
        <v>-0.124652937054634</v>
      </c>
      <c r="N179" s="11">
        <v>-0.12465299</v>
      </c>
      <c r="O179" s="6">
        <f t="shared" si="1"/>
        <v>0.00000005294536601</v>
      </c>
      <c r="P179" s="6">
        <v>0.046511627906976</v>
      </c>
      <c r="Q179" s="6">
        <v>0.048780487804878</v>
      </c>
      <c r="R179" s="6">
        <v>0.9959</v>
      </c>
      <c r="S179" s="6">
        <v>0.9959</v>
      </c>
      <c r="T179" s="6">
        <v>19.2976744186047</v>
      </c>
    </row>
    <row r="180">
      <c r="A180" s="5" t="s">
        <v>42</v>
      </c>
      <c r="B180" s="17" t="s">
        <v>227</v>
      </c>
      <c r="C180" s="7" t="s">
        <v>59</v>
      </c>
      <c r="D180" s="8" t="s">
        <v>246</v>
      </c>
      <c r="E180" s="18">
        <v>45236.0</v>
      </c>
      <c r="F180" s="6">
        <v>1.0</v>
      </c>
      <c r="G180" s="6">
        <v>1.0</v>
      </c>
      <c r="H180" s="6">
        <v>1.0</v>
      </c>
      <c r="I180" s="6">
        <v>1.0</v>
      </c>
      <c r="J180" s="6">
        <v>1.0</v>
      </c>
      <c r="K180" s="10">
        <v>0.609645009040832</v>
      </c>
      <c r="L180" s="10">
        <v>0.15858344733715</v>
      </c>
      <c r="M180" s="10">
        <v>-0.241437271237373</v>
      </c>
      <c r="N180" s="11">
        <v>-0.24143718</v>
      </c>
      <c r="O180" s="6">
        <f t="shared" si="1"/>
        <v>-0.00000009123737299</v>
      </c>
      <c r="P180" s="6">
        <v>0.025</v>
      </c>
      <c r="Q180" s="6">
        <v>0.066666666666666</v>
      </c>
      <c r="R180" s="6">
        <v>0.9062</v>
      </c>
      <c r="S180" s="6">
        <v>0.9062</v>
      </c>
      <c r="T180" s="6">
        <v>21.6666666666667</v>
      </c>
    </row>
    <row r="181">
      <c r="A181" s="5" t="s">
        <v>42</v>
      </c>
      <c r="B181" s="17" t="s">
        <v>227</v>
      </c>
      <c r="C181" s="7" t="s">
        <v>61</v>
      </c>
      <c r="D181" s="8" t="s">
        <v>247</v>
      </c>
      <c r="E181" s="18">
        <v>45236.0</v>
      </c>
      <c r="F181" s="6">
        <v>1.0</v>
      </c>
      <c r="G181" s="6">
        <v>1.0</v>
      </c>
      <c r="H181" s="6">
        <v>1.0</v>
      </c>
      <c r="I181" s="6">
        <v>1.0</v>
      </c>
      <c r="J181" s="6">
        <v>1.0</v>
      </c>
      <c r="K181" s="10">
        <v>0.613187253475189</v>
      </c>
      <c r="L181" s="10">
        <v>0.184898063540458</v>
      </c>
      <c r="M181" s="10">
        <v>0.0661178976297378</v>
      </c>
      <c r="N181" s="11">
        <v>0.06611795</v>
      </c>
      <c r="O181" s="6">
        <f t="shared" si="1"/>
        <v>-0.0000000523702622</v>
      </c>
      <c r="P181" s="6">
        <v>0.013513513513513</v>
      </c>
      <c r="Q181" s="6">
        <v>0.08695652173913</v>
      </c>
      <c r="R181" s="6">
        <v>0.9492</v>
      </c>
      <c r="S181" s="6">
        <v>0.9492</v>
      </c>
      <c r="T181" s="6">
        <v>20.1369369369369</v>
      </c>
    </row>
    <row r="182">
      <c r="A182" s="5" t="s">
        <v>63</v>
      </c>
      <c r="B182" s="17" t="s">
        <v>227</v>
      </c>
      <c r="C182" s="7" t="s">
        <v>64</v>
      </c>
      <c r="D182" s="8" t="s">
        <v>248</v>
      </c>
      <c r="E182" s="18">
        <v>45236.0</v>
      </c>
      <c r="F182" s="6">
        <v>1.0</v>
      </c>
      <c r="G182" s="6">
        <v>1.0</v>
      </c>
      <c r="H182" s="6">
        <v>1.0</v>
      </c>
      <c r="I182" s="6">
        <v>1.0</v>
      </c>
      <c r="J182" s="6">
        <v>1.0</v>
      </c>
      <c r="K182" s="10">
        <v>0.612337231636047</v>
      </c>
      <c r="L182" s="10">
        <v>0.15267764031887</v>
      </c>
      <c r="M182" s="10">
        <v>0.0447651781141757</v>
      </c>
      <c r="N182" s="11">
        <v>0.04476536</v>
      </c>
      <c r="O182" s="6">
        <f t="shared" si="1"/>
        <v>-0.0000001818858243</v>
      </c>
      <c r="P182" s="6">
        <v>0.072463768115942</v>
      </c>
      <c r="Q182" s="6">
        <v>0.13235294117647</v>
      </c>
      <c r="R182" s="6">
        <v>0.9382</v>
      </c>
      <c r="S182" s="6">
        <v>-0.9382</v>
      </c>
      <c r="T182" s="6">
        <v>20.7942028985507</v>
      </c>
    </row>
    <row r="183">
      <c r="A183" s="5" t="s">
        <v>63</v>
      </c>
      <c r="B183" s="17" t="s">
        <v>227</v>
      </c>
      <c r="C183" s="7" t="s">
        <v>66</v>
      </c>
      <c r="D183" s="8" t="s">
        <v>249</v>
      </c>
      <c r="E183" s="18">
        <v>45236.0</v>
      </c>
      <c r="F183" s="6">
        <v>1.0</v>
      </c>
      <c r="G183" s="6">
        <v>1.0</v>
      </c>
      <c r="H183" s="6">
        <v>1.0</v>
      </c>
      <c r="I183" s="6">
        <v>1.0</v>
      </c>
      <c r="J183" s="6">
        <v>1.0</v>
      </c>
      <c r="K183" s="10">
        <v>0.614066064357757</v>
      </c>
      <c r="L183" s="10">
        <v>0.149280846118927</v>
      </c>
      <c r="M183" s="10">
        <v>-0.0220901295542716</v>
      </c>
      <c r="N183" s="11">
        <v>-0.022090062</v>
      </c>
      <c r="O183" s="6">
        <f t="shared" si="1"/>
        <v>-0.0000000675542716</v>
      </c>
      <c r="P183" s="6">
        <v>0.038461538461538</v>
      </c>
      <c r="Q183" s="6">
        <v>0.099009900990099</v>
      </c>
      <c r="R183" s="6">
        <v>0.4094</v>
      </c>
      <c r="S183" s="6">
        <v>0.4094</v>
      </c>
      <c r="T183" s="6">
        <v>19.0892307692308</v>
      </c>
    </row>
    <row r="184">
      <c r="A184" s="5" t="s">
        <v>63</v>
      </c>
      <c r="B184" s="17" t="s">
        <v>227</v>
      </c>
      <c r="C184" s="7" t="s">
        <v>68</v>
      </c>
      <c r="D184" s="8" t="s">
        <v>250</v>
      </c>
      <c r="E184" s="18">
        <v>45236.0</v>
      </c>
      <c r="F184" s="6">
        <v>1.0</v>
      </c>
      <c r="G184" s="6">
        <v>1.0</v>
      </c>
      <c r="H184" s="6">
        <v>1.0</v>
      </c>
      <c r="I184" s="6">
        <v>1.0</v>
      </c>
      <c r="J184" s="6">
        <v>1.0</v>
      </c>
      <c r="K184" s="10">
        <v>0.639099419116973</v>
      </c>
      <c r="L184" s="10">
        <v>0.178977385163307</v>
      </c>
      <c r="M184" s="10">
        <v>-0.182707399129867</v>
      </c>
      <c r="N184" s="11">
        <v>-0.18270752</v>
      </c>
      <c r="O184" s="6">
        <f t="shared" si="1"/>
        <v>0.000000120870133</v>
      </c>
      <c r="P184" s="6">
        <v>0.0</v>
      </c>
      <c r="Q184" s="6">
        <v>0.054545454545454</v>
      </c>
      <c r="R184" s="6">
        <v>0.8511</v>
      </c>
      <c r="S184" s="6">
        <v>0.8511</v>
      </c>
      <c r="T184" s="6">
        <v>21.840350877193</v>
      </c>
    </row>
    <row r="185">
      <c r="A185" s="5" t="s">
        <v>63</v>
      </c>
      <c r="B185" s="17" t="s">
        <v>227</v>
      </c>
      <c r="C185" s="7" t="s">
        <v>70</v>
      </c>
      <c r="D185" s="8" t="s">
        <v>251</v>
      </c>
      <c r="E185" s="18">
        <v>45236.0</v>
      </c>
      <c r="F185" s="6">
        <v>1.0</v>
      </c>
      <c r="G185" s="6">
        <v>1.0</v>
      </c>
      <c r="H185" s="6">
        <v>1.0</v>
      </c>
      <c r="I185" s="6">
        <v>1.0</v>
      </c>
      <c r="J185" s="6">
        <v>1.0</v>
      </c>
      <c r="K185" s="10">
        <v>0.63005393743515</v>
      </c>
      <c r="L185" s="10">
        <v>0.183852925896644</v>
      </c>
      <c r="M185" s="10">
        <v>-3.08997929096221E-4</v>
      </c>
      <c r="N185" s="11">
        <v>-3.0921726E-4</v>
      </c>
      <c r="O185" s="6">
        <f t="shared" si="1"/>
        <v>0.0000002193309038</v>
      </c>
      <c r="P185" s="6">
        <v>0.025974025974025</v>
      </c>
      <c r="Q185" s="6">
        <v>0.039473684210526</v>
      </c>
      <c r="R185" s="6">
        <v>0.9571</v>
      </c>
      <c r="S185" s="6">
        <v>0.9571</v>
      </c>
      <c r="T185" s="6">
        <v>18.0896103896104</v>
      </c>
    </row>
    <row r="186">
      <c r="A186" s="5" t="s">
        <v>63</v>
      </c>
      <c r="B186" s="17" t="s">
        <v>227</v>
      </c>
      <c r="C186" s="7" t="s">
        <v>72</v>
      </c>
      <c r="D186" s="8" t="s">
        <v>252</v>
      </c>
      <c r="E186" s="18">
        <v>45236.0</v>
      </c>
      <c r="F186" s="6">
        <v>1.0</v>
      </c>
      <c r="G186" s="6">
        <v>1.0</v>
      </c>
      <c r="H186" s="6">
        <v>1.0</v>
      </c>
      <c r="I186" s="6">
        <v>1.0</v>
      </c>
      <c r="J186" s="6">
        <v>1.0</v>
      </c>
      <c r="K186" s="10">
        <v>0.633319735527038</v>
      </c>
      <c r="L186" s="10">
        <v>0.145707562565803</v>
      </c>
      <c r="M186" s="10">
        <v>0.23792178928852</v>
      </c>
      <c r="N186" s="11">
        <v>0.23792204</v>
      </c>
      <c r="O186" s="6">
        <f t="shared" si="1"/>
        <v>-0.00000025071148</v>
      </c>
      <c r="P186" s="6">
        <v>0.011494252873563</v>
      </c>
      <c r="Q186" s="6">
        <v>0.071428571428571</v>
      </c>
      <c r="R186" s="6">
        <v>0.9764</v>
      </c>
      <c r="S186" s="6">
        <v>0.9764</v>
      </c>
      <c r="T186" s="6">
        <v>24.4735632183908</v>
      </c>
    </row>
    <row r="187">
      <c r="A187" s="5" t="s">
        <v>63</v>
      </c>
      <c r="B187" s="17" t="s">
        <v>227</v>
      </c>
      <c r="C187" s="7" t="s">
        <v>74</v>
      </c>
      <c r="D187" s="8" t="s">
        <v>253</v>
      </c>
      <c r="E187" s="18">
        <v>45236.0</v>
      </c>
      <c r="F187" s="6">
        <v>1.0</v>
      </c>
      <c r="G187" s="6">
        <v>1.0</v>
      </c>
      <c r="H187" s="6">
        <v>1.0</v>
      </c>
      <c r="I187" s="6">
        <v>1.0</v>
      </c>
      <c r="J187" s="6">
        <v>1.0</v>
      </c>
      <c r="K187" s="10">
        <v>0.629310190677642</v>
      </c>
      <c r="L187" s="10">
        <v>0.168925106525421</v>
      </c>
      <c r="M187" s="10">
        <v>0.0807674378156662</v>
      </c>
      <c r="N187" s="11">
        <v>0.08076751</v>
      </c>
      <c r="O187" s="6">
        <f t="shared" si="1"/>
        <v>-0.0000000721843338</v>
      </c>
      <c r="P187" s="6">
        <v>0.045977011494252</v>
      </c>
      <c r="Q187" s="6">
        <v>0.023529411764705</v>
      </c>
      <c r="R187" s="6">
        <v>0.967</v>
      </c>
      <c r="S187" s="6">
        <v>0.967</v>
      </c>
      <c r="T187" s="6">
        <v>23.8724137931035</v>
      </c>
    </row>
    <row r="188">
      <c r="A188" s="5" t="s">
        <v>63</v>
      </c>
      <c r="B188" s="17" t="s">
        <v>227</v>
      </c>
      <c r="C188" s="7" t="s">
        <v>76</v>
      </c>
      <c r="D188" s="8" t="s">
        <v>254</v>
      </c>
      <c r="E188" s="18">
        <v>45236.0</v>
      </c>
      <c r="F188" s="6">
        <v>1.0</v>
      </c>
      <c r="G188" s="6">
        <v>1.0</v>
      </c>
      <c r="H188" s="6">
        <v>1.0</v>
      </c>
      <c r="I188" s="6">
        <v>1.0</v>
      </c>
      <c r="J188" s="6">
        <v>1.0</v>
      </c>
      <c r="K188" s="10">
        <v>0.628919601440429</v>
      </c>
      <c r="L188" s="10">
        <v>0.171593263745307</v>
      </c>
      <c r="M188" s="10">
        <v>0.0220695696771144</v>
      </c>
      <c r="N188" s="11">
        <v>0.022069588</v>
      </c>
      <c r="O188" s="6">
        <f t="shared" si="1"/>
        <v>-0.0000000183228856</v>
      </c>
      <c r="P188" s="6">
        <v>0.011235955056179</v>
      </c>
      <c r="Q188" s="6">
        <v>0.0</v>
      </c>
      <c r="R188" s="6">
        <v>0.9932</v>
      </c>
      <c r="S188" s="6">
        <v>0.9932</v>
      </c>
      <c r="T188" s="6">
        <v>24.8097378277154</v>
      </c>
    </row>
    <row r="189">
      <c r="A189" s="5" t="s">
        <v>63</v>
      </c>
      <c r="B189" s="17" t="s">
        <v>227</v>
      </c>
      <c r="C189" s="7" t="s">
        <v>78</v>
      </c>
      <c r="D189" s="8" t="s">
        <v>255</v>
      </c>
      <c r="E189" s="18">
        <v>45236.0</v>
      </c>
      <c r="F189" s="6">
        <v>1.0</v>
      </c>
      <c r="G189" s="6">
        <v>1.0</v>
      </c>
      <c r="H189" s="6">
        <v>1.0</v>
      </c>
      <c r="I189" s="6">
        <v>1.0</v>
      </c>
      <c r="J189" s="6">
        <v>1.0</v>
      </c>
      <c r="K189" s="10">
        <v>0.613335311412811</v>
      </c>
      <c r="L189" s="10">
        <v>0.14682437479496</v>
      </c>
      <c r="M189" s="10">
        <v>0.0417778380215168</v>
      </c>
      <c r="N189" s="11">
        <v>0.041778244</v>
      </c>
      <c r="O189" s="6">
        <f t="shared" si="1"/>
        <v>-0.0000004059784832</v>
      </c>
      <c r="P189" s="6">
        <v>0.031914893617021</v>
      </c>
      <c r="Q189" s="6">
        <v>0.054945054945054</v>
      </c>
      <c r="R189" s="6">
        <v>0.9866</v>
      </c>
      <c r="S189" s="6">
        <v>0.9866</v>
      </c>
      <c r="T189" s="6">
        <v>21.7404255319149</v>
      </c>
    </row>
    <row r="190">
      <c r="A190" s="5" t="s">
        <v>63</v>
      </c>
      <c r="B190" s="17" t="s">
        <v>227</v>
      </c>
      <c r="C190" s="7" t="s">
        <v>80</v>
      </c>
      <c r="D190" s="8" t="s">
        <v>256</v>
      </c>
      <c r="E190" s="18">
        <v>45236.0</v>
      </c>
      <c r="F190" s="6">
        <v>1.0</v>
      </c>
      <c r="G190" s="6">
        <v>1.0</v>
      </c>
      <c r="H190" s="6">
        <v>1.0</v>
      </c>
      <c r="I190" s="6">
        <v>1.0</v>
      </c>
      <c r="J190" s="6">
        <v>1.0</v>
      </c>
      <c r="K190" s="10">
        <v>0.625502943992614</v>
      </c>
      <c r="L190" s="10">
        <v>0.188926413655281</v>
      </c>
      <c r="M190" s="10">
        <v>-0.187801465392112</v>
      </c>
      <c r="N190" s="11">
        <v>-0.1878015</v>
      </c>
      <c r="O190" s="6">
        <f t="shared" si="1"/>
        <v>0.000000034607888</v>
      </c>
      <c r="P190" s="6">
        <v>0.018518518518518</v>
      </c>
      <c r="Q190" s="6">
        <v>0.048543689320388</v>
      </c>
      <c r="R190" s="6">
        <v>0.8586</v>
      </c>
      <c r="S190" s="6">
        <v>0.8586</v>
      </c>
      <c r="T190" s="6">
        <v>23.762962962963</v>
      </c>
    </row>
    <row r="191">
      <c r="A191" s="5" t="s">
        <v>63</v>
      </c>
      <c r="B191" s="17" t="s">
        <v>227</v>
      </c>
      <c r="C191" s="7" t="s">
        <v>82</v>
      </c>
      <c r="D191" s="8" t="s">
        <v>257</v>
      </c>
      <c r="E191" s="18">
        <v>45236.0</v>
      </c>
      <c r="F191" s="6">
        <v>1.0</v>
      </c>
      <c r="G191" s="6">
        <v>1.0</v>
      </c>
      <c r="H191" s="6">
        <v>1.0</v>
      </c>
      <c r="I191" s="6">
        <v>1.0</v>
      </c>
      <c r="J191" s="6">
        <v>1.0</v>
      </c>
      <c r="K191" s="10">
        <v>0.642353653907775</v>
      </c>
      <c r="L191" s="10">
        <v>0.188534587621688</v>
      </c>
      <c r="M191" s="10">
        <v>-0.143376290798187</v>
      </c>
      <c r="N191" s="11">
        <v>-0.14337648</v>
      </c>
      <c r="O191" s="6">
        <f t="shared" si="1"/>
        <v>0.000000189201813</v>
      </c>
      <c r="P191" s="6">
        <v>0.016666666666666</v>
      </c>
      <c r="Q191" s="6">
        <v>0.052173913043478</v>
      </c>
      <c r="R191" s="6">
        <v>0.872</v>
      </c>
      <c r="S191" s="6">
        <v>0.872</v>
      </c>
      <c r="T191" s="6">
        <v>19.2666666666667</v>
      </c>
    </row>
    <row r="192">
      <c r="A192" s="5" t="s">
        <v>84</v>
      </c>
      <c r="B192" s="17" t="s">
        <v>227</v>
      </c>
      <c r="C192" s="7" t="s">
        <v>85</v>
      </c>
      <c r="D192" s="8" t="s">
        <v>258</v>
      </c>
      <c r="E192" s="18">
        <v>45236.0</v>
      </c>
      <c r="F192" s="6">
        <v>1.0</v>
      </c>
      <c r="G192" s="6">
        <v>1.0</v>
      </c>
      <c r="H192" s="6">
        <v>1.0</v>
      </c>
      <c r="I192" s="6">
        <v>1.0</v>
      </c>
      <c r="J192" s="6">
        <v>1.0</v>
      </c>
      <c r="K192" s="10">
        <v>0.605998814105987</v>
      </c>
      <c r="L192" s="10">
        <v>0.155298635363578</v>
      </c>
      <c r="M192" s="10">
        <v>0.118557132780551</v>
      </c>
      <c r="N192" s="11">
        <v>0.11855705</v>
      </c>
      <c r="O192" s="6">
        <f t="shared" si="1"/>
        <v>0.000000082780551</v>
      </c>
      <c r="P192" s="6">
        <v>0.067415730337078</v>
      </c>
      <c r="Q192" s="6">
        <v>0.034090909090909</v>
      </c>
      <c r="R192" s="6">
        <v>0.9957</v>
      </c>
      <c r="S192" s="6">
        <v>0.9957</v>
      </c>
      <c r="T192" s="6">
        <v>24.1986516853933</v>
      </c>
    </row>
    <row r="193">
      <c r="A193" s="5" t="s">
        <v>84</v>
      </c>
      <c r="B193" s="17" t="s">
        <v>227</v>
      </c>
      <c r="C193" s="7" t="s">
        <v>87</v>
      </c>
      <c r="D193" s="8" t="s">
        <v>259</v>
      </c>
      <c r="E193" s="18">
        <v>45236.0</v>
      </c>
      <c r="F193" s="6">
        <v>1.0</v>
      </c>
      <c r="G193" s="6">
        <v>1.0</v>
      </c>
      <c r="H193" s="6">
        <v>1.0</v>
      </c>
      <c r="I193" s="6">
        <v>1.0</v>
      </c>
      <c r="J193" s="6">
        <v>1.0</v>
      </c>
      <c r="K193" s="10">
        <v>0.633035361766815</v>
      </c>
      <c r="L193" s="10">
        <v>0.171408906579017</v>
      </c>
      <c r="M193" s="10">
        <v>-0.0058966726064682</v>
      </c>
      <c r="N193" s="11">
        <v>-0.0058966014</v>
      </c>
      <c r="O193" s="6">
        <f t="shared" si="1"/>
        <v>-0.0000000712064682</v>
      </c>
      <c r="P193" s="6">
        <v>0.016129032258064</v>
      </c>
      <c r="Q193" s="6">
        <v>0.1</v>
      </c>
      <c r="R193" s="6">
        <v>0.6036</v>
      </c>
      <c r="S193" s="6">
        <v>0.6036</v>
      </c>
      <c r="T193" s="6">
        <v>18.589247311828</v>
      </c>
    </row>
    <row r="194">
      <c r="A194" s="5" t="s">
        <v>84</v>
      </c>
      <c r="B194" s="17" t="s">
        <v>227</v>
      </c>
      <c r="C194" s="7" t="s">
        <v>89</v>
      </c>
      <c r="D194" s="8" t="s">
        <v>260</v>
      </c>
      <c r="E194" s="18">
        <v>45236.0</v>
      </c>
      <c r="F194" s="6">
        <v>1.0</v>
      </c>
      <c r="G194" s="6">
        <v>1.0</v>
      </c>
      <c r="H194" s="6">
        <v>1.0</v>
      </c>
      <c r="I194" s="6">
        <v>1.0</v>
      </c>
      <c r="J194" s="6">
        <v>1.0</v>
      </c>
      <c r="K194" s="10">
        <v>0.609224796295166</v>
      </c>
      <c r="L194" s="10">
        <v>0.17568515241146</v>
      </c>
      <c r="M194" s="10">
        <v>-0.0901158526539802</v>
      </c>
      <c r="N194" s="11">
        <v>-0.09011575</v>
      </c>
      <c r="O194" s="6">
        <f t="shared" si="1"/>
        <v>-0.0000001026539802</v>
      </c>
      <c r="P194" s="6">
        <v>0.0</v>
      </c>
      <c r="Q194" s="6">
        <v>0.07</v>
      </c>
      <c r="R194" s="6">
        <v>0.9836</v>
      </c>
      <c r="S194" s="6">
        <v>0.9836</v>
      </c>
      <c r="T194" s="6">
        <v>24.6347663551402</v>
      </c>
    </row>
    <row r="195">
      <c r="A195" s="5" t="s">
        <v>84</v>
      </c>
      <c r="B195" s="17" t="s">
        <v>227</v>
      </c>
      <c r="C195" s="7" t="s">
        <v>91</v>
      </c>
      <c r="D195" s="8" t="s">
        <v>261</v>
      </c>
      <c r="E195" s="18">
        <v>45236.0</v>
      </c>
      <c r="F195" s="6">
        <v>1.0</v>
      </c>
      <c r="G195" s="6">
        <v>1.0</v>
      </c>
      <c r="H195" s="6">
        <v>1.0</v>
      </c>
      <c r="I195" s="6">
        <v>1.0</v>
      </c>
      <c r="J195" s="6">
        <v>1.0</v>
      </c>
      <c r="K195" s="10">
        <v>0.615355193614959</v>
      </c>
      <c r="L195" s="10">
        <v>0.164012819528579</v>
      </c>
      <c r="M195" s="10">
        <v>0.156802251935005</v>
      </c>
      <c r="N195" s="11">
        <v>0.15680222</v>
      </c>
      <c r="O195" s="6">
        <f t="shared" si="1"/>
        <v>0.000000031935005</v>
      </c>
      <c r="P195" s="6">
        <v>0.011494252873563</v>
      </c>
      <c r="Q195" s="6">
        <v>0.071428571428571</v>
      </c>
      <c r="R195" s="6">
        <v>0.9628</v>
      </c>
      <c r="S195" s="6">
        <v>0.9628</v>
      </c>
      <c r="T195" s="6">
        <v>23.8724137931035</v>
      </c>
    </row>
    <row r="196">
      <c r="A196" s="5" t="s">
        <v>84</v>
      </c>
      <c r="B196" s="17" t="s">
        <v>227</v>
      </c>
      <c r="C196" s="7" t="s">
        <v>93</v>
      </c>
      <c r="D196" s="8" t="s">
        <v>262</v>
      </c>
      <c r="E196" s="18">
        <v>45236.0</v>
      </c>
      <c r="F196" s="6">
        <v>1.0</v>
      </c>
      <c r="G196" s="6">
        <v>1.0</v>
      </c>
      <c r="H196" s="6">
        <v>1.0</v>
      </c>
      <c r="I196" s="6">
        <v>1.0</v>
      </c>
      <c r="J196" s="6">
        <v>1.0</v>
      </c>
      <c r="K196" s="10">
        <v>0.615648031234741</v>
      </c>
      <c r="L196" s="10">
        <v>0.150233119726181</v>
      </c>
      <c r="M196" s="10">
        <v>0.0224695429205894</v>
      </c>
      <c r="N196" s="11">
        <v>0.022469785</v>
      </c>
      <c r="O196" s="6">
        <f t="shared" si="1"/>
        <v>-0.0000002420794106</v>
      </c>
      <c r="P196" s="6">
        <v>0.042553191489361</v>
      </c>
      <c r="Q196" s="6">
        <v>0.054945054945054</v>
      </c>
      <c r="R196" s="6">
        <v>0.296</v>
      </c>
      <c r="S196" s="6">
        <v>0.296</v>
      </c>
      <c r="T196" s="6">
        <v>27.6978723404255</v>
      </c>
    </row>
    <row r="197">
      <c r="A197" s="5" t="s">
        <v>84</v>
      </c>
      <c r="B197" s="17" t="s">
        <v>227</v>
      </c>
      <c r="C197" s="7" t="s">
        <v>95</v>
      </c>
      <c r="D197" s="8" t="s">
        <v>263</v>
      </c>
      <c r="E197" s="18">
        <v>45236.0</v>
      </c>
      <c r="F197" s="6">
        <v>1.0</v>
      </c>
      <c r="G197" s="6">
        <v>1.0</v>
      </c>
      <c r="H197" s="6">
        <v>1.0</v>
      </c>
      <c r="I197" s="6">
        <v>1.0</v>
      </c>
      <c r="J197" s="6">
        <v>1.0</v>
      </c>
      <c r="K197" s="10">
        <v>0.628658652305603</v>
      </c>
      <c r="L197" s="10">
        <v>0.196984782814979</v>
      </c>
      <c r="M197" s="10">
        <v>-0.278645038604736</v>
      </c>
      <c r="N197" s="11">
        <v>-0.27864483</v>
      </c>
      <c r="O197" s="6">
        <f t="shared" si="1"/>
        <v>-0.000000208604736</v>
      </c>
      <c r="P197" s="6">
        <v>0.0</v>
      </c>
      <c r="Q197" s="6">
        <v>0.086419753086419</v>
      </c>
      <c r="R197" s="6">
        <v>0.9201</v>
      </c>
      <c r="S197" s="6">
        <v>0.9201</v>
      </c>
      <c r="T197" s="6">
        <v>21.6690763052209</v>
      </c>
    </row>
    <row r="198">
      <c r="A198" s="5" t="s">
        <v>84</v>
      </c>
      <c r="B198" s="17" t="s">
        <v>227</v>
      </c>
      <c r="C198" s="7" t="s">
        <v>97</v>
      </c>
      <c r="D198" s="8" t="s">
        <v>264</v>
      </c>
      <c r="E198" s="18">
        <v>45236.0</v>
      </c>
      <c r="F198" s="6">
        <v>1.0</v>
      </c>
      <c r="G198" s="6">
        <v>1.0</v>
      </c>
      <c r="H198" s="6">
        <v>1.0</v>
      </c>
      <c r="I198" s="6">
        <v>1.0</v>
      </c>
      <c r="J198" s="6">
        <v>1.0</v>
      </c>
      <c r="K198" s="10">
        <v>0.61468368768692</v>
      </c>
      <c r="L198" s="10">
        <v>0.132381632924079</v>
      </c>
      <c r="M198" s="10">
        <v>0.189833164215087</v>
      </c>
      <c r="N198" s="11">
        <v>0.18983328</v>
      </c>
      <c r="O198" s="6">
        <f t="shared" si="1"/>
        <v>-0.000000115784913</v>
      </c>
      <c r="P198" s="6">
        <v>0.03731343283582</v>
      </c>
      <c r="Q198" s="6">
        <v>0.023622047244094</v>
      </c>
      <c r="R198" s="6">
        <v>0.9682</v>
      </c>
      <c r="S198" s="6">
        <v>0.9682</v>
      </c>
      <c r="T198" s="6">
        <v>21.6869936034115</v>
      </c>
    </row>
    <row r="199">
      <c r="A199" s="5" t="s">
        <v>84</v>
      </c>
      <c r="B199" s="17" t="s">
        <v>227</v>
      </c>
      <c r="C199" s="7" t="s">
        <v>99</v>
      </c>
      <c r="D199" s="8" t="s">
        <v>265</v>
      </c>
      <c r="E199" s="18">
        <v>45236.0</v>
      </c>
      <c r="F199" s="6">
        <v>1.0</v>
      </c>
      <c r="G199" s="6">
        <v>1.0</v>
      </c>
      <c r="H199" s="6">
        <v>1.0</v>
      </c>
      <c r="I199" s="6">
        <v>1.0</v>
      </c>
      <c r="J199" s="6">
        <v>1.0</v>
      </c>
      <c r="K199" s="10">
        <v>0.601390600204467</v>
      </c>
      <c r="L199" s="10">
        <v>0.151123866438865</v>
      </c>
      <c r="M199" s="10">
        <v>-0.015354910865426</v>
      </c>
      <c r="N199" s="11">
        <v>-0.015355021</v>
      </c>
      <c r="O199" s="6">
        <f t="shared" si="1"/>
        <v>0.000000110134574</v>
      </c>
      <c r="P199" s="6">
        <v>0.020408163265306</v>
      </c>
      <c r="Q199" s="6">
        <v>0.063829787234042</v>
      </c>
      <c r="R199" s="6">
        <v>0.9542</v>
      </c>
      <c r="S199" s="6">
        <v>0.9542</v>
      </c>
      <c r="T199" s="6">
        <v>27.7591836734694</v>
      </c>
    </row>
    <row r="200">
      <c r="A200" s="5" t="s">
        <v>84</v>
      </c>
      <c r="B200" s="17" t="s">
        <v>227</v>
      </c>
      <c r="C200" s="7" t="s">
        <v>101</v>
      </c>
      <c r="D200" s="8" t="s">
        <v>266</v>
      </c>
      <c r="E200" s="18">
        <v>45236.0</v>
      </c>
      <c r="F200" s="6">
        <v>1.0</v>
      </c>
      <c r="G200" s="6">
        <v>1.0</v>
      </c>
      <c r="H200" s="6">
        <v>1.0</v>
      </c>
      <c r="I200" s="6">
        <v>1.0</v>
      </c>
      <c r="J200" s="6">
        <v>1.0</v>
      </c>
      <c r="K200" s="10">
        <v>0.601828515529632</v>
      </c>
      <c r="L200" s="10">
        <v>0.121546059846878</v>
      </c>
      <c r="M200" s="10">
        <v>0.282125830650329</v>
      </c>
      <c r="N200" s="11">
        <v>0.28212613</v>
      </c>
      <c r="O200" s="6">
        <f t="shared" si="1"/>
        <v>-0.000000299349671</v>
      </c>
      <c r="P200" s="6">
        <v>0.048128342245989</v>
      </c>
      <c r="Q200" s="6">
        <v>0.027322404371584</v>
      </c>
      <c r="R200" s="6">
        <v>0.9251</v>
      </c>
      <c r="S200" s="6">
        <v>-0.9251</v>
      </c>
      <c r="T200" s="6">
        <v>25.3927807486631</v>
      </c>
    </row>
    <row r="201">
      <c r="A201" s="5" t="s">
        <v>84</v>
      </c>
      <c r="B201" s="17" t="s">
        <v>227</v>
      </c>
      <c r="C201" s="7" t="s">
        <v>103</v>
      </c>
      <c r="D201" s="8" t="s">
        <v>267</v>
      </c>
      <c r="E201" s="18">
        <v>45236.0</v>
      </c>
      <c r="F201" s="6">
        <v>1.0</v>
      </c>
      <c r="G201" s="6">
        <v>1.0</v>
      </c>
      <c r="H201" s="6">
        <v>1.0</v>
      </c>
      <c r="I201" s="6">
        <v>1.0</v>
      </c>
      <c r="J201" s="6">
        <v>1.0</v>
      </c>
      <c r="K201" s="10">
        <v>0.606077671051025</v>
      </c>
      <c r="L201" s="10">
        <v>0.155730322003364</v>
      </c>
      <c r="M201" s="10">
        <v>0.120597139000892</v>
      </c>
      <c r="N201" s="11">
        <v>0.120597325</v>
      </c>
      <c r="O201" s="6">
        <f t="shared" si="1"/>
        <v>-0.000000185999108</v>
      </c>
      <c r="P201" s="6">
        <v>0.025641025641025</v>
      </c>
      <c r="Q201" s="6">
        <v>0.067039106145251</v>
      </c>
      <c r="R201" s="6">
        <v>0.986</v>
      </c>
      <c r="S201" s="6">
        <v>0.986</v>
      </c>
      <c r="T201" s="6">
        <v>19.9304029304029</v>
      </c>
    </row>
    <row r="202">
      <c r="A202" s="5" t="s">
        <v>20</v>
      </c>
      <c r="B202" s="17" t="s">
        <v>268</v>
      </c>
      <c r="C202" s="7" t="s">
        <v>22</v>
      </c>
      <c r="D202" s="8" t="s">
        <v>269</v>
      </c>
      <c r="E202" s="18">
        <v>45236.0</v>
      </c>
      <c r="F202" s="6">
        <v>1.0</v>
      </c>
      <c r="G202" s="6">
        <v>1.0</v>
      </c>
      <c r="H202" s="6">
        <v>1.0</v>
      </c>
      <c r="I202" s="6">
        <v>1.0</v>
      </c>
      <c r="J202" s="6">
        <v>1.0</v>
      </c>
      <c r="K202" s="10">
        <v>0.623417496681213</v>
      </c>
      <c r="L202" s="10">
        <v>0.138081580400466</v>
      </c>
      <c r="M202" s="10">
        <v>-0.0837319791316986</v>
      </c>
      <c r="N202" s="11">
        <v>-0.08373228</v>
      </c>
      <c r="O202" s="6">
        <f t="shared" si="1"/>
        <v>0.0000003008683014</v>
      </c>
      <c r="P202" s="6">
        <v>0.027027027027027</v>
      </c>
      <c r="Q202" s="6">
        <v>0.176470588235294</v>
      </c>
      <c r="R202" s="6">
        <v>0.4019</v>
      </c>
      <c r="S202" s="6">
        <v>0.4019</v>
      </c>
      <c r="T202" s="6">
        <v>13.581981981982</v>
      </c>
    </row>
    <row r="203">
      <c r="A203" s="5" t="s">
        <v>20</v>
      </c>
      <c r="B203" s="17" t="s">
        <v>268</v>
      </c>
      <c r="C203" s="7" t="s">
        <v>24</v>
      </c>
      <c r="D203" s="8" t="s">
        <v>270</v>
      </c>
      <c r="E203" s="18">
        <v>45236.0</v>
      </c>
      <c r="F203" s="6">
        <v>1.0</v>
      </c>
      <c r="G203" s="6">
        <v>1.0</v>
      </c>
      <c r="H203" s="6">
        <v>1.0</v>
      </c>
      <c r="I203" s="6">
        <v>1.0</v>
      </c>
      <c r="J203" s="6">
        <v>1.0</v>
      </c>
      <c r="K203" s="10">
        <v>0.607170820236206</v>
      </c>
      <c r="L203" s="10">
        <v>0.157608166337013</v>
      </c>
      <c r="M203" s="10">
        <v>0.0178712904453277</v>
      </c>
      <c r="N203" s="11">
        <v>0.017871074</v>
      </c>
      <c r="O203" s="6">
        <f t="shared" si="1"/>
        <v>0.0000002164453277</v>
      </c>
      <c r="P203" s="6">
        <v>0.0</v>
      </c>
      <c r="Q203" s="6">
        <v>0.078947368421052</v>
      </c>
      <c r="R203" s="6">
        <v>0.9434</v>
      </c>
      <c r="S203" s="6">
        <v>0.9434</v>
      </c>
      <c r="T203" s="6">
        <v>18.5329113924051</v>
      </c>
    </row>
    <row r="204">
      <c r="A204" s="5" t="s">
        <v>20</v>
      </c>
      <c r="B204" s="17" t="s">
        <v>268</v>
      </c>
      <c r="C204" s="7" t="s">
        <v>26</v>
      </c>
      <c r="D204" s="8" t="s">
        <v>271</v>
      </c>
      <c r="E204" s="18">
        <v>45236.0</v>
      </c>
      <c r="F204" s="6">
        <v>1.0</v>
      </c>
      <c r="G204" s="6">
        <v>1.0</v>
      </c>
      <c r="H204" s="6">
        <v>1.0</v>
      </c>
      <c r="I204" s="6">
        <v>1.0</v>
      </c>
      <c r="J204" s="6">
        <v>1.0</v>
      </c>
      <c r="K204" s="10">
        <v>0.621258616447448</v>
      </c>
      <c r="L204" s="10">
        <v>0.16565479338169</v>
      </c>
      <c r="M204" s="10">
        <v>-0.0246577374637126</v>
      </c>
      <c r="N204" s="11">
        <v>-0.024657715</v>
      </c>
      <c r="O204" s="6">
        <f t="shared" si="1"/>
        <v>-0.0000000224637126</v>
      </c>
      <c r="P204" s="6">
        <v>0.055555555555555</v>
      </c>
      <c r="Q204" s="6">
        <v>0.132075471698113</v>
      </c>
      <c r="R204" s="6">
        <v>0.886</v>
      </c>
      <c r="S204" s="6">
        <v>0.886</v>
      </c>
      <c r="T204" s="6">
        <v>15.7703703703704</v>
      </c>
    </row>
    <row r="205">
      <c r="A205" s="5" t="s">
        <v>20</v>
      </c>
      <c r="B205" s="17" t="s">
        <v>268</v>
      </c>
      <c r="C205" s="7" t="s">
        <v>28</v>
      </c>
      <c r="D205" s="8" t="s">
        <v>272</v>
      </c>
      <c r="E205" s="18">
        <v>45236.0</v>
      </c>
      <c r="F205" s="6">
        <v>1.0</v>
      </c>
      <c r="G205" s="6">
        <v>1.0</v>
      </c>
      <c r="H205" s="6">
        <v>1.0</v>
      </c>
      <c r="I205" s="6">
        <v>1.0</v>
      </c>
      <c r="J205" s="6">
        <v>1.0</v>
      </c>
      <c r="K205" s="10">
        <v>0.623908221721649</v>
      </c>
      <c r="L205" s="10">
        <v>0.171173095703125</v>
      </c>
      <c r="M205" s="10">
        <v>-0.195735216140747</v>
      </c>
      <c r="N205" s="11">
        <v>-0.19573514</v>
      </c>
      <c r="O205" s="6">
        <f t="shared" si="1"/>
        <v>-0.00000007614074699</v>
      </c>
      <c r="P205" s="6">
        <v>0.032786885245901</v>
      </c>
      <c r="Q205" s="6">
        <v>0.137931034482758</v>
      </c>
      <c r="R205" s="6">
        <v>0.5859</v>
      </c>
      <c r="S205" s="6">
        <v>0.5859</v>
      </c>
      <c r="T205" s="6">
        <v>17.9032786885246</v>
      </c>
    </row>
    <row r="206">
      <c r="A206" s="5" t="s">
        <v>20</v>
      </c>
      <c r="B206" s="17" t="s">
        <v>268</v>
      </c>
      <c r="C206" s="7" t="s">
        <v>30</v>
      </c>
      <c r="D206" s="8" t="s">
        <v>273</v>
      </c>
      <c r="E206" s="18">
        <v>45236.0</v>
      </c>
      <c r="F206" s="6">
        <v>1.0</v>
      </c>
      <c r="G206" s="6">
        <v>1.0</v>
      </c>
      <c r="H206" s="6">
        <v>1.0</v>
      </c>
      <c r="I206" s="6">
        <v>1.0</v>
      </c>
      <c r="J206" s="6">
        <v>1.0</v>
      </c>
      <c r="K206" s="10">
        <v>0.617077708244323</v>
      </c>
      <c r="L206" s="10">
        <v>0.166940614581108</v>
      </c>
      <c r="M206" s="10">
        <v>-0.229425072669982</v>
      </c>
      <c r="N206" s="11">
        <v>-0.22942485</v>
      </c>
      <c r="O206" s="6">
        <f t="shared" si="1"/>
        <v>-0.000000222669982</v>
      </c>
      <c r="P206" s="6">
        <v>0.026666666666666</v>
      </c>
      <c r="Q206" s="6">
        <v>0.055555555555555</v>
      </c>
      <c r="R206" s="6">
        <v>0.8225</v>
      </c>
      <c r="S206" s="6">
        <v>0.8225</v>
      </c>
      <c r="T206" s="6">
        <v>18.2666666666667</v>
      </c>
    </row>
    <row r="207">
      <c r="A207" s="5" t="s">
        <v>20</v>
      </c>
      <c r="B207" s="17" t="s">
        <v>268</v>
      </c>
      <c r="C207" s="7" t="s">
        <v>32</v>
      </c>
      <c r="D207" s="8" t="s">
        <v>274</v>
      </c>
      <c r="E207" s="18">
        <v>45236.0</v>
      </c>
      <c r="F207" s="6">
        <v>1.0</v>
      </c>
      <c r="G207" s="6">
        <v>1.0</v>
      </c>
      <c r="H207" s="6">
        <v>5.0</v>
      </c>
      <c r="I207" s="6">
        <v>1.0</v>
      </c>
      <c r="J207" s="6">
        <v>3.0</v>
      </c>
      <c r="K207" s="10">
        <v>0.627575695514679</v>
      </c>
      <c r="L207" s="10">
        <v>0.167115911841392</v>
      </c>
      <c r="M207" s="10">
        <v>-0.245749771595001</v>
      </c>
      <c r="N207" s="11">
        <v>-0.24574961</v>
      </c>
      <c r="O207" s="6">
        <f t="shared" si="1"/>
        <v>-0.000000161595001</v>
      </c>
      <c r="P207" s="6">
        <v>0.016949152542372</v>
      </c>
      <c r="Q207" s="6">
        <v>0.068965517241379</v>
      </c>
      <c r="R207" s="6">
        <v>0.5562</v>
      </c>
      <c r="S207" s="6">
        <v>0.5562</v>
      </c>
      <c r="T207" s="6">
        <v>18.7141242937853</v>
      </c>
    </row>
    <row r="208">
      <c r="A208" s="5" t="s">
        <v>20</v>
      </c>
      <c r="B208" s="17" t="s">
        <v>268</v>
      </c>
      <c r="C208" s="7" t="s">
        <v>34</v>
      </c>
      <c r="D208" s="8" t="s">
        <v>275</v>
      </c>
      <c r="E208" s="18">
        <v>45236.0</v>
      </c>
      <c r="F208" s="6">
        <v>1.0</v>
      </c>
      <c r="G208" s="6">
        <v>1.0</v>
      </c>
      <c r="H208" s="6">
        <v>1.0</v>
      </c>
      <c r="I208" s="6">
        <v>1.0</v>
      </c>
      <c r="J208" s="6">
        <v>1.0</v>
      </c>
      <c r="K208" s="10">
        <v>0.621596217155456</v>
      </c>
      <c r="L208" s="10">
        <v>0.167557328939437</v>
      </c>
      <c r="M208" s="10">
        <v>0.0349607579410076</v>
      </c>
      <c r="N208" s="11">
        <v>0.034961034</v>
      </c>
      <c r="O208" s="6">
        <f t="shared" si="1"/>
        <v>-0.0000002760589924</v>
      </c>
      <c r="P208" s="6">
        <v>0.016949152542372</v>
      </c>
      <c r="Q208" s="6">
        <v>0.111111111111111</v>
      </c>
      <c r="R208" s="6">
        <v>0.8313</v>
      </c>
      <c r="S208" s="6">
        <v>0.8313</v>
      </c>
      <c r="T208" s="6">
        <v>18.0361581920904</v>
      </c>
    </row>
    <row r="209">
      <c r="A209" s="5" t="s">
        <v>20</v>
      </c>
      <c r="B209" s="17" t="s">
        <v>268</v>
      </c>
      <c r="C209" s="7" t="s">
        <v>36</v>
      </c>
      <c r="D209" s="13" t="s">
        <v>276</v>
      </c>
      <c r="E209" s="18">
        <v>45236.0</v>
      </c>
      <c r="F209" s="6">
        <v>1.0</v>
      </c>
      <c r="G209" s="6">
        <v>1.0</v>
      </c>
      <c r="H209" s="6">
        <v>1.0</v>
      </c>
      <c r="I209" s="6">
        <v>1.0</v>
      </c>
      <c r="J209" s="6">
        <v>1.0</v>
      </c>
      <c r="K209" s="14">
        <v>0.62991726398468</v>
      </c>
      <c r="L209" s="14">
        <v>0.202718839049339</v>
      </c>
      <c r="M209" s="14">
        <v>-0.170228481292724</v>
      </c>
      <c r="N209" s="11">
        <v>-0.17022873</v>
      </c>
      <c r="O209" s="6">
        <f t="shared" si="1"/>
        <v>0.000000248707276</v>
      </c>
      <c r="P209" s="19">
        <v>0.014084507042253</v>
      </c>
      <c r="Q209" s="6">
        <v>0.058823529411764</v>
      </c>
      <c r="R209" s="6">
        <v>0.9041</v>
      </c>
      <c r="S209" s="6">
        <v>0.9041</v>
      </c>
      <c r="T209" s="6">
        <v>18.0743661971831</v>
      </c>
    </row>
    <row r="210">
      <c r="A210" s="5" t="s">
        <v>20</v>
      </c>
      <c r="B210" s="17" t="s">
        <v>268</v>
      </c>
      <c r="C210" s="7" t="s">
        <v>38</v>
      </c>
      <c r="D210" s="8" t="s">
        <v>277</v>
      </c>
      <c r="E210" s="18">
        <v>45236.0</v>
      </c>
      <c r="F210" s="6">
        <v>1.0</v>
      </c>
      <c r="G210" s="6">
        <v>1.0</v>
      </c>
      <c r="H210" s="6">
        <v>1.0</v>
      </c>
      <c r="I210" s="6">
        <v>1.0</v>
      </c>
      <c r="J210" s="6">
        <v>1.0</v>
      </c>
      <c r="K210" s="10">
        <v>0.626628637313842</v>
      </c>
      <c r="L210" s="10">
        <v>0.185638546943664</v>
      </c>
      <c r="M210" s="10">
        <v>-0.25646686553955</v>
      </c>
      <c r="N210" s="11">
        <v>-0.25646693</v>
      </c>
      <c r="O210" s="6">
        <f t="shared" si="1"/>
        <v>0.00000006446044998</v>
      </c>
      <c r="P210" s="6">
        <v>0.025641025641025</v>
      </c>
      <c r="Q210" s="6">
        <v>0.04054054054054</v>
      </c>
      <c r="R210" s="6">
        <v>0.765</v>
      </c>
      <c r="S210" s="6">
        <v>0.765</v>
      </c>
      <c r="T210" s="6">
        <v>19.5948717948718</v>
      </c>
    </row>
    <row r="211">
      <c r="A211" s="5" t="s">
        <v>20</v>
      </c>
      <c r="B211" s="17" t="s">
        <v>268</v>
      </c>
      <c r="C211" s="7" t="s">
        <v>40</v>
      </c>
      <c r="D211" s="8" t="s">
        <v>278</v>
      </c>
      <c r="E211" s="18">
        <v>45236.0</v>
      </c>
      <c r="F211" s="6">
        <v>1.0</v>
      </c>
      <c r="G211" s="6">
        <v>1.0</v>
      </c>
      <c r="H211" s="6">
        <v>1.0</v>
      </c>
      <c r="I211" s="6">
        <v>1.0</v>
      </c>
      <c r="J211" s="6">
        <v>1.0</v>
      </c>
      <c r="K211" s="10">
        <v>0.613988637924194</v>
      </c>
      <c r="L211" s="10">
        <v>0.153308287262916</v>
      </c>
      <c r="M211" s="10">
        <v>-0.153961926698684</v>
      </c>
      <c r="N211" s="11">
        <v>-0.15396199</v>
      </c>
      <c r="O211" s="6">
        <f t="shared" si="1"/>
        <v>0.00000006330131599</v>
      </c>
      <c r="P211" s="6">
        <v>0.011494252873563</v>
      </c>
      <c r="Q211" s="6">
        <v>0.047619047619047</v>
      </c>
      <c r="R211" s="6">
        <v>0.7925</v>
      </c>
      <c r="S211" s="6">
        <v>0.7925</v>
      </c>
      <c r="T211" s="6">
        <v>20.1942528735632</v>
      </c>
    </row>
    <row r="212">
      <c r="A212" s="5" t="s">
        <v>42</v>
      </c>
      <c r="B212" s="17" t="s">
        <v>268</v>
      </c>
      <c r="C212" s="7" t="s">
        <v>43</v>
      </c>
      <c r="D212" s="8" t="s">
        <v>279</v>
      </c>
      <c r="E212" s="18">
        <v>45236.0</v>
      </c>
      <c r="F212" s="6">
        <v>1.0</v>
      </c>
      <c r="G212" s="6">
        <v>1.0</v>
      </c>
      <c r="H212" s="6">
        <v>1.0</v>
      </c>
      <c r="I212" s="6">
        <v>1.0</v>
      </c>
      <c r="J212" s="6">
        <v>1.0</v>
      </c>
      <c r="K212" s="10">
        <v>0.619309544563293</v>
      </c>
      <c r="L212" s="10">
        <v>0.214878365397453</v>
      </c>
      <c r="M212" s="10">
        <v>-0.129304260015487</v>
      </c>
      <c r="N212" s="11">
        <v>-0.12930454</v>
      </c>
      <c r="O212" s="6">
        <f t="shared" si="1"/>
        <v>0.000000279984513</v>
      </c>
      <c r="P212" s="6">
        <v>0.042553191489361</v>
      </c>
      <c r="Q212" s="6">
        <v>0.043478260869565</v>
      </c>
      <c r="R212" s="6">
        <v>0.9041</v>
      </c>
      <c r="S212" s="6">
        <v>0.9041</v>
      </c>
      <c r="T212" s="6">
        <v>18.1815602836879</v>
      </c>
    </row>
    <row r="213">
      <c r="A213" s="5" t="s">
        <v>42</v>
      </c>
      <c r="B213" s="17" t="s">
        <v>268</v>
      </c>
      <c r="C213" s="7" t="s">
        <v>45</v>
      </c>
      <c r="D213" s="8" t="s">
        <v>280</v>
      </c>
      <c r="E213" s="18">
        <v>45236.0</v>
      </c>
      <c r="F213" s="6">
        <v>1.0</v>
      </c>
      <c r="G213" s="6">
        <v>1.0</v>
      </c>
      <c r="H213" s="6">
        <v>1.0</v>
      </c>
      <c r="I213" s="6">
        <v>1.0</v>
      </c>
      <c r="J213" s="6">
        <v>1.0</v>
      </c>
      <c r="K213" s="10">
        <v>0.624214112758636</v>
      </c>
      <c r="L213" s="10">
        <v>0.168615013360977</v>
      </c>
      <c r="M213" s="10">
        <v>-0.171536162495613</v>
      </c>
      <c r="N213" s="11">
        <v>-0.17153618</v>
      </c>
      <c r="O213" s="6">
        <f t="shared" si="1"/>
        <v>0.00000001750438702</v>
      </c>
      <c r="P213" s="6">
        <v>0.023255813953488</v>
      </c>
      <c r="Q213" s="6">
        <v>0.073170731707317</v>
      </c>
      <c r="R213" s="6">
        <v>0.5411</v>
      </c>
      <c r="S213" s="6">
        <v>0.5411</v>
      </c>
      <c r="T213" s="6">
        <v>25.3441860465116</v>
      </c>
    </row>
    <row r="214">
      <c r="A214" s="5" t="s">
        <v>42</v>
      </c>
      <c r="B214" s="17" t="s">
        <v>268</v>
      </c>
      <c r="C214" s="7" t="s">
        <v>47</v>
      </c>
      <c r="D214" s="8" t="s">
        <v>281</v>
      </c>
      <c r="E214" s="18">
        <v>45236.0</v>
      </c>
      <c r="F214" s="6">
        <v>1.0</v>
      </c>
      <c r="G214" s="6">
        <v>1.0</v>
      </c>
      <c r="H214" s="6">
        <v>1.0</v>
      </c>
      <c r="I214" s="6">
        <v>1.0</v>
      </c>
      <c r="J214" s="6">
        <v>1.0</v>
      </c>
      <c r="K214" s="10">
        <v>0.638975083827972</v>
      </c>
      <c r="L214" s="10">
        <v>0.193036004900932</v>
      </c>
      <c r="M214" s="10">
        <v>-0.277322679758071</v>
      </c>
      <c r="N214" s="11">
        <v>-0.2773229</v>
      </c>
      <c r="O214" s="6">
        <f t="shared" si="1"/>
        <v>0.000000220241929</v>
      </c>
      <c r="P214" s="6">
        <v>0.035714285714285</v>
      </c>
      <c r="Q214" s="6">
        <v>0.071428571428571</v>
      </c>
      <c r="R214" s="6">
        <v>0.3674</v>
      </c>
      <c r="S214" s="6">
        <v>0.3674</v>
      </c>
      <c r="T214" s="6">
        <v>14.1714285714286</v>
      </c>
    </row>
    <row r="215">
      <c r="A215" s="5" t="s">
        <v>42</v>
      </c>
      <c r="B215" s="17" t="s">
        <v>268</v>
      </c>
      <c r="C215" s="7" t="s">
        <v>49</v>
      </c>
      <c r="D215" s="8" t="s">
        <v>282</v>
      </c>
      <c r="E215" s="18">
        <v>45236.0</v>
      </c>
      <c r="F215" s="6">
        <v>1.0</v>
      </c>
      <c r="G215" s="6">
        <v>1.0</v>
      </c>
      <c r="H215" s="6">
        <v>1.0</v>
      </c>
      <c r="I215" s="6">
        <v>1.0</v>
      </c>
      <c r="J215" s="6">
        <v>1.0</v>
      </c>
      <c r="K215" s="10">
        <v>0.610010683536529</v>
      </c>
      <c r="L215" s="10">
        <v>0.168051287531852</v>
      </c>
      <c r="M215" s="10">
        <v>0.0129692796617746</v>
      </c>
      <c r="N215" s="11">
        <v>0.012969334</v>
      </c>
      <c r="O215" s="6">
        <f t="shared" si="1"/>
        <v>-0.0000000543382254</v>
      </c>
      <c r="P215" s="6">
        <v>0.069444444444444</v>
      </c>
      <c r="Q215" s="6">
        <v>0.072463768115942</v>
      </c>
      <c r="R215" s="6">
        <v>0.9217</v>
      </c>
      <c r="S215" s="6">
        <v>0.9217</v>
      </c>
      <c r="T215" s="6">
        <v>19.7</v>
      </c>
    </row>
    <row r="216">
      <c r="A216" s="5" t="s">
        <v>42</v>
      </c>
      <c r="B216" s="17" t="s">
        <v>268</v>
      </c>
      <c r="C216" s="7" t="s">
        <v>51</v>
      </c>
      <c r="D216" s="8" t="s">
        <v>283</v>
      </c>
      <c r="E216" s="18">
        <v>45236.0</v>
      </c>
      <c r="F216" s="6">
        <v>1.0</v>
      </c>
      <c r="G216" s="6">
        <v>1.0</v>
      </c>
      <c r="H216" s="6">
        <v>1.0</v>
      </c>
      <c r="I216" s="6">
        <v>1.0</v>
      </c>
      <c r="J216" s="6">
        <v>1.0</v>
      </c>
      <c r="K216" s="10">
        <v>0.622211039066314</v>
      </c>
      <c r="L216" s="10">
        <v>0.164075464010238</v>
      </c>
      <c r="M216" s="10">
        <v>0.191475361585617</v>
      </c>
      <c r="N216" s="11">
        <v>0.19147538</v>
      </c>
      <c r="O216" s="6">
        <f t="shared" si="1"/>
        <v>-0.00000001841438299</v>
      </c>
      <c r="P216" s="6">
        <v>0.032921810699588</v>
      </c>
      <c r="Q216" s="6">
        <v>0.025862068965517</v>
      </c>
      <c r="R216" s="6">
        <v>0.9905</v>
      </c>
      <c r="S216" s="6">
        <v>0.9905</v>
      </c>
      <c r="T216" s="6">
        <v>20.5956496178718</v>
      </c>
    </row>
    <row r="217">
      <c r="A217" s="5" t="s">
        <v>42</v>
      </c>
      <c r="B217" s="17" t="s">
        <v>268</v>
      </c>
      <c r="C217" s="7" t="s">
        <v>53</v>
      </c>
      <c r="D217" s="8" t="s">
        <v>284</v>
      </c>
      <c r="E217" s="18">
        <v>45236.0</v>
      </c>
      <c r="F217" s="6">
        <v>1.0</v>
      </c>
      <c r="G217" s="6">
        <v>1.0</v>
      </c>
      <c r="H217" s="6">
        <v>1.0</v>
      </c>
      <c r="I217" s="6">
        <v>1.0</v>
      </c>
      <c r="J217" s="6">
        <v>1.0</v>
      </c>
      <c r="K217" s="10">
        <v>0.628261804580688</v>
      </c>
      <c r="L217" s="10">
        <v>0.181374847888946</v>
      </c>
      <c r="M217" s="10">
        <v>-0.048036091029644</v>
      </c>
      <c r="N217" s="11">
        <v>-0.048036397</v>
      </c>
      <c r="O217" s="6">
        <f t="shared" si="1"/>
        <v>0.000000305970356</v>
      </c>
      <c r="P217" s="6">
        <v>0.014285714285714</v>
      </c>
      <c r="Q217" s="6">
        <v>0.101449275362318</v>
      </c>
      <c r="R217" s="6">
        <v>0.9359</v>
      </c>
      <c r="S217" s="6">
        <v>0.9359</v>
      </c>
      <c r="T217" s="6">
        <v>21.2857142857143</v>
      </c>
    </row>
    <row r="218">
      <c r="A218" s="5" t="s">
        <v>42</v>
      </c>
      <c r="B218" s="17" t="s">
        <v>268</v>
      </c>
      <c r="C218" s="7" t="s">
        <v>55</v>
      </c>
      <c r="D218" s="8" t="s">
        <v>285</v>
      </c>
      <c r="E218" s="18">
        <v>45236.0</v>
      </c>
      <c r="F218" s="6">
        <v>1.0</v>
      </c>
      <c r="G218" s="6">
        <v>1.0</v>
      </c>
      <c r="H218" s="6">
        <v>1.0</v>
      </c>
      <c r="I218" s="6">
        <v>1.0</v>
      </c>
      <c r="J218" s="6">
        <v>1.0</v>
      </c>
      <c r="K218" s="10">
        <v>0.624563574790954</v>
      </c>
      <c r="L218" s="10">
        <v>0.13966117799282</v>
      </c>
      <c r="M218" s="10">
        <v>-0.134767159819602</v>
      </c>
      <c r="N218" s="11">
        <v>-0.13476722</v>
      </c>
      <c r="O218" s="6">
        <f t="shared" si="1"/>
        <v>0.000000060180398</v>
      </c>
      <c r="P218" s="6">
        <v>0.0375</v>
      </c>
      <c r="Q218" s="6">
        <v>0.022123893805309</v>
      </c>
      <c r="R218" s="6">
        <v>0.7096</v>
      </c>
      <c r="S218" s="6">
        <v>-0.7096</v>
      </c>
      <c r="T218" s="6">
        <v>23.4</v>
      </c>
    </row>
    <row r="219">
      <c r="A219" s="5" t="s">
        <v>42</v>
      </c>
      <c r="B219" s="17" t="s">
        <v>268</v>
      </c>
      <c r="C219" s="7" t="s">
        <v>57</v>
      </c>
      <c r="D219" s="8" t="s">
        <v>286</v>
      </c>
      <c r="E219" s="18">
        <v>45236.0</v>
      </c>
      <c r="F219" s="6">
        <v>1.0</v>
      </c>
      <c r="G219" s="6">
        <v>1.0</v>
      </c>
      <c r="H219" s="6">
        <v>1.0</v>
      </c>
      <c r="I219" s="6">
        <v>1.0</v>
      </c>
      <c r="J219" s="6">
        <v>1.0</v>
      </c>
      <c r="K219" s="10">
        <v>0.612366259098053</v>
      </c>
      <c r="L219" s="10">
        <v>0.157675981521606</v>
      </c>
      <c r="M219" s="10">
        <v>-0.158690959215164</v>
      </c>
      <c r="N219" s="11">
        <v>-0.15869097</v>
      </c>
      <c r="O219" s="6">
        <f t="shared" si="1"/>
        <v>0.000000010784836</v>
      </c>
      <c r="P219" s="6">
        <v>0.05</v>
      </c>
      <c r="Q219" s="6">
        <v>0.032258064516129</v>
      </c>
      <c r="R219" s="6">
        <v>0.9854</v>
      </c>
      <c r="S219" s="6">
        <v>0.9854</v>
      </c>
      <c r="T219" s="6">
        <v>18.3611111111111</v>
      </c>
    </row>
    <row r="220">
      <c r="A220" s="5" t="s">
        <v>42</v>
      </c>
      <c r="B220" s="17" t="s">
        <v>268</v>
      </c>
      <c r="C220" s="7" t="s">
        <v>59</v>
      </c>
      <c r="D220" s="8" t="s">
        <v>287</v>
      </c>
      <c r="E220" s="18">
        <v>45236.0</v>
      </c>
      <c r="F220" s="6">
        <v>1.0</v>
      </c>
      <c r="G220" s="6">
        <v>1.0</v>
      </c>
      <c r="H220" s="6">
        <v>1.0</v>
      </c>
      <c r="I220" s="6">
        <v>1.0</v>
      </c>
      <c r="J220" s="6">
        <v>1.0</v>
      </c>
      <c r="K220" s="10">
        <v>0.608730196952819</v>
      </c>
      <c r="L220" s="10">
        <v>0.163188382983207</v>
      </c>
      <c r="M220" s="10">
        <v>-0.237546563148498</v>
      </c>
      <c r="N220" s="11">
        <v>-0.23754653</v>
      </c>
      <c r="O220" s="6">
        <f t="shared" si="1"/>
        <v>-0.000000033148498</v>
      </c>
      <c r="P220" s="6">
        <v>0.02139037433155</v>
      </c>
      <c r="Q220" s="6">
        <v>0.021857923497267</v>
      </c>
      <c r="R220" s="6">
        <v>0.836</v>
      </c>
      <c r="S220" s="6">
        <v>0.836</v>
      </c>
      <c r="T220" s="6">
        <v>23.253743315508</v>
      </c>
    </row>
    <row r="221">
      <c r="A221" s="5" t="s">
        <v>42</v>
      </c>
      <c r="B221" s="17" t="s">
        <v>268</v>
      </c>
      <c r="C221" s="7" t="s">
        <v>61</v>
      </c>
      <c r="D221" s="8" t="s">
        <v>288</v>
      </c>
      <c r="E221" s="18">
        <v>45236.0</v>
      </c>
      <c r="F221" s="6">
        <v>1.0</v>
      </c>
      <c r="G221" s="6">
        <v>1.0</v>
      </c>
      <c r="H221" s="6">
        <v>1.0</v>
      </c>
      <c r="I221" s="6">
        <v>1.0</v>
      </c>
      <c r="J221" s="6">
        <v>1.0</v>
      </c>
      <c r="K221" s="10">
        <v>0.625915944576263</v>
      </c>
      <c r="L221" s="10">
        <v>0.209037065505981</v>
      </c>
      <c r="M221" s="10">
        <v>-0.0498603358864784</v>
      </c>
      <c r="N221" s="11">
        <v>-0.049860436</v>
      </c>
      <c r="O221" s="6">
        <f t="shared" si="1"/>
        <v>0.0000001001135216</v>
      </c>
      <c r="P221" s="6">
        <v>0.020833333333333</v>
      </c>
      <c r="Q221" s="6">
        <v>0.08695652173913</v>
      </c>
      <c r="R221" s="6">
        <v>0.8748</v>
      </c>
      <c r="S221" s="6">
        <v>0.8748</v>
      </c>
      <c r="T221" s="6">
        <v>17.2333333333333</v>
      </c>
    </row>
    <row r="222">
      <c r="A222" s="5" t="s">
        <v>63</v>
      </c>
      <c r="B222" s="17" t="s">
        <v>268</v>
      </c>
      <c r="C222" s="7" t="s">
        <v>64</v>
      </c>
      <c r="D222" s="8" t="s">
        <v>289</v>
      </c>
      <c r="E222" s="18">
        <v>45236.0</v>
      </c>
      <c r="F222" s="6">
        <v>1.0</v>
      </c>
      <c r="G222" s="6">
        <v>4.0</v>
      </c>
      <c r="H222" s="6">
        <v>1.0</v>
      </c>
      <c r="I222" s="6">
        <v>1.0</v>
      </c>
      <c r="J222" s="6">
        <v>1.0</v>
      </c>
      <c r="K222" s="10">
        <v>0.625327348709106</v>
      </c>
      <c r="L222" s="10">
        <v>0.143255114555358</v>
      </c>
      <c r="M222" s="10">
        <v>-0.00630241259932518</v>
      </c>
      <c r="N222" s="11">
        <v>-0.006302159</v>
      </c>
      <c r="O222" s="6">
        <f t="shared" si="1"/>
        <v>-0.0000002535993252</v>
      </c>
      <c r="P222" s="6">
        <v>0.064393939393939</v>
      </c>
      <c r="Q222" s="6">
        <v>0.05078125</v>
      </c>
      <c r="R222" s="6">
        <v>0.8899</v>
      </c>
      <c r="S222" s="6">
        <v>-0.8899</v>
      </c>
      <c r="T222" s="6">
        <v>18.7875222816399</v>
      </c>
    </row>
    <row r="223">
      <c r="A223" s="5" t="s">
        <v>63</v>
      </c>
      <c r="B223" s="17" t="s">
        <v>268</v>
      </c>
      <c r="C223" s="7" t="s">
        <v>66</v>
      </c>
      <c r="D223" s="8" t="s">
        <v>290</v>
      </c>
      <c r="E223" s="18">
        <v>45236.0</v>
      </c>
      <c r="F223" s="6">
        <v>1.0</v>
      </c>
      <c r="G223" s="6">
        <v>1.0</v>
      </c>
      <c r="H223" s="6">
        <v>1.0</v>
      </c>
      <c r="I223" s="6">
        <v>1.0</v>
      </c>
      <c r="J223" s="6">
        <v>1.0</v>
      </c>
      <c r="K223" s="10">
        <v>0.629539728164672</v>
      </c>
      <c r="L223" s="10">
        <v>0.153660222887992</v>
      </c>
      <c r="M223" s="10">
        <v>-0.0318758562207222</v>
      </c>
      <c r="N223" s="11">
        <v>-0.031875815</v>
      </c>
      <c r="O223" s="6">
        <f t="shared" si="1"/>
        <v>-0.0000000412207222</v>
      </c>
      <c r="P223" s="6">
        <v>0.014492753623188</v>
      </c>
      <c r="Q223" s="6">
        <v>0.121212121212121</v>
      </c>
      <c r="R223" s="6">
        <v>0.7869</v>
      </c>
      <c r="S223" s="6">
        <v>0.7869</v>
      </c>
      <c r="T223" s="6">
        <v>18.4942028985507</v>
      </c>
    </row>
    <row r="224">
      <c r="A224" s="5" t="s">
        <v>63</v>
      </c>
      <c r="B224" s="17" t="s">
        <v>268</v>
      </c>
      <c r="C224" s="7" t="s">
        <v>68</v>
      </c>
      <c r="D224" s="8" t="s">
        <v>291</v>
      </c>
      <c r="E224" s="18">
        <v>45236.0</v>
      </c>
      <c r="F224" s="6">
        <v>1.0</v>
      </c>
      <c r="G224" s="6">
        <v>1.0</v>
      </c>
      <c r="H224" s="6">
        <v>1.0</v>
      </c>
      <c r="I224" s="6">
        <v>1.0</v>
      </c>
      <c r="J224" s="6">
        <v>1.0</v>
      </c>
      <c r="K224" s="10">
        <v>0.627948880195617</v>
      </c>
      <c r="L224" s="10">
        <v>0.190234750509262</v>
      </c>
      <c r="M224" s="10">
        <v>-0.198087036609649</v>
      </c>
      <c r="N224" s="11">
        <v>-0.19808722</v>
      </c>
      <c r="O224" s="6">
        <f t="shared" si="1"/>
        <v>0.000000183390351</v>
      </c>
      <c r="P224" s="6">
        <v>0.019801980198019</v>
      </c>
      <c r="Q224" s="6">
        <v>0.04</v>
      </c>
      <c r="R224" s="6">
        <v>0.7413</v>
      </c>
      <c r="S224" s="6">
        <v>0.7413</v>
      </c>
      <c r="T224" s="6">
        <v>22.7334653465347</v>
      </c>
    </row>
    <row r="225">
      <c r="A225" s="5" t="s">
        <v>63</v>
      </c>
      <c r="B225" s="17" t="s">
        <v>268</v>
      </c>
      <c r="C225" s="7" t="s">
        <v>70</v>
      </c>
      <c r="D225" s="8" t="s">
        <v>292</v>
      </c>
      <c r="E225" s="18">
        <v>45236.0</v>
      </c>
      <c r="F225" s="6">
        <v>1.0</v>
      </c>
      <c r="G225" s="6">
        <v>1.0</v>
      </c>
      <c r="H225" s="6">
        <v>1.0</v>
      </c>
      <c r="I225" s="6">
        <v>1.0</v>
      </c>
      <c r="J225" s="6">
        <v>1.0</v>
      </c>
      <c r="K225" s="10">
        <v>0.634182572364807</v>
      </c>
      <c r="L225" s="10">
        <v>0.16746486723423</v>
      </c>
      <c r="M225" s="10">
        <v>-0.0653866752982139</v>
      </c>
      <c r="N225" s="11">
        <v>-0.06538684</v>
      </c>
      <c r="O225" s="6">
        <f t="shared" si="1"/>
        <v>0.0000001647017861</v>
      </c>
      <c r="P225" s="6">
        <v>0.0</v>
      </c>
      <c r="Q225" s="6">
        <v>0.113207547169811</v>
      </c>
      <c r="R225" s="6">
        <v>0.9393</v>
      </c>
      <c r="S225" s="6">
        <v>0.9393</v>
      </c>
      <c r="T225" s="6">
        <v>15.6818181818182</v>
      </c>
    </row>
    <row r="226">
      <c r="A226" s="5" t="s">
        <v>63</v>
      </c>
      <c r="B226" s="17" t="s">
        <v>268</v>
      </c>
      <c r="C226" s="7" t="s">
        <v>72</v>
      </c>
      <c r="D226" s="8" t="s">
        <v>293</v>
      </c>
      <c r="E226" s="18">
        <v>45236.0</v>
      </c>
      <c r="F226" s="6">
        <v>1.0</v>
      </c>
      <c r="G226" s="6">
        <v>1.0</v>
      </c>
      <c r="H226" s="6">
        <v>1.0</v>
      </c>
      <c r="I226" s="6">
        <v>1.0</v>
      </c>
      <c r="J226" s="6">
        <v>1.0</v>
      </c>
      <c r="K226" s="10">
        <v>0.627858340740203</v>
      </c>
      <c r="L226" s="10">
        <v>0.152476653456687</v>
      </c>
      <c r="M226" s="10">
        <v>0.0683518946170806</v>
      </c>
      <c r="N226" s="11">
        <v>0.06835174</v>
      </c>
      <c r="O226" s="6">
        <f t="shared" si="1"/>
        <v>0.0000001546170806</v>
      </c>
      <c r="P226" s="6">
        <v>0.01639344262295</v>
      </c>
      <c r="Q226" s="6">
        <v>0.105263157894736</v>
      </c>
      <c r="R226" s="6">
        <v>0.8271</v>
      </c>
      <c r="S226" s="6">
        <v>0.8271</v>
      </c>
      <c r="T226" s="6">
        <v>18.6251366120219</v>
      </c>
    </row>
    <row r="227">
      <c r="A227" s="5" t="s">
        <v>63</v>
      </c>
      <c r="B227" s="17" t="s">
        <v>268</v>
      </c>
      <c r="C227" s="7" t="s">
        <v>74</v>
      </c>
      <c r="D227" s="8" t="s">
        <v>294</v>
      </c>
      <c r="E227" s="18">
        <v>45236.0</v>
      </c>
      <c r="F227" s="6">
        <v>1.0</v>
      </c>
      <c r="G227" s="6">
        <v>1.0</v>
      </c>
      <c r="H227" s="6">
        <v>1.0</v>
      </c>
      <c r="I227" s="6">
        <v>1.0</v>
      </c>
      <c r="J227" s="6">
        <v>1.0</v>
      </c>
      <c r="K227" s="10">
        <v>0.63014280796051</v>
      </c>
      <c r="L227" s="10">
        <v>0.150233581662178</v>
      </c>
      <c r="M227" s="10">
        <v>0.316937655210495</v>
      </c>
      <c r="N227" s="11">
        <v>0.31693742</v>
      </c>
      <c r="O227" s="6">
        <f t="shared" si="1"/>
        <v>0.000000235210495</v>
      </c>
      <c r="P227" s="6">
        <v>0.0</v>
      </c>
      <c r="Q227" s="6">
        <v>0.083333333333333</v>
      </c>
      <c r="R227" s="6">
        <v>0.6846</v>
      </c>
      <c r="S227" s="6">
        <v>0.6846</v>
      </c>
      <c r="T227" s="6">
        <v>19.1583333333333</v>
      </c>
    </row>
    <row r="228">
      <c r="A228" s="5" t="s">
        <v>63</v>
      </c>
      <c r="B228" s="17" t="s">
        <v>268</v>
      </c>
      <c r="C228" s="7" t="s">
        <v>76</v>
      </c>
      <c r="D228" s="8" t="s">
        <v>295</v>
      </c>
      <c r="E228" s="18">
        <v>45236.0</v>
      </c>
      <c r="F228" s="6">
        <v>1.0</v>
      </c>
      <c r="G228" s="6">
        <v>1.0</v>
      </c>
      <c r="H228" s="6">
        <v>1.0</v>
      </c>
      <c r="I228" s="6">
        <v>1.0</v>
      </c>
      <c r="J228" s="6">
        <v>1.0</v>
      </c>
      <c r="K228" s="10">
        <v>0.62896329164505</v>
      </c>
      <c r="L228" s="10">
        <v>0.158973723649978</v>
      </c>
      <c r="M228" s="10">
        <v>0.141595780849456</v>
      </c>
      <c r="N228" s="11">
        <v>0.14159548</v>
      </c>
      <c r="O228" s="6">
        <f t="shared" si="1"/>
        <v>0.000000300849456</v>
      </c>
      <c r="P228" s="6">
        <v>0.022388059701492</v>
      </c>
      <c r="Q228" s="6">
        <v>0.01953125</v>
      </c>
      <c r="R228" s="6">
        <v>0.9986</v>
      </c>
      <c r="S228" s="6">
        <v>0.9986</v>
      </c>
      <c r="T228" s="6">
        <v>17.2607869742198</v>
      </c>
    </row>
    <row r="229">
      <c r="A229" s="5" t="s">
        <v>63</v>
      </c>
      <c r="B229" s="17" t="s">
        <v>268</v>
      </c>
      <c r="C229" s="7" t="s">
        <v>78</v>
      </c>
      <c r="D229" s="8" t="s">
        <v>296</v>
      </c>
      <c r="E229" s="18">
        <v>45236.0</v>
      </c>
      <c r="F229" s="6">
        <v>1.0</v>
      </c>
      <c r="G229" s="6">
        <v>1.0</v>
      </c>
      <c r="H229" s="6">
        <v>1.0</v>
      </c>
      <c r="I229" s="6">
        <v>1.0</v>
      </c>
      <c r="J229" s="6">
        <v>1.0</v>
      </c>
      <c r="K229" s="10">
        <v>0.621193766593933</v>
      </c>
      <c r="L229" s="10">
        <v>0.135950252413749</v>
      </c>
      <c r="M229" s="10">
        <v>0.0370683521032333</v>
      </c>
      <c r="N229" s="11">
        <v>0.03706836</v>
      </c>
      <c r="O229" s="6">
        <f t="shared" si="1"/>
        <v>-0.000000007896766699</v>
      </c>
      <c r="P229" s="6">
        <v>0.015625</v>
      </c>
      <c r="Q229" s="6">
        <v>0.022222222222222</v>
      </c>
      <c r="R229" s="6">
        <v>0.9963</v>
      </c>
      <c r="S229" s="6">
        <v>0.9963</v>
      </c>
      <c r="T229" s="6">
        <v>18.245</v>
      </c>
    </row>
    <row r="230">
      <c r="A230" s="5" t="s">
        <v>63</v>
      </c>
      <c r="B230" s="17" t="s">
        <v>268</v>
      </c>
      <c r="C230" s="7" t="s">
        <v>80</v>
      </c>
      <c r="D230" s="8" t="s">
        <v>297</v>
      </c>
      <c r="E230" s="18">
        <v>45236.0</v>
      </c>
      <c r="F230" s="6">
        <v>1.0</v>
      </c>
      <c r="G230" s="6">
        <v>1.0</v>
      </c>
      <c r="H230" s="6">
        <v>1.0</v>
      </c>
      <c r="I230" s="6">
        <v>1.0</v>
      </c>
      <c r="J230" s="6">
        <v>1.0</v>
      </c>
      <c r="K230" s="10">
        <v>0.629422307014465</v>
      </c>
      <c r="L230" s="10">
        <v>0.180686667561531</v>
      </c>
      <c r="M230" s="10">
        <v>-0.0360188521444797</v>
      </c>
      <c r="N230" s="11">
        <v>-0.036018584</v>
      </c>
      <c r="O230" s="6">
        <f t="shared" si="1"/>
        <v>-0.0000002681444797</v>
      </c>
      <c r="P230" s="6">
        <v>0.0</v>
      </c>
      <c r="Q230" s="6">
        <v>0.103448275862068</v>
      </c>
      <c r="R230" s="6">
        <v>0.8979</v>
      </c>
      <c r="S230" s="6">
        <v>0.8979</v>
      </c>
      <c r="T230" s="6">
        <v>14.0</v>
      </c>
    </row>
    <row r="231">
      <c r="A231" s="5" t="s">
        <v>63</v>
      </c>
      <c r="B231" s="17" t="s">
        <v>268</v>
      </c>
      <c r="C231" s="7" t="s">
        <v>82</v>
      </c>
      <c r="D231" s="8" t="s">
        <v>298</v>
      </c>
      <c r="E231" s="18">
        <v>45236.0</v>
      </c>
      <c r="F231" s="6">
        <v>1.0</v>
      </c>
      <c r="G231" s="6">
        <v>1.0</v>
      </c>
      <c r="H231" s="6">
        <v>1.0</v>
      </c>
      <c r="I231" s="6">
        <v>1.0</v>
      </c>
      <c r="J231" s="6">
        <v>1.0</v>
      </c>
      <c r="K231" s="10">
        <v>0.641727328300476</v>
      </c>
      <c r="L231" s="10">
        <v>0.157790958881378</v>
      </c>
      <c r="M231" s="10">
        <v>-0.0824364423751831</v>
      </c>
      <c r="N231" s="11">
        <v>-0.08243657</v>
      </c>
      <c r="O231" s="6">
        <f t="shared" si="1"/>
        <v>0.0000001276248169</v>
      </c>
      <c r="P231" s="6">
        <v>0.0</v>
      </c>
      <c r="Q231" s="6">
        <v>0.095238095238095</v>
      </c>
      <c r="R231" s="6">
        <v>0.7269</v>
      </c>
      <c r="S231" s="6">
        <v>0.7269</v>
      </c>
      <c r="T231" s="6">
        <v>16.9615384615385</v>
      </c>
    </row>
    <row r="232">
      <c r="A232" s="5" t="s">
        <v>84</v>
      </c>
      <c r="B232" s="17" t="s">
        <v>268</v>
      </c>
      <c r="C232" s="7" t="s">
        <v>85</v>
      </c>
      <c r="D232" s="8" t="s">
        <v>299</v>
      </c>
      <c r="E232" s="18">
        <v>45236.0</v>
      </c>
      <c r="F232" s="6">
        <v>1.0</v>
      </c>
      <c r="G232" s="6">
        <v>1.0</v>
      </c>
      <c r="H232" s="6">
        <v>1.0</v>
      </c>
      <c r="I232" s="6">
        <v>1.0</v>
      </c>
      <c r="J232" s="6">
        <v>1.0</v>
      </c>
      <c r="K232" s="10">
        <v>0.606055736541748</v>
      </c>
      <c r="L232" s="10">
        <v>0.155494511127471</v>
      </c>
      <c r="M232" s="10">
        <v>0.0675097852945327</v>
      </c>
      <c r="N232" s="11">
        <v>0.0675098</v>
      </c>
      <c r="O232" s="6">
        <f t="shared" si="1"/>
        <v>-0.00000001470546729</v>
      </c>
      <c r="P232" s="6">
        <v>0.021818181818181</v>
      </c>
      <c r="Q232" s="6">
        <v>0.011406844106463</v>
      </c>
      <c r="R232" s="6">
        <v>0.9986</v>
      </c>
      <c r="S232" s="6">
        <v>0.9986</v>
      </c>
      <c r="T232" s="6">
        <v>23.4199134199134</v>
      </c>
    </row>
    <row r="233">
      <c r="A233" s="5" t="s">
        <v>84</v>
      </c>
      <c r="B233" s="17" t="s">
        <v>268</v>
      </c>
      <c r="C233" s="7" t="s">
        <v>87</v>
      </c>
      <c r="D233" s="8" t="s">
        <v>300</v>
      </c>
      <c r="E233" s="18">
        <v>45236.0</v>
      </c>
      <c r="F233" s="6">
        <v>1.0</v>
      </c>
      <c r="G233" s="6">
        <v>1.0</v>
      </c>
      <c r="H233" s="6">
        <v>1.0</v>
      </c>
      <c r="I233" s="6">
        <v>1.0</v>
      </c>
      <c r="J233" s="6">
        <v>1.0</v>
      </c>
      <c r="K233" s="10">
        <v>0.629539847373962</v>
      </c>
      <c r="L233" s="10">
        <v>0.18655389547348</v>
      </c>
      <c r="M233" s="10">
        <v>-0.108174711465835</v>
      </c>
      <c r="N233" s="11">
        <v>-0.1081744</v>
      </c>
      <c r="O233" s="6">
        <f t="shared" si="1"/>
        <v>-0.000000311465835</v>
      </c>
      <c r="P233" s="6">
        <v>0.0</v>
      </c>
      <c r="Q233" s="6">
        <v>0.111111111111111</v>
      </c>
      <c r="R233" s="6">
        <v>0.9406</v>
      </c>
      <c r="S233" s="6">
        <v>0.9406</v>
      </c>
      <c r="T233" s="6">
        <v>16.0606060606061</v>
      </c>
    </row>
    <row r="234">
      <c r="A234" s="5" t="s">
        <v>84</v>
      </c>
      <c r="B234" s="17" t="s">
        <v>268</v>
      </c>
      <c r="C234" s="7" t="s">
        <v>89</v>
      </c>
      <c r="D234" s="8" t="s">
        <v>301</v>
      </c>
      <c r="E234" s="18">
        <v>45236.0</v>
      </c>
      <c r="F234" s="6">
        <v>1.0</v>
      </c>
      <c r="G234" s="6">
        <v>1.0</v>
      </c>
      <c r="H234" s="6">
        <v>1.0</v>
      </c>
      <c r="I234" s="6">
        <v>1.0</v>
      </c>
      <c r="J234" s="6">
        <v>1.0</v>
      </c>
      <c r="K234" s="10">
        <v>0.629335880279541</v>
      </c>
      <c r="L234" s="10">
        <v>0.172595649957656</v>
      </c>
      <c r="M234" s="10">
        <v>-0.181278526782989</v>
      </c>
      <c r="N234" s="11">
        <v>-0.18127899</v>
      </c>
      <c r="O234" s="6">
        <f t="shared" si="1"/>
        <v>0.000000463217011</v>
      </c>
      <c r="P234" s="6">
        <v>0.0</v>
      </c>
      <c r="Q234" s="6">
        <v>0.081967213114754</v>
      </c>
      <c r="R234" s="6">
        <v>0.3321</v>
      </c>
      <c r="S234" s="6">
        <v>0.3321</v>
      </c>
      <c r="T234" s="6">
        <v>24.2730158730159</v>
      </c>
    </row>
    <row r="235">
      <c r="A235" s="5" t="s">
        <v>84</v>
      </c>
      <c r="B235" s="17" t="s">
        <v>268</v>
      </c>
      <c r="C235" s="7" t="s">
        <v>91</v>
      </c>
      <c r="D235" s="8" t="s">
        <v>302</v>
      </c>
      <c r="E235" s="18">
        <v>45236.0</v>
      </c>
      <c r="F235" s="6">
        <v>1.0</v>
      </c>
      <c r="G235" s="6">
        <v>1.0</v>
      </c>
      <c r="H235" s="6">
        <v>1.0</v>
      </c>
      <c r="I235" s="6">
        <v>1.0</v>
      </c>
      <c r="J235" s="6">
        <v>1.0</v>
      </c>
      <c r="K235" s="10">
        <v>0.635815203189849</v>
      </c>
      <c r="L235" s="10">
        <v>0.190373674035072</v>
      </c>
      <c r="M235" s="10">
        <v>0.0220350511372089</v>
      </c>
      <c r="N235" s="11">
        <v>0.022035304</v>
      </c>
      <c r="O235" s="6">
        <f t="shared" si="1"/>
        <v>-0.0000002528627911</v>
      </c>
      <c r="P235" s="6">
        <v>0.0</v>
      </c>
      <c r="Q235" s="6">
        <v>0.087719298245614</v>
      </c>
      <c r="R235" s="6">
        <v>0.926</v>
      </c>
      <c r="S235" s="6">
        <v>0.926</v>
      </c>
      <c r="T235" s="6">
        <v>20.0700564971751</v>
      </c>
    </row>
    <row r="236">
      <c r="A236" s="5" t="s">
        <v>84</v>
      </c>
      <c r="B236" s="17" t="s">
        <v>268</v>
      </c>
      <c r="C236" s="7" t="s">
        <v>93</v>
      </c>
      <c r="D236" s="8" t="s">
        <v>303</v>
      </c>
      <c r="E236" s="18">
        <v>45236.0</v>
      </c>
      <c r="F236" s="6">
        <v>1.0</v>
      </c>
      <c r="G236" s="6">
        <v>1.0</v>
      </c>
      <c r="H236" s="6">
        <v>1.0</v>
      </c>
      <c r="I236" s="6">
        <v>1.0</v>
      </c>
      <c r="J236" s="6">
        <v>1.0</v>
      </c>
      <c r="K236" s="10">
        <v>0.621252954006195</v>
      </c>
      <c r="L236" s="10">
        <v>0.166155859827995</v>
      </c>
      <c r="M236" s="10">
        <v>0.0177016593515872</v>
      </c>
      <c r="N236" s="11">
        <v>0.017701522</v>
      </c>
      <c r="O236" s="6">
        <f t="shared" si="1"/>
        <v>0.0000001373515872</v>
      </c>
      <c r="P236" s="6">
        <v>0.0</v>
      </c>
      <c r="Q236" s="6">
        <v>0.101449275362318</v>
      </c>
      <c r="R236" s="6">
        <v>0.5232</v>
      </c>
      <c r="S236" s="6">
        <v>0.5232</v>
      </c>
      <c r="T236" s="6">
        <v>16.6150684931507</v>
      </c>
    </row>
    <row r="237">
      <c r="A237" s="5" t="s">
        <v>84</v>
      </c>
      <c r="B237" s="17" t="s">
        <v>268</v>
      </c>
      <c r="C237" s="7" t="s">
        <v>95</v>
      </c>
      <c r="D237" s="8" t="s">
        <v>304</v>
      </c>
      <c r="E237" s="18">
        <v>45236.0</v>
      </c>
      <c r="F237" s="6">
        <v>1.0</v>
      </c>
      <c r="G237" s="6">
        <v>1.0</v>
      </c>
      <c r="H237" s="6">
        <v>1.0</v>
      </c>
      <c r="I237" s="6">
        <v>1.0</v>
      </c>
      <c r="J237" s="6">
        <v>1.0</v>
      </c>
      <c r="K237" s="10">
        <v>0.635020315647125</v>
      </c>
      <c r="L237" s="10">
        <v>0.179937615990638</v>
      </c>
      <c r="M237" s="10">
        <v>-0.339115351438522</v>
      </c>
      <c r="N237" s="11">
        <v>-0.33911523</v>
      </c>
      <c r="O237" s="6">
        <f t="shared" si="1"/>
        <v>-0.000000121438522</v>
      </c>
      <c r="P237" s="6">
        <v>0.0</v>
      </c>
      <c r="Q237" s="6">
        <v>0.08433734939759</v>
      </c>
      <c r="R237" s="6">
        <v>0.9001</v>
      </c>
      <c r="S237" s="6">
        <v>0.9001</v>
      </c>
      <c r="T237" s="6">
        <v>19.3737931034483</v>
      </c>
    </row>
    <row r="238">
      <c r="A238" s="5" t="s">
        <v>84</v>
      </c>
      <c r="B238" s="17" t="s">
        <v>268</v>
      </c>
      <c r="C238" s="7" t="s">
        <v>97</v>
      </c>
      <c r="D238" s="8" t="s">
        <v>305</v>
      </c>
      <c r="E238" s="18">
        <v>45236.0</v>
      </c>
      <c r="F238" s="6">
        <v>1.0</v>
      </c>
      <c r="G238" s="6">
        <v>1.0</v>
      </c>
      <c r="H238" s="6">
        <v>1.0</v>
      </c>
      <c r="I238" s="6">
        <v>1.0</v>
      </c>
      <c r="J238" s="6">
        <v>1.0</v>
      </c>
      <c r="K238" s="10">
        <v>0.618090331554412</v>
      </c>
      <c r="L238" s="10">
        <v>0.146796777844429</v>
      </c>
      <c r="M238" s="10">
        <v>0.160702094435691</v>
      </c>
      <c r="N238" s="11">
        <v>0.16070206</v>
      </c>
      <c r="O238" s="6">
        <f t="shared" si="1"/>
        <v>0.00000003443569099</v>
      </c>
      <c r="P238" s="6">
        <v>0.033582089552238</v>
      </c>
      <c r="Q238" s="6">
        <v>0.027667984189723</v>
      </c>
      <c r="R238" s="6">
        <v>0.9808</v>
      </c>
      <c r="S238" s="6">
        <v>0.9808</v>
      </c>
      <c r="T238" s="6">
        <v>21.1808955223881</v>
      </c>
    </row>
    <row r="239">
      <c r="A239" s="5" t="s">
        <v>84</v>
      </c>
      <c r="B239" s="17" t="s">
        <v>268</v>
      </c>
      <c r="C239" s="7" t="s">
        <v>99</v>
      </c>
      <c r="D239" s="8" t="s">
        <v>306</v>
      </c>
      <c r="E239" s="18">
        <v>45236.0</v>
      </c>
      <c r="F239" s="6">
        <v>1.0</v>
      </c>
      <c r="G239" s="6">
        <v>1.0</v>
      </c>
      <c r="H239" s="6">
        <v>1.0</v>
      </c>
      <c r="I239" s="6">
        <v>1.0</v>
      </c>
      <c r="J239" s="6">
        <v>1.0</v>
      </c>
      <c r="K239" s="10">
        <v>0.609921336174011</v>
      </c>
      <c r="L239" s="10">
        <v>0.156898289918899</v>
      </c>
      <c r="M239" s="10">
        <v>-0.0682950913906097</v>
      </c>
      <c r="N239" s="11">
        <v>-0.06829507</v>
      </c>
      <c r="O239" s="6">
        <f t="shared" si="1"/>
        <v>-0.0000000213906097</v>
      </c>
      <c r="P239" s="6">
        <v>0.041044776119402</v>
      </c>
      <c r="Q239" s="6">
        <v>0.019841269841269</v>
      </c>
      <c r="R239" s="6">
        <v>0.9965</v>
      </c>
      <c r="S239" s="6">
        <v>0.9965</v>
      </c>
      <c r="T239" s="6">
        <v>22.2760316066725</v>
      </c>
    </row>
    <row r="240">
      <c r="A240" s="5" t="s">
        <v>84</v>
      </c>
      <c r="B240" s="17" t="s">
        <v>268</v>
      </c>
      <c r="C240" s="7" t="s">
        <v>101</v>
      </c>
      <c r="D240" s="8" t="s">
        <v>307</v>
      </c>
      <c r="E240" s="18">
        <v>45236.0</v>
      </c>
      <c r="F240" s="6">
        <v>1.0</v>
      </c>
      <c r="G240" s="6">
        <v>1.0</v>
      </c>
      <c r="H240" s="6">
        <v>1.0</v>
      </c>
      <c r="I240" s="6">
        <v>1.0</v>
      </c>
      <c r="J240" s="6">
        <v>1.0</v>
      </c>
      <c r="K240" s="10">
        <v>0.611960411071777</v>
      </c>
      <c r="L240" s="10">
        <v>0.145490884780883</v>
      </c>
      <c r="M240" s="10">
        <v>-0.0387866012752056</v>
      </c>
      <c r="N240" s="11">
        <v>-0.03878637</v>
      </c>
      <c r="O240" s="6">
        <f t="shared" si="1"/>
        <v>-0.0000002312752056</v>
      </c>
      <c r="P240" s="6">
        <v>0.059405940594059</v>
      </c>
      <c r="Q240" s="6">
        <v>0.037414965986394</v>
      </c>
      <c r="R240" s="6">
        <v>0.9665</v>
      </c>
      <c r="S240" s="6">
        <v>-0.9665</v>
      </c>
      <c r="T240" s="6">
        <v>21.2431625771273</v>
      </c>
    </row>
    <row r="241">
      <c r="A241" s="5" t="s">
        <v>84</v>
      </c>
      <c r="B241" s="17" t="s">
        <v>268</v>
      </c>
      <c r="C241" s="7" t="s">
        <v>103</v>
      </c>
      <c r="D241" s="8" t="s">
        <v>308</v>
      </c>
      <c r="E241" s="18">
        <v>45236.0</v>
      </c>
      <c r="F241" s="6">
        <v>1.0</v>
      </c>
      <c r="G241" s="6">
        <v>1.0</v>
      </c>
      <c r="H241" s="6">
        <v>1.0</v>
      </c>
      <c r="I241" s="6">
        <v>1.0</v>
      </c>
      <c r="J241" s="6">
        <v>1.0</v>
      </c>
      <c r="K241" s="10">
        <v>0.614879727363586</v>
      </c>
      <c r="L241" s="10">
        <v>0.16592614352703</v>
      </c>
      <c r="M241" s="10">
        <v>-0.0430403016507625</v>
      </c>
      <c r="N241" s="11">
        <v>-0.043039985</v>
      </c>
      <c r="O241" s="6">
        <f t="shared" si="1"/>
        <v>-0.0000003166507625</v>
      </c>
      <c r="P241" s="6">
        <v>0.041139240506329</v>
      </c>
      <c r="Q241" s="6">
        <v>0.02076124567474</v>
      </c>
      <c r="R241" s="6">
        <v>0.9977</v>
      </c>
      <c r="S241" s="6">
        <v>0.9977</v>
      </c>
      <c r="T241" s="6">
        <v>20.196262808921</v>
      </c>
    </row>
    <row r="242">
      <c r="A242" s="5" t="s">
        <v>20</v>
      </c>
      <c r="B242" s="17" t="s">
        <v>309</v>
      </c>
      <c r="C242" s="7" t="s">
        <v>22</v>
      </c>
      <c r="D242" s="8" t="s">
        <v>310</v>
      </c>
      <c r="E242" s="18">
        <v>45316.0</v>
      </c>
      <c r="F242" s="6">
        <v>1.0</v>
      </c>
      <c r="G242" s="6">
        <v>1.0</v>
      </c>
      <c r="H242" s="6">
        <v>1.0</v>
      </c>
      <c r="I242" s="6">
        <v>1.0</v>
      </c>
      <c r="J242" s="6">
        <v>1.0</v>
      </c>
      <c r="K242" s="10">
        <v>0.631699442863464</v>
      </c>
      <c r="L242" s="10">
        <v>0.189830854535102</v>
      </c>
      <c r="M242" s="10">
        <v>0.00179376080632209</v>
      </c>
      <c r="N242" s="11">
        <v>0.0017934521</v>
      </c>
      <c r="O242" s="6">
        <f t="shared" si="1"/>
        <v>0.0000003087063221</v>
      </c>
      <c r="P242" s="6">
        <v>0.057142857142857</v>
      </c>
      <c r="Q242" s="6">
        <v>0.151515151515151</v>
      </c>
      <c r="R242" s="6">
        <v>0.7783</v>
      </c>
      <c r="S242" s="6">
        <v>0.7783</v>
      </c>
      <c r="T242" s="6">
        <v>17.2857142857143</v>
      </c>
    </row>
    <row r="243">
      <c r="A243" s="5" t="s">
        <v>20</v>
      </c>
      <c r="B243" s="17" t="s">
        <v>309</v>
      </c>
      <c r="C243" s="7" t="s">
        <v>24</v>
      </c>
      <c r="D243" s="8" t="s">
        <v>311</v>
      </c>
      <c r="E243" s="18">
        <v>45316.0</v>
      </c>
      <c r="F243" s="6">
        <v>1.0</v>
      </c>
      <c r="G243" s="6">
        <v>1.0</v>
      </c>
      <c r="H243" s="6">
        <v>1.0</v>
      </c>
      <c r="I243" s="6">
        <v>1.0</v>
      </c>
      <c r="J243" s="6">
        <v>1.0</v>
      </c>
      <c r="K243" s="10">
        <v>0.620695352554321</v>
      </c>
      <c r="L243" s="10">
        <v>0.158673226833343</v>
      </c>
      <c r="M243" s="10">
        <v>-0.0170804932713508</v>
      </c>
      <c r="N243" s="11">
        <v>-0.017080572</v>
      </c>
      <c r="O243" s="6">
        <f t="shared" si="1"/>
        <v>0.0000000787286492</v>
      </c>
      <c r="P243" s="6">
        <v>0.017241379310344</v>
      </c>
      <c r="Q243" s="6">
        <v>0.053571428571428</v>
      </c>
      <c r="R243" s="6">
        <v>0.9352</v>
      </c>
      <c r="S243" s="6">
        <v>0.9352</v>
      </c>
      <c r="T243" s="6">
        <v>18.767816091954</v>
      </c>
    </row>
    <row r="244">
      <c r="A244" s="5" t="s">
        <v>20</v>
      </c>
      <c r="B244" s="17" t="s">
        <v>309</v>
      </c>
      <c r="C244" s="7" t="s">
        <v>26</v>
      </c>
      <c r="D244" s="8" t="s">
        <v>312</v>
      </c>
      <c r="E244" s="18">
        <v>45316.0</v>
      </c>
      <c r="F244" s="6">
        <v>1.0</v>
      </c>
      <c r="G244" s="6">
        <v>1.0</v>
      </c>
      <c r="H244" s="6">
        <v>1.0</v>
      </c>
      <c r="I244" s="6">
        <v>1.0</v>
      </c>
      <c r="J244" s="6">
        <v>1.0</v>
      </c>
      <c r="K244" s="10">
        <v>0.629732251167297</v>
      </c>
      <c r="L244" s="10">
        <v>0.223885014653205</v>
      </c>
      <c r="M244" s="10">
        <v>0.0546850301325321</v>
      </c>
      <c r="N244" s="11">
        <v>0.054685242</v>
      </c>
      <c r="O244" s="6">
        <f t="shared" si="1"/>
        <v>-0.0000002118674679</v>
      </c>
      <c r="P244" s="6">
        <v>0.024390243902439</v>
      </c>
      <c r="Q244" s="6">
        <v>0.105263157894736</v>
      </c>
      <c r="R244" s="6">
        <v>0.9665</v>
      </c>
      <c r="S244" s="6">
        <v>0.9665</v>
      </c>
      <c r="T244" s="6">
        <v>18.9317073170732</v>
      </c>
    </row>
    <row r="245">
      <c r="A245" s="5" t="s">
        <v>20</v>
      </c>
      <c r="B245" s="17" t="s">
        <v>309</v>
      </c>
      <c r="C245" s="7" t="s">
        <v>28</v>
      </c>
      <c r="D245" s="8" t="s">
        <v>313</v>
      </c>
      <c r="E245" s="18">
        <v>45316.0</v>
      </c>
      <c r="F245" s="6">
        <v>3.0</v>
      </c>
      <c r="G245" s="6">
        <v>3.0</v>
      </c>
      <c r="H245" s="6">
        <v>4.0</v>
      </c>
      <c r="I245" s="6">
        <v>3.0</v>
      </c>
      <c r="J245" s="6">
        <v>4.0</v>
      </c>
      <c r="K245" s="10">
        <v>0.627259194850921</v>
      </c>
      <c r="L245" s="10">
        <v>0.195364713668823</v>
      </c>
      <c r="M245" s="10">
        <v>0.00614622235298156</v>
      </c>
      <c r="N245" s="11">
        <v>0.006146096</v>
      </c>
      <c r="O245" s="6">
        <f t="shared" si="1"/>
        <v>0.0000001263529816</v>
      </c>
      <c r="P245" s="6">
        <v>0.028571428571428</v>
      </c>
      <c r="Q245" s="6">
        <v>0.09375</v>
      </c>
      <c r="R245" s="6">
        <v>0.875</v>
      </c>
      <c r="S245" s="6">
        <v>0.875</v>
      </c>
      <c r="T245" s="6">
        <v>16.1428571428571</v>
      </c>
    </row>
    <row r="246">
      <c r="A246" s="5" t="s">
        <v>20</v>
      </c>
      <c r="B246" s="17" t="s">
        <v>309</v>
      </c>
      <c r="C246" s="7" t="s">
        <v>30</v>
      </c>
      <c r="D246" s="8" t="s">
        <v>314</v>
      </c>
      <c r="E246" s="18">
        <v>45316.0</v>
      </c>
      <c r="F246" s="6">
        <v>1.0</v>
      </c>
      <c r="G246" s="6">
        <v>1.0</v>
      </c>
      <c r="H246" s="6">
        <v>1.0</v>
      </c>
      <c r="I246" s="6">
        <v>1.0</v>
      </c>
      <c r="J246" s="6">
        <v>1.0</v>
      </c>
      <c r="K246" s="10">
        <v>0.628975629806518</v>
      </c>
      <c r="L246" s="10">
        <v>0.184255167841911</v>
      </c>
      <c r="M246" s="10">
        <v>-0.0943986773490905</v>
      </c>
      <c r="N246" s="11">
        <v>-0.094398774</v>
      </c>
      <c r="O246" s="6">
        <f t="shared" si="1"/>
        <v>0.0000000966509095</v>
      </c>
      <c r="P246" s="6">
        <v>0.045454545454545</v>
      </c>
      <c r="Q246" s="6">
        <v>0.071428571428571</v>
      </c>
      <c r="R246" s="6">
        <v>0.91</v>
      </c>
      <c r="S246" s="6">
        <v>0.91</v>
      </c>
      <c r="T246" s="6">
        <v>18.5939393939394</v>
      </c>
    </row>
    <row r="247">
      <c r="A247" s="5" t="s">
        <v>20</v>
      </c>
      <c r="B247" s="17" t="s">
        <v>309</v>
      </c>
      <c r="C247" s="7" t="s">
        <v>32</v>
      </c>
      <c r="D247" s="8" t="s">
        <v>315</v>
      </c>
      <c r="E247" s="18">
        <v>45316.0</v>
      </c>
      <c r="F247" s="6">
        <v>1.0</v>
      </c>
      <c r="G247" s="6">
        <v>1.0</v>
      </c>
      <c r="H247" s="6">
        <v>1.0</v>
      </c>
      <c r="I247" s="6">
        <v>1.0</v>
      </c>
      <c r="J247" s="6">
        <v>1.0</v>
      </c>
      <c r="K247" s="10">
        <v>0.624494135379791</v>
      </c>
      <c r="L247" s="10">
        <v>0.171253889799118</v>
      </c>
      <c r="M247" s="10">
        <v>-0.197604030370712</v>
      </c>
      <c r="N247" s="11">
        <v>-0.19760412</v>
      </c>
      <c r="O247" s="6">
        <f t="shared" si="1"/>
        <v>0.00000008962928799</v>
      </c>
      <c r="P247" s="6">
        <v>0.019230769230769</v>
      </c>
      <c r="Q247" s="6">
        <v>0.106382978723404</v>
      </c>
      <c r="R247" s="6">
        <v>0.8221</v>
      </c>
      <c r="S247" s="6">
        <v>0.8221</v>
      </c>
      <c r="T247" s="6">
        <v>17.7025641025641</v>
      </c>
    </row>
    <row r="248">
      <c r="A248" s="5" t="s">
        <v>20</v>
      </c>
      <c r="B248" s="17" t="s">
        <v>309</v>
      </c>
      <c r="C248" s="7" t="s">
        <v>34</v>
      </c>
      <c r="D248" s="13" t="s">
        <v>316</v>
      </c>
      <c r="E248" s="18">
        <v>45316.0</v>
      </c>
      <c r="F248" s="6">
        <v>1.0</v>
      </c>
      <c r="G248" s="6">
        <v>1.0</v>
      </c>
      <c r="H248" s="6">
        <v>1.0</v>
      </c>
      <c r="I248" s="6">
        <v>1.0</v>
      </c>
      <c r="J248" s="6">
        <v>1.0</v>
      </c>
      <c r="K248" s="14">
        <v>0.640911281108856</v>
      </c>
      <c r="L248" s="14">
        <v>0.193167358636856</v>
      </c>
      <c r="M248" s="14">
        <v>0.0772014260292053</v>
      </c>
      <c r="N248" s="11">
        <v>0.07720132</v>
      </c>
      <c r="O248" s="6">
        <f t="shared" si="1"/>
        <v>0.0000001060292053</v>
      </c>
      <c r="P248" s="19">
        <v>0.022727272727272</v>
      </c>
      <c r="Q248" s="6">
        <v>0.073170731707317</v>
      </c>
      <c r="R248" s="6">
        <v>0.7783</v>
      </c>
      <c r="S248" s="6">
        <v>0.7783</v>
      </c>
      <c r="T248" s="6">
        <v>18.8</v>
      </c>
    </row>
    <row r="249">
      <c r="A249" s="5" t="s">
        <v>20</v>
      </c>
      <c r="B249" s="17" t="s">
        <v>309</v>
      </c>
      <c r="C249" s="7" t="s">
        <v>36</v>
      </c>
      <c r="D249" s="8" t="s">
        <v>317</v>
      </c>
      <c r="E249" s="18">
        <v>45316.0</v>
      </c>
      <c r="F249" s="6">
        <v>1.0</v>
      </c>
      <c r="G249" s="6">
        <v>1.0</v>
      </c>
      <c r="H249" s="6">
        <v>1.0</v>
      </c>
      <c r="I249" s="6">
        <v>1.0</v>
      </c>
      <c r="J249" s="6">
        <v>1.0</v>
      </c>
      <c r="K249" s="10">
        <v>0.622271656990051</v>
      </c>
      <c r="L249" s="10">
        <v>0.176870599389076</v>
      </c>
      <c r="M249" s="10">
        <v>-0.0984000787138938</v>
      </c>
      <c r="N249" s="11">
        <v>-0.0984003</v>
      </c>
      <c r="O249" s="6">
        <f t="shared" si="1"/>
        <v>0.0000002212861062</v>
      </c>
      <c r="P249" s="6">
        <v>0.065573770491803</v>
      </c>
      <c r="Q249" s="6">
        <v>0.135593220338983</v>
      </c>
      <c r="R249" s="6">
        <v>0.9291</v>
      </c>
      <c r="S249" s="6">
        <v>0.9291</v>
      </c>
      <c r="T249" s="6">
        <v>22.5595628415301</v>
      </c>
    </row>
    <row r="250">
      <c r="A250" s="5" t="s">
        <v>20</v>
      </c>
      <c r="B250" s="17" t="s">
        <v>309</v>
      </c>
      <c r="C250" s="7" t="s">
        <v>38</v>
      </c>
      <c r="D250" s="8" t="s">
        <v>318</v>
      </c>
      <c r="E250" s="18">
        <v>45316.0</v>
      </c>
      <c r="F250" s="6">
        <v>3.0</v>
      </c>
      <c r="G250" s="6">
        <v>3.0</v>
      </c>
      <c r="H250" s="6">
        <v>4.0</v>
      </c>
      <c r="I250" s="6">
        <v>3.0</v>
      </c>
      <c r="J250" s="6">
        <v>4.0</v>
      </c>
      <c r="K250" s="10">
        <v>0.627184689044952</v>
      </c>
      <c r="L250" s="10">
        <v>0.171332404017448</v>
      </c>
      <c r="M250" s="10">
        <v>-0.323323220014572</v>
      </c>
      <c r="N250" s="11">
        <v>-0.32332328</v>
      </c>
      <c r="O250" s="6">
        <f t="shared" si="1"/>
        <v>0.00000005998542801</v>
      </c>
      <c r="P250" s="6">
        <v>0.02127659574468</v>
      </c>
      <c r="Q250" s="6">
        <v>0.127659574468085</v>
      </c>
      <c r="R250" s="6">
        <v>0.5423</v>
      </c>
      <c r="S250" s="6">
        <v>0.5423</v>
      </c>
      <c r="T250" s="6">
        <v>19.0326241134752</v>
      </c>
    </row>
    <row r="251">
      <c r="A251" s="5" t="s">
        <v>20</v>
      </c>
      <c r="B251" s="17" t="s">
        <v>309</v>
      </c>
      <c r="C251" s="7" t="s">
        <v>40</v>
      </c>
      <c r="D251" s="8" t="s">
        <v>319</v>
      </c>
      <c r="E251" s="18">
        <v>45316.0</v>
      </c>
      <c r="F251" s="6">
        <v>1.0</v>
      </c>
      <c r="G251" s="6">
        <v>1.0</v>
      </c>
      <c r="H251" s="6">
        <v>1.0</v>
      </c>
      <c r="I251" s="6">
        <v>1.0</v>
      </c>
      <c r="J251" s="6">
        <v>1.0</v>
      </c>
      <c r="K251" s="10">
        <v>0.612475454807281</v>
      </c>
      <c r="L251" s="10">
        <v>0.15167811512947</v>
      </c>
      <c r="M251" s="10">
        <v>-0.249165251851081</v>
      </c>
      <c r="N251" s="11">
        <v>-0.24916525</v>
      </c>
      <c r="O251" s="6">
        <f t="shared" si="1"/>
        <v>-0.000000001851080983</v>
      </c>
      <c r="P251" s="6">
        <v>0.027397260273972</v>
      </c>
      <c r="Q251" s="6">
        <v>0.154929577464788</v>
      </c>
      <c r="R251" s="6">
        <v>0.9067</v>
      </c>
      <c r="S251" s="6">
        <v>0.9067</v>
      </c>
      <c r="T251" s="6">
        <v>17.1630136986301</v>
      </c>
    </row>
    <row r="252">
      <c r="A252" s="5" t="s">
        <v>42</v>
      </c>
      <c r="B252" s="17" t="s">
        <v>309</v>
      </c>
      <c r="C252" s="7" t="s">
        <v>43</v>
      </c>
      <c r="D252" s="8" t="s">
        <v>320</v>
      </c>
      <c r="E252" s="18">
        <v>45316.0</v>
      </c>
      <c r="F252" s="6">
        <v>1.0</v>
      </c>
      <c r="G252" s="6">
        <v>1.0</v>
      </c>
      <c r="H252" s="6">
        <v>1.0</v>
      </c>
      <c r="I252" s="6">
        <v>1.0</v>
      </c>
      <c r="J252" s="6">
        <v>1.0</v>
      </c>
      <c r="K252" s="10">
        <v>0.617746293544769</v>
      </c>
      <c r="L252" s="10">
        <v>0.227959737181663</v>
      </c>
      <c r="M252" s="10">
        <v>-0.1231255158782</v>
      </c>
      <c r="N252" s="11">
        <v>-0.12312571</v>
      </c>
      <c r="O252" s="6">
        <f t="shared" si="1"/>
        <v>0.0000001941218</v>
      </c>
      <c r="P252" s="6">
        <v>0.028169014084507</v>
      </c>
      <c r="Q252" s="6">
        <v>0.071428571428571</v>
      </c>
      <c r="R252" s="6">
        <v>0.9901</v>
      </c>
      <c r="S252" s="6">
        <v>0.9901</v>
      </c>
      <c r="T252" s="6">
        <v>21.2976525821596</v>
      </c>
    </row>
    <row r="253">
      <c r="A253" s="5" t="s">
        <v>42</v>
      </c>
      <c r="B253" s="17" t="s">
        <v>309</v>
      </c>
      <c r="C253" s="7" t="s">
        <v>45</v>
      </c>
      <c r="D253" s="8" t="s">
        <v>321</v>
      </c>
      <c r="E253" s="18">
        <v>45316.0</v>
      </c>
      <c r="F253" s="6">
        <v>1.0</v>
      </c>
      <c r="G253" s="6">
        <v>1.0</v>
      </c>
      <c r="H253" s="6">
        <v>1.0</v>
      </c>
      <c r="I253" s="6">
        <v>1.0</v>
      </c>
      <c r="J253" s="6">
        <v>1.0</v>
      </c>
      <c r="K253" s="10">
        <v>0.600457549095153</v>
      </c>
      <c r="L253" s="10">
        <v>0.183333948254585</v>
      </c>
      <c r="M253" s="10">
        <v>-0.162629753351211</v>
      </c>
      <c r="N253" s="11">
        <v>-0.16262968</v>
      </c>
      <c r="O253" s="6">
        <f t="shared" si="1"/>
        <v>-0.00000007335121099</v>
      </c>
      <c r="P253" s="6">
        <v>0.036144578313253</v>
      </c>
      <c r="Q253" s="6">
        <v>0.0875</v>
      </c>
      <c r="R253" s="6">
        <v>0.9453</v>
      </c>
      <c r="S253" s="6">
        <v>0.9453</v>
      </c>
      <c r="T253" s="6">
        <v>24.2036144578313</v>
      </c>
    </row>
    <row r="254">
      <c r="A254" s="5" t="s">
        <v>42</v>
      </c>
      <c r="B254" s="17" t="s">
        <v>309</v>
      </c>
      <c r="C254" s="7" t="s">
        <v>47</v>
      </c>
      <c r="D254" s="8" t="s">
        <v>322</v>
      </c>
      <c r="E254" s="18">
        <v>45316.0</v>
      </c>
      <c r="F254" s="6">
        <v>1.0</v>
      </c>
      <c r="G254" s="6">
        <v>1.0</v>
      </c>
      <c r="H254" s="6">
        <v>1.0</v>
      </c>
      <c r="I254" s="6">
        <v>1.0</v>
      </c>
      <c r="J254" s="6">
        <v>1.0</v>
      </c>
      <c r="K254" s="10">
        <v>0.609658360481262</v>
      </c>
      <c r="L254" s="10">
        <v>0.163208156824111</v>
      </c>
      <c r="M254" s="10">
        <v>-0.100003041326999</v>
      </c>
      <c r="N254" s="11">
        <v>-0.100002915</v>
      </c>
      <c r="O254" s="6">
        <f t="shared" si="1"/>
        <v>-0.000000126326999</v>
      </c>
      <c r="P254" s="6">
        <v>0.047058823529411</v>
      </c>
      <c r="Q254" s="6">
        <v>0.098765432098765</v>
      </c>
      <c r="R254" s="6">
        <v>0.9631</v>
      </c>
      <c r="S254" s="6">
        <v>0.9631</v>
      </c>
      <c r="T254" s="6">
        <v>18.8529411764706</v>
      </c>
    </row>
    <row r="255">
      <c r="A255" s="5" t="s">
        <v>42</v>
      </c>
      <c r="B255" s="17" t="s">
        <v>309</v>
      </c>
      <c r="C255" s="7" t="s">
        <v>49</v>
      </c>
      <c r="D255" s="8" t="s">
        <v>323</v>
      </c>
      <c r="E255" s="18">
        <v>45316.0</v>
      </c>
      <c r="F255" s="6">
        <v>1.0</v>
      </c>
      <c r="G255" s="6">
        <v>1.0</v>
      </c>
      <c r="H255" s="6">
        <v>1.0</v>
      </c>
      <c r="I255" s="6">
        <v>1.0</v>
      </c>
      <c r="J255" s="6">
        <v>1.0</v>
      </c>
      <c r="K255" s="10">
        <v>0.613909542560577</v>
      </c>
      <c r="L255" s="10">
        <v>0.168701410293579</v>
      </c>
      <c r="M255" s="10">
        <v>0.0133240632712841</v>
      </c>
      <c r="N255" s="11">
        <v>0.013324052</v>
      </c>
      <c r="O255" s="6">
        <f t="shared" si="1"/>
        <v>0.0000000112712841</v>
      </c>
      <c r="P255" s="6">
        <v>0.058479532163742</v>
      </c>
      <c r="Q255" s="6">
        <v>0.061349693251533</v>
      </c>
      <c r="R255" s="6">
        <v>0.9919</v>
      </c>
      <c r="S255" s="6">
        <v>0.9919</v>
      </c>
      <c r="T255" s="6">
        <v>19.2959064327485</v>
      </c>
    </row>
    <row r="256">
      <c r="A256" s="5" t="s">
        <v>42</v>
      </c>
      <c r="B256" s="17" t="s">
        <v>309</v>
      </c>
      <c r="C256" s="7" t="s">
        <v>51</v>
      </c>
      <c r="D256" s="8" t="s">
        <v>324</v>
      </c>
      <c r="E256" s="18">
        <v>45316.0</v>
      </c>
      <c r="F256" s="6">
        <v>1.0</v>
      </c>
      <c r="G256" s="6">
        <v>1.0</v>
      </c>
      <c r="H256" s="6">
        <v>1.0</v>
      </c>
      <c r="I256" s="6">
        <v>1.0</v>
      </c>
      <c r="J256" s="6">
        <v>1.0</v>
      </c>
      <c r="K256" s="10">
        <v>0.615484893321991</v>
      </c>
      <c r="L256" s="10">
        <v>0.152482733130455</v>
      </c>
      <c r="M256" s="10">
        <v>-0.0833082199096679</v>
      </c>
      <c r="N256" s="11">
        <v>-0.08330808</v>
      </c>
      <c r="O256" s="6">
        <f t="shared" si="1"/>
        <v>-0.0000001399096679</v>
      </c>
      <c r="P256" s="6">
        <v>0.007968127490039</v>
      </c>
      <c r="Q256" s="6">
        <v>0.02892561983471</v>
      </c>
      <c r="R256" s="6">
        <v>0.9877</v>
      </c>
      <c r="S256" s="6">
        <v>0.9877</v>
      </c>
      <c r="T256" s="6">
        <v>19.3626294820717</v>
      </c>
    </row>
    <row r="257">
      <c r="A257" s="5" t="s">
        <v>42</v>
      </c>
      <c r="B257" s="17" t="s">
        <v>309</v>
      </c>
      <c r="C257" s="7" t="s">
        <v>53</v>
      </c>
      <c r="D257" s="8" t="s">
        <v>325</v>
      </c>
      <c r="E257" s="18">
        <v>45316.0</v>
      </c>
      <c r="F257" s="6">
        <v>1.0</v>
      </c>
      <c r="G257" s="6">
        <v>1.0</v>
      </c>
      <c r="H257" s="6">
        <v>1.0</v>
      </c>
      <c r="I257" s="6">
        <v>1.0</v>
      </c>
      <c r="J257" s="6">
        <v>1.0</v>
      </c>
      <c r="K257" s="10">
        <v>0.608578383922576</v>
      </c>
      <c r="L257" s="10">
        <v>0.189687013626098</v>
      </c>
      <c r="M257" s="10">
        <v>-0.225575327873229</v>
      </c>
      <c r="N257" s="11">
        <v>-0.22557525</v>
      </c>
      <c r="O257" s="6">
        <f t="shared" si="1"/>
        <v>-0.000000077873229</v>
      </c>
      <c r="P257" s="6">
        <v>0.0</v>
      </c>
      <c r="Q257" s="6">
        <v>0.117647058823529</v>
      </c>
      <c r="R257" s="6">
        <v>0.9829</v>
      </c>
      <c r="S257" s="6">
        <v>0.9829</v>
      </c>
      <c r="T257" s="6">
        <v>22.3333333333333</v>
      </c>
    </row>
    <row r="258">
      <c r="A258" s="5" t="s">
        <v>42</v>
      </c>
      <c r="B258" s="17" t="s">
        <v>309</v>
      </c>
      <c r="C258" s="7" t="s">
        <v>55</v>
      </c>
      <c r="D258" s="8" t="s">
        <v>326</v>
      </c>
      <c r="E258" s="18">
        <v>45316.0</v>
      </c>
      <c r="F258" s="6">
        <v>4.0</v>
      </c>
      <c r="G258" s="6">
        <v>5.0</v>
      </c>
      <c r="H258" s="6">
        <v>4.0</v>
      </c>
      <c r="I258" s="6">
        <v>3.0</v>
      </c>
      <c r="J258" s="6">
        <v>4.0</v>
      </c>
      <c r="K258" s="10">
        <v>0.62566202878952</v>
      </c>
      <c r="L258" s="10">
        <v>0.144586727023124</v>
      </c>
      <c r="M258" s="10">
        <v>-0.0628142803907394</v>
      </c>
      <c r="N258" s="11">
        <v>-0.0628143</v>
      </c>
      <c r="O258" s="6">
        <f t="shared" si="1"/>
        <v>0.0000000196092606</v>
      </c>
      <c r="P258" s="6">
        <v>0.020408163265306</v>
      </c>
      <c r="Q258" s="6">
        <v>0.025179856115107</v>
      </c>
      <c r="R258" s="6">
        <v>0.743</v>
      </c>
      <c r="S258" s="6">
        <v>-0.743</v>
      </c>
      <c r="T258" s="6">
        <v>22.255900621118</v>
      </c>
    </row>
    <row r="259">
      <c r="A259" s="5" t="s">
        <v>42</v>
      </c>
      <c r="B259" s="17" t="s">
        <v>309</v>
      </c>
      <c r="C259" s="7" t="s">
        <v>57</v>
      </c>
      <c r="D259" s="8" t="s">
        <v>327</v>
      </c>
      <c r="E259" s="18">
        <v>45316.0</v>
      </c>
      <c r="F259" s="6">
        <v>1.0</v>
      </c>
      <c r="G259" s="6">
        <v>1.0</v>
      </c>
      <c r="H259" s="6">
        <v>1.0</v>
      </c>
      <c r="I259" s="6">
        <v>1.0</v>
      </c>
      <c r="J259" s="6">
        <v>1.0</v>
      </c>
      <c r="K259" s="10">
        <v>0.605865776538848</v>
      </c>
      <c r="L259" s="10">
        <v>0.132051914930343</v>
      </c>
      <c r="M259" s="10">
        <v>-0.148018270730972</v>
      </c>
      <c r="N259" s="11">
        <v>-0.14801782</v>
      </c>
      <c r="O259" s="6">
        <f t="shared" si="1"/>
        <v>-0.000000450730972</v>
      </c>
      <c r="P259" s="6">
        <v>0.040723981900452</v>
      </c>
      <c r="Q259" s="6">
        <v>0.037558685446009</v>
      </c>
      <c r="R259" s="6">
        <v>0.9922</v>
      </c>
      <c r="S259" s="6">
        <v>0.9922</v>
      </c>
      <c r="T259" s="6">
        <v>18.7693815987934</v>
      </c>
    </row>
    <row r="260">
      <c r="A260" s="5" t="s">
        <v>42</v>
      </c>
      <c r="B260" s="17" t="s">
        <v>309</v>
      </c>
      <c r="C260" s="7" t="s">
        <v>59</v>
      </c>
      <c r="D260" s="8" t="s">
        <v>328</v>
      </c>
      <c r="E260" s="18">
        <v>45316.0</v>
      </c>
      <c r="F260" s="6">
        <v>1.0</v>
      </c>
      <c r="G260" s="6">
        <v>1.0</v>
      </c>
      <c r="H260" s="6">
        <v>1.0</v>
      </c>
      <c r="I260" s="6">
        <v>1.0</v>
      </c>
      <c r="J260" s="6">
        <v>1.0</v>
      </c>
      <c r="K260" s="10">
        <v>0.600132465362548</v>
      </c>
      <c r="L260" s="10">
        <v>0.151513576507568</v>
      </c>
      <c r="M260" s="10">
        <v>-0.0940222740173339</v>
      </c>
      <c r="N260" s="11">
        <v>-0.09402222</v>
      </c>
      <c r="O260" s="6">
        <f t="shared" si="1"/>
        <v>-0.0000000540173339</v>
      </c>
      <c r="P260" s="6">
        <v>0.00956937799043</v>
      </c>
      <c r="Q260" s="6">
        <v>0.034313725490196</v>
      </c>
      <c r="R260" s="6">
        <v>0.9413</v>
      </c>
      <c r="S260" s="6">
        <v>0.9413</v>
      </c>
      <c r="T260" s="6">
        <v>20.9635300372143</v>
      </c>
    </row>
    <row r="261">
      <c r="A261" s="5" t="s">
        <v>42</v>
      </c>
      <c r="B261" s="17" t="s">
        <v>309</v>
      </c>
      <c r="C261" s="7" t="s">
        <v>61</v>
      </c>
      <c r="D261" s="8" t="s">
        <v>329</v>
      </c>
      <c r="E261" s="18">
        <v>45316.0</v>
      </c>
      <c r="F261" s="6">
        <v>1.0</v>
      </c>
      <c r="G261" s="6">
        <v>1.0</v>
      </c>
      <c r="H261" s="6">
        <v>1.0</v>
      </c>
      <c r="I261" s="6">
        <v>1.0</v>
      </c>
      <c r="J261" s="6">
        <v>1.0</v>
      </c>
      <c r="K261" s="10">
        <v>0.608346760272979</v>
      </c>
      <c r="L261" s="10">
        <v>0.154121860861778</v>
      </c>
      <c r="M261" s="10">
        <v>0.122311100363731</v>
      </c>
      <c r="N261" s="11">
        <v>0.12231081</v>
      </c>
      <c r="O261" s="6">
        <f t="shared" si="1"/>
        <v>0.000000290363731</v>
      </c>
      <c r="P261" s="6">
        <v>0.025641025641025</v>
      </c>
      <c r="Q261" s="6">
        <v>0.082191780821917</v>
      </c>
      <c r="R261" s="6">
        <v>0.9738</v>
      </c>
      <c r="S261" s="6">
        <v>0.9738</v>
      </c>
      <c r="T261" s="6">
        <v>21.1692307692308</v>
      </c>
    </row>
    <row r="262">
      <c r="A262" s="5" t="s">
        <v>63</v>
      </c>
      <c r="B262" s="17" t="s">
        <v>309</v>
      </c>
      <c r="C262" s="7" t="s">
        <v>64</v>
      </c>
      <c r="D262" s="8" t="s">
        <v>330</v>
      </c>
      <c r="E262" s="18">
        <v>45316.0</v>
      </c>
      <c r="F262" s="6">
        <v>1.0</v>
      </c>
      <c r="G262" s="6">
        <v>1.0</v>
      </c>
      <c r="H262" s="6">
        <v>1.0</v>
      </c>
      <c r="I262" s="6">
        <v>1.0</v>
      </c>
      <c r="J262" s="6">
        <v>1.0</v>
      </c>
      <c r="K262" s="10">
        <v>0.608927428722381</v>
      </c>
      <c r="L262" s="10">
        <v>0.134733185172081</v>
      </c>
      <c r="M262" s="10">
        <v>-0.104873225092887</v>
      </c>
      <c r="N262" s="11">
        <v>-0.10487312</v>
      </c>
      <c r="O262" s="6">
        <f t="shared" si="1"/>
        <v>-0.000000105092887</v>
      </c>
      <c r="P262" s="6">
        <v>0.036144578313253</v>
      </c>
      <c r="Q262" s="6">
        <v>0.0375</v>
      </c>
      <c r="R262" s="6">
        <v>0.8321</v>
      </c>
      <c r="S262" s="6">
        <v>-0.8321</v>
      </c>
      <c r="T262" s="6">
        <v>20.3481927710843</v>
      </c>
    </row>
    <row r="263">
      <c r="A263" s="5" t="s">
        <v>63</v>
      </c>
      <c r="B263" s="17" t="s">
        <v>309</v>
      </c>
      <c r="C263" s="7" t="s">
        <v>66</v>
      </c>
      <c r="D263" s="8" t="s">
        <v>331</v>
      </c>
      <c r="E263" s="18">
        <v>45316.0</v>
      </c>
      <c r="F263" s="6">
        <v>1.0</v>
      </c>
      <c r="G263" s="6">
        <v>1.0</v>
      </c>
      <c r="H263" s="6">
        <v>1.0</v>
      </c>
      <c r="I263" s="6">
        <v>1.0</v>
      </c>
      <c r="J263" s="6">
        <v>1.0</v>
      </c>
      <c r="K263" s="10">
        <v>0.632563173770904</v>
      </c>
      <c r="L263" s="10">
        <v>0.174936532974243</v>
      </c>
      <c r="M263" s="10">
        <v>-0.152095079421997</v>
      </c>
      <c r="N263" s="11">
        <v>-0.1520951</v>
      </c>
      <c r="O263" s="6">
        <f t="shared" si="1"/>
        <v>0.00000002057800302</v>
      </c>
      <c r="P263" s="6">
        <v>0.02127659574468</v>
      </c>
      <c r="Q263" s="6">
        <v>0.076086956521739</v>
      </c>
      <c r="R263" s="6">
        <v>0.9493</v>
      </c>
      <c r="S263" s="6">
        <v>0.9493</v>
      </c>
      <c r="T263" s="6">
        <v>19.6127659574468</v>
      </c>
    </row>
    <row r="264">
      <c r="A264" s="5" t="s">
        <v>63</v>
      </c>
      <c r="B264" s="17" t="s">
        <v>309</v>
      </c>
      <c r="C264" s="7" t="s">
        <v>68</v>
      </c>
      <c r="D264" s="8" t="s">
        <v>332</v>
      </c>
      <c r="E264" s="18">
        <v>45316.0</v>
      </c>
      <c r="F264" s="6">
        <v>3.0</v>
      </c>
      <c r="G264" s="6">
        <v>3.0</v>
      </c>
      <c r="H264" s="6">
        <v>4.0</v>
      </c>
      <c r="I264" s="6">
        <v>3.0</v>
      </c>
      <c r="J264" s="6">
        <v>4.0</v>
      </c>
      <c r="K264" s="10">
        <v>0.6208256483078</v>
      </c>
      <c r="L264" s="10">
        <v>0.199568912386894</v>
      </c>
      <c r="M264" s="10">
        <v>-0.280921876430511</v>
      </c>
      <c r="N264" s="11">
        <v>-0.28092203</v>
      </c>
      <c r="O264" s="6">
        <f t="shared" si="1"/>
        <v>0.000000153569489</v>
      </c>
      <c r="P264" s="6">
        <v>0.0</v>
      </c>
      <c r="Q264" s="6">
        <v>0.068493150684931</v>
      </c>
      <c r="R264" s="6">
        <v>0.9206</v>
      </c>
      <c r="S264" s="6">
        <v>0.9206</v>
      </c>
      <c r="T264" s="6">
        <v>23.7383561643836</v>
      </c>
    </row>
    <row r="265">
      <c r="A265" s="5" t="s">
        <v>63</v>
      </c>
      <c r="B265" s="17" t="s">
        <v>309</v>
      </c>
      <c r="C265" s="7" t="s">
        <v>70</v>
      </c>
      <c r="D265" s="8" t="s">
        <v>333</v>
      </c>
      <c r="E265" s="18">
        <v>45316.0</v>
      </c>
      <c r="F265" s="6">
        <v>1.0</v>
      </c>
      <c r="G265" s="6">
        <v>1.0</v>
      </c>
      <c r="H265" s="6">
        <v>1.0</v>
      </c>
      <c r="I265" s="6">
        <v>1.0</v>
      </c>
      <c r="J265" s="6">
        <v>1.0</v>
      </c>
      <c r="K265" s="10">
        <v>0.624460935592651</v>
      </c>
      <c r="L265" s="10">
        <v>0.178961277008056</v>
      </c>
      <c r="M265" s="10">
        <v>0.0895710736513137</v>
      </c>
      <c r="N265" s="11">
        <v>0.0895713</v>
      </c>
      <c r="O265" s="6">
        <f t="shared" si="1"/>
        <v>-0.0000002263486863</v>
      </c>
      <c r="P265" s="6">
        <v>0.0</v>
      </c>
      <c r="Q265" s="6">
        <v>0.095890410958904</v>
      </c>
      <c r="R265" s="6">
        <v>0.916</v>
      </c>
      <c r="S265" s="6">
        <v>0.916</v>
      </c>
      <c r="T265" s="6">
        <v>19.2918918918919</v>
      </c>
    </row>
    <row r="266">
      <c r="A266" s="5" t="s">
        <v>63</v>
      </c>
      <c r="B266" s="17" t="s">
        <v>309</v>
      </c>
      <c r="C266" s="7" t="s">
        <v>72</v>
      </c>
      <c r="D266" s="8" t="s">
        <v>334</v>
      </c>
      <c r="E266" s="18">
        <v>45316.0</v>
      </c>
      <c r="F266" s="6">
        <v>1.0</v>
      </c>
      <c r="G266" s="6">
        <v>1.0</v>
      </c>
      <c r="H266" s="6">
        <v>1.0</v>
      </c>
      <c r="I266" s="6">
        <v>1.0</v>
      </c>
      <c r="J266" s="6">
        <v>1.0</v>
      </c>
      <c r="K266" s="10">
        <v>0.635519623756408</v>
      </c>
      <c r="L266" s="10">
        <v>0.134109929203987</v>
      </c>
      <c r="M266" s="10">
        <v>0.0124491900205612</v>
      </c>
      <c r="N266" s="11">
        <v>0.012449026</v>
      </c>
      <c r="O266" s="6">
        <f t="shared" si="1"/>
        <v>0.0000001640205612</v>
      </c>
      <c r="P266" s="6">
        <v>0.0</v>
      </c>
      <c r="Q266" s="6">
        <v>0.089285714285714</v>
      </c>
      <c r="R266" s="6">
        <v>0.6597</v>
      </c>
      <c r="S266" s="6">
        <v>0.6597</v>
      </c>
      <c r="T266" s="6">
        <v>16.0091954022989</v>
      </c>
    </row>
    <row r="267">
      <c r="A267" s="5" t="s">
        <v>63</v>
      </c>
      <c r="B267" s="17" t="s">
        <v>309</v>
      </c>
      <c r="C267" s="7" t="s">
        <v>74</v>
      </c>
      <c r="D267" s="8" t="s">
        <v>335</v>
      </c>
      <c r="E267" s="18">
        <v>45316.0</v>
      </c>
      <c r="F267" s="6">
        <v>1.0</v>
      </c>
      <c r="G267" s="6">
        <v>1.0</v>
      </c>
      <c r="H267" s="6">
        <v>1.0</v>
      </c>
      <c r="I267" s="6">
        <v>1.0</v>
      </c>
      <c r="J267" s="6">
        <v>1.0</v>
      </c>
      <c r="K267" s="10">
        <v>0.631695091724395</v>
      </c>
      <c r="L267" s="10">
        <v>0.160522237420082</v>
      </c>
      <c r="M267" s="10">
        <v>0.198872044682502</v>
      </c>
      <c r="N267" s="11">
        <v>0.19887187</v>
      </c>
      <c r="O267" s="6">
        <f t="shared" si="1"/>
        <v>0.000000174682502</v>
      </c>
      <c r="P267" s="6">
        <v>0.0</v>
      </c>
      <c r="Q267" s="6">
        <v>0.114754098360655</v>
      </c>
      <c r="R267" s="6">
        <v>0.9136</v>
      </c>
      <c r="S267" s="6">
        <v>0.9136</v>
      </c>
      <c r="T267" s="6">
        <v>18.5333333333333</v>
      </c>
    </row>
    <row r="268">
      <c r="A268" s="5" t="s">
        <v>63</v>
      </c>
      <c r="B268" s="17" t="s">
        <v>309</v>
      </c>
      <c r="C268" s="7" t="s">
        <v>76</v>
      </c>
      <c r="D268" s="8" t="s">
        <v>336</v>
      </c>
      <c r="E268" s="18">
        <v>45316.0</v>
      </c>
      <c r="F268" s="6">
        <v>3.0</v>
      </c>
      <c r="G268" s="6">
        <v>3.0</v>
      </c>
      <c r="H268" s="6">
        <v>4.0</v>
      </c>
      <c r="I268" s="6">
        <v>3.0</v>
      </c>
      <c r="J268" s="6">
        <v>4.0</v>
      </c>
      <c r="K268" s="10">
        <v>0.625009834766387</v>
      </c>
      <c r="L268" s="10">
        <v>0.156055033206939</v>
      </c>
      <c r="M268" s="10">
        <v>0.0336507074534893</v>
      </c>
      <c r="N268" s="11">
        <v>0.03365064</v>
      </c>
      <c r="O268" s="6">
        <f t="shared" si="1"/>
        <v>0.00000006745348929</v>
      </c>
      <c r="P268" s="6">
        <v>0.020408163265306</v>
      </c>
      <c r="Q268" s="6">
        <v>0.026737967914438</v>
      </c>
      <c r="R268" s="6">
        <v>0.9973</v>
      </c>
      <c r="S268" s="6">
        <v>0.9973</v>
      </c>
      <c r="T268" s="6">
        <v>18.0811524609844</v>
      </c>
    </row>
    <row r="269">
      <c r="A269" s="5" t="s">
        <v>63</v>
      </c>
      <c r="B269" s="17" t="s">
        <v>309</v>
      </c>
      <c r="C269" s="7" t="s">
        <v>78</v>
      </c>
      <c r="D269" s="8" t="s">
        <v>337</v>
      </c>
      <c r="E269" s="18">
        <v>45316.0</v>
      </c>
      <c r="F269" s="6">
        <v>1.0</v>
      </c>
      <c r="G269" s="6">
        <v>1.0</v>
      </c>
      <c r="H269" s="6">
        <v>1.0</v>
      </c>
      <c r="I269" s="6">
        <v>1.0</v>
      </c>
      <c r="J269" s="6">
        <v>1.0</v>
      </c>
      <c r="K269" s="10">
        <v>0.634220659732818</v>
      </c>
      <c r="L269" s="10">
        <v>0.170416712760925</v>
      </c>
      <c r="M269" s="10">
        <v>-0.0462691783905029</v>
      </c>
      <c r="N269" s="11">
        <v>-0.046269402</v>
      </c>
      <c r="O269" s="6">
        <f t="shared" si="1"/>
        <v>0.0000002236094971</v>
      </c>
      <c r="P269" s="6">
        <v>0.033707865168539</v>
      </c>
      <c r="Q269" s="6">
        <v>0.057471264367816</v>
      </c>
      <c r="R269" s="6">
        <v>0.9792</v>
      </c>
      <c r="S269" s="6">
        <v>0.9792</v>
      </c>
      <c r="T269" s="6">
        <v>22.3831460674157</v>
      </c>
    </row>
    <row r="270">
      <c r="A270" s="5" t="s">
        <v>63</v>
      </c>
      <c r="B270" s="17" t="s">
        <v>309</v>
      </c>
      <c r="C270" s="7" t="s">
        <v>80</v>
      </c>
      <c r="D270" s="8" t="s">
        <v>338</v>
      </c>
      <c r="E270" s="18">
        <v>45316.0</v>
      </c>
      <c r="F270" s="6">
        <v>1.0</v>
      </c>
      <c r="G270" s="6">
        <v>1.0</v>
      </c>
      <c r="H270" s="6">
        <v>1.0</v>
      </c>
      <c r="I270" s="6">
        <v>1.0</v>
      </c>
      <c r="J270" s="6">
        <v>1.0</v>
      </c>
      <c r="K270" s="10">
        <v>0.632701992988586</v>
      </c>
      <c r="L270" s="10">
        <v>0.173052698373794</v>
      </c>
      <c r="M270" s="10">
        <v>-0.184767097234725</v>
      </c>
      <c r="N270" s="11">
        <v>-0.18476744</v>
      </c>
      <c r="O270" s="6">
        <f t="shared" si="1"/>
        <v>0.000000342765275</v>
      </c>
      <c r="P270" s="6">
        <v>0.012987012987012</v>
      </c>
      <c r="Q270" s="6">
        <v>0.078947368421052</v>
      </c>
      <c r="R270" s="6">
        <v>0.9246</v>
      </c>
      <c r="S270" s="6">
        <v>0.9246</v>
      </c>
      <c r="T270" s="6">
        <v>20.1675324675325</v>
      </c>
    </row>
    <row r="271">
      <c r="A271" s="5" t="s">
        <v>63</v>
      </c>
      <c r="B271" s="17" t="s">
        <v>309</v>
      </c>
      <c r="C271" s="7" t="s">
        <v>82</v>
      </c>
      <c r="D271" s="8" t="s">
        <v>339</v>
      </c>
      <c r="E271" s="18">
        <v>45316.0</v>
      </c>
      <c r="F271" s="6">
        <v>1.0</v>
      </c>
      <c r="G271" s="6">
        <v>1.0</v>
      </c>
      <c r="H271" s="6">
        <v>1.0</v>
      </c>
      <c r="I271" s="6">
        <v>1.0</v>
      </c>
      <c r="J271" s="6">
        <v>1.0</v>
      </c>
      <c r="K271" s="10">
        <v>0.631667733192443</v>
      </c>
      <c r="L271" s="10">
        <v>0.176609382033348</v>
      </c>
      <c r="M271" s="10">
        <v>-0.0780209228396415</v>
      </c>
      <c r="N271" s="11">
        <v>-0.07802085</v>
      </c>
      <c r="O271" s="6">
        <f t="shared" si="1"/>
        <v>-0.0000000728396415</v>
      </c>
      <c r="P271" s="6">
        <v>0.010752688172043</v>
      </c>
      <c r="Q271" s="6">
        <v>0.043010752688172</v>
      </c>
      <c r="R271" s="6">
        <v>0.6908</v>
      </c>
      <c r="S271" s="6">
        <v>0.6908</v>
      </c>
      <c r="T271" s="6">
        <v>19.6225806451613</v>
      </c>
    </row>
    <row r="272">
      <c r="A272" s="5" t="s">
        <v>84</v>
      </c>
      <c r="B272" s="17" t="s">
        <v>309</v>
      </c>
      <c r="C272" s="7" t="s">
        <v>85</v>
      </c>
      <c r="D272" s="8" t="s">
        <v>340</v>
      </c>
      <c r="E272" s="18">
        <v>45316.0</v>
      </c>
      <c r="F272" s="6">
        <v>1.0</v>
      </c>
      <c r="G272" s="6">
        <v>1.0</v>
      </c>
      <c r="H272" s="6">
        <v>1.0</v>
      </c>
      <c r="I272" s="6">
        <v>1.0</v>
      </c>
      <c r="J272" s="6">
        <v>1.0</v>
      </c>
      <c r="K272" s="10">
        <v>0.624226629734039</v>
      </c>
      <c r="L272" s="10">
        <v>0.150567129254341</v>
      </c>
      <c r="M272" s="10">
        <v>0.102014809846878</v>
      </c>
      <c r="N272" s="11">
        <v>0.102015235</v>
      </c>
      <c r="O272" s="6">
        <f t="shared" si="1"/>
        <v>-0.000000425153122</v>
      </c>
      <c r="P272" s="6">
        <v>0.0</v>
      </c>
      <c r="Q272" s="6">
        <v>0.121212121212121</v>
      </c>
      <c r="R272" s="6">
        <v>0.3089</v>
      </c>
      <c r="S272" s="6">
        <v>-0.3089</v>
      </c>
      <c r="T272" s="6">
        <v>19.9333333333333</v>
      </c>
    </row>
    <row r="273">
      <c r="A273" s="5" t="s">
        <v>84</v>
      </c>
      <c r="B273" s="17" t="s">
        <v>309</v>
      </c>
      <c r="C273" s="7" t="s">
        <v>87</v>
      </c>
      <c r="D273" s="8" t="s">
        <v>341</v>
      </c>
      <c r="E273" s="18">
        <v>45316.0</v>
      </c>
      <c r="F273" s="6">
        <v>1.0</v>
      </c>
      <c r="G273" s="6">
        <v>1.0</v>
      </c>
      <c r="H273" s="6">
        <v>1.0</v>
      </c>
      <c r="I273" s="6">
        <v>1.0</v>
      </c>
      <c r="J273" s="6">
        <v>1.0</v>
      </c>
      <c r="K273" s="10">
        <v>0.633810639381408</v>
      </c>
      <c r="L273" s="10">
        <v>0.170802056789398</v>
      </c>
      <c r="M273" s="10">
        <v>0.0151701942086219</v>
      </c>
      <c r="N273" s="11">
        <v>0.015170351</v>
      </c>
      <c r="O273" s="6">
        <f t="shared" si="1"/>
        <v>-0.0000001567913781</v>
      </c>
      <c r="P273" s="6">
        <v>0.016666666666666</v>
      </c>
      <c r="Q273" s="6">
        <v>0.11864406779661</v>
      </c>
      <c r="R273" s="6">
        <v>0.959</v>
      </c>
      <c r="S273" s="6">
        <v>0.959</v>
      </c>
      <c r="T273" s="6">
        <v>18.6666666666667</v>
      </c>
    </row>
    <row r="274">
      <c r="A274" s="5" t="s">
        <v>84</v>
      </c>
      <c r="B274" s="17" t="s">
        <v>309</v>
      </c>
      <c r="C274" s="7" t="s">
        <v>89</v>
      </c>
      <c r="D274" s="8" t="s">
        <v>342</v>
      </c>
      <c r="E274" s="18">
        <v>45316.0</v>
      </c>
      <c r="F274" s="6">
        <v>1.0</v>
      </c>
      <c r="G274" s="6">
        <v>1.0</v>
      </c>
      <c r="H274" s="6">
        <v>1.0</v>
      </c>
      <c r="I274" s="6">
        <v>1.0</v>
      </c>
      <c r="J274" s="6">
        <v>1.0</v>
      </c>
      <c r="K274" s="10">
        <v>0.620146632194519</v>
      </c>
      <c r="L274" s="10">
        <v>0.145799160003662</v>
      </c>
      <c r="M274" s="10">
        <v>-0.0961042046546936</v>
      </c>
      <c r="N274" s="11">
        <v>-0.096104085</v>
      </c>
      <c r="O274" s="6">
        <f t="shared" si="1"/>
        <v>-0.0000001196546936</v>
      </c>
      <c r="P274" s="6">
        <v>0.012987012987012</v>
      </c>
      <c r="Q274" s="6">
        <v>0.093333333333333</v>
      </c>
      <c r="R274" s="6">
        <v>0.9788</v>
      </c>
      <c r="S274" s="6">
        <v>0.9788</v>
      </c>
      <c r="T274" s="6">
        <v>18.6090909090909</v>
      </c>
    </row>
    <row r="275">
      <c r="A275" s="5" t="s">
        <v>84</v>
      </c>
      <c r="B275" s="17" t="s">
        <v>309</v>
      </c>
      <c r="C275" s="7" t="s">
        <v>91</v>
      </c>
      <c r="D275" s="8" t="s">
        <v>343</v>
      </c>
      <c r="E275" s="18">
        <v>45316.0</v>
      </c>
      <c r="F275" s="6">
        <v>3.0</v>
      </c>
      <c r="G275" s="6">
        <v>3.0</v>
      </c>
      <c r="H275" s="6">
        <v>4.0</v>
      </c>
      <c r="I275" s="6">
        <v>3.0</v>
      </c>
      <c r="J275" s="6">
        <v>4.0</v>
      </c>
      <c r="K275" s="10">
        <v>0.630091249942779</v>
      </c>
      <c r="L275" s="10">
        <v>0.181326270103454</v>
      </c>
      <c r="M275" s="10">
        <v>-0.033459510654211</v>
      </c>
      <c r="N275" s="11">
        <v>-0.033459328</v>
      </c>
      <c r="O275" s="6">
        <f t="shared" si="1"/>
        <v>-0.000000182654211</v>
      </c>
      <c r="P275" s="6">
        <v>0.011764705882352</v>
      </c>
      <c r="Q275" s="6">
        <v>0.083333333333333</v>
      </c>
      <c r="R275" s="6">
        <v>0.9738</v>
      </c>
      <c r="S275" s="6">
        <v>0.9738</v>
      </c>
      <c r="T275" s="6">
        <v>25.4411764705882</v>
      </c>
    </row>
    <row r="276">
      <c r="A276" s="5" t="s">
        <v>84</v>
      </c>
      <c r="B276" s="17" t="s">
        <v>309</v>
      </c>
      <c r="C276" s="7" t="s">
        <v>93</v>
      </c>
      <c r="D276" s="8" t="s">
        <v>344</v>
      </c>
      <c r="E276" s="18">
        <v>45316.0</v>
      </c>
      <c r="F276" s="6">
        <v>3.0</v>
      </c>
      <c r="G276" s="6">
        <v>3.0</v>
      </c>
      <c r="H276" s="6">
        <v>4.0</v>
      </c>
      <c r="I276" s="6">
        <v>3.0</v>
      </c>
      <c r="J276" s="6">
        <v>4.0</v>
      </c>
      <c r="K276" s="10">
        <v>0.626074016094207</v>
      </c>
      <c r="L276" s="10">
        <v>0.191166058182716</v>
      </c>
      <c r="M276" s="10">
        <v>-0.0608442761003971</v>
      </c>
      <c r="N276" s="11">
        <v>-0.0608442</v>
      </c>
      <c r="O276" s="6">
        <f t="shared" si="1"/>
        <v>-0.0000000761003971</v>
      </c>
      <c r="P276" s="6">
        <v>0.021739130434782</v>
      </c>
      <c r="Q276" s="6">
        <v>0.088888888888888</v>
      </c>
      <c r="R276" s="6">
        <v>0.9287</v>
      </c>
      <c r="S276" s="6">
        <v>0.9287</v>
      </c>
      <c r="T276" s="6">
        <v>22.5773913043478</v>
      </c>
    </row>
    <row r="277">
      <c r="A277" s="5" t="s">
        <v>84</v>
      </c>
      <c r="B277" s="17" t="s">
        <v>309</v>
      </c>
      <c r="C277" s="7" t="s">
        <v>95</v>
      </c>
      <c r="D277" s="8" t="s">
        <v>345</v>
      </c>
      <c r="E277" s="18">
        <v>45316.0</v>
      </c>
      <c r="F277" s="6">
        <v>3.0</v>
      </c>
      <c r="G277" s="6">
        <v>3.0</v>
      </c>
      <c r="H277" s="6">
        <v>4.0</v>
      </c>
      <c r="I277" s="6">
        <v>3.0</v>
      </c>
      <c r="J277" s="6">
        <v>4.0</v>
      </c>
      <c r="K277" s="10">
        <v>0.6350599527359</v>
      </c>
      <c r="L277" s="10">
        <v>0.185531139373779</v>
      </c>
      <c r="M277" s="10">
        <v>-0.227811783552169</v>
      </c>
      <c r="N277" s="11">
        <v>-0.22781152</v>
      </c>
      <c r="O277" s="6">
        <f t="shared" si="1"/>
        <v>-0.000000263552169</v>
      </c>
      <c r="P277" s="6">
        <v>0.014285714285714</v>
      </c>
      <c r="Q277" s="6">
        <v>0.128571428571428</v>
      </c>
      <c r="R277" s="6">
        <v>0.9201</v>
      </c>
      <c r="S277" s="6">
        <v>0.9201</v>
      </c>
      <c r="T277" s="6">
        <v>21.3333333333333</v>
      </c>
    </row>
    <row r="278">
      <c r="A278" s="5" t="s">
        <v>84</v>
      </c>
      <c r="B278" s="17" t="s">
        <v>309</v>
      </c>
      <c r="C278" s="7" t="s">
        <v>97</v>
      </c>
      <c r="D278" s="8" t="s">
        <v>346</v>
      </c>
      <c r="E278" s="18">
        <v>45316.0</v>
      </c>
      <c r="F278" s="6">
        <v>3.0</v>
      </c>
      <c r="G278" s="6">
        <v>3.0</v>
      </c>
      <c r="H278" s="6">
        <v>4.0</v>
      </c>
      <c r="I278" s="6">
        <v>3.0</v>
      </c>
      <c r="J278" s="6">
        <v>4.0</v>
      </c>
      <c r="K278" s="10">
        <v>0.61609262228012</v>
      </c>
      <c r="L278" s="10">
        <v>0.151870280504226</v>
      </c>
      <c r="M278" s="10">
        <v>0.278878957033157</v>
      </c>
      <c r="N278" s="11">
        <v>0.2788789</v>
      </c>
      <c r="O278" s="6">
        <f t="shared" si="1"/>
        <v>0.00000005703315703</v>
      </c>
      <c r="P278" s="6">
        <v>0.033492822966507</v>
      </c>
      <c r="Q278" s="6">
        <v>0.08080808080808</v>
      </c>
      <c r="R278" s="6">
        <v>0.991</v>
      </c>
      <c r="S278" s="6">
        <v>0.991</v>
      </c>
      <c r="T278" s="6">
        <v>19.3532376395534</v>
      </c>
    </row>
    <row r="279">
      <c r="A279" s="5" t="s">
        <v>84</v>
      </c>
      <c r="B279" s="17" t="s">
        <v>309</v>
      </c>
      <c r="C279" s="7" t="s">
        <v>99</v>
      </c>
      <c r="D279" s="8" t="s">
        <v>347</v>
      </c>
      <c r="E279" s="18">
        <v>45316.0</v>
      </c>
      <c r="F279" s="6">
        <v>1.0</v>
      </c>
      <c r="G279" s="6">
        <v>1.0</v>
      </c>
      <c r="H279" s="6">
        <v>1.0</v>
      </c>
      <c r="I279" s="6">
        <v>1.0</v>
      </c>
      <c r="J279" s="6">
        <v>1.0</v>
      </c>
      <c r="K279" s="10">
        <v>0.61021876335144</v>
      </c>
      <c r="L279" s="10">
        <v>0.133939921855926</v>
      </c>
      <c r="M279" s="10">
        <v>-0.0683400630950927</v>
      </c>
      <c r="N279" s="11">
        <v>-0.068340085</v>
      </c>
      <c r="O279" s="6">
        <f t="shared" si="1"/>
        <v>0.00000002190490729</v>
      </c>
      <c r="P279" s="6">
        <v>0.038647342995169</v>
      </c>
      <c r="Q279" s="6">
        <v>0.030612244897959</v>
      </c>
      <c r="R279" s="6">
        <v>0.9929</v>
      </c>
      <c r="S279" s="6">
        <v>0.9929</v>
      </c>
      <c r="T279" s="6">
        <v>24.3054347826087</v>
      </c>
    </row>
    <row r="280">
      <c r="A280" s="5" t="s">
        <v>84</v>
      </c>
      <c r="B280" s="17" t="s">
        <v>309</v>
      </c>
      <c r="C280" s="7" t="s">
        <v>101</v>
      </c>
      <c r="D280" s="8" t="s">
        <v>348</v>
      </c>
      <c r="E280" s="18">
        <v>45316.0</v>
      </c>
      <c r="F280" s="6">
        <v>1.0</v>
      </c>
      <c r="G280" s="6">
        <v>1.0</v>
      </c>
      <c r="H280" s="6">
        <v>1.0</v>
      </c>
      <c r="I280" s="6">
        <v>1.0</v>
      </c>
      <c r="J280" s="6">
        <v>1.0</v>
      </c>
      <c r="K280" s="10">
        <v>0.607205331325531</v>
      </c>
      <c r="L280" s="10">
        <v>0.107602909207344</v>
      </c>
      <c r="M280" s="10">
        <v>0.186094060540199</v>
      </c>
      <c r="N280" s="11">
        <v>0.18609425</v>
      </c>
      <c r="O280" s="6">
        <f t="shared" si="1"/>
        <v>-0.000000189459801</v>
      </c>
      <c r="P280" s="6">
        <v>0.058365758754863</v>
      </c>
      <c r="Q280" s="6">
        <v>0.037344398340248</v>
      </c>
      <c r="R280" s="6">
        <v>0.8545</v>
      </c>
      <c r="S280" s="6">
        <v>-0.8545</v>
      </c>
      <c r="T280" s="6">
        <v>21.1443350881209</v>
      </c>
    </row>
    <row r="281">
      <c r="A281" s="5" t="s">
        <v>84</v>
      </c>
      <c r="B281" s="17" t="s">
        <v>309</v>
      </c>
      <c r="C281" s="7" t="s">
        <v>103</v>
      </c>
      <c r="D281" s="8" t="s">
        <v>349</v>
      </c>
      <c r="E281" s="18">
        <v>45316.0</v>
      </c>
      <c r="F281" s="6">
        <v>1.0</v>
      </c>
      <c r="G281" s="6">
        <v>1.0</v>
      </c>
      <c r="H281" s="6">
        <v>1.0</v>
      </c>
      <c r="I281" s="6">
        <v>1.0</v>
      </c>
      <c r="J281" s="6">
        <v>1.0</v>
      </c>
      <c r="K281" s="10">
        <v>0.60884141921997</v>
      </c>
      <c r="L281" s="10">
        <v>0.164411157369613</v>
      </c>
      <c r="M281" s="10">
        <v>0.153484612703323</v>
      </c>
      <c r="N281" s="11">
        <v>0.15348478</v>
      </c>
      <c r="O281" s="6">
        <f t="shared" si="1"/>
        <v>-0.000000167296677</v>
      </c>
      <c r="P281" s="6">
        <v>0.008163265306122</v>
      </c>
      <c r="Q281" s="6">
        <v>0.070796460176991</v>
      </c>
      <c r="R281" s="6">
        <v>0.986</v>
      </c>
      <c r="S281" s="6">
        <v>0.986</v>
      </c>
      <c r="T281" s="6">
        <v>19.3494897959184</v>
      </c>
    </row>
    <row r="282">
      <c r="A282" s="5" t="s">
        <v>20</v>
      </c>
      <c r="B282" s="6" t="s">
        <v>350</v>
      </c>
      <c r="C282" s="7" t="s">
        <v>22</v>
      </c>
      <c r="D282" s="8" t="s">
        <v>351</v>
      </c>
      <c r="E282" s="9">
        <v>45391.0</v>
      </c>
      <c r="F282" s="6">
        <v>1.0</v>
      </c>
      <c r="G282" s="6">
        <v>1.0</v>
      </c>
      <c r="H282" s="6">
        <v>4.0</v>
      </c>
      <c r="I282" s="6">
        <v>1.0</v>
      </c>
      <c r="J282" s="6">
        <v>3.0</v>
      </c>
      <c r="K282" s="14">
        <v>0.597215950489044</v>
      </c>
      <c r="L282" s="14">
        <v>0.131814911961555</v>
      </c>
      <c r="M282" s="14">
        <v>0.0265302993357181</v>
      </c>
      <c r="N282" s="11">
        <v>0.026530348</v>
      </c>
      <c r="O282" s="6">
        <f t="shared" si="1"/>
        <v>-0.0000000486642819</v>
      </c>
      <c r="P282" s="6">
        <v>0.05</v>
      </c>
      <c r="Q282" s="6">
        <v>0.222222222222222</v>
      </c>
      <c r="R282" s="6">
        <v>0.5916</v>
      </c>
      <c r="S282" s="6">
        <v>0.5916</v>
      </c>
      <c r="T282" s="6">
        <v>14.0</v>
      </c>
    </row>
    <row r="283">
      <c r="A283" s="5" t="s">
        <v>20</v>
      </c>
      <c r="B283" s="6" t="s">
        <v>350</v>
      </c>
      <c r="C283" s="7" t="s">
        <v>24</v>
      </c>
      <c r="D283" s="8" t="s">
        <v>352</v>
      </c>
      <c r="E283" s="9">
        <v>45391.0</v>
      </c>
      <c r="F283" s="6">
        <v>1.0</v>
      </c>
      <c r="G283" s="6">
        <v>1.0</v>
      </c>
      <c r="H283" s="6">
        <v>4.0</v>
      </c>
      <c r="I283" s="6">
        <v>1.0</v>
      </c>
      <c r="J283" s="6">
        <v>1.0</v>
      </c>
      <c r="K283" s="14">
        <v>0.61652797460556</v>
      </c>
      <c r="L283" s="14">
        <v>0.18807178735733</v>
      </c>
      <c r="M283" s="14">
        <v>0.0635139346122741</v>
      </c>
      <c r="N283" s="11">
        <v>0.06351391</v>
      </c>
      <c r="O283" s="6">
        <f t="shared" si="1"/>
        <v>0.00000002461227409</v>
      </c>
      <c r="P283" s="6">
        <v>0.052238805970149</v>
      </c>
      <c r="Q283" s="6">
        <v>0.032258064516129</v>
      </c>
      <c r="R283" s="6">
        <v>0.9963</v>
      </c>
      <c r="S283" s="6">
        <v>0.9963</v>
      </c>
      <c r="T283" s="6">
        <v>13.3768082663605</v>
      </c>
    </row>
    <row r="284">
      <c r="A284" s="5" t="s">
        <v>20</v>
      </c>
      <c r="B284" s="6" t="s">
        <v>350</v>
      </c>
      <c r="C284" s="7" t="s">
        <v>26</v>
      </c>
      <c r="D284" s="8" t="s">
        <v>353</v>
      </c>
      <c r="E284" s="9">
        <v>45391.0</v>
      </c>
      <c r="F284" s="6">
        <v>1.0</v>
      </c>
      <c r="G284" s="6">
        <v>1.0</v>
      </c>
      <c r="H284" s="6">
        <v>4.0</v>
      </c>
      <c r="I284" s="6">
        <v>1.0</v>
      </c>
      <c r="J284" s="6">
        <v>3.0</v>
      </c>
      <c r="K284" s="14">
        <v>0.59745854139328</v>
      </c>
      <c r="L284" s="14">
        <v>0.173914700746536</v>
      </c>
      <c r="M284" s="14">
        <v>0.00628110766410827</v>
      </c>
      <c r="N284" s="11">
        <v>0.006280963</v>
      </c>
      <c r="O284" s="6">
        <f t="shared" si="1"/>
        <v>0.0000001446641083</v>
      </c>
      <c r="P284" s="6">
        <v>0.058823529411764</v>
      </c>
      <c r="Q284" s="6">
        <v>0.112903225806451</v>
      </c>
      <c r="R284" s="6">
        <v>0.9242</v>
      </c>
      <c r="S284" s="6">
        <v>0.9242</v>
      </c>
      <c r="T284" s="6">
        <v>21.5058823529412</v>
      </c>
    </row>
    <row r="285">
      <c r="A285" s="5" t="s">
        <v>20</v>
      </c>
      <c r="B285" s="6" t="s">
        <v>350</v>
      </c>
      <c r="C285" s="7" t="s">
        <v>28</v>
      </c>
      <c r="D285" s="8" t="s">
        <v>354</v>
      </c>
      <c r="E285" s="9">
        <v>45391.0</v>
      </c>
      <c r="F285" s="6">
        <v>1.0</v>
      </c>
      <c r="G285" s="6">
        <v>1.0</v>
      </c>
      <c r="H285" s="6">
        <v>4.0</v>
      </c>
      <c r="I285" s="6">
        <v>1.0</v>
      </c>
      <c r="J285" s="6">
        <v>1.0</v>
      </c>
      <c r="K285" s="14">
        <v>0.632207989692688</v>
      </c>
      <c r="L285" s="14">
        <v>0.17221313714981</v>
      </c>
      <c r="M285" s="14">
        <v>-0.283816933631897</v>
      </c>
      <c r="N285" s="11">
        <v>-0.28381687</v>
      </c>
      <c r="O285" s="6">
        <f t="shared" si="1"/>
        <v>-0.00000006363189697</v>
      </c>
      <c r="P285" s="6">
        <v>0.021739130434782</v>
      </c>
      <c r="Q285" s="6">
        <v>0.136363636363636</v>
      </c>
      <c r="R285" s="6">
        <v>0.0</v>
      </c>
      <c r="S285" s="6">
        <v>0.0</v>
      </c>
      <c r="T285" s="6">
        <v>15.6985507246377</v>
      </c>
    </row>
    <row r="286">
      <c r="A286" s="5" t="s">
        <v>20</v>
      </c>
      <c r="B286" s="6" t="s">
        <v>350</v>
      </c>
      <c r="C286" s="7" t="s">
        <v>30</v>
      </c>
      <c r="D286" s="8" t="s">
        <v>355</v>
      </c>
      <c r="E286" s="9">
        <v>45391.0</v>
      </c>
      <c r="F286" s="6">
        <v>1.0</v>
      </c>
      <c r="G286" s="6">
        <v>1.0</v>
      </c>
      <c r="H286" s="6">
        <v>4.0</v>
      </c>
      <c r="I286" s="6">
        <v>1.0</v>
      </c>
      <c r="J286" s="6">
        <v>3.0</v>
      </c>
      <c r="K286" s="14">
        <v>0.602411746978759</v>
      </c>
      <c r="L286" s="14">
        <v>0.16603572666645</v>
      </c>
      <c r="M286" s="14">
        <v>-0.0115371197462081</v>
      </c>
      <c r="N286" s="11">
        <v>-0.011537194</v>
      </c>
      <c r="O286" s="6">
        <f t="shared" si="1"/>
        <v>0.0000000742537919</v>
      </c>
      <c r="P286" s="6">
        <v>0.0</v>
      </c>
      <c r="Q286" s="6">
        <v>0.106060606060606</v>
      </c>
      <c r="R286" s="6">
        <v>0.965</v>
      </c>
      <c r="S286" s="6">
        <v>0.965</v>
      </c>
      <c r="T286" s="6">
        <v>16.3155555555556</v>
      </c>
    </row>
    <row r="287">
      <c r="A287" s="5" t="s">
        <v>20</v>
      </c>
      <c r="B287" s="6" t="s">
        <v>350</v>
      </c>
      <c r="C287" s="7" t="s">
        <v>32</v>
      </c>
      <c r="D287" s="8" t="s">
        <v>356</v>
      </c>
      <c r="E287" s="9">
        <v>45391.0</v>
      </c>
      <c r="F287" s="6">
        <v>1.0</v>
      </c>
      <c r="G287" s="6">
        <v>1.0</v>
      </c>
      <c r="H287" s="6">
        <v>4.0</v>
      </c>
      <c r="I287" s="6">
        <v>1.0</v>
      </c>
      <c r="J287" s="6">
        <v>3.0</v>
      </c>
      <c r="K287" s="14">
        <v>0.602302134037017</v>
      </c>
      <c r="L287" s="14">
        <v>0.170956283807754</v>
      </c>
      <c r="M287" s="14">
        <v>-0.417991518974304</v>
      </c>
      <c r="N287" s="11">
        <v>-0.41799155</v>
      </c>
      <c r="O287" s="6">
        <f t="shared" si="1"/>
        <v>0.00000003102569601</v>
      </c>
      <c r="P287" s="6">
        <v>0.023809523809523</v>
      </c>
      <c r="Q287" s="6">
        <v>0.109756097560975</v>
      </c>
      <c r="R287" s="6">
        <v>0.9488</v>
      </c>
      <c r="S287" s="6">
        <v>0.9488</v>
      </c>
      <c r="T287" s="6">
        <v>20.3047619047619</v>
      </c>
    </row>
    <row r="288">
      <c r="A288" s="5" t="s">
        <v>20</v>
      </c>
      <c r="B288" s="6" t="s">
        <v>350</v>
      </c>
      <c r="C288" s="7" t="s">
        <v>34</v>
      </c>
      <c r="D288" s="8" t="s">
        <v>357</v>
      </c>
      <c r="E288" s="9">
        <v>45391.0</v>
      </c>
      <c r="F288" s="6">
        <v>1.0</v>
      </c>
      <c r="G288" s="6">
        <v>1.0</v>
      </c>
      <c r="H288" s="6">
        <v>4.0</v>
      </c>
      <c r="I288" s="6">
        <v>1.0</v>
      </c>
      <c r="J288" s="6">
        <v>3.0</v>
      </c>
      <c r="K288" s="14">
        <v>0.624889910221099</v>
      </c>
      <c r="L288" s="14">
        <v>0.219868496060371</v>
      </c>
      <c r="M288" s="14">
        <v>0.0796142518520355</v>
      </c>
      <c r="N288" s="11">
        <v>0.0796142</v>
      </c>
      <c r="O288" s="6">
        <f t="shared" si="1"/>
        <v>0.0000000518520355</v>
      </c>
      <c r="P288" s="6">
        <v>0.018181818181818</v>
      </c>
      <c r="Q288" s="6">
        <v>0.115384615384615</v>
      </c>
      <c r="R288" s="6">
        <v>0.8122</v>
      </c>
      <c r="S288" s="6">
        <v>0.8122</v>
      </c>
      <c r="T288" s="6">
        <v>18.969696969697</v>
      </c>
    </row>
    <row r="289">
      <c r="A289" s="5" t="s">
        <v>20</v>
      </c>
      <c r="B289" s="6" t="s">
        <v>350</v>
      </c>
      <c r="C289" s="7" t="s">
        <v>36</v>
      </c>
      <c r="D289" s="8" t="s">
        <v>358</v>
      </c>
      <c r="E289" s="9">
        <v>45391.0</v>
      </c>
      <c r="F289" s="6">
        <v>1.0</v>
      </c>
      <c r="G289" s="6">
        <v>1.0</v>
      </c>
      <c r="H289" s="6">
        <v>4.0</v>
      </c>
      <c r="I289" s="6">
        <v>1.0</v>
      </c>
      <c r="J289" s="6">
        <v>1.0</v>
      </c>
      <c r="K289" s="14">
        <v>0.610807180404663</v>
      </c>
      <c r="L289" s="14">
        <v>0.188616335391998</v>
      </c>
      <c r="M289" s="14">
        <v>-0.188800156116485</v>
      </c>
      <c r="N289" s="11">
        <v>-0.18880004</v>
      </c>
      <c r="O289" s="6">
        <f t="shared" si="1"/>
        <v>-0.000000116116485</v>
      </c>
      <c r="P289" s="6">
        <v>0.012820512820512</v>
      </c>
      <c r="Q289" s="6">
        <v>0.094594594594594</v>
      </c>
      <c r="R289" s="6">
        <v>0.8928</v>
      </c>
      <c r="S289" s="6">
        <v>0.8928</v>
      </c>
      <c r="T289" s="6">
        <v>21.1333333333333</v>
      </c>
    </row>
    <row r="290">
      <c r="A290" s="5" t="s">
        <v>20</v>
      </c>
      <c r="B290" s="6" t="s">
        <v>350</v>
      </c>
      <c r="C290" s="7" t="s">
        <v>38</v>
      </c>
      <c r="D290" s="8" t="s">
        <v>359</v>
      </c>
      <c r="E290" s="9">
        <v>45391.0</v>
      </c>
      <c r="F290" s="6">
        <v>1.0</v>
      </c>
      <c r="G290" s="6">
        <v>1.0</v>
      </c>
      <c r="H290" s="6">
        <v>4.0</v>
      </c>
      <c r="I290" s="6">
        <v>1.0</v>
      </c>
      <c r="J290" s="6">
        <v>1.0</v>
      </c>
      <c r="K290" s="14">
        <v>0.616308689117431</v>
      </c>
      <c r="L290" s="14">
        <v>0.164664641022682</v>
      </c>
      <c r="M290" s="14">
        <v>-0.340011745691299</v>
      </c>
      <c r="N290" s="11">
        <v>-0.34001175</v>
      </c>
      <c r="O290" s="6">
        <f t="shared" si="1"/>
        <v>0.000000004308701007</v>
      </c>
      <c r="P290" s="6">
        <v>0.03125</v>
      </c>
      <c r="Q290" s="6">
        <v>0.126984126984126</v>
      </c>
      <c r="R290" s="6">
        <v>0.7906</v>
      </c>
      <c r="S290" s="6">
        <v>0.7906</v>
      </c>
      <c r="T290" s="6">
        <v>23.9</v>
      </c>
    </row>
    <row r="291">
      <c r="A291" s="5" t="s">
        <v>20</v>
      </c>
      <c r="B291" s="6" t="s">
        <v>350</v>
      </c>
      <c r="C291" s="7" t="s">
        <v>40</v>
      </c>
      <c r="D291" s="8" t="s">
        <v>360</v>
      </c>
      <c r="E291" s="9">
        <v>45391.0</v>
      </c>
      <c r="F291" s="6">
        <v>1.0</v>
      </c>
      <c r="G291" s="6">
        <v>1.0</v>
      </c>
      <c r="H291" s="6">
        <v>4.0</v>
      </c>
      <c r="I291" s="6">
        <v>1.0</v>
      </c>
      <c r="J291" s="6">
        <v>1.0</v>
      </c>
      <c r="K291" s="14">
        <v>0.59996497631073</v>
      </c>
      <c r="L291" s="14">
        <v>0.147961497306823</v>
      </c>
      <c r="M291" s="14">
        <v>-0.12104308605194</v>
      </c>
      <c r="N291" s="11">
        <v>-0.121042944</v>
      </c>
      <c r="O291" s="6">
        <f t="shared" si="1"/>
        <v>-0.00000014205194</v>
      </c>
      <c r="P291" s="6">
        <v>0.039215686274509</v>
      </c>
      <c r="Q291" s="6">
        <v>0.088082901554404</v>
      </c>
      <c r="R291" s="6">
        <v>0.9767</v>
      </c>
      <c r="S291" s="6">
        <v>0.9767</v>
      </c>
      <c r="T291" s="6">
        <v>18.6509803921569</v>
      </c>
    </row>
    <row r="292">
      <c r="A292" s="5" t="s">
        <v>42</v>
      </c>
      <c r="B292" s="6" t="s">
        <v>350</v>
      </c>
      <c r="C292" s="7" t="s">
        <v>43</v>
      </c>
      <c r="D292" s="8" t="s">
        <v>361</v>
      </c>
      <c r="E292" s="9">
        <v>45391.0</v>
      </c>
      <c r="F292" s="6">
        <v>1.0</v>
      </c>
      <c r="G292" s="6">
        <v>1.0</v>
      </c>
      <c r="H292" s="6">
        <v>4.0</v>
      </c>
      <c r="I292" s="6">
        <v>1.0</v>
      </c>
      <c r="J292" s="6">
        <v>1.0</v>
      </c>
      <c r="K292" s="14">
        <v>0.62417858839035</v>
      </c>
      <c r="L292" s="14">
        <v>0.251925289630889</v>
      </c>
      <c r="M292" s="14">
        <v>-0.0325007401406765</v>
      </c>
      <c r="N292" s="11">
        <v>-0.03250078</v>
      </c>
      <c r="O292" s="6">
        <f t="shared" si="1"/>
        <v>0.0000000398593235</v>
      </c>
      <c r="P292" s="6">
        <v>0.050847457627118</v>
      </c>
      <c r="Q292" s="6">
        <v>0.070175438596491</v>
      </c>
      <c r="R292" s="6">
        <v>0.9808</v>
      </c>
      <c r="S292" s="6">
        <v>0.9808</v>
      </c>
      <c r="T292" s="6">
        <v>14.7135593220339</v>
      </c>
    </row>
    <row r="293">
      <c r="A293" s="5" t="s">
        <v>42</v>
      </c>
      <c r="B293" s="6" t="s">
        <v>350</v>
      </c>
      <c r="C293" s="7" t="s">
        <v>45</v>
      </c>
      <c r="D293" s="8" t="s">
        <v>362</v>
      </c>
      <c r="E293" s="9">
        <v>45391.0</v>
      </c>
      <c r="F293" s="6">
        <v>1.0</v>
      </c>
      <c r="G293" s="6">
        <v>1.0</v>
      </c>
      <c r="H293" s="6">
        <v>4.0</v>
      </c>
      <c r="I293" s="6">
        <v>1.0</v>
      </c>
      <c r="J293" s="6">
        <v>1.0</v>
      </c>
      <c r="K293" s="14">
        <v>0.612533688545227</v>
      </c>
      <c r="L293" s="14">
        <v>0.181530281901359</v>
      </c>
      <c r="M293" s="14">
        <v>0.0928207412362098</v>
      </c>
      <c r="N293" s="11">
        <v>0.09282071</v>
      </c>
      <c r="O293" s="6">
        <f t="shared" si="1"/>
        <v>0.0000000312362098</v>
      </c>
      <c r="P293" s="6">
        <v>0.032786885245901</v>
      </c>
      <c r="Q293" s="6">
        <v>0.103448275862068</v>
      </c>
      <c r="R293" s="6">
        <v>0.9412</v>
      </c>
      <c r="S293" s="6">
        <v>0.9412</v>
      </c>
      <c r="T293" s="6">
        <v>22.5595628415301</v>
      </c>
    </row>
    <row r="294">
      <c r="A294" s="5" t="s">
        <v>42</v>
      </c>
      <c r="B294" s="6" t="s">
        <v>350</v>
      </c>
      <c r="C294" s="7" t="s">
        <v>47</v>
      </c>
      <c r="D294" s="8" t="s">
        <v>363</v>
      </c>
      <c r="E294" s="9">
        <v>45391.0</v>
      </c>
      <c r="F294" s="6">
        <v>1.0</v>
      </c>
      <c r="G294" s="6">
        <v>1.0</v>
      </c>
      <c r="H294" s="6">
        <v>4.0</v>
      </c>
      <c r="I294" s="6">
        <v>1.0</v>
      </c>
      <c r="J294" s="6">
        <v>1.0</v>
      </c>
      <c r="K294" s="14">
        <v>0.605186164379119</v>
      </c>
      <c r="L294" s="14">
        <v>0.200336843729019</v>
      </c>
      <c r="M294" s="14">
        <v>0.0410965196788311</v>
      </c>
      <c r="N294" s="11">
        <v>0.04109654</v>
      </c>
      <c r="O294" s="6">
        <f t="shared" si="1"/>
        <v>-0.0000000203211689</v>
      </c>
      <c r="P294" s="6">
        <v>0.085106382978723</v>
      </c>
      <c r="Q294" s="6">
        <v>0.133333333333333</v>
      </c>
      <c r="R294" s="6">
        <v>0.8459</v>
      </c>
      <c r="S294" s="6">
        <v>0.8459</v>
      </c>
      <c r="T294" s="6">
        <v>13.0751773049645</v>
      </c>
    </row>
    <row r="295">
      <c r="A295" s="5" t="s">
        <v>42</v>
      </c>
      <c r="B295" s="6" t="s">
        <v>350</v>
      </c>
      <c r="C295" s="7" t="s">
        <v>49</v>
      </c>
      <c r="D295" s="8" t="s">
        <v>364</v>
      </c>
      <c r="E295" s="9">
        <v>45391.0</v>
      </c>
      <c r="F295" s="6">
        <v>1.0</v>
      </c>
      <c r="G295" s="6">
        <v>1.0</v>
      </c>
      <c r="H295" s="6">
        <v>4.0</v>
      </c>
      <c r="I295" s="6">
        <v>1.0</v>
      </c>
      <c r="J295" s="6">
        <v>1.0</v>
      </c>
      <c r="K295" s="14">
        <v>0.586058616638183</v>
      </c>
      <c r="L295" s="14">
        <v>0.176211610436439</v>
      </c>
      <c r="M295" s="14">
        <v>-0.0875227749347686</v>
      </c>
      <c r="N295" s="11">
        <v>-0.08752281</v>
      </c>
      <c r="O295" s="6">
        <f t="shared" si="1"/>
        <v>0.00000003506523141</v>
      </c>
      <c r="P295" s="6">
        <v>0.046728971962616</v>
      </c>
      <c r="Q295" s="6">
        <v>0.112244897959183</v>
      </c>
      <c r="R295" s="6">
        <v>0.9476</v>
      </c>
      <c r="S295" s="6">
        <v>0.9476</v>
      </c>
      <c r="T295" s="6">
        <v>21.3389408099689</v>
      </c>
    </row>
    <row r="296">
      <c r="A296" s="5" t="s">
        <v>42</v>
      </c>
      <c r="B296" s="6" t="s">
        <v>350</v>
      </c>
      <c r="C296" s="7" t="s">
        <v>51</v>
      </c>
      <c r="D296" s="8" t="s">
        <v>365</v>
      </c>
      <c r="E296" s="9">
        <v>45391.0</v>
      </c>
      <c r="F296" s="6">
        <v>1.0</v>
      </c>
      <c r="G296" s="6">
        <v>1.0</v>
      </c>
      <c r="H296" s="6">
        <v>4.0</v>
      </c>
      <c r="I296" s="6">
        <v>1.0</v>
      </c>
      <c r="J296" s="6">
        <v>1.0</v>
      </c>
      <c r="K296" s="14">
        <v>0.628808259963989</v>
      </c>
      <c r="L296" s="14">
        <v>0.168452888727188</v>
      </c>
      <c r="M296" s="14">
        <v>0.143128529191017</v>
      </c>
      <c r="N296" s="11">
        <v>0.14312793</v>
      </c>
      <c r="O296" s="6">
        <f t="shared" si="1"/>
        <v>0.000000599191017</v>
      </c>
      <c r="P296" s="6">
        <v>0.027649769585253</v>
      </c>
      <c r="Q296" s="6">
        <v>0.029268292682926</v>
      </c>
      <c r="R296" s="6">
        <v>0.9962</v>
      </c>
      <c r="S296" s="6">
        <v>0.9962</v>
      </c>
      <c r="T296" s="6">
        <v>17.9595622119816</v>
      </c>
    </row>
    <row r="297">
      <c r="A297" s="5" t="s">
        <v>42</v>
      </c>
      <c r="B297" s="6" t="s">
        <v>350</v>
      </c>
      <c r="C297" s="7" t="s">
        <v>53</v>
      </c>
      <c r="D297" s="8" t="s">
        <v>366</v>
      </c>
      <c r="E297" s="9">
        <v>45391.0</v>
      </c>
      <c r="F297" s="6">
        <v>1.0</v>
      </c>
      <c r="G297" s="6">
        <v>1.0</v>
      </c>
      <c r="H297" s="6">
        <v>4.0</v>
      </c>
      <c r="I297" s="6">
        <v>1.0</v>
      </c>
      <c r="J297" s="6">
        <v>1.0</v>
      </c>
      <c r="K297" s="14">
        <v>0.618407309055328</v>
      </c>
      <c r="L297" s="14">
        <v>0.172121658921241</v>
      </c>
      <c r="M297" s="14">
        <v>-0.0927502587437629</v>
      </c>
      <c r="N297" s="11">
        <v>-0.09275023</v>
      </c>
      <c r="O297" s="6">
        <f t="shared" si="1"/>
        <v>-0.0000000287437629</v>
      </c>
      <c r="P297" s="6">
        <v>0.026785714285714</v>
      </c>
      <c r="Q297" s="6">
        <v>0.101851851851851</v>
      </c>
      <c r="R297" s="6">
        <v>0.9756</v>
      </c>
      <c r="S297" s="6">
        <v>0.9756</v>
      </c>
      <c r="T297" s="6">
        <v>26.1028571428571</v>
      </c>
    </row>
    <row r="298">
      <c r="A298" s="5" t="s">
        <v>42</v>
      </c>
      <c r="B298" s="6" t="s">
        <v>350</v>
      </c>
      <c r="C298" s="7" t="s">
        <v>55</v>
      </c>
      <c r="D298" s="8" t="s">
        <v>367</v>
      </c>
      <c r="E298" s="9">
        <v>45391.0</v>
      </c>
      <c r="F298" s="6">
        <v>1.0</v>
      </c>
      <c r="G298" s="6">
        <v>1.0</v>
      </c>
      <c r="H298" s="6">
        <v>4.0</v>
      </c>
      <c r="I298" s="6">
        <v>1.0</v>
      </c>
      <c r="J298" s="6">
        <v>1.0</v>
      </c>
      <c r="K298" s="14">
        <v>0.62950450181961</v>
      </c>
      <c r="L298" s="14">
        <v>0.164353102445602</v>
      </c>
      <c r="M298" s="14">
        <v>-0.128438934683799</v>
      </c>
      <c r="N298" s="11">
        <v>-0.12843882</v>
      </c>
      <c r="O298" s="6">
        <f t="shared" si="1"/>
        <v>-0.000000114683799</v>
      </c>
      <c r="P298" s="6">
        <v>0.021739130434782</v>
      </c>
      <c r="Q298" s="6">
        <v>0.022813688212927</v>
      </c>
      <c r="R298" s="6">
        <v>0.8</v>
      </c>
      <c r="S298" s="6">
        <v>0.8</v>
      </c>
      <c r="T298" s="6">
        <v>21.8968115942029</v>
      </c>
    </row>
    <row r="299">
      <c r="A299" s="5" t="s">
        <v>42</v>
      </c>
      <c r="B299" s="6" t="s">
        <v>350</v>
      </c>
      <c r="C299" s="7" t="s">
        <v>57</v>
      </c>
      <c r="D299" s="8" t="s">
        <v>368</v>
      </c>
      <c r="E299" s="9">
        <v>45391.0</v>
      </c>
      <c r="F299" s="6">
        <v>1.0</v>
      </c>
      <c r="G299" s="6">
        <v>1.0</v>
      </c>
      <c r="H299" s="6">
        <v>4.0</v>
      </c>
      <c r="I299" s="6">
        <v>1.0</v>
      </c>
      <c r="J299" s="6">
        <v>1.0</v>
      </c>
      <c r="K299" s="14">
        <v>0.612817049026489</v>
      </c>
      <c r="L299" s="14">
        <v>0.139150440692901</v>
      </c>
      <c r="M299" s="14">
        <v>-0.190802812576293</v>
      </c>
      <c r="N299" s="11">
        <v>-0.19080286</v>
      </c>
      <c r="O299" s="6">
        <f t="shared" si="1"/>
        <v>0.00000004742370699</v>
      </c>
      <c r="P299" s="6">
        <v>0.040322580645161</v>
      </c>
      <c r="Q299" s="6">
        <v>0.033333333333333</v>
      </c>
      <c r="R299" s="6">
        <v>0.9854</v>
      </c>
      <c r="S299" s="6">
        <v>0.9854</v>
      </c>
      <c r="T299" s="6">
        <v>19.082382133995</v>
      </c>
    </row>
    <row r="300">
      <c r="A300" s="5" t="s">
        <v>42</v>
      </c>
      <c r="B300" s="6" t="s">
        <v>350</v>
      </c>
      <c r="C300" s="7" t="s">
        <v>59</v>
      </c>
      <c r="D300" s="8" t="s">
        <v>369</v>
      </c>
      <c r="E300" s="9">
        <v>45391.0</v>
      </c>
      <c r="F300" s="6">
        <v>1.0</v>
      </c>
      <c r="G300" s="6">
        <v>1.0</v>
      </c>
      <c r="H300" s="6">
        <v>4.0</v>
      </c>
      <c r="I300" s="6">
        <v>1.0</v>
      </c>
      <c r="J300" s="6">
        <v>1.0</v>
      </c>
      <c r="K300" s="14">
        <v>0.607967317104339</v>
      </c>
      <c r="L300" s="14">
        <v>0.153775930404663</v>
      </c>
      <c r="M300" s="14">
        <v>-0.112235844135284</v>
      </c>
      <c r="N300" s="11">
        <v>-0.112235926</v>
      </c>
      <c r="O300" s="6">
        <f t="shared" si="1"/>
        <v>0.00000008186471601</v>
      </c>
      <c r="P300" s="6">
        <v>0.019230769230769</v>
      </c>
      <c r="Q300" s="6">
        <v>0.033557046979865</v>
      </c>
      <c r="R300" s="6">
        <v>0.0451</v>
      </c>
      <c r="S300" s="6">
        <v>-0.0451</v>
      </c>
      <c r="T300" s="6">
        <v>21.1333333333333</v>
      </c>
    </row>
    <row r="301">
      <c r="A301" s="5" t="s">
        <v>42</v>
      </c>
      <c r="B301" s="6" t="s">
        <v>350</v>
      </c>
      <c r="C301" s="7" t="s">
        <v>61</v>
      </c>
      <c r="D301" s="8" t="s">
        <v>370</v>
      </c>
      <c r="E301" s="9">
        <v>45391.0</v>
      </c>
      <c r="F301" s="6">
        <v>1.0</v>
      </c>
      <c r="G301" s="6">
        <v>1.0</v>
      </c>
      <c r="H301" s="6">
        <v>4.0</v>
      </c>
      <c r="I301" s="6">
        <v>1.0</v>
      </c>
      <c r="J301" s="6">
        <v>1.0</v>
      </c>
      <c r="K301" s="14">
        <v>0.61223965883255</v>
      </c>
      <c r="L301" s="14">
        <v>0.184782668948173</v>
      </c>
      <c r="M301" s="14">
        <v>0.0755016133189201</v>
      </c>
      <c r="N301" s="11">
        <v>0.07550157</v>
      </c>
      <c r="O301" s="6">
        <f t="shared" si="1"/>
        <v>0.00000004331892009</v>
      </c>
      <c r="P301" s="6">
        <v>0.02840909090909</v>
      </c>
      <c r="Q301" s="6">
        <v>0.069767441860465</v>
      </c>
      <c r="R301" s="6">
        <v>0.9965</v>
      </c>
      <c r="S301" s="6">
        <v>0.9965</v>
      </c>
      <c r="T301" s="6">
        <v>16.5272727272727</v>
      </c>
    </row>
    <row r="302">
      <c r="A302" s="5" t="s">
        <v>63</v>
      </c>
      <c r="B302" s="6" t="s">
        <v>350</v>
      </c>
      <c r="C302" s="7" t="s">
        <v>64</v>
      </c>
      <c r="D302" s="8" t="s">
        <v>371</v>
      </c>
      <c r="E302" s="9">
        <v>45391.0</v>
      </c>
      <c r="F302" s="6">
        <v>1.0</v>
      </c>
      <c r="G302" s="6">
        <v>1.0</v>
      </c>
      <c r="H302" s="6">
        <v>4.0</v>
      </c>
      <c r="I302" s="6">
        <v>1.0</v>
      </c>
      <c r="J302" s="6">
        <v>3.0</v>
      </c>
      <c r="K302" s="14">
        <v>0.618007719516754</v>
      </c>
      <c r="L302" s="14">
        <v>0.162461638450622</v>
      </c>
      <c r="M302" s="14">
        <v>-0.221039667725563</v>
      </c>
      <c r="N302" s="11">
        <v>-0.22103955</v>
      </c>
      <c r="O302" s="6">
        <f t="shared" si="1"/>
        <v>-0.000000117725563</v>
      </c>
      <c r="P302" s="6">
        <v>0.033333333333333</v>
      </c>
      <c r="Q302" s="6">
        <v>0.137931034482758</v>
      </c>
      <c r="R302" s="6">
        <v>0.4574</v>
      </c>
      <c r="S302" s="6">
        <v>0.4574</v>
      </c>
      <c r="T302" s="6">
        <v>18.6666666666667</v>
      </c>
    </row>
    <row r="303">
      <c r="A303" s="5" t="s">
        <v>63</v>
      </c>
      <c r="B303" s="6" t="s">
        <v>350</v>
      </c>
      <c r="C303" s="7" t="s">
        <v>66</v>
      </c>
      <c r="D303" s="8" t="s">
        <v>372</v>
      </c>
      <c r="E303" s="9">
        <v>45391.0</v>
      </c>
      <c r="F303" s="6">
        <v>1.0</v>
      </c>
      <c r="G303" s="6">
        <v>1.0</v>
      </c>
      <c r="H303" s="6">
        <v>4.0</v>
      </c>
      <c r="I303" s="6">
        <v>1.0</v>
      </c>
      <c r="J303" s="6">
        <v>1.0</v>
      </c>
      <c r="K303" s="14">
        <v>0.614571154117584</v>
      </c>
      <c r="L303" s="14">
        <v>0.10918566584587</v>
      </c>
      <c r="M303" s="14">
        <v>0.0181638356298208</v>
      </c>
      <c r="N303" s="11">
        <v>0.018163584</v>
      </c>
      <c r="O303" s="6">
        <f t="shared" si="1"/>
        <v>0.0000002516298208</v>
      </c>
      <c r="P303" s="6">
        <v>0.037974683544303</v>
      </c>
      <c r="Q303" s="6">
        <v>0.059602649006622</v>
      </c>
      <c r="R303" s="6">
        <v>0.4445</v>
      </c>
      <c r="S303" s="6">
        <v>0.4445</v>
      </c>
      <c r="T303" s="6">
        <v>23.4447257383966</v>
      </c>
    </row>
    <row r="304">
      <c r="A304" s="5" t="s">
        <v>63</v>
      </c>
      <c r="B304" s="6" t="s">
        <v>350</v>
      </c>
      <c r="C304" s="7" t="s">
        <v>68</v>
      </c>
      <c r="D304" s="8" t="s">
        <v>373</v>
      </c>
      <c r="E304" s="9">
        <v>45391.0</v>
      </c>
      <c r="F304" s="6">
        <v>1.0</v>
      </c>
      <c r="G304" s="6">
        <v>1.0</v>
      </c>
      <c r="H304" s="6">
        <v>4.0</v>
      </c>
      <c r="I304" s="6">
        <v>1.0</v>
      </c>
      <c r="J304" s="6">
        <v>3.0</v>
      </c>
      <c r="K304" s="14">
        <v>0.617612659931182</v>
      </c>
      <c r="L304" s="14">
        <v>0.167975604534149</v>
      </c>
      <c r="M304" s="14">
        <v>-0.266340494155883</v>
      </c>
      <c r="N304" s="11">
        <v>-0.26634035</v>
      </c>
      <c r="O304" s="6">
        <f t="shared" si="1"/>
        <v>-0.000000144155883</v>
      </c>
      <c r="P304" s="6">
        <v>0.063636363636363</v>
      </c>
      <c r="Q304" s="6">
        <v>0.116504854368932</v>
      </c>
      <c r="R304" s="6">
        <v>0.396</v>
      </c>
      <c r="S304" s="6">
        <v>0.396</v>
      </c>
      <c r="T304" s="6">
        <v>19.6969696969697</v>
      </c>
    </row>
    <row r="305">
      <c r="A305" s="5" t="s">
        <v>63</v>
      </c>
      <c r="B305" s="6" t="s">
        <v>350</v>
      </c>
      <c r="C305" s="7" t="s">
        <v>70</v>
      </c>
      <c r="D305" s="8" t="s">
        <v>374</v>
      </c>
      <c r="E305" s="9">
        <v>45391.0</v>
      </c>
      <c r="F305" s="6">
        <v>1.0</v>
      </c>
      <c r="G305" s="6">
        <v>1.0</v>
      </c>
      <c r="H305" s="6">
        <v>4.0</v>
      </c>
      <c r="I305" s="6">
        <v>1.0</v>
      </c>
      <c r="J305" s="6">
        <v>3.0</v>
      </c>
      <c r="K305" s="14">
        <v>0.61592561006546</v>
      </c>
      <c r="L305" s="14">
        <v>0.160046532750129</v>
      </c>
      <c r="M305" s="14">
        <v>-0.11099661886692</v>
      </c>
      <c r="N305" s="11">
        <v>-0.110996634</v>
      </c>
      <c r="O305" s="6">
        <f t="shared" si="1"/>
        <v>0.00000001513308</v>
      </c>
      <c r="P305" s="6">
        <v>0.009174311926605</v>
      </c>
      <c r="Q305" s="6">
        <v>0.077669902912621</v>
      </c>
      <c r="R305" s="6">
        <v>0.9387</v>
      </c>
      <c r="S305" s="6">
        <v>0.9387</v>
      </c>
      <c r="T305" s="6">
        <v>19.7291743119266</v>
      </c>
    </row>
    <row r="306">
      <c r="A306" s="5" t="s">
        <v>63</v>
      </c>
      <c r="B306" s="6" t="s">
        <v>350</v>
      </c>
      <c r="C306" s="7" t="s">
        <v>72</v>
      </c>
      <c r="D306" s="8" t="s">
        <v>375</v>
      </c>
      <c r="E306" s="9">
        <v>45391.0</v>
      </c>
      <c r="F306" s="6">
        <v>1.0</v>
      </c>
      <c r="G306" s="6">
        <v>1.0</v>
      </c>
      <c r="H306" s="6">
        <v>4.0</v>
      </c>
      <c r="I306" s="6">
        <v>1.0</v>
      </c>
      <c r="J306" s="6">
        <v>1.0</v>
      </c>
      <c r="K306" s="14">
        <v>0.62469470500946</v>
      </c>
      <c r="L306" s="14">
        <v>0.140725776553154</v>
      </c>
      <c r="M306" s="14">
        <v>-0.0339951813220977</v>
      </c>
      <c r="N306" s="11">
        <v>-0.033995226</v>
      </c>
      <c r="O306" s="6">
        <f t="shared" si="1"/>
        <v>0.0000000446779023</v>
      </c>
      <c r="P306" s="6">
        <v>0.057777777777777</v>
      </c>
      <c r="Q306" s="6">
        <v>0.07906976744186</v>
      </c>
      <c r="R306" s="6">
        <v>0.9846</v>
      </c>
      <c r="S306" s="6">
        <v>0.9846</v>
      </c>
      <c r="T306" s="6">
        <v>18.3008547008547</v>
      </c>
    </row>
    <row r="307">
      <c r="A307" s="5" t="s">
        <v>63</v>
      </c>
      <c r="B307" s="6" t="s">
        <v>350</v>
      </c>
      <c r="C307" s="7" t="s">
        <v>74</v>
      </c>
      <c r="D307" s="8" t="s">
        <v>376</v>
      </c>
      <c r="E307" s="9">
        <v>45391.0</v>
      </c>
      <c r="F307" s="6">
        <v>1.0</v>
      </c>
      <c r="G307" s="6">
        <v>1.0</v>
      </c>
      <c r="H307" s="6">
        <v>4.0</v>
      </c>
      <c r="I307" s="6">
        <v>1.0</v>
      </c>
      <c r="J307" s="6">
        <v>3.0</v>
      </c>
      <c r="K307" s="14">
        <v>0.605631530284881</v>
      </c>
      <c r="L307" s="14">
        <v>0.147860065102577</v>
      </c>
      <c r="M307" s="14">
        <v>0.253274321556091</v>
      </c>
      <c r="N307" s="11">
        <v>0.25327432</v>
      </c>
      <c r="O307" s="6">
        <f t="shared" si="1"/>
        <v>0.000000001556090978</v>
      </c>
      <c r="P307" s="6">
        <v>0.049723756906077</v>
      </c>
      <c r="Q307" s="6">
        <v>0.080924855491329</v>
      </c>
      <c r="R307" s="6">
        <v>0.9889</v>
      </c>
      <c r="S307" s="6">
        <v>0.9889</v>
      </c>
      <c r="T307" s="6">
        <v>21.746101903008</v>
      </c>
    </row>
    <row r="308">
      <c r="A308" s="5" t="s">
        <v>63</v>
      </c>
      <c r="B308" s="6" t="s">
        <v>350</v>
      </c>
      <c r="C308" s="7" t="s">
        <v>76</v>
      </c>
      <c r="D308" s="8" t="s">
        <v>377</v>
      </c>
      <c r="E308" s="9">
        <v>45391.0</v>
      </c>
      <c r="F308" s="6">
        <v>1.0</v>
      </c>
      <c r="G308" s="6">
        <v>1.0</v>
      </c>
      <c r="H308" s="6">
        <v>4.0</v>
      </c>
      <c r="I308" s="6">
        <v>1.0</v>
      </c>
      <c r="J308" s="6">
        <v>1.0</v>
      </c>
      <c r="K308" s="14">
        <v>0.636130988597869</v>
      </c>
      <c r="L308" s="14">
        <v>0.179169625043869</v>
      </c>
      <c r="M308" s="14">
        <v>0.19429974257946</v>
      </c>
      <c r="N308" s="11">
        <v>0.19429962</v>
      </c>
      <c r="O308" s="6">
        <f t="shared" si="1"/>
        <v>0.00000012257946</v>
      </c>
      <c r="P308" s="6">
        <v>0.007490636704119</v>
      </c>
      <c r="Q308" s="6">
        <v>0.039370078740157</v>
      </c>
      <c r="R308" s="6">
        <v>0.9964</v>
      </c>
      <c r="S308" s="6">
        <v>0.9964</v>
      </c>
      <c r="T308" s="6">
        <v>17.4387016229713</v>
      </c>
    </row>
    <row r="309">
      <c r="A309" s="5" t="s">
        <v>63</v>
      </c>
      <c r="B309" s="6" t="s">
        <v>350</v>
      </c>
      <c r="C309" s="7" t="s">
        <v>78</v>
      </c>
      <c r="D309" s="8" t="s">
        <v>378</v>
      </c>
      <c r="E309" s="9">
        <v>45391.0</v>
      </c>
      <c r="F309" s="6">
        <v>1.0</v>
      </c>
      <c r="G309" s="6">
        <v>1.0</v>
      </c>
      <c r="H309" s="6">
        <v>4.0</v>
      </c>
      <c r="I309" s="6">
        <v>1.0</v>
      </c>
      <c r="J309" s="6">
        <v>1.0</v>
      </c>
      <c r="K309" s="14">
        <v>0.622364997863769</v>
      </c>
      <c r="L309" s="14">
        <v>0.148954346776008</v>
      </c>
      <c r="M309" s="14">
        <v>0.0685177892446518</v>
      </c>
      <c r="N309" s="11">
        <v>0.06851805</v>
      </c>
      <c r="O309" s="6">
        <f t="shared" si="1"/>
        <v>-0.0000002607553482</v>
      </c>
      <c r="P309" s="6">
        <v>0.029520295202952</v>
      </c>
      <c r="Q309" s="6">
        <v>0.058365758754863</v>
      </c>
      <c r="R309" s="6">
        <v>0.9991</v>
      </c>
      <c r="S309" s="6">
        <v>0.9991</v>
      </c>
      <c r="T309" s="6">
        <v>18.8635506355063</v>
      </c>
    </row>
    <row r="310">
      <c r="A310" s="5" t="s">
        <v>63</v>
      </c>
      <c r="B310" s="6" t="s">
        <v>350</v>
      </c>
      <c r="C310" s="7" t="s">
        <v>80</v>
      </c>
      <c r="D310" s="8" t="s">
        <v>379</v>
      </c>
      <c r="E310" s="9">
        <v>45391.0</v>
      </c>
      <c r="F310" s="6">
        <v>1.0</v>
      </c>
      <c r="G310" s="6">
        <v>1.0</v>
      </c>
      <c r="H310" s="6">
        <v>4.0</v>
      </c>
      <c r="I310" s="6">
        <v>1.0</v>
      </c>
      <c r="J310" s="6">
        <v>1.0</v>
      </c>
      <c r="K310" s="14">
        <v>0.608416199684143</v>
      </c>
      <c r="L310" s="14">
        <v>0.145510926842689</v>
      </c>
      <c r="M310" s="14">
        <v>-0.281461000442504</v>
      </c>
      <c r="N310" s="11">
        <v>-0.28146085</v>
      </c>
      <c r="O310" s="6">
        <f t="shared" si="1"/>
        <v>-0.000000150442504</v>
      </c>
      <c r="P310" s="6">
        <v>0.040485829959514</v>
      </c>
      <c r="Q310" s="6">
        <v>0.025531914893617</v>
      </c>
      <c r="R310" s="6">
        <v>0.9883</v>
      </c>
      <c r="S310" s="6">
        <v>0.9883</v>
      </c>
      <c r="T310" s="6">
        <v>20.225730994152</v>
      </c>
    </row>
    <row r="311">
      <c r="A311" s="21" t="s">
        <v>63</v>
      </c>
      <c r="B311" s="6" t="s">
        <v>350</v>
      </c>
      <c r="C311" s="7" t="s">
        <v>82</v>
      </c>
      <c r="D311" s="8" t="s">
        <v>380</v>
      </c>
      <c r="E311" s="9">
        <v>45391.0</v>
      </c>
      <c r="F311" s="6">
        <v>1.0</v>
      </c>
      <c r="G311" s="6">
        <v>1.0</v>
      </c>
      <c r="H311" s="6">
        <v>4.0</v>
      </c>
      <c r="I311" s="6">
        <v>1.0</v>
      </c>
      <c r="J311" s="6">
        <v>1.0</v>
      </c>
      <c r="K311" s="14">
        <v>0.623930871486663</v>
      </c>
      <c r="L311" s="14">
        <v>0.165300369262695</v>
      </c>
      <c r="M311" s="14">
        <v>-0.37537145614624</v>
      </c>
      <c r="N311" s="11">
        <v>-0.3753713</v>
      </c>
      <c r="O311" s="6">
        <f t="shared" si="1"/>
        <v>-0.00000015614624</v>
      </c>
      <c r="P311" s="6">
        <v>0.041533546325878</v>
      </c>
      <c r="Q311" s="6">
        <v>0.026845637583892</v>
      </c>
      <c r="R311" s="6">
        <v>0.9939</v>
      </c>
      <c r="S311" s="6">
        <v>0.9939</v>
      </c>
      <c r="T311" s="6">
        <v>16.1002555910543</v>
      </c>
    </row>
    <row r="312">
      <c r="A312" s="5" t="s">
        <v>84</v>
      </c>
      <c r="B312" s="6" t="s">
        <v>350</v>
      </c>
      <c r="C312" s="7" t="s">
        <v>85</v>
      </c>
      <c r="D312" s="8" t="s">
        <v>381</v>
      </c>
      <c r="E312" s="9">
        <v>45391.0</v>
      </c>
      <c r="F312" s="6">
        <v>1.0</v>
      </c>
      <c r="G312" s="6">
        <v>1.0</v>
      </c>
      <c r="H312" s="6">
        <v>4.0</v>
      </c>
      <c r="I312" s="6">
        <v>1.0</v>
      </c>
      <c r="J312" s="6">
        <v>1.0</v>
      </c>
      <c r="K312" s="14">
        <v>0.607408821582794</v>
      </c>
      <c r="L312" s="14">
        <v>0.131262585520744</v>
      </c>
      <c r="M312" s="14">
        <v>0.0831369385123252</v>
      </c>
      <c r="N312" s="11">
        <v>0.08313678</v>
      </c>
      <c r="O312" s="6">
        <f t="shared" si="1"/>
        <v>0.0000001585123252</v>
      </c>
      <c r="P312" s="6">
        <v>0.011976047904191</v>
      </c>
      <c r="Q312" s="6">
        <v>0.031847133757961</v>
      </c>
      <c r="R312" s="6">
        <v>0.9958</v>
      </c>
      <c r="S312" s="6">
        <v>0.9958</v>
      </c>
      <c r="T312" s="6">
        <v>23.6150099800399</v>
      </c>
    </row>
    <row r="313">
      <c r="A313" s="5" t="s">
        <v>84</v>
      </c>
      <c r="B313" s="6" t="s">
        <v>350</v>
      </c>
      <c r="C313" s="7" t="s">
        <v>87</v>
      </c>
      <c r="D313" s="8" t="s">
        <v>382</v>
      </c>
      <c r="E313" s="9">
        <v>45391.0</v>
      </c>
      <c r="F313" s="6">
        <v>1.0</v>
      </c>
      <c r="G313" s="6">
        <v>1.0</v>
      </c>
      <c r="H313" s="6">
        <v>4.0</v>
      </c>
      <c r="I313" s="6">
        <v>1.0</v>
      </c>
      <c r="J313" s="6">
        <v>1.0</v>
      </c>
      <c r="K313" s="14">
        <v>0.628880023956298</v>
      </c>
      <c r="L313" s="14">
        <v>0.178885400295257</v>
      </c>
      <c r="M313" s="14">
        <v>-0.107092455029487</v>
      </c>
      <c r="N313" s="11">
        <v>-0.1070925</v>
      </c>
      <c r="O313" s="6">
        <f t="shared" si="1"/>
        <v>0.00000004497051299</v>
      </c>
      <c r="P313" s="6">
        <v>0.038095238095238</v>
      </c>
      <c r="Q313" s="6">
        <v>0.058252427184466</v>
      </c>
      <c r="R313" s="6">
        <v>0.8814</v>
      </c>
      <c r="S313" s="6">
        <v>0.8814</v>
      </c>
      <c r="T313" s="6">
        <v>21.352380952381</v>
      </c>
    </row>
    <row r="314">
      <c r="A314" s="5" t="s">
        <v>84</v>
      </c>
      <c r="B314" s="6" t="s">
        <v>350</v>
      </c>
      <c r="C314" s="7" t="s">
        <v>89</v>
      </c>
      <c r="D314" s="8" t="s">
        <v>383</v>
      </c>
      <c r="E314" s="9">
        <v>45391.0</v>
      </c>
      <c r="F314" s="6">
        <v>1.0</v>
      </c>
      <c r="G314" s="6">
        <v>1.0</v>
      </c>
      <c r="H314" s="6">
        <v>4.0</v>
      </c>
      <c r="I314" s="6">
        <v>1.0</v>
      </c>
      <c r="J314" s="6">
        <v>1.0</v>
      </c>
      <c r="K314" s="14">
        <v>0.631432652473449</v>
      </c>
      <c r="L314" s="14">
        <v>0.152706205844879</v>
      </c>
      <c r="M314" s="14">
        <v>-0.22492629289627</v>
      </c>
      <c r="N314" s="11">
        <v>-0.2249263</v>
      </c>
      <c r="O314" s="6">
        <f t="shared" si="1"/>
        <v>0.000000007103729993</v>
      </c>
      <c r="P314" s="6">
        <v>0.027906976744186</v>
      </c>
      <c r="Q314" s="6">
        <v>0.029411764705882</v>
      </c>
      <c r="R314" s="6">
        <v>0.5785</v>
      </c>
      <c r="S314" s="6">
        <v>0.5785</v>
      </c>
      <c r="T314" s="6">
        <v>19.3697674418605</v>
      </c>
    </row>
    <row r="315">
      <c r="A315" s="5" t="s">
        <v>84</v>
      </c>
      <c r="B315" s="6" t="s">
        <v>350</v>
      </c>
      <c r="C315" s="7" t="s">
        <v>91</v>
      </c>
      <c r="D315" s="8" t="s">
        <v>384</v>
      </c>
      <c r="E315" s="9">
        <v>45391.0</v>
      </c>
      <c r="F315" s="6">
        <v>1.0</v>
      </c>
      <c r="G315" s="6">
        <v>1.0</v>
      </c>
      <c r="H315" s="6">
        <v>4.0</v>
      </c>
      <c r="I315" s="6">
        <v>1.0</v>
      </c>
      <c r="J315" s="6">
        <v>1.0</v>
      </c>
      <c r="K315" s="14">
        <v>0.624582827091217</v>
      </c>
      <c r="L315" s="14">
        <v>0.141067877411842</v>
      </c>
      <c r="M315" s="14">
        <v>0.0756816267967224</v>
      </c>
      <c r="N315" s="11">
        <v>0.07568161</v>
      </c>
      <c r="O315" s="6">
        <f t="shared" si="1"/>
        <v>0.0000000167967224</v>
      </c>
      <c r="P315" s="6">
        <v>0.057613168724279</v>
      </c>
      <c r="Q315" s="6">
        <v>0.025751072961373</v>
      </c>
      <c r="R315" s="6">
        <v>0.9876</v>
      </c>
      <c r="S315" s="6">
        <v>0.9876</v>
      </c>
      <c r="T315" s="6">
        <v>20.5324618736384</v>
      </c>
    </row>
    <row r="316">
      <c r="A316" s="5" t="s">
        <v>84</v>
      </c>
      <c r="B316" s="6" t="s">
        <v>350</v>
      </c>
      <c r="C316" s="7" t="s">
        <v>93</v>
      </c>
      <c r="D316" s="8" t="s">
        <v>385</v>
      </c>
      <c r="E316" s="9">
        <v>45391.0</v>
      </c>
      <c r="F316" s="6">
        <v>1.0</v>
      </c>
      <c r="G316" s="6">
        <v>1.0</v>
      </c>
      <c r="H316" s="6">
        <v>4.0</v>
      </c>
      <c r="I316" s="6">
        <v>1.0</v>
      </c>
      <c r="J316" s="6">
        <v>1.0</v>
      </c>
      <c r="K316" s="14">
        <v>0.621802568435669</v>
      </c>
      <c r="L316" s="14">
        <v>0.150568112730979</v>
      </c>
      <c r="M316" s="14">
        <v>-0.217221736907958</v>
      </c>
      <c r="N316" s="11">
        <v>-0.21722196</v>
      </c>
      <c r="O316" s="6">
        <f t="shared" si="1"/>
        <v>0.000000223092042</v>
      </c>
      <c r="P316" s="6">
        <v>0.039735099337748</v>
      </c>
      <c r="Q316" s="6">
        <v>0.052447552447552</v>
      </c>
      <c r="R316" s="6">
        <v>0.9705</v>
      </c>
      <c r="S316" s="6">
        <v>0.9705</v>
      </c>
      <c r="T316" s="6">
        <v>21.3815200252286</v>
      </c>
    </row>
    <row r="317">
      <c r="A317" s="5" t="s">
        <v>84</v>
      </c>
      <c r="B317" s="6" t="s">
        <v>350</v>
      </c>
      <c r="C317" s="7" t="s">
        <v>95</v>
      </c>
      <c r="D317" s="8" t="s">
        <v>386</v>
      </c>
      <c r="E317" s="9">
        <v>45391.0</v>
      </c>
      <c r="F317" s="6">
        <v>1.0</v>
      </c>
      <c r="G317" s="6">
        <v>1.0</v>
      </c>
      <c r="H317" s="6">
        <v>4.0</v>
      </c>
      <c r="I317" s="6">
        <v>1.0</v>
      </c>
      <c r="J317" s="6">
        <v>1.0</v>
      </c>
      <c r="K317" s="14">
        <v>0.627852916717529</v>
      </c>
      <c r="L317" s="14">
        <v>0.180649146437644</v>
      </c>
      <c r="M317" s="14">
        <v>-0.251696348190307</v>
      </c>
      <c r="N317" s="11">
        <v>-0.25169614</v>
      </c>
      <c r="O317" s="6">
        <f t="shared" si="1"/>
        <v>-0.000000208190307</v>
      </c>
      <c r="P317" s="6">
        <v>0.046263345195729</v>
      </c>
      <c r="Q317" s="6">
        <v>0.074074074074074</v>
      </c>
      <c r="R317" s="6">
        <v>0.9921</v>
      </c>
      <c r="S317" s="6">
        <v>0.9921</v>
      </c>
      <c r="T317" s="6">
        <v>22.6145512060103</v>
      </c>
    </row>
    <row r="318">
      <c r="A318" s="5" t="s">
        <v>84</v>
      </c>
      <c r="B318" s="6" t="s">
        <v>350</v>
      </c>
      <c r="C318" s="7" t="s">
        <v>97</v>
      </c>
      <c r="D318" s="8" t="s">
        <v>387</v>
      </c>
      <c r="E318" s="9">
        <v>45391.0</v>
      </c>
      <c r="F318" s="6">
        <v>1.0</v>
      </c>
      <c r="G318" s="6">
        <v>1.0</v>
      </c>
      <c r="H318" s="6">
        <v>4.0</v>
      </c>
      <c r="I318" s="6">
        <v>1.0</v>
      </c>
      <c r="J318" s="6">
        <v>1.0</v>
      </c>
      <c r="K318" s="14">
        <v>0.616764426231384</v>
      </c>
      <c r="L318" s="14">
        <v>0.148280680179595</v>
      </c>
      <c r="M318" s="14">
        <v>0.0883353352546691</v>
      </c>
      <c r="N318" s="11">
        <v>0.08833534</v>
      </c>
      <c r="O318" s="6">
        <f t="shared" si="1"/>
        <v>-0.000000004745330892</v>
      </c>
      <c r="P318" s="6">
        <v>0.039106145251396</v>
      </c>
      <c r="Q318" s="6">
        <v>0.068249258160237</v>
      </c>
      <c r="R318" s="6">
        <v>0.7694</v>
      </c>
      <c r="S318" s="6">
        <v>0.7694</v>
      </c>
      <c r="T318" s="6">
        <v>21.0919393455706</v>
      </c>
    </row>
    <row r="319">
      <c r="A319" s="5" t="s">
        <v>84</v>
      </c>
      <c r="B319" s="6" t="s">
        <v>350</v>
      </c>
      <c r="C319" s="7" t="s">
        <v>99</v>
      </c>
      <c r="D319" s="8" t="s">
        <v>388</v>
      </c>
      <c r="E319" s="9">
        <v>45391.0</v>
      </c>
      <c r="F319" s="6">
        <v>1.0</v>
      </c>
      <c r="G319" s="6">
        <v>1.0</v>
      </c>
      <c r="H319" s="6">
        <v>4.0</v>
      </c>
      <c r="I319" s="6">
        <v>1.0</v>
      </c>
      <c r="J319" s="6">
        <v>1.0</v>
      </c>
      <c r="K319" s="14">
        <v>0.621331930160522</v>
      </c>
      <c r="L319" s="14">
        <v>0.134804442524909</v>
      </c>
      <c r="M319" s="14">
        <v>-0.15850131213665</v>
      </c>
      <c r="N319" s="11">
        <v>-0.15850121</v>
      </c>
      <c r="O319" s="6">
        <f t="shared" si="1"/>
        <v>-0.00000010213665</v>
      </c>
      <c r="P319" s="6">
        <v>0.037037037037037</v>
      </c>
      <c r="Q319" s="6">
        <v>0.016574585635359</v>
      </c>
      <c r="R319" s="6">
        <v>0.9949</v>
      </c>
      <c r="S319" s="6">
        <v>0.9949</v>
      </c>
      <c r="T319" s="6">
        <v>22.3566502463054</v>
      </c>
    </row>
    <row r="320">
      <c r="A320" s="5" t="s">
        <v>84</v>
      </c>
      <c r="B320" s="6" t="s">
        <v>350</v>
      </c>
      <c r="C320" s="7" t="s">
        <v>101</v>
      </c>
      <c r="D320" s="8" t="s">
        <v>389</v>
      </c>
      <c r="E320" s="9">
        <v>45391.0</v>
      </c>
      <c r="F320" s="6">
        <v>1.0</v>
      </c>
      <c r="G320" s="6">
        <v>1.0</v>
      </c>
      <c r="H320" s="6">
        <v>4.0</v>
      </c>
      <c r="I320" s="6">
        <v>1.0</v>
      </c>
      <c r="J320" s="6">
        <v>1.0</v>
      </c>
      <c r="K320" s="14">
        <v>0.621639370918273</v>
      </c>
      <c r="L320" s="14">
        <v>0.142291411757469</v>
      </c>
      <c r="M320" s="14">
        <v>0.114976823329925</v>
      </c>
      <c r="N320" s="11">
        <v>0.11497665</v>
      </c>
      <c r="O320" s="6">
        <f t="shared" si="1"/>
        <v>0.000000173329925</v>
      </c>
      <c r="P320" s="6">
        <v>0.067567567567567</v>
      </c>
      <c r="Q320" s="6">
        <v>0.024734982332155</v>
      </c>
      <c r="R320" s="6">
        <v>0.9914</v>
      </c>
      <c r="S320" s="6">
        <v>-0.9914</v>
      </c>
      <c r="T320" s="6">
        <v>19.4721504112809</v>
      </c>
    </row>
    <row r="321">
      <c r="A321" s="5" t="s">
        <v>84</v>
      </c>
      <c r="B321" s="6" t="s">
        <v>350</v>
      </c>
      <c r="C321" s="7" t="s">
        <v>103</v>
      </c>
      <c r="D321" s="8" t="s">
        <v>390</v>
      </c>
      <c r="E321" s="9">
        <v>45391.0</v>
      </c>
      <c r="F321" s="6">
        <v>1.0</v>
      </c>
      <c r="G321" s="6">
        <v>1.0</v>
      </c>
      <c r="H321" s="6">
        <v>4.0</v>
      </c>
      <c r="I321" s="6">
        <v>1.0</v>
      </c>
      <c r="J321" s="6">
        <v>1.0</v>
      </c>
      <c r="K321" s="14">
        <v>0.614822268486023</v>
      </c>
      <c r="L321" s="14">
        <v>0.176470339298248</v>
      </c>
      <c r="M321" s="14">
        <v>-0.0341922715306282</v>
      </c>
      <c r="N321" s="11">
        <v>-0.03419217</v>
      </c>
      <c r="O321" s="6">
        <f t="shared" si="1"/>
        <v>-0.0000001015306282</v>
      </c>
      <c r="P321" s="6">
        <v>0.04485488126649</v>
      </c>
      <c r="Q321" s="6">
        <v>0.067605633802816</v>
      </c>
      <c r="R321" s="6">
        <v>0.9967</v>
      </c>
      <c r="S321" s="6">
        <v>0.9967</v>
      </c>
      <c r="T321" s="6">
        <v>21.6713252191676</v>
      </c>
    </row>
    <row r="322">
      <c r="A322" s="5" t="s">
        <v>20</v>
      </c>
      <c r="B322" s="6" t="s">
        <v>391</v>
      </c>
      <c r="C322" s="7" t="s">
        <v>22</v>
      </c>
      <c r="D322" s="8" t="s">
        <v>392</v>
      </c>
      <c r="E322" s="9">
        <v>45391.0</v>
      </c>
      <c r="F322" s="6">
        <v>5.0</v>
      </c>
      <c r="G322" s="6">
        <v>1.0</v>
      </c>
      <c r="H322" s="6">
        <v>1.0</v>
      </c>
      <c r="I322" s="6">
        <v>1.0</v>
      </c>
      <c r="J322" s="6">
        <v>1.0</v>
      </c>
      <c r="K322" s="14">
        <v>0.602470517158508</v>
      </c>
      <c r="L322" s="14">
        <v>0.148805513978004</v>
      </c>
      <c r="M322" s="14">
        <v>0.115720406174659</v>
      </c>
      <c r="N322" s="11">
        <v>0.11572043</v>
      </c>
      <c r="O322" s="6">
        <f t="shared" si="1"/>
        <v>-0.00000002382534101</v>
      </c>
      <c r="P322" s="6">
        <v>0.047619047619047</v>
      </c>
      <c r="Q322" s="6">
        <v>0.210526315789473</v>
      </c>
      <c r="R322" s="6">
        <v>0.5916</v>
      </c>
      <c r="S322" s="6">
        <v>0.5916</v>
      </c>
      <c r="T322" s="6">
        <v>15.6285714285714</v>
      </c>
    </row>
    <row r="323">
      <c r="A323" s="5" t="s">
        <v>20</v>
      </c>
      <c r="B323" s="6" t="s">
        <v>391</v>
      </c>
      <c r="C323" s="7" t="s">
        <v>24</v>
      </c>
      <c r="D323" s="8" t="s">
        <v>393</v>
      </c>
      <c r="E323" s="9">
        <v>45391.0</v>
      </c>
      <c r="F323" s="6">
        <v>1.0</v>
      </c>
      <c r="G323" s="6">
        <v>1.0</v>
      </c>
      <c r="H323" s="6">
        <v>1.0</v>
      </c>
      <c r="I323" s="6">
        <v>1.0</v>
      </c>
      <c r="J323" s="6">
        <v>1.0</v>
      </c>
      <c r="K323" s="14">
        <v>0.616583824157714</v>
      </c>
      <c r="L323" s="14">
        <v>0.213430717587471</v>
      </c>
      <c r="M323" s="14">
        <v>0.0802765637636184</v>
      </c>
      <c r="N323" s="11">
        <v>0.080276445</v>
      </c>
      <c r="O323" s="6">
        <f t="shared" si="1"/>
        <v>0.0000001187636184</v>
      </c>
      <c r="P323" s="6">
        <v>0.021739130434782</v>
      </c>
      <c r="Q323" s="6">
        <v>0.088888888888888</v>
      </c>
      <c r="R323" s="6">
        <v>0.9765</v>
      </c>
      <c r="S323" s="6">
        <v>0.9765</v>
      </c>
      <c r="T323" s="6">
        <v>20.0463768115942</v>
      </c>
    </row>
    <row r="324">
      <c r="A324" s="5" t="s">
        <v>20</v>
      </c>
      <c r="B324" s="6" t="s">
        <v>391</v>
      </c>
      <c r="C324" s="7" t="s">
        <v>26</v>
      </c>
      <c r="D324" s="8" t="s">
        <v>394</v>
      </c>
      <c r="E324" s="9">
        <v>45391.0</v>
      </c>
      <c r="F324" s="6">
        <v>5.0</v>
      </c>
      <c r="G324" s="6">
        <v>1.0</v>
      </c>
      <c r="H324" s="6">
        <v>3.0</v>
      </c>
      <c r="I324" s="6">
        <v>1.0</v>
      </c>
      <c r="J324" s="6">
        <v>3.0</v>
      </c>
      <c r="K324" s="14">
        <v>0.608368098735809</v>
      </c>
      <c r="L324" s="14">
        <v>0.231786578893661</v>
      </c>
      <c r="M324" s="14">
        <v>0.0880620628595352</v>
      </c>
      <c r="N324" s="11">
        <v>0.088061996</v>
      </c>
      <c r="O324" s="6">
        <f t="shared" si="1"/>
        <v>0.0000000668595352</v>
      </c>
      <c r="P324" s="6">
        <v>0.04</v>
      </c>
      <c r="Q324" s="6">
        <v>0.1875</v>
      </c>
      <c r="R324" s="6">
        <v>0.9173</v>
      </c>
      <c r="S324" s="6">
        <v>0.9173</v>
      </c>
      <c r="T324" s="6">
        <v>21.0666666666667</v>
      </c>
    </row>
    <row r="325">
      <c r="A325" s="5" t="s">
        <v>20</v>
      </c>
      <c r="B325" s="6" t="s">
        <v>391</v>
      </c>
      <c r="C325" s="7" t="s">
        <v>28</v>
      </c>
      <c r="D325" s="8" t="s">
        <v>395</v>
      </c>
      <c r="E325" s="9">
        <v>45391.0</v>
      </c>
      <c r="F325" s="6">
        <v>1.0</v>
      </c>
      <c r="G325" s="6">
        <v>1.0</v>
      </c>
      <c r="H325" s="6">
        <v>1.0</v>
      </c>
      <c r="I325" s="6">
        <v>1.0</v>
      </c>
      <c r="J325" s="6">
        <v>3.0</v>
      </c>
      <c r="K325" s="14">
        <v>0.634083211421966</v>
      </c>
      <c r="L325" s="14">
        <v>0.202877163887023</v>
      </c>
      <c r="M325" s="14">
        <v>-0.022154901176691</v>
      </c>
      <c r="N325" s="11">
        <v>-0.02215498</v>
      </c>
      <c r="O325" s="6">
        <f t="shared" si="1"/>
        <v>0.000000078823309</v>
      </c>
      <c r="P325" s="6">
        <v>0.055555555555555</v>
      </c>
      <c r="Q325" s="6">
        <v>0.2</v>
      </c>
      <c r="R325" s="6">
        <v>0.4696</v>
      </c>
      <c r="S325" s="6">
        <v>0.4696</v>
      </c>
      <c r="T325" s="6">
        <v>18.1333333333333</v>
      </c>
    </row>
    <row r="326">
      <c r="A326" s="5" t="s">
        <v>20</v>
      </c>
      <c r="B326" s="6" t="s">
        <v>391</v>
      </c>
      <c r="C326" s="7" t="s">
        <v>30</v>
      </c>
      <c r="D326" s="8" t="s">
        <v>396</v>
      </c>
      <c r="E326" s="9">
        <v>45391.0</v>
      </c>
      <c r="F326" s="6">
        <v>1.0</v>
      </c>
      <c r="G326" s="6">
        <v>1.0</v>
      </c>
      <c r="H326" s="6">
        <v>1.0</v>
      </c>
      <c r="I326" s="6">
        <v>1.0</v>
      </c>
      <c r="J326" s="6">
        <v>1.0</v>
      </c>
      <c r="K326" s="14">
        <v>0.603327095508575</v>
      </c>
      <c r="L326" s="14">
        <v>0.194141760468482</v>
      </c>
      <c r="M326" s="14">
        <v>-0.201197355985641</v>
      </c>
      <c r="N326" s="11">
        <v>-0.20119749</v>
      </c>
      <c r="O326" s="6">
        <f t="shared" si="1"/>
        <v>0.000000134014359</v>
      </c>
      <c r="P326" s="6">
        <v>0.017241379310344</v>
      </c>
      <c r="Q326" s="6">
        <v>0.109090909090909</v>
      </c>
      <c r="R326" s="6">
        <v>0.4003</v>
      </c>
      <c r="S326" s="6">
        <v>0.4003</v>
      </c>
      <c r="T326" s="6">
        <v>12.0068965517241</v>
      </c>
    </row>
    <row r="327">
      <c r="A327" s="5" t="s">
        <v>20</v>
      </c>
      <c r="B327" s="6" t="s">
        <v>391</v>
      </c>
      <c r="C327" s="7" t="s">
        <v>32</v>
      </c>
      <c r="D327" s="8" t="s">
        <v>397</v>
      </c>
      <c r="E327" s="9">
        <v>45391.0</v>
      </c>
      <c r="F327" s="6">
        <v>1.0</v>
      </c>
      <c r="G327" s="6">
        <v>1.0</v>
      </c>
      <c r="H327" s="6">
        <v>1.0</v>
      </c>
      <c r="I327" s="6">
        <v>1.0</v>
      </c>
      <c r="J327" s="6">
        <v>1.0</v>
      </c>
      <c r="K327" s="14">
        <v>0.609267115592956</v>
      </c>
      <c r="L327" s="14">
        <v>0.141228854656219</v>
      </c>
      <c r="M327" s="14">
        <v>-0.318026810884475</v>
      </c>
      <c r="N327" s="11">
        <v>-0.31802678</v>
      </c>
      <c r="O327" s="6">
        <f t="shared" si="1"/>
        <v>-0.00000003088447498</v>
      </c>
      <c r="P327" s="6">
        <v>0.057692307692307</v>
      </c>
      <c r="Q327" s="6">
        <v>0.117647058823529</v>
      </c>
      <c r="R327" s="6">
        <v>0.765</v>
      </c>
      <c r="S327" s="6">
        <v>0.765</v>
      </c>
      <c r="T327" s="6">
        <v>20.0102564102564</v>
      </c>
    </row>
    <row r="328">
      <c r="A328" s="5" t="s">
        <v>20</v>
      </c>
      <c r="B328" s="6" t="s">
        <v>391</v>
      </c>
      <c r="C328" s="7" t="s">
        <v>34</v>
      </c>
      <c r="D328" s="8" t="s">
        <v>398</v>
      </c>
      <c r="E328" s="9">
        <v>45391.0</v>
      </c>
      <c r="F328" s="6">
        <v>1.0</v>
      </c>
      <c r="G328" s="6">
        <v>1.0</v>
      </c>
      <c r="H328" s="6">
        <v>1.0</v>
      </c>
      <c r="I328" s="6">
        <v>1.0</v>
      </c>
      <c r="J328" s="6">
        <v>1.0</v>
      </c>
      <c r="K328" s="14">
        <v>0.626752138137817</v>
      </c>
      <c r="L328" s="14">
        <v>0.207750707864761</v>
      </c>
      <c r="M328" s="14">
        <v>0.0575168579816818</v>
      </c>
      <c r="N328" s="11">
        <v>0.057516787</v>
      </c>
      <c r="O328" s="6">
        <f t="shared" si="1"/>
        <v>0.0000000709816818</v>
      </c>
      <c r="P328" s="6">
        <v>0.021739130434782</v>
      </c>
      <c r="Q328" s="6">
        <v>0.162790697674418</v>
      </c>
      <c r="R328" s="6">
        <v>0.9583</v>
      </c>
      <c r="S328" s="6">
        <v>0.9583</v>
      </c>
      <c r="T328" s="6">
        <v>15.904347826087</v>
      </c>
    </row>
    <row r="329">
      <c r="A329" s="5" t="s">
        <v>20</v>
      </c>
      <c r="B329" s="6" t="s">
        <v>391</v>
      </c>
      <c r="C329" s="7" t="s">
        <v>36</v>
      </c>
      <c r="D329" s="8" t="s">
        <v>399</v>
      </c>
      <c r="E329" s="9">
        <v>45391.0</v>
      </c>
      <c r="F329" s="6">
        <v>1.0</v>
      </c>
      <c r="G329" s="6">
        <v>1.0</v>
      </c>
      <c r="H329" s="6">
        <v>1.0</v>
      </c>
      <c r="I329" s="6">
        <v>1.0</v>
      </c>
      <c r="J329" s="6">
        <v>1.0</v>
      </c>
      <c r="K329" s="14">
        <v>0.625866532325744</v>
      </c>
      <c r="L329" s="14">
        <v>0.193045392632484</v>
      </c>
      <c r="M329" s="14">
        <v>-0.109536334872245</v>
      </c>
      <c r="N329" s="11">
        <v>-0.10953611</v>
      </c>
      <c r="O329" s="6">
        <f t="shared" si="1"/>
        <v>-0.000000224872245</v>
      </c>
      <c r="P329" s="6">
        <v>0.037735849056603</v>
      </c>
      <c r="Q329" s="6">
        <v>0.117647058823529</v>
      </c>
      <c r="R329" s="6">
        <v>0.9612</v>
      </c>
      <c r="S329" s="6">
        <v>0.9612</v>
      </c>
      <c r="T329" s="6">
        <v>19.1421383647799</v>
      </c>
    </row>
    <row r="330">
      <c r="A330" s="5" t="s">
        <v>20</v>
      </c>
      <c r="B330" s="6" t="s">
        <v>391</v>
      </c>
      <c r="C330" s="7" t="s">
        <v>38</v>
      </c>
      <c r="D330" s="8" t="s">
        <v>400</v>
      </c>
      <c r="E330" s="9">
        <v>45391.0</v>
      </c>
      <c r="F330" s="6">
        <v>1.0</v>
      </c>
      <c r="G330" s="6">
        <v>1.0</v>
      </c>
      <c r="H330" s="6">
        <v>1.0</v>
      </c>
      <c r="I330" s="6">
        <v>1.0</v>
      </c>
      <c r="J330" s="6">
        <v>1.0</v>
      </c>
      <c r="K330" s="14">
        <v>0.628879427909851</v>
      </c>
      <c r="L330" s="14">
        <v>0.18559330701828</v>
      </c>
      <c r="M330" s="14">
        <v>-0.114150255918502</v>
      </c>
      <c r="N330" s="11">
        <v>-0.11415023</v>
      </c>
      <c r="O330" s="6">
        <f t="shared" si="1"/>
        <v>-0.000000025918502</v>
      </c>
      <c r="P330" s="6">
        <v>0.015384615384615</v>
      </c>
      <c r="Q330" s="6">
        <v>0.111111111111111</v>
      </c>
      <c r="R330" s="6">
        <v>0.9312</v>
      </c>
      <c r="S330" s="6">
        <v>0.9312</v>
      </c>
      <c r="T330" s="6">
        <v>23.4358974358974</v>
      </c>
    </row>
    <row r="331">
      <c r="A331" s="5" t="s">
        <v>20</v>
      </c>
      <c r="B331" s="6" t="s">
        <v>391</v>
      </c>
      <c r="C331" s="7" t="s">
        <v>40</v>
      </c>
      <c r="D331" s="8" t="s">
        <v>401</v>
      </c>
      <c r="E331" s="9">
        <v>45391.0</v>
      </c>
      <c r="F331" s="6">
        <v>5.0</v>
      </c>
      <c r="G331" s="6">
        <v>1.0</v>
      </c>
      <c r="H331" s="6">
        <v>1.0</v>
      </c>
      <c r="I331" s="6">
        <v>1.0</v>
      </c>
      <c r="J331" s="6">
        <v>1.0</v>
      </c>
      <c r="K331" s="14">
        <v>0.615117669105529</v>
      </c>
      <c r="L331" s="14">
        <v>0.157784685492515</v>
      </c>
      <c r="M331" s="14">
        <v>-0.0132174883037805</v>
      </c>
      <c r="N331" s="11">
        <v>-0.01321752</v>
      </c>
      <c r="O331" s="6">
        <f t="shared" si="1"/>
        <v>0.0000000316962195</v>
      </c>
      <c r="P331" s="6">
        <v>0.041666666666666</v>
      </c>
      <c r="Q331" s="6">
        <v>0.115942028985507</v>
      </c>
      <c r="R331" s="6">
        <v>0.4303</v>
      </c>
      <c r="S331" s="6">
        <v>-0.4303</v>
      </c>
      <c r="T331" s="6">
        <v>19.0933333333333</v>
      </c>
    </row>
    <row r="332">
      <c r="A332" s="5" t="s">
        <v>42</v>
      </c>
      <c r="B332" s="6" t="s">
        <v>391</v>
      </c>
      <c r="C332" s="7" t="s">
        <v>43</v>
      </c>
      <c r="D332" s="8" t="s">
        <v>402</v>
      </c>
      <c r="E332" s="9">
        <v>45391.0</v>
      </c>
      <c r="F332" s="6">
        <v>1.0</v>
      </c>
      <c r="G332" s="6">
        <v>1.0</v>
      </c>
      <c r="H332" s="6">
        <v>1.0</v>
      </c>
      <c r="I332" s="6">
        <v>1.0</v>
      </c>
      <c r="J332" s="6">
        <v>1.0</v>
      </c>
      <c r="K332" s="14">
        <v>0.598776936531066</v>
      </c>
      <c r="L332" s="14">
        <v>0.185193046927452</v>
      </c>
      <c r="M332" s="14">
        <v>-0.0807955116033554</v>
      </c>
      <c r="N332" s="11">
        <v>-0.080795705</v>
      </c>
      <c r="O332" s="6">
        <f t="shared" si="1"/>
        <v>0.0000001933966446</v>
      </c>
      <c r="P332" s="6">
        <v>0.046875</v>
      </c>
      <c r="Q332" s="6">
        <v>0.080645161290322</v>
      </c>
      <c r="R332" s="6">
        <v>0.9859</v>
      </c>
      <c r="S332" s="6">
        <v>0.9859</v>
      </c>
      <c r="T332" s="6">
        <v>12.65</v>
      </c>
    </row>
    <row r="333">
      <c r="A333" s="5" t="s">
        <v>42</v>
      </c>
      <c r="B333" s="6" t="s">
        <v>391</v>
      </c>
      <c r="C333" s="7" t="s">
        <v>45</v>
      </c>
      <c r="D333" s="8" t="s">
        <v>403</v>
      </c>
      <c r="E333" s="9">
        <v>45391.0</v>
      </c>
      <c r="F333" s="6">
        <v>1.0</v>
      </c>
      <c r="G333" s="6">
        <v>1.0</v>
      </c>
      <c r="H333" s="6">
        <v>1.0</v>
      </c>
      <c r="I333" s="6">
        <v>1.0</v>
      </c>
      <c r="J333" s="6">
        <v>1.0</v>
      </c>
      <c r="K333" s="14">
        <v>0.621066808700561</v>
      </c>
      <c r="L333" s="14">
        <v>0.212610185146331</v>
      </c>
      <c r="M333" s="14">
        <v>0.0825668051838874</v>
      </c>
      <c r="N333" s="11">
        <v>0.082566716</v>
      </c>
      <c r="O333" s="6">
        <f t="shared" si="1"/>
        <v>0.0000000891838874</v>
      </c>
      <c r="P333" s="6">
        <v>0.0</v>
      </c>
      <c r="Q333" s="6">
        <v>0.095238095238095</v>
      </c>
      <c r="R333" s="6">
        <v>0.9493</v>
      </c>
      <c r="S333" s="6">
        <v>0.9493</v>
      </c>
      <c r="T333" s="6">
        <v>24.1111111111111</v>
      </c>
    </row>
    <row r="334">
      <c r="A334" s="5" t="s">
        <v>42</v>
      </c>
      <c r="B334" s="6" t="s">
        <v>391</v>
      </c>
      <c r="C334" s="7" t="s">
        <v>47</v>
      </c>
      <c r="D334" s="8" t="s">
        <v>404</v>
      </c>
      <c r="E334" s="9">
        <v>45391.0</v>
      </c>
      <c r="F334" s="6">
        <v>1.0</v>
      </c>
      <c r="G334" s="6">
        <v>1.0</v>
      </c>
      <c r="H334" s="6">
        <v>1.0</v>
      </c>
      <c r="I334" s="6">
        <v>1.0</v>
      </c>
      <c r="J334" s="6">
        <v>1.0</v>
      </c>
      <c r="K334" s="14">
        <v>0.604572653770446</v>
      </c>
      <c r="L334" s="14">
        <v>0.164676263928413</v>
      </c>
      <c r="M334" s="14">
        <v>0.0517249107360839</v>
      </c>
      <c r="N334" s="11">
        <v>0.051724903</v>
      </c>
      <c r="O334" s="6">
        <f t="shared" si="1"/>
        <v>0.000000007736083898</v>
      </c>
      <c r="P334" s="6">
        <v>0.055555555555555</v>
      </c>
      <c r="Q334" s="6">
        <v>0.137254901960784</v>
      </c>
      <c r="R334" s="6">
        <v>0.872</v>
      </c>
      <c r="S334" s="6">
        <v>0.872</v>
      </c>
      <c r="T334" s="6">
        <v>16.8296296296296</v>
      </c>
    </row>
    <row r="335">
      <c r="A335" s="5" t="s">
        <v>42</v>
      </c>
      <c r="B335" s="6" t="s">
        <v>391</v>
      </c>
      <c r="C335" s="7" t="s">
        <v>49</v>
      </c>
      <c r="D335" s="8" t="s">
        <v>405</v>
      </c>
      <c r="E335" s="9">
        <v>45391.0</v>
      </c>
      <c r="F335" s="6">
        <v>1.0</v>
      </c>
      <c r="G335" s="6">
        <v>1.0</v>
      </c>
      <c r="H335" s="6">
        <v>1.0</v>
      </c>
      <c r="I335" s="6">
        <v>1.0</v>
      </c>
      <c r="J335" s="6">
        <v>1.0</v>
      </c>
      <c r="K335" s="14">
        <v>0.596645355224609</v>
      </c>
      <c r="L335" s="14">
        <v>0.163042575120925</v>
      </c>
      <c r="M335" s="14">
        <v>0.0116095095872879</v>
      </c>
      <c r="N335" s="11">
        <v>0.011609318</v>
      </c>
      <c r="O335" s="6">
        <f t="shared" si="1"/>
        <v>0.0000001915872879</v>
      </c>
      <c r="P335" s="6">
        <v>0.064516129032258</v>
      </c>
      <c r="Q335" s="6">
        <v>0.122222222222222</v>
      </c>
      <c r="R335" s="6">
        <v>0.9779</v>
      </c>
      <c r="S335" s="6">
        <v>0.9779</v>
      </c>
      <c r="T335" s="6">
        <v>21.3430107526882</v>
      </c>
    </row>
    <row r="336">
      <c r="A336" s="5" t="s">
        <v>42</v>
      </c>
      <c r="B336" s="6" t="s">
        <v>391</v>
      </c>
      <c r="C336" s="7" t="s">
        <v>51</v>
      </c>
      <c r="D336" s="8" t="s">
        <v>406</v>
      </c>
      <c r="E336" s="9">
        <v>45391.0</v>
      </c>
      <c r="F336" s="6">
        <v>1.0</v>
      </c>
      <c r="G336" s="6">
        <v>1.0</v>
      </c>
      <c r="H336" s="6">
        <v>1.0</v>
      </c>
      <c r="I336" s="6">
        <v>1.0</v>
      </c>
      <c r="J336" s="6">
        <v>1.0</v>
      </c>
      <c r="K336" s="14">
        <v>0.618692398071289</v>
      </c>
      <c r="L336" s="14">
        <v>0.169380843639373</v>
      </c>
      <c r="M336" s="14">
        <v>-0.0869696661829948</v>
      </c>
      <c r="N336" s="11">
        <v>-0.08696964</v>
      </c>
      <c r="O336" s="6">
        <f t="shared" si="1"/>
        <v>-0.0000000261829948</v>
      </c>
      <c r="P336" s="6">
        <v>0.044444444444444</v>
      </c>
      <c r="Q336" s="6">
        <v>0.042056074766355</v>
      </c>
      <c r="R336" s="6">
        <v>0.9943</v>
      </c>
      <c r="S336" s="6">
        <v>0.9943</v>
      </c>
      <c r="T336" s="6">
        <v>19.0242424242424</v>
      </c>
    </row>
    <row r="337">
      <c r="A337" s="5" t="s">
        <v>42</v>
      </c>
      <c r="B337" s="6" t="s">
        <v>391</v>
      </c>
      <c r="C337" s="7" t="s">
        <v>53</v>
      </c>
      <c r="D337" s="8" t="s">
        <v>407</v>
      </c>
      <c r="E337" s="9">
        <v>45391.0</v>
      </c>
      <c r="F337" s="6">
        <v>5.0</v>
      </c>
      <c r="G337" s="6">
        <v>1.0</v>
      </c>
      <c r="H337" s="6">
        <v>1.0</v>
      </c>
      <c r="I337" s="6">
        <v>1.0</v>
      </c>
      <c r="J337" s="6">
        <v>1.0</v>
      </c>
      <c r="K337" s="14">
        <v>0.611513257026672</v>
      </c>
      <c r="L337" s="14">
        <v>0.169604316353797</v>
      </c>
      <c r="M337" s="14">
        <v>-0.100520446896553</v>
      </c>
      <c r="N337" s="11">
        <v>-0.10052014</v>
      </c>
      <c r="O337" s="6">
        <f t="shared" si="1"/>
        <v>-0.000000306896553</v>
      </c>
      <c r="P337" s="6">
        <v>0.00943396226415</v>
      </c>
      <c r="Q337" s="6">
        <v>0.107843137254901</v>
      </c>
      <c r="R337" s="6">
        <v>0.9792</v>
      </c>
      <c r="S337" s="6">
        <v>0.9792</v>
      </c>
      <c r="T337" s="6">
        <v>23.5743396226415</v>
      </c>
    </row>
    <row r="338">
      <c r="A338" s="5" t="s">
        <v>42</v>
      </c>
      <c r="B338" s="6" t="s">
        <v>391</v>
      </c>
      <c r="C338" s="7" t="s">
        <v>55</v>
      </c>
      <c r="D338" s="8" t="s">
        <v>408</v>
      </c>
      <c r="E338" s="9">
        <v>45391.0</v>
      </c>
      <c r="F338" s="6">
        <v>5.0</v>
      </c>
      <c r="G338" s="6">
        <v>1.0</v>
      </c>
      <c r="H338" s="6">
        <v>1.0</v>
      </c>
      <c r="I338" s="6">
        <v>1.0</v>
      </c>
      <c r="J338" s="6">
        <v>1.0</v>
      </c>
      <c r="K338" s="14">
        <v>0.625104665756225</v>
      </c>
      <c r="L338" s="14">
        <v>0.134828254580497</v>
      </c>
      <c r="M338" s="14">
        <v>-0.145710885524749</v>
      </c>
      <c r="N338" s="11">
        <v>-0.14571089</v>
      </c>
      <c r="O338" s="6">
        <f t="shared" si="1"/>
        <v>0.000000004475251003</v>
      </c>
      <c r="P338" s="6">
        <v>0.024475524475524</v>
      </c>
      <c r="Q338" s="6">
        <v>0.018181818181818</v>
      </c>
      <c r="R338" s="6">
        <v>0.9559</v>
      </c>
      <c r="S338" s="6">
        <v>0.9559</v>
      </c>
      <c r="T338" s="6">
        <v>23.3637099742363</v>
      </c>
    </row>
    <row r="339">
      <c r="A339" s="5" t="s">
        <v>42</v>
      </c>
      <c r="B339" s="6" t="s">
        <v>391</v>
      </c>
      <c r="C339" s="7" t="s">
        <v>57</v>
      </c>
      <c r="D339" s="8" t="s">
        <v>409</v>
      </c>
      <c r="E339" s="9">
        <v>45391.0</v>
      </c>
      <c r="F339" s="6">
        <v>5.0</v>
      </c>
      <c r="G339" s="6">
        <v>1.0</v>
      </c>
      <c r="H339" s="6">
        <v>1.0</v>
      </c>
      <c r="I339" s="6">
        <v>1.0</v>
      </c>
      <c r="J339" s="6">
        <v>1.0</v>
      </c>
      <c r="K339" s="14">
        <v>0.615790247917175</v>
      </c>
      <c r="L339" s="14">
        <v>0.15560458600521</v>
      </c>
      <c r="M339" s="14">
        <v>-0.129070177674293</v>
      </c>
      <c r="N339" s="11">
        <v>-0.12906992</v>
      </c>
      <c r="O339" s="6">
        <f t="shared" si="1"/>
        <v>-0.000000257674293</v>
      </c>
      <c r="P339" s="6">
        <v>0.05521472392638</v>
      </c>
      <c r="Q339" s="6">
        <v>0.083333333333333</v>
      </c>
      <c r="R339" s="6">
        <v>0.9823</v>
      </c>
      <c r="S339" s="6">
        <v>0.9823</v>
      </c>
      <c r="T339" s="6">
        <v>17.8083435582822</v>
      </c>
    </row>
    <row r="340">
      <c r="A340" s="5" t="s">
        <v>42</v>
      </c>
      <c r="B340" s="6" t="s">
        <v>391</v>
      </c>
      <c r="C340" s="7" t="s">
        <v>59</v>
      </c>
      <c r="D340" s="8" t="s">
        <v>410</v>
      </c>
      <c r="E340" s="9">
        <v>45391.0</v>
      </c>
      <c r="F340" s="6">
        <v>1.0</v>
      </c>
      <c r="G340" s="6">
        <v>1.0</v>
      </c>
      <c r="H340" s="6">
        <v>1.0</v>
      </c>
      <c r="I340" s="6">
        <v>1.0</v>
      </c>
      <c r="J340" s="6">
        <v>1.0</v>
      </c>
      <c r="K340" s="14">
        <v>0.59819746017456</v>
      </c>
      <c r="L340" s="14">
        <v>0.138761162757873</v>
      </c>
      <c r="M340" s="14">
        <v>-0.0188507866114377</v>
      </c>
      <c r="N340" s="11">
        <v>-0.018850856</v>
      </c>
      <c r="O340" s="6">
        <f t="shared" si="1"/>
        <v>0.0000000693885623</v>
      </c>
      <c r="P340" s="6">
        <v>0.03125</v>
      </c>
      <c r="Q340" s="6">
        <v>0.043478260869565</v>
      </c>
      <c r="R340" s="6">
        <v>0.8373</v>
      </c>
      <c r="S340" s="6">
        <v>0.8373</v>
      </c>
      <c r="T340" s="6">
        <v>20.3151515151515</v>
      </c>
    </row>
    <row r="341">
      <c r="A341" s="5" t="s">
        <v>42</v>
      </c>
      <c r="B341" s="6" t="s">
        <v>391</v>
      </c>
      <c r="C341" s="7" t="s">
        <v>61</v>
      </c>
      <c r="D341" s="8" t="s">
        <v>411</v>
      </c>
      <c r="E341" s="9">
        <v>45391.0</v>
      </c>
      <c r="F341" s="6">
        <v>5.0</v>
      </c>
      <c r="G341" s="6">
        <v>1.0</v>
      </c>
      <c r="H341" s="6">
        <v>1.0</v>
      </c>
      <c r="I341" s="6">
        <v>1.0</v>
      </c>
      <c r="J341" s="6">
        <v>1.0</v>
      </c>
      <c r="K341" s="14">
        <v>0.607297480106353</v>
      </c>
      <c r="L341" s="14">
        <v>0.163942128419876</v>
      </c>
      <c r="M341" s="14">
        <v>0.107041761279106</v>
      </c>
      <c r="N341" s="11">
        <v>0.10704168</v>
      </c>
      <c r="O341" s="6">
        <f t="shared" si="1"/>
        <v>0.000000081279106</v>
      </c>
      <c r="P341" s="6">
        <v>0.038216560509554</v>
      </c>
      <c r="Q341" s="6">
        <v>0.098684210526315</v>
      </c>
      <c r="R341" s="6">
        <v>0.991</v>
      </c>
      <c r="S341" s="6">
        <v>0.991</v>
      </c>
      <c r="T341" s="6">
        <v>16.6593064401982</v>
      </c>
    </row>
    <row r="342">
      <c r="A342" s="5" t="s">
        <v>63</v>
      </c>
      <c r="B342" s="6" t="s">
        <v>391</v>
      </c>
      <c r="C342" s="7" t="s">
        <v>64</v>
      </c>
      <c r="D342" s="8" t="s">
        <v>412</v>
      </c>
      <c r="E342" s="9">
        <v>45391.0</v>
      </c>
      <c r="F342" s="6">
        <v>5.0</v>
      </c>
      <c r="G342" s="6">
        <v>1.0</v>
      </c>
      <c r="H342" s="6">
        <v>1.0</v>
      </c>
      <c r="I342" s="6">
        <v>1.0</v>
      </c>
      <c r="J342" s="6">
        <v>1.0</v>
      </c>
      <c r="K342" s="14">
        <v>0.618845701217651</v>
      </c>
      <c r="L342" s="14">
        <v>0.158922597765922</v>
      </c>
      <c r="M342" s="14">
        <v>-0.218264505267143</v>
      </c>
      <c r="N342" s="11">
        <v>-0.2182648</v>
      </c>
      <c r="O342" s="6">
        <f t="shared" si="1"/>
        <v>0.000000294732857</v>
      </c>
      <c r="P342" s="6">
        <v>0.057971014492753</v>
      </c>
      <c r="Q342" s="6">
        <v>0.074626865671641</v>
      </c>
      <c r="R342" s="6">
        <v>0.868</v>
      </c>
      <c r="S342" s="6">
        <v>0.868</v>
      </c>
      <c r="T342" s="6">
        <v>21.3927536231884</v>
      </c>
    </row>
    <row r="343">
      <c r="A343" s="5" t="s">
        <v>63</v>
      </c>
      <c r="B343" s="6" t="s">
        <v>391</v>
      </c>
      <c r="C343" s="7" t="s">
        <v>66</v>
      </c>
      <c r="D343" s="8" t="s">
        <v>413</v>
      </c>
      <c r="E343" s="9">
        <v>45391.0</v>
      </c>
      <c r="F343" s="6">
        <v>5.0</v>
      </c>
      <c r="G343" s="6">
        <v>1.0</v>
      </c>
      <c r="H343" s="6">
        <v>3.0</v>
      </c>
      <c r="I343" s="6">
        <v>1.0</v>
      </c>
      <c r="J343" s="6">
        <v>3.0</v>
      </c>
      <c r="K343" s="14">
        <v>0.612601697444915</v>
      </c>
      <c r="L343" s="14">
        <v>0.135797217488288</v>
      </c>
      <c r="M343" s="14">
        <v>-0.0664139166474342</v>
      </c>
      <c r="N343" s="11">
        <v>-0.06641377</v>
      </c>
      <c r="O343" s="6">
        <f t="shared" si="1"/>
        <v>-0.0000001466474342</v>
      </c>
      <c r="P343" s="6">
        <v>0.046153846153846</v>
      </c>
      <c r="Q343" s="6">
        <v>0.065040650406504</v>
      </c>
      <c r="R343" s="6">
        <v>0.7771</v>
      </c>
      <c r="S343" s="6">
        <v>0.7771</v>
      </c>
      <c r="T343" s="6">
        <v>25.4769230769231</v>
      </c>
    </row>
    <row r="344">
      <c r="A344" s="5" t="s">
        <v>63</v>
      </c>
      <c r="B344" s="6" t="s">
        <v>391</v>
      </c>
      <c r="C344" s="7" t="s">
        <v>68</v>
      </c>
      <c r="D344" s="8" t="s">
        <v>414</v>
      </c>
      <c r="E344" s="9">
        <v>45391.0</v>
      </c>
      <c r="F344" s="6">
        <v>5.0</v>
      </c>
      <c r="G344" s="6">
        <v>6.0</v>
      </c>
      <c r="H344" s="6">
        <v>1.0</v>
      </c>
      <c r="I344" s="6">
        <v>1.0</v>
      </c>
      <c r="J344" s="6">
        <v>1.0</v>
      </c>
      <c r="K344" s="14">
        <v>0.616485297679901</v>
      </c>
      <c r="L344" s="14">
        <v>0.183302983641624</v>
      </c>
      <c r="M344" s="14">
        <v>-0.229315638542175</v>
      </c>
      <c r="N344" s="11">
        <v>-0.2293155</v>
      </c>
      <c r="O344" s="6">
        <f t="shared" si="1"/>
        <v>-0.000000138542175</v>
      </c>
      <c r="P344" s="6">
        <v>0.033898305084745</v>
      </c>
      <c r="Q344" s="6">
        <v>0.085470085470085</v>
      </c>
      <c r="R344" s="6">
        <v>0.983</v>
      </c>
      <c r="S344" s="6">
        <v>0.983</v>
      </c>
      <c r="T344" s="6">
        <v>23.6772881355932</v>
      </c>
    </row>
    <row r="345">
      <c r="A345" s="5" t="s">
        <v>63</v>
      </c>
      <c r="B345" s="6" t="s">
        <v>391</v>
      </c>
      <c r="C345" s="7" t="s">
        <v>70</v>
      </c>
      <c r="D345" s="8" t="s">
        <v>415</v>
      </c>
      <c r="E345" s="9">
        <v>45391.0</v>
      </c>
      <c r="F345" s="6">
        <v>1.0</v>
      </c>
      <c r="G345" s="6">
        <v>1.0</v>
      </c>
      <c r="H345" s="6">
        <v>1.0</v>
      </c>
      <c r="I345" s="6">
        <v>1.0</v>
      </c>
      <c r="J345" s="6">
        <v>1.0</v>
      </c>
      <c r="K345" s="14">
        <v>0.634316802024841</v>
      </c>
      <c r="L345" s="14">
        <v>0.181882143020629</v>
      </c>
      <c r="M345" s="14">
        <v>-0.0611551851034164</v>
      </c>
      <c r="N345" s="11">
        <v>-0.061155096</v>
      </c>
      <c r="O345" s="6">
        <f t="shared" si="1"/>
        <v>-0.0000000891034164</v>
      </c>
      <c r="P345" s="6">
        <v>0.010752688172043</v>
      </c>
      <c r="Q345" s="6">
        <v>0.12087912087912</v>
      </c>
      <c r="R345" s="6">
        <v>0.9436</v>
      </c>
      <c r="S345" s="6">
        <v>0.9436</v>
      </c>
      <c r="T345" s="6">
        <v>22.2032258064516</v>
      </c>
    </row>
    <row r="346">
      <c r="A346" s="5" t="s">
        <v>63</v>
      </c>
      <c r="B346" s="6" t="s">
        <v>391</v>
      </c>
      <c r="C346" s="7" t="s">
        <v>72</v>
      </c>
      <c r="D346" s="8" t="s">
        <v>416</v>
      </c>
      <c r="E346" s="9">
        <v>45391.0</v>
      </c>
      <c r="F346" s="6">
        <v>5.0</v>
      </c>
      <c r="G346" s="6">
        <v>1.0</v>
      </c>
      <c r="H346" s="6">
        <v>1.0</v>
      </c>
      <c r="I346" s="6">
        <v>1.0</v>
      </c>
      <c r="J346" s="6">
        <v>1.0</v>
      </c>
      <c r="K346" s="14">
        <v>0.612927615642547</v>
      </c>
      <c r="L346" s="14">
        <v>0.162185356020927</v>
      </c>
      <c r="M346" s="14">
        <v>0.00458280742168426</v>
      </c>
      <c r="N346" s="11">
        <v>0.004582901</v>
      </c>
      <c r="O346" s="6">
        <f t="shared" si="1"/>
        <v>-0.00000009357831574</v>
      </c>
      <c r="P346" s="6">
        <v>0.031496062992125</v>
      </c>
      <c r="Q346" s="6">
        <v>0.1</v>
      </c>
      <c r="R346" s="6">
        <v>0.6517</v>
      </c>
      <c r="S346" s="6">
        <v>0.6517</v>
      </c>
      <c r="T346" s="6">
        <v>22.0099737532808</v>
      </c>
    </row>
    <row r="347">
      <c r="A347" s="5" t="s">
        <v>63</v>
      </c>
      <c r="B347" s="6" t="s">
        <v>391</v>
      </c>
      <c r="C347" s="7" t="s">
        <v>74</v>
      </c>
      <c r="D347" s="8" t="s">
        <v>417</v>
      </c>
      <c r="E347" s="9">
        <v>45391.0</v>
      </c>
      <c r="F347" s="6">
        <v>1.0</v>
      </c>
      <c r="G347" s="6">
        <v>1.0</v>
      </c>
      <c r="H347" s="6">
        <v>1.0</v>
      </c>
      <c r="I347" s="6">
        <v>1.0</v>
      </c>
      <c r="J347" s="6">
        <v>1.0</v>
      </c>
      <c r="K347" s="14">
        <v>0.611790120601654</v>
      </c>
      <c r="L347" s="14">
        <v>0.15010081231594</v>
      </c>
      <c r="M347" s="14">
        <v>0.187321946024894</v>
      </c>
      <c r="N347" s="11">
        <v>0.18732198</v>
      </c>
      <c r="O347" s="6">
        <f t="shared" si="1"/>
        <v>-0.00000003397510601</v>
      </c>
      <c r="P347" s="6">
        <v>0.039370078740157</v>
      </c>
      <c r="Q347" s="6">
        <v>0.032520325203252</v>
      </c>
      <c r="R347" s="6">
        <v>0.9901</v>
      </c>
      <c r="S347" s="6">
        <v>0.9901</v>
      </c>
      <c r="T347" s="6">
        <v>22.0099737532808</v>
      </c>
    </row>
    <row r="348">
      <c r="A348" s="5" t="s">
        <v>63</v>
      </c>
      <c r="B348" s="6" t="s">
        <v>391</v>
      </c>
      <c r="C348" s="7" t="s">
        <v>76</v>
      </c>
      <c r="D348" s="8" t="s">
        <v>418</v>
      </c>
      <c r="E348" s="9">
        <v>45391.0</v>
      </c>
      <c r="F348" s="6">
        <v>5.0</v>
      </c>
      <c r="G348" s="6">
        <v>1.0</v>
      </c>
      <c r="H348" s="6">
        <v>1.0</v>
      </c>
      <c r="I348" s="6">
        <v>7.0</v>
      </c>
      <c r="J348" s="6">
        <v>1.0</v>
      </c>
      <c r="K348" s="14">
        <v>0.645580112934112</v>
      </c>
      <c r="L348" s="14">
        <v>0.201882913708686</v>
      </c>
      <c r="M348" s="14">
        <v>0.196608334779739</v>
      </c>
      <c r="N348" s="11">
        <v>0.19660814</v>
      </c>
      <c r="O348" s="6">
        <f t="shared" si="1"/>
        <v>0.000000194779739</v>
      </c>
      <c r="P348" s="6">
        <v>0.025641025641025</v>
      </c>
      <c r="Q348" s="6">
        <v>0.053571428571428</v>
      </c>
      <c r="R348" s="6">
        <v>0.9965</v>
      </c>
      <c r="S348" s="6">
        <v>0.9965</v>
      </c>
      <c r="T348" s="6">
        <v>17.758818958819</v>
      </c>
    </row>
    <row r="349">
      <c r="A349" s="5" t="s">
        <v>63</v>
      </c>
      <c r="B349" s="6" t="s">
        <v>391</v>
      </c>
      <c r="C349" s="7" t="s">
        <v>78</v>
      </c>
      <c r="D349" s="8" t="s">
        <v>419</v>
      </c>
      <c r="E349" s="9">
        <v>45391.0</v>
      </c>
      <c r="F349" s="6">
        <v>5.0</v>
      </c>
      <c r="G349" s="6">
        <v>1.0</v>
      </c>
      <c r="H349" s="6">
        <v>1.0</v>
      </c>
      <c r="I349" s="6">
        <v>7.0</v>
      </c>
      <c r="J349" s="6">
        <v>1.0</v>
      </c>
      <c r="K349" s="14">
        <v>0.624284744262695</v>
      </c>
      <c r="L349" s="14">
        <v>0.150984853506088</v>
      </c>
      <c r="M349" s="14">
        <v>0.0786121487617492</v>
      </c>
      <c r="N349" s="11">
        <v>0.07861198</v>
      </c>
      <c r="O349" s="6">
        <f t="shared" si="1"/>
        <v>0.0000001687617492</v>
      </c>
      <c r="P349" s="6">
        <v>0.022556390977443</v>
      </c>
      <c r="Q349" s="6">
        <v>0.051181102362204</v>
      </c>
      <c r="R349" s="6">
        <v>0.9961</v>
      </c>
      <c r="S349" s="6">
        <v>0.9961</v>
      </c>
      <c r="T349" s="6">
        <v>19.304962406015</v>
      </c>
    </row>
    <row r="350">
      <c r="A350" s="5" t="s">
        <v>63</v>
      </c>
      <c r="B350" s="6" t="s">
        <v>391</v>
      </c>
      <c r="C350" s="7" t="s">
        <v>80</v>
      </c>
      <c r="D350" s="8" t="s">
        <v>420</v>
      </c>
      <c r="E350" s="9">
        <v>45391.0</v>
      </c>
      <c r="F350" s="6">
        <v>5.0</v>
      </c>
      <c r="G350" s="6">
        <v>1.0</v>
      </c>
      <c r="H350" s="6">
        <v>1.0</v>
      </c>
      <c r="I350" s="6">
        <v>1.0</v>
      </c>
      <c r="J350" s="6">
        <v>1.0</v>
      </c>
      <c r="K350" s="14">
        <v>0.629578590393066</v>
      </c>
      <c r="L350" s="14">
        <v>0.168703764677047</v>
      </c>
      <c r="M350" s="14">
        <v>-0.0755738765001297</v>
      </c>
      <c r="N350" s="11">
        <v>-0.07557387</v>
      </c>
      <c r="O350" s="6">
        <f t="shared" si="1"/>
        <v>-0.000000006500129698</v>
      </c>
      <c r="P350" s="6">
        <v>0.049751243781094</v>
      </c>
      <c r="Q350" s="6">
        <v>0.0625</v>
      </c>
      <c r="R350" s="6">
        <v>0.9584</v>
      </c>
      <c r="S350" s="6">
        <v>0.9584</v>
      </c>
      <c r="T350" s="6">
        <v>19.0825870646766</v>
      </c>
    </row>
    <row r="351">
      <c r="A351" s="5" t="s">
        <v>63</v>
      </c>
      <c r="B351" s="6" t="s">
        <v>391</v>
      </c>
      <c r="C351" s="7" t="s">
        <v>82</v>
      </c>
      <c r="D351" s="8" t="s">
        <v>421</v>
      </c>
      <c r="E351" s="9">
        <v>45391.0</v>
      </c>
      <c r="F351" s="6">
        <v>5.0</v>
      </c>
      <c r="G351" s="6">
        <v>1.0</v>
      </c>
      <c r="H351" s="6">
        <v>1.0</v>
      </c>
      <c r="I351" s="6">
        <v>1.0</v>
      </c>
      <c r="J351" s="6">
        <v>1.0</v>
      </c>
      <c r="K351" s="14">
        <v>0.622649252414703</v>
      </c>
      <c r="L351" s="14">
        <v>0.164114117622375</v>
      </c>
      <c r="M351" s="14">
        <v>-0.145786553621292</v>
      </c>
      <c r="N351" s="11">
        <v>-0.14578661</v>
      </c>
      <c r="O351" s="6">
        <f t="shared" si="1"/>
        <v>0.00000005637870801</v>
      </c>
      <c r="P351" s="6">
        <v>0.048484848484848</v>
      </c>
      <c r="Q351" s="6">
        <v>0.04375</v>
      </c>
      <c r="R351" s="6">
        <v>0.9832</v>
      </c>
      <c r="S351" s="6">
        <v>0.9832</v>
      </c>
      <c r="T351" s="6">
        <v>20.6136363636364</v>
      </c>
    </row>
    <row r="352">
      <c r="A352" s="5" t="s">
        <v>84</v>
      </c>
      <c r="B352" s="6" t="s">
        <v>391</v>
      </c>
      <c r="C352" s="7" t="s">
        <v>85</v>
      </c>
      <c r="D352" s="8" t="s">
        <v>422</v>
      </c>
      <c r="E352" s="9">
        <v>45391.0</v>
      </c>
      <c r="F352" s="6">
        <v>5.0</v>
      </c>
      <c r="G352" s="6">
        <v>1.0</v>
      </c>
      <c r="H352" s="6">
        <v>3.0</v>
      </c>
      <c r="I352" s="6">
        <v>7.0</v>
      </c>
      <c r="J352" s="6">
        <v>3.0</v>
      </c>
      <c r="K352" s="14">
        <v>0.618325471878051</v>
      </c>
      <c r="L352" s="14">
        <v>0.138141855597496</v>
      </c>
      <c r="M352" s="14">
        <v>0.0968387797474861</v>
      </c>
      <c r="N352" s="11">
        <v>0.0968389</v>
      </c>
      <c r="O352" s="6">
        <f t="shared" si="1"/>
        <v>-0.0000001202525139</v>
      </c>
      <c r="P352" s="6">
        <v>0.031088082901554</v>
      </c>
      <c r="Q352" s="6">
        <v>0.027932960893854</v>
      </c>
      <c r="R352" s="6">
        <v>0.9901</v>
      </c>
      <c r="S352" s="6">
        <v>0.9901</v>
      </c>
      <c r="T352" s="6">
        <v>20.0492474710091</v>
      </c>
    </row>
    <row r="353">
      <c r="A353" s="5" t="s">
        <v>84</v>
      </c>
      <c r="B353" s="6" t="s">
        <v>391</v>
      </c>
      <c r="C353" s="7" t="s">
        <v>87</v>
      </c>
      <c r="D353" s="8" t="s">
        <v>423</v>
      </c>
      <c r="E353" s="9">
        <v>45391.0</v>
      </c>
      <c r="F353" s="6">
        <v>5.0</v>
      </c>
      <c r="G353" s="6">
        <v>1.0</v>
      </c>
      <c r="H353" s="6">
        <v>1.0</v>
      </c>
      <c r="I353" s="6">
        <v>7.0</v>
      </c>
      <c r="J353" s="6">
        <v>1.0</v>
      </c>
      <c r="K353" s="14">
        <v>0.614738881587982</v>
      </c>
      <c r="L353" s="14">
        <v>0.143028736114501</v>
      </c>
      <c r="M353" s="14">
        <v>0.0347081497311592</v>
      </c>
      <c r="N353" s="11">
        <v>0.03470817</v>
      </c>
      <c r="O353" s="6">
        <f t="shared" si="1"/>
        <v>-0.0000000202688408</v>
      </c>
      <c r="P353" s="6">
        <v>0.035714285714285</v>
      </c>
      <c r="Q353" s="6">
        <v>0.051851851851851</v>
      </c>
      <c r="R353" s="6">
        <v>0.7202</v>
      </c>
      <c r="S353" s="6">
        <v>0.7202</v>
      </c>
      <c r="T353" s="6">
        <v>21.4285714285714</v>
      </c>
    </row>
    <row r="354">
      <c r="A354" s="5" t="s">
        <v>84</v>
      </c>
      <c r="B354" s="6" t="s">
        <v>391</v>
      </c>
      <c r="C354" s="7" t="s">
        <v>89</v>
      </c>
      <c r="D354" s="8" t="s">
        <v>424</v>
      </c>
      <c r="E354" s="9">
        <v>45391.0</v>
      </c>
      <c r="F354" s="6">
        <v>5.0</v>
      </c>
      <c r="G354" s="6">
        <v>1.0</v>
      </c>
      <c r="H354" s="6">
        <v>3.0</v>
      </c>
      <c r="I354" s="6">
        <v>7.0</v>
      </c>
      <c r="J354" s="6">
        <v>3.0</v>
      </c>
      <c r="K354" s="14">
        <v>0.628787755966186</v>
      </c>
      <c r="L354" s="14">
        <v>0.153095111250877</v>
      </c>
      <c r="M354" s="14">
        <v>-0.141416579484939</v>
      </c>
      <c r="N354" s="11">
        <v>-0.14141692</v>
      </c>
      <c r="O354" s="6">
        <f t="shared" si="1"/>
        <v>0.000000340515061</v>
      </c>
      <c r="P354" s="6">
        <v>0.01673640167364</v>
      </c>
      <c r="Q354" s="6">
        <v>0.035874439461883</v>
      </c>
      <c r="R354" s="6">
        <v>0.9786</v>
      </c>
      <c r="S354" s="6">
        <v>-0.9786</v>
      </c>
      <c r="T354" s="6">
        <v>21.060287429507</v>
      </c>
    </row>
    <row r="355">
      <c r="A355" s="5" t="s">
        <v>84</v>
      </c>
      <c r="B355" s="6" t="s">
        <v>391</v>
      </c>
      <c r="C355" s="7" t="s">
        <v>91</v>
      </c>
      <c r="D355" s="8" t="s">
        <v>425</v>
      </c>
      <c r="E355" s="9">
        <v>45391.0</v>
      </c>
      <c r="F355" s="6">
        <v>1.0</v>
      </c>
      <c r="G355" s="6">
        <v>1.0</v>
      </c>
      <c r="H355" s="6">
        <v>1.0</v>
      </c>
      <c r="I355" s="6">
        <v>1.0</v>
      </c>
      <c r="J355" s="6">
        <v>1.0</v>
      </c>
      <c r="K355" s="14">
        <v>0.636352837085723</v>
      </c>
      <c r="L355" s="14">
        <v>0.153766840696334</v>
      </c>
      <c r="M355" s="14">
        <v>0.10728995501995</v>
      </c>
      <c r="N355" s="11">
        <v>0.10729</v>
      </c>
      <c r="O355" s="6">
        <f t="shared" si="1"/>
        <v>-0.00000004498004999</v>
      </c>
      <c r="P355" s="6">
        <v>0.04313725490196</v>
      </c>
      <c r="Q355" s="6">
        <v>0.008333333333333</v>
      </c>
      <c r="R355" s="6">
        <v>0.9948</v>
      </c>
      <c r="S355" s="6">
        <v>0.9948</v>
      </c>
      <c r="T355" s="6">
        <v>20.8774509803922</v>
      </c>
    </row>
    <row r="356">
      <c r="A356" s="5" t="s">
        <v>84</v>
      </c>
      <c r="B356" s="6" t="s">
        <v>391</v>
      </c>
      <c r="C356" s="7" t="s">
        <v>93</v>
      </c>
      <c r="D356" s="8" t="s">
        <v>426</v>
      </c>
      <c r="E356" s="9">
        <v>45391.0</v>
      </c>
      <c r="F356" s="6">
        <v>1.0</v>
      </c>
      <c r="G356" s="6">
        <v>1.0</v>
      </c>
      <c r="H356" s="6">
        <v>1.0</v>
      </c>
      <c r="I356" s="6">
        <v>7.0</v>
      </c>
      <c r="J356" s="6">
        <v>1.0</v>
      </c>
      <c r="K356" s="14">
        <v>0.628507316112518</v>
      </c>
      <c r="L356" s="14">
        <v>0.159720957279205</v>
      </c>
      <c r="M356" s="14">
        <v>0.0252523273229599</v>
      </c>
      <c r="N356" s="11">
        <v>0.025252178</v>
      </c>
      <c r="O356" s="6">
        <f t="shared" si="1"/>
        <v>0.0000001493229599</v>
      </c>
      <c r="P356" s="6">
        <v>0.041791044776119</v>
      </c>
      <c r="Q356" s="6">
        <v>0.018927444794952</v>
      </c>
      <c r="R356" s="6">
        <v>0.9899</v>
      </c>
      <c r="S356" s="6">
        <v>0.9899</v>
      </c>
      <c r="T356" s="6">
        <v>22.449118046133</v>
      </c>
    </row>
    <row r="357">
      <c r="A357" s="5" t="s">
        <v>84</v>
      </c>
      <c r="B357" s="6" t="s">
        <v>391</v>
      </c>
      <c r="C357" s="7" t="s">
        <v>95</v>
      </c>
      <c r="D357" s="8" t="s">
        <v>427</v>
      </c>
      <c r="E357" s="9">
        <v>45391.0</v>
      </c>
      <c r="F357" s="6">
        <v>5.0</v>
      </c>
      <c r="G357" s="6">
        <v>1.0</v>
      </c>
      <c r="H357" s="6">
        <v>1.0</v>
      </c>
      <c r="I357" s="6">
        <v>1.0</v>
      </c>
      <c r="J357" s="6">
        <v>1.0</v>
      </c>
      <c r="K357" s="14">
        <v>0.637750804424285</v>
      </c>
      <c r="L357" s="14">
        <v>0.1742904484272</v>
      </c>
      <c r="M357" s="14">
        <v>-0.165610402822494</v>
      </c>
      <c r="N357" s="11">
        <v>-0.16561046</v>
      </c>
      <c r="O357" s="6">
        <f t="shared" si="1"/>
        <v>0.00000005717750598</v>
      </c>
      <c r="P357" s="6">
        <v>0.036363636363636</v>
      </c>
      <c r="Q357" s="6">
        <v>0.037453183520599</v>
      </c>
      <c r="R357" s="6">
        <v>0.9774</v>
      </c>
      <c r="S357" s="6">
        <v>0.9774</v>
      </c>
      <c r="T357" s="6">
        <v>20.5111111111111</v>
      </c>
    </row>
    <row r="358">
      <c r="A358" s="5" t="s">
        <v>84</v>
      </c>
      <c r="B358" s="6" t="s">
        <v>391</v>
      </c>
      <c r="C358" s="7" t="s">
        <v>97</v>
      </c>
      <c r="D358" s="8" t="s">
        <v>428</v>
      </c>
      <c r="E358" s="9">
        <v>45391.0</v>
      </c>
      <c r="F358" s="6">
        <v>5.0</v>
      </c>
      <c r="G358" s="6">
        <v>1.0</v>
      </c>
      <c r="H358" s="6">
        <v>1.0</v>
      </c>
      <c r="I358" s="6">
        <v>1.0</v>
      </c>
      <c r="J358" s="6">
        <v>1.0</v>
      </c>
      <c r="K358" s="14">
        <v>0.627885580062866</v>
      </c>
      <c r="L358" s="14">
        <v>0.144978955388069</v>
      </c>
      <c r="M358" s="14">
        <v>0.122654557228088</v>
      </c>
      <c r="N358" s="11">
        <v>0.12265461</v>
      </c>
      <c r="O358" s="6">
        <f t="shared" si="1"/>
        <v>-0.00000005277191199</v>
      </c>
      <c r="P358" s="6">
        <v>0.051948051948051</v>
      </c>
      <c r="Q358" s="6">
        <v>0.018970189701897</v>
      </c>
      <c r="R358" s="6">
        <v>0.9945</v>
      </c>
      <c r="S358" s="6">
        <v>0.9945</v>
      </c>
      <c r="T358" s="6">
        <v>21.6220331392745</v>
      </c>
    </row>
    <row r="359">
      <c r="A359" s="5" t="s">
        <v>84</v>
      </c>
      <c r="B359" s="6" t="s">
        <v>391</v>
      </c>
      <c r="C359" s="7" t="s">
        <v>99</v>
      </c>
      <c r="D359" s="8" t="s">
        <v>429</v>
      </c>
      <c r="E359" s="9">
        <v>45391.0</v>
      </c>
      <c r="F359" s="6">
        <v>5.0</v>
      </c>
      <c r="G359" s="6">
        <v>1.0</v>
      </c>
      <c r="H359" s="6">
        <v>3.0</v>
      </c>
      <c r="I359" s="6">
        <v>1.0</v>
      </c>
      <c r="J359" s="6">
        <v>3.0</v>
      </c>
      <c r="K359" s="14">
        <v>0.619472086429596</v>
      </c>
      <c r="L359" s="14">
        <v>0.133887007832527</v>
      </c>
      <c r="M359" s="14">
        <v>-0.0126644074916839</v>
      </c>
      <c r="N359" s="11">
        <v>-0.0126646925</v>
      </c>
      <c r="O359" s="6">
        <f t="shared" si="1"/>
        <v>0.0000002850083161</v>
      </c>
      <c r="P359" s="6">
        <v>0.035040431266846</v>
      </c>
      <c r="Q359" s="6">
        <v>0.017045454545454</v>
      </c>
      <c r="R359" s="6">
        <v>0.9982</v>
      </c>
      <c r="S359" s="6">
        <v>0.9982</v>
      </c>
      <c r="T359" s="6">
        <v>23.3938704202855</v>
      </c>
    </row>
    <row r="360">
      <c r="A360" s="5" t="s">
        <v>84</v>
      </c>
      <c r="B360" s="6" t="s">
        <v>391</v>
      </c>
      <c r="C360" s="7" t="s">
        <v>101</v>
      </c>
      <c r="D360" s="8" t="s">
        <v>430</v>
      </c>
      <c r="E360" s="9">
        <v>45391.0</v>
      </c>
      <c r="F360" s="6">
        <v>5.0</v>
      </c>
      <c r="G360" s="6">
        <v>6.0</v>
      </c>
      <c r="H360" s="6">
        <v>1.0</v>
      </c>
      <c r="I360" s="6">
        <v>7.0</v>
      </c>
      <c r="J360" s="6">
        <v>1.0</v>
      </c>
      <c r="K360" s="14">
        <v>0.623918175697326</v>
      </c>
      <c r="L360" s="14">
        <v>0.13184830546379</v>
      </c>
      <c r="M360" s="14">
        <v>0.198013365268707</v>
      </c>
      <c r="N360" s="11">
        <v>0.1980135</v>
      </c>
      <c r="O360" s="6">
        <f t="shared" si="1"/>
        <v>-0.000000134731293</v>
      </c>
      <c r="P360" s="6">
        <v>0.066508313539192</v>
      </c>
      <c r="Q360" s="6">
        <v>0.027363184079601</v>
      </c>
      <c r="R360" s="6">
        <v>0.9967</v>
      </c>
      <c r="S360" s="6">
        <v>-0.9967</v>
      </c>
      <c r="T360" s="6">
        <v>21.8639036776149</v>
      </c>
    </row>
    <row r="361">
      <c r="A361" s="5" t="s">
        <v>84</v>
      </c>
      <c r="B361" s="6" t="s">
        <v>391</v>
      </c>
      <c r="C361" s="7" t="s">
        <v>103</v>
      </c>
      <c r="D361" s="8" t="s">
        <v>431</v>
      </c>
      <c r="E361" s="9">
        <v>45391.0</v>
      </c>
      <c r="F361" s="6">
        <v>5.0</v>
      </c>
      <c r="G361" s="6">
        <v>1.0</v>
      </c>
      <c r="H361" s="6">
        <v>1.0</v>
      </c>
      <c r="I361" s="6">
        <v>7.0</v>
      </c>
      <c r="J361" s="6">
        <v>1.0</v>
      </c>
      <c r="K361" s="14">
        <v>0.616283535957336</v>
      </c>
      <c r="L361" s="14">
        <v>0.17854756116867</v>
      </c>
      <c r="M361" s="14">
        <v>-0.0241125728935003</v>
      </c>
      <c r="N361" s="11">
        <v>-0.024112437</v>
      </c>
      <c r="O361" s="6">
        <f t="shared" si="1"/>
        <v>-0.0000001358935003</v>
      </c>
      <c r="P361" s="6">
        <v>0.045851528384279</v>
      </c>
      <c r="Q361" s="6">
        <v>0.0848623853211</v>
      </c>
      <c r="R361" s="6">
        <v>0.9979</v>
      </c>
      <c r="S361" s="6">
        <v>0.9979</v>
      </c>
      <c r="T361" s="6">
        <v>20.3227331107115</v>
      </c>
    </row>
    <row r="362">
      <c r="A362" s="5" t="s">
        <v>20</v>
      </c>
      <c r="B362" s="6" t="s">
        <v>432</v>
      </c>
      <c r="C362" s="7" t="s">
        <v>22</v>
      </c>
      <c r="D362" s="7" t="s">
        <v>106</v>
      </c>
      <c r="E362" s="9">
        <v>45425.0</v>
      </c>
      <c r="F362" s="6">
        <v>1.0</v>
      </c>
      <c r="G362" s="6">
        <v>1.0</v>
      </c>
      <c r="H362" s="6">
        <v>6.0</v>
      </c>
      <c r="I362" s="6">
        <v>1.0</v>
      </c>
      <c r="J362" s="6">
        <v>7.0</v>
      </c>
      <c r="K362" s="14">
        <v>0.626280009746551</v>
      </c>
      <c r="L362" s="14">
        <v>0.169209048151969</v>
      </c>
      <c r="M362" s="16">
        <v>0.0655114203691482</v>
      </c>
      <c r="N362" s="11">
        <v>0.06551135</v>
      </c>
      <c r="O362" s="6">
        <f t="shared" si="1"/>
        <v>0.0000000703691482</v>
      </c>
      <c r="P362" s="6">
        <v>0.025</v>
      </c>
      <c r="Q362" s="6">
        <v>0.05714285714</v>
      </c>
      <c r="R362" s="6">
        <v>0.8462</v>
      </c>
      <c r="S362" s="6">
        <v>0.8462</v>
      </c>
      <c r="T362" s="6">
        <v>17.33333333</v>
      </c>
    </row>
    <row r="363">
      <c r="A363" s="5" t="s">
        <v>20</v>
      </c>
      <c r="B363" s="6" t="s">
        <v>432</v>
      </c>
      <c r="C363" s="7" t="s">
        <v>24</v>
      </c>
      <c r="D363" s="7" t="s">
        <v>107</v>
      </c>
      <c r="E363" s="9">
        <v>45425.0</v>
      </c>
      <c r="F363" s="6">
        <v>1.0</v>
      </c>
      <c r="G363" s="6">
        <v>5.0</v>
      </c>
      <c r="H363" s="6">
        <v>6.0</v>
      </c>
      <c r="I363" s="6">
        <v>1.0</v>
      </c>
      <c r="J363" s="6">
        <v>7.0</v>
      </c>
      <c r="K363" s="14">
        <v>0.643461823463439</v>
      </c>
      <c r="L363" s="14">
        <v>0.209639281034469</v>
      </c>
      <c r="M363" s="16">
        <v>0.0858942866325378</v>
      </c>
      <c r="N363" s="11">
        <v>0.08589434</v>
      </c>
      <c r="O363" s="6">
        <f t="shared" si="1"/>
        <v>-0.0000000533674622</v>
      </c>
      <c r="P363" s="6">
        <v>0.02247191011</v>
      </c>
      <c r="Q363" s="6">
        <v>0.04819277108</v>
      </c>
      <c r="R363" s="6">
        <v>0.9914</v>
      </c>
      <c r="S363" s="6">
        <v>0.9914</v>
      </c>
      <c r="T363" s="6">
        <v>17.43932584</v>
      </c>
    </row>
    <row r="364">
      <c r="A364" s="5" t="s">
        <v>20</v>
      </c>
      <c r="B364" s="6" t="s">
        <v>432</v>
      </c>
      <c r="C364" s="7" t="s">
        <v>26</v>
      </c>
      <c r="D364" s="7" t="s">
        <v>108</v>
      </c>
      <c r="E364" s="9">
        <v>45425.0</v>
      </c>
      <c r="F364" s="6">
        <v>1.0</v>
      </c>
      <c r="G364" s="6">
        <v>1.0</v>
      </c>
      <c r="H364" s="6">
        <v>6.0</v>
      </c>
      <c r="I364" s="6">
        <v>1.0</v>
      </c>
      <c r="J364" s="6">
        <v>7.0</v>
      </c>
      <c r="K364" s="14">
        <v>0.625999927520752</v>
      </c>
      <c r="L364" s="14">
        <v>0.241792887449264</v>
      </c>
      <c r="M364" s="16">
        <v>0.0679649114608764</v>
      </c>
      <c r="N364" s="11">
        <v>0.067964904</v>
      </c>
      <c r="O364" s="6">
        <f t="shared" si="1"/>
        <v>0.000000007460876389</v>
      </c>
      <c r="P364" s="6">
        <v>0.0</v>
      </c>
      <c r="Q364" s="6">
        <v>0.08823529412</v>
      </c>
      <c r="R364" s="6">
        <v>0.892</v>
      </c>
      <c r="S364" s="6">
        <v>0.892</v>
      </c>
      <c r="T364" s="6">
        <v>17.2</v>
      </c>
    </row>
    <row r="365">
      <c r="A365" s="5" t="s">
        <v>20</v>
      </c>
      <c r="B365" s="6" t="s">
        <v>432</v>
      </c>
      <c r="C365" s="7" t="s">
        <v>28</v>
      </c>
      <c r="D365" s="7" t="s">
        <v>109</v>
      </c>
      <c r="E365" s="9">
        <v>45425.0</v>
      </c>
      <c r="F365" s="6">
        <v>1.0</v>
      </c>
      <c r="G365" s="6">
        <v>5.0</v>
      </c>
      <c r="H365" s="6">
        <v>6.0</v>
      </c>
      <c r="I365" s="6">
        <v>1.0</v>
      </c>
      <c r="J365" s="6">
        <v>7.0</v>
      </c>
      <c r="K365" s="14">
        <v>0.61517196893692</v>
      </c>
      <c r="L365" s="14">
        <v>0.174175128340721</v>
      </c>
      <c r="M365" s="16">
        <v>0.00562063232064247</v>
      </c>
      <c r="N365" s="11">
        <v>0.005620603</v>
      </c>
      <c r="O365" s="6">
        <f t="shared" si="1"/>
        <v>0.00000002932064247</v>
      </c>
      <c r="P365" s="6">
        <v>0.03921568627</v>
      </c>
      <c r="Q365" s="6">
        <v>0.09090909091</v>
      </c>
      <c r="R365" s="6">
        <v>0.8883</v>
      </c>
      <c r="S365" s="6">
        <v>0.8883</v>
      </c>
      <c r="T365" s="6">
        <v>14.64313725</v>
      </c>
    </row>
    <row r="366">
      <c r="A366" s="5" t="s">
        <v>20</v>
      </c>
      <c r="B366" s="6" t="s">
        <v>432</v>
      </c>
      <c r="C366" s="7" t="s">
        <v>30</v>
      </c>
      <c r="D366" s="7" t="s">
        <v>110</v>
      </c>
      <c r="E366" s="9">
        <v>45425.0</v>
      </c>
      <c r="F366" s="6">
        <v>1.0</v>
      </c>
      <c r="G366" s="6">
        <v>1.0</v>
      </c>
      <c r="H366" s="6">
        <v>6.0</v>
      </c>
      <c r="I366" s="6">
        <v>1.0</v>
      </c>
      <c r="J366" s="6">
        <v>7.0</v>
      </c>
      <c r="K366" s="14">
        <v>0.650757789611816</v>
      </c>
      <c r="L366" s="14">
        <v>0.250110834836959</v>
      </c>
      <c r="M366" s="16">
        <v>-0.0881157293915748</v>
      </c>
      <c r="N366" s="11">
        <v>-0.08811569</v>
      </c>
      <c r="O366" s="6">
        <f t="shared" si="1"/>
        <v>-0.00000003939157481</v>
      </c>
      <c r="P366" s="6">
        <v>0.02</v>
      </c>
      <c r="Q366" s="6">
        <v>0.08695652174</v>
      </c>
      <c r="R366" s="6">
        <v>0.9404</v>
      </c>
      <c r="S366" s="6">
        <v>0.9404</v>
      </c>
      <c r="T366" s="6">
        <v>17.8</v>
      </c>
    </row>
    <row r="367">
      <c r="A367" s="5" t="s">
        <v>20</v>
      </c>
      <c r="B367" s="6" t="s">
        <v>432</v>
      </c>
      <c r="C367" s="7" t="s">
        <v>32</v>
      </c>
      <c r="D367" s="7" t="s">
        <v>111</v>
      </c>
      <c r="E367" s="9">
        <v>45425.0</v>
      </c>
      <c r="F367" s="6">
        <v>3.0</v>
      </c>
      <c r="G367" s="6">
        <v>1.0</v>
      </c>
      <c r="H367" s="6">
        <v>6.0</v>
      </c>
      <c r="I367" s="6">
        <v>1.0</v>
      </c>
      <c r="J367" s="6">
        <v>7.0</v>
      </c>
      <c r="K367" s="14">
        <v>0.61173129081726</v>
      </c>
      <c r="L367" s="14">
        <v>0.178488090634346</v>
      </c>
      <c r="M367" s="16">
        <v>0.00532030873000621</v>
      </c>
      <c r="N367" s="11">
        <v>0.005320553</v>
      </c>
      <c r="O367" s="6">
        <f t="shared" si="1"/>
        <v>-0.0000002442699938</v>
      </c>
      <c r="P367" s="6">
        <v>0.02898550725</v>
      </c>
      <c r="Q367" s="6">
        <v>0.06451612903</v>
      </c>
      <c r="R367" s="6">
        <v>0.2942</v>
      </c>
      <c r="S367" s="6">
        <v>0.2942</v>
      </c>
      <c r="T367" s="6">
        <v>22.53333333</v>
      </c>
    </row>
    <row r="368">
      <c r="A368" s="5" t="s">
        <v>20</v>
      </c>
      <c r="B368" s="6" t="s">
        <v>432</v>
      </c>
      <c r="C368" s="7" t="s">
        <v>34</v>
      </c>
      <c r="D368" s="7" t="s">
        <v>112</v>
      </c>
      <c r="E368" s="9">
        <v>45425.0</v>
      </c>
      <c r="F368" s="6">
        <v>1.0</v>
      </c>
      <c r="G368" s="6">
        <v>5.0</v>
      </c>
      <c r="H368" s="6">
        <v>6.0</v>
      </c>
      <c r="I368" s="6">
        <v>1.0</v>
      </c>
      <c r="J368" s="6">
        <v>7.0</v>
      </c>
      <c r="K368" s="14">
        <v>0.647050201892852</v>
      </c>
      <c r="L368" s="14">
        <v>0.247984826564788</v>
      </c>
      <c r="M368" s="16">
        <v>0.0027726162225008</v>
      </c>
      <c r="N368" s="11">
        <v>0.0027727452</v>
      </c>
      <c r="O368" s="6">
        <f t="shared" si="1"/>
        <v>-0.0000001289774992</v>
      </c>
      <c r="P368" s="6">
        <v>0.02777777778</v>
      </c>
      <c r="Q368" s="6">
        <v>0.08823529412</v>
      </c>
      <c r="R368" s="6">
        <v>0.8968</v>
      </c>
      <c r="S368" s="6">
        <v>0.8968</v>
      </c>
      <c r="T368" s="6">
        <v>17.02222222</v>
      </c>
    </row>
    <row r="369">
      <c r="A369" s="5" t="s">
        <v>20</v>
      </c>
      <c r="B369" s="6" t="s">
        <v>432</v>
      </c>
      <c r="C369" s="7" t="s">
        <v>36</v>
      </c>
      <c r="D369" s="7" t="s">
        <v>113</v>
      </c>
      <c r="E369" s="9">
        <v>45425.0</v>
      </c>
      <c r="F369" s="6">
        <v>1.0</v>
      </c>
      <c r="G369" s="6">
        <v>1.0</v>
      </c>
      <c r="H369" s="6">
        <v>6.0</v>
      </c>
      <c r="I369" s="6">
        <v>1.0</v>
      </c>
      <c r="J369" s="6">
        <v>7.0</v>
      </c>
      <c r="K369" s="14">
        <v>0.625319063663482</v>
      </c>
      <c r="L369" s="14">
        <v>0.219038441777229</v>
      </c>
      <c r="M369" s="16">
        <v>-0.0608815923333168</v>
      </c>
      <c r="N369" s="11">
        <v>-0.06088157</v>
      </c>
      <c r="O369" s="6">
        <f t="shared" si="1"/>
        <v>-0.0000000223333168</v>
      </c>
      <c r="P369" s="6">
        <v>0.02777777778</v>
      </c>
      <c r="Q369" s="6">
        <v>0.08823529412</v>
      </c>
      <c r="R369" s="6">
        <v>0.8968</v>
      </c>
      <c r="S369" s="6">
        <v>0.8968</v>
      </c>
      <c r="T369" s="6">
        <v>17.02222222</v>
      </c>
    </row>
    <row r="370">
      <c r="A370" s="5" t="s">
        <v>20</v>
      </c>
      <c r="B370" s="6" t="s">
        <v>432</v>
      </c>
      <c r="C370" s="7" t="s">
        <v>38</v>
      </c>
      <c r="D370" s="7" t="s">
        <v>114</v>
      </c>
      <c r="E370" s="9">
        <v>45425.0</v>
      </c>
      <c r="F370" s="6">
        <v>1.0</v>
      </c>
      <c r="G370" s="6">
        <v>1.0</v>
      </c>
      <c r="H370" s="6">
        <v>6.0</v>
      </c>
      <c r="I370" s="6">
        <v>1.0</v>
      </c>
      <c r="J370" s="6">
        <v>7.0</v>
      </c>
      <c r="K370" s="14">
        <v>0.617761671543121</v>
      </c>
      <c r="L370" s="14">
        <v>0.203554689884185</v>
      </c>
      <c r="M370" s="16">
        <v>0.00803945213556289</v>
      </c>
      <c r="N370" s="11">
        <v>0.008039767</v>
      </c>
      <c r="O370" s="6">
        <f t="shared" si="1"/>
        <v>-0.0000003148644371</v>
      </c>
      <c r="P370" s="6">
        <v>0.0</v>
      </c>
      <c r="Q370" s="6">
        <v>0.1272727273</v>
      </c>
      <c r="R370" s="6">
        <v>0.9398</v>
      </c>
      <c r="S370" s="6">
        <v>0.9398</v>
      </c>
      <c r="T370" s="6">
        <v>19.93559322</v>
      </c>
    </row>
    <row r="371">
      <c r="A371" s="5" t="s">
        <v>20</v>
      </c>
      <c r="B371" s="6" t="s">
        <v>432</v>
      </c>
      <c r="C371" s="7" t="s">
        <v>40</v>
      </c>
      <c r="D371" s="7" t="s">
        <v>115</v>
      </c>
      <c r="E371" s="9">
        <v>45425.0</v>
      </c>
      <c r="F371" s="6">
        <v>1.0</v>
      </c>
      <c r="G371" s="6">
        <v>1.0</v>
      </c>
      <c r="H371" s="6">
        <v>6.0</v>
      </c>
      <c r="I371" s="6">
        <v>2.0</v>
      </c>
      <c r="J371" s="6">
        <v>7.0</v>
      </c>
      <c r="K371" s="14">
        <v>0.63271427154541</v>
      </c>
      <c r="L371" s="14">
        <v>0.225650459527969</v>
      </c>
      <c r="M371" s="16">
        <v>0.0256363861262798</v>
      </c>
      <c r="N371" s="11">
        <v>0.025636189</v>
      </c>
      <c r="O371" s="6">
        <f t="shared" si="1"/>
        <v>0.0000001971262798</v>
      </c>
      <c r="P371" s="6">
        <v>0.02564102564</v>
      </c>
      <c r="Q371" s="6">
        <v>0.09210526316</v>
      </c>
      <c r="R371" s="6">
        <v>0.7096</v>
      </c>
      <c r="S371" s="6">
        <v>0.7096</v>
      </c>
      <c r="T371" s="6">
        <v>18.05641026</v>
      </c>
    </row>
    <row r="372">
      <c r="A372" s="5" t="s">
        <v>42</v>
      </c>
      <c r="B372" s="6" t="s">
        <v>432</v>
      </c>
      <c r="C372" s="7" t="s">
        <v>43</v>
      </c>
      <c r="D372" s="7" t="s">
        <v>116</v>
      </c>
      <c r="E372" s="9">
        <v>45425.0</v>
      </c>
      <c r="F372" s="6">
        <v>1.0</v>
      </c>
      <c r="G372" s="6">
        <v>1.0</v>
      </c>
      <c r="H372" s="6">
        <v>6.0</v>
      </c>
      <c r="I372" s="6">
        <v>1.0</v>
      </c>
      <c r="J372" s="6">
        <v>7.0</v>
      </c>
      <c r="K372" s="14">
        <v>0.639470100402832</v>
      </c>
      <c r="L372" s="14">
        <v>0.216322898864746</v>
      </c>
      <c r="M372" s="16">
        <v>0.00911720469594001</v>
      </c>
      <c r="N372" s="11">
        <v>0.009117333</v>
      </c>
      <c r="O372" s="6">
        <f t="shared" si="1"/>
        <v>-0.00000012830406</v>
      </c>
      <c r="P372" s="6">
        <v>0.02258064516</v>
      </c>
      <c r="Q372" s="6">
        <v>0.06440677966</v>
      </c>
      <c r="R372" s="6">
        <v>0.9985</v>
      </c>
      <c r="S372" s="6">
        <v>0.9985</v>
      </c>
      <c r="T372" s="6">
        <v>15.30050934</v>
      </c>
    </row>
    <row r="373">
      <c r="A373" s="5" t="s">
        <v>42</v>
      </c>
      <c r="B373" s="6" t="s">
        <v>432</v>
      </c>
      <c r="C373" s="7" t="s">
        <v>45</v>
      </c>
      <c r="D373" s="7" t="s">
        <v>117</v>
      </c>
      <c r="E373" s="9">
        <v>45425.0</v>
      </c>
      <c r="F373" s="6">
        <v>3.0</v>
      </c>
      <c r="G373" s="6">
        <v>5.0</v>
      </c>
      <c r="H373" s="6">
        <v>6.0</v>
      </c>
      <c r="I373" s="6">
        <v>1.0</v>
      </c>
      <c r="J373" s="6">
        <v>7.0</v>
      </c>
      <c r="K373" s="14">
        <v>0.62841910123825</v>
      </c>
      <c r="L373" s="14">
        <v>0.197799861431121</v>
      </c>
      <c r="M373" s="16">
        <v>-0.0529797151684761</v>
      </c>
      <c r="N373" s="11">
        <v>-0.05297968</v>
      </c>
      <c r="O373" s="6">
        <f t="shared" si="1"/>
        <v>-0.0000000351684761</v>
      </c>
      <c r="P373" s="6">
        <v>0.03278688525</v>
      </c>
      <c r="Q373" s="6">
        <v>0.05263157895</v>
      </c>
      <c r="R373" s="6">
        <v>0.9694</v>
      </c>
      <c r="S373" s="6">
        <v>0.9694</v>
      </c>
      <c r="T373" s="6">
        <v>16.6579235</v>
      </c>
    </row>
    <row r="374">
      <c r="A374" s="5" t="s">
        <v>42</v>
      </c>
      <c r="B374" s="6" t="s">
        <v>432</v>
      </c>
      <c r="C374" s="7" t="s">
        <v>47</v>
      </c>
      <c r="D374" s="7" t="s">
        <v>118</v>
      </c>
      <c r="E374" s="9">
        <v>45425.0</v>
      </c>
      <c r="F374" s="6">
        <v>1.0</v>
      </c>
      <c r="G374" s="6">
        <v>5.0</v>
      </c>
      <c r="H374" s="6">
        <v>6.0</v>
      </c>
      <c r="I374" s="6">
        <v>1.0</v>
      </c>
      <c r="J374" s="6">
        <v>7.0</v>
      </c>
      <c r="K374" s="14">
        <v>0.630386710166931</v>
      </c>
      <c r="L374" s="14">
        <v>0.183670237660408</v>
      </c>
      <c r="M374" s="16">
        <v>0.0293355360627174</v>
      </c>
      <c r="N374" s="11">
        <v>0.02933529</v>
      </c>
      <c r="O374" s="6">
        <f t="shared" si="1"/>
        <v>0.0000002460627174</v>
      </c>
      <c r="P374" s="6">
        <v>0.0404040404</v>
      </c>
      <c r="Q374" s="6">
        <v>0.09782608696</v>
      </c>
      <c r="R374" s="6">
        <v>0.7345</v>
      </c>
      <c r="S374" s="6">
        <v>0.7345</v>
      </c>
      <c r="T374" s="6">
        <v>19.66464646</v>
      </c>
    </row>
    <row r="375">
      <c r="A375" s="5" t="s">
        <v>42</v>
      </c>
      <c r="B375" s="6" t="s">
        <v>432</v>
      </c>
      <c r="C375" s="7" t="s">
        <v>49</v>
      </c>
      <c r="D375" s="7" t="s">
        <v>119</v>
      </c>
      <c r="E375" s="9">
        <v>45425.0</v>
      </c>
      <c r="F375" s="6">
        <v>3.0</v>
      </c>
      <c r="G375" s="6">
        <v>1.0</v>
      </c>
      <c r="H375" s="6">
        <v>6.0</v>
      </c>
      <c r="I375" s="6">
        <v>2.0</v>
      </c>
      <c r="J375" s="6">
        <v>7.0</v>
      </c>
      <c r="K375" s="14">
        <v>0.643882930278778</v>
      </c>
      <c r="L375" s="14">
        <v>0.209327429533004</v>
      </c>
      <c r="M375" s="16">
        <v>0.142586082220077</v>
      </c>
      <c r="N375" s="11">
        <v>0.14258592</v>
      </c>
      <c r="O375" s="6">
        <f t="shared" si="1"/>
        <v>0.000000162220077</v>
      </c>
      <c r="P375" s="6">
        <v>0.06513409962</v>
      </c>
      <c r="Q375" s="6">
        <v>0.09561752988</v>
      </c>
      <c r="R375" s="6">
        <v>0.9878</v>
      </c>
      <c r="S375" s="6">
        <v>0.9878</v>
      </c>
      <c r="T375" s="6">
        <v>19.5250221</v>
      </c>
    </row>
    <row r="376">
      <c r="A376" s="5" t="s">
        <v>42</v>
      </c>
      <c r="B376" s="6" t="s">
        <v>432</v>
      </c>
      <c r="C376" s="7" t="s">
        <v>51</v>
      </c>
      <c r="D376" s="7" t="s">
        <v>120</v>
      </c>
      <c r="E376" s="9">
        <v>45425.0</v>
      </c>
      <c r="F376" s="6">
        <v>1.0</v>
      </c>
      <c r="G376" s="6">
        <v>1.0</v>
      </c>
      <c r="H376" s="6">
        <v>6.0</v>
      </c>
      <c r="I376" s="6">
        <v>2.0</v>
      </c>
      <c r="J376" s="6">
        <v>7.0</v>
      </c>
      <c r="K376" s="14">
        <v>0.637239336967468</v>
      </c>
      <c r="L376" s="14">
        <v>0.214489981532096</v>
      </c>
      <c r="M376" s="16">
        <v>0.145246163010597</v>
      </c>
      <c r="N376" s="11">
        <v>0.14524625</v>
      </c>
      <c r="O376" s="6">
        <f t="shared" si="1"/>
        <v>-0.00000008698940299</v>
      </c>
      <c r="P376" s="6">
        <v>0.03037974684</v>
      </c>
      <c r="Q376" s="6">
        <v>0.06417112299</v>
      </c>
      <c r="R376" s="6">
        <v>0.991</v>
      </c>
      <c r="S376" s="6">
        <v>0.991</v>
      </c>
      <c r="T376" s="6">
        <v>19.02680566</v>
      </c>
    </row>
    <row r="377">
      <c r="A377" s="5" t="s">
        <v>42</v>
      </c>
      <c r="B377" s="6" t="s">
        <v>432</v>
      </c>
      <c r="C377" s="7" t="s">
        <v>53</v>
      </c>
      <c r="D377" s="7" t="s">
        <v>121</v>
      </c>
      <c r="E377" s="9">
        <v>45425.0</v>
      </c>
      <c r="F377" s="6">
        <v>1.0</v>
      </c>
      <c r="G377" s="6">
        <v>1.0</v>
      </c>
      <c r="H377" s="6">
        <v>6.0</v>
      </c>
      <c r="I377" s="6">
        <v>2.0</v>
      </c>
      <c r="J377" s="6">
        <v>7.0</v>
      </c>
      <c r="K377" s="14">
        <v>0.66459047794342</v>
      </c>
      <c r="L377" s="14">
        <v>0.244439736008644</v>
      </c>
      <c r="M377" s="16">
        <v>0.130878984928131</v>
      </c>
      <c r="N377" s="11">
        <v>0.13087893</v>
      </c>
      <c r="O377" s="6">
        <f t="shared" si="1"/>
        <v>0.00000005492813099</v>
      </c>
      <c r="P377" s="6">
        <v>0.02222222222</v>
      </c>
      <c r="Q377" s="6">
        <v>0.05217391304</v>
      </c>
      <c r="R377" s="6">
        <v>0.9944</v>
      </c>
      <c r="S377" s="6">
        <v>0.9944</v>
      </c>
      <c r="T377" s="6">
        <v>21.3015873</v>
      </c>
    </row>
    <row r="378">
      <c r="A378" s="5" t="s">
        <v>42</v>
      </c>
      <c r="B378" s="6" t="s">
        <v>432</v>
      </c>
      <c r="C378" s="7" t="s">
        <v>55</v>
      </c>
      <c r="D378" s="7" t="s">
        <v>122</v>
      </c>
      <c r="E378" s="9">
        <v>45425.0</v>
      </c>
      <c r="F378" s="6">
        <v>8.0</v>
      </c>
      <c r="G378" s="6">
        <v>1.0</v>
      </c>
      <c r="H378" s="6">
        <v>6.0</v>
      </c>
      <c r="I378" s="6">
        <v>1.0</v>
      </c>
      <c r="J378" s="6">
        <v>7.0</v>
      </c>
      <c r="K378" s="14">
        <v>0.650430858135223</v>
      </c>
      <c r="L378" s="14">
        <v>0.17745266854763</v>
      </c>
      <c r="M378" s="16">
        <v>-0.10079651325941</v>
      </c>
      <c r="N378" s="11">
        <v>-0.10079642</v>
      </c>
      <c r="O378" s="6">
        <f t="shared" si="1"/>
        <v>-0.00000009325941</v>
      </c>
      <c r="P378" s="6">
        <v>0.04128440367</v>
      </c>
      <c r="Q378" s="6">
        <v>0.04057279236</v>
      </c>
      <c r="R378" s="6">
        <v>0.9865</v>
      </c>
      <c r="S378" s="6">
        <v>0.9865</v>
      </c>
      <c r="T378" s="6">
        <v>20.12525994</v>
      </c>
    </row>
    <row r="379">
      <c r="A379" s="5" t="s">
        <v>42</v>
      </c>
      <c r="B379" s="6" t="s">
        <v>432</v>
      </c>
      <c r="C379" s="7" t="s">
        <v>57</v>
      </c>
      <c r="D379" s="7" t="s">
        <v>123</v>
      </c>
      <c r="E379" s="9">
        <v>45425.0</v>
      </c>
      <c r="F379" s="6">
        <v>1.0</v>
      </c>
      <c r="G379" s="6">
        <v>1.0</v>
      </c>
      <c r="H379" s="6">
        <v>6.0</v>
      </c>
      <c r="I379" s="6">
        <v>1.0</v>
      </c>
      <c r="J379" s="6">
        <v>7.0</v>
      </c>
      <c r="K379" s="14">
        <v>0.651728093624115</v>
      </c>
      <c r="L379" s="14">
        <v>0.207601577043533</v>
      </c>
      <c r="M379" s="16">
        <v>-0.0112438574433326</v>
      </c>
      <c r="N379" s="11">
        <v>-0.011243835</v>
      </c>
      <c r="O379" s="6">
        <f t="shared" si="1"/>
        <v>-0.0000000224433326</v>
      </c>
      <c r="P379" s="6">
        <v>0.03174603175</v>
      </c>
      <c r="Q379" s="6">
        <v>0.05349794239</v>
      </c>
      <c r="R379" s="6">
        <v>0.937</v>
      </c>
      <c r="S379" s="6">
        <v>0.937</v>
      </c>
      <c r="T379" s="6">
        <v>23.57206349</v>
      </c>
    </row>
    <row r="380">
      <c r="A380" s="5" t="s">
        <v>42</v>
      </c>
      <c r="B380" s="6" t="s">
        <v>432</v>
      </c>
      <c r="C380" s="7" t="s">
        <v>59</v>
      </c>
      <c r="D380" s="7" t="s">
        <v>124</v>
      </c>
      <c r="E380" s="9">
        <v>45425.0</v>
      </c>
      <c r="F380" s="6">
        <v>1.0</v>
      </c>
      <c r="G380" s="6">
        <v>1.0</v>
      </c>
      <c r="H380" s="6">
        <v>6.0</v>
      </c>
      <c r="I380" s="6">
        <v>2.0</v>
      </c>
      <c r="J380" s="6">
        <v>7.0</v>
      </c>
      <c r="K380" s="14">
        <v>0.656861364841461</v>
      </c>
      <c r="L380" s="14">
        <v>0.225673466920852</v>
      </c>
      <c r="M380" s="16">
        <v>0.103602737188339</v>
      </c>
      <c r="N380" s="11">
        <v>0.1036028</v>
      </c>
      <c r="O380" s="6">
        <f t="shared" si="1"/>
        <v>-0.000000062811661</v>
      </c>
      <c r="P380" s="6">
        <v>0.03174603175</v>
      </c>
      <c r="Q380" s="6">
        <v>0.05349794239</v>
      </c>
      <c r="R380" s="6">
        <v>0.937</v>
      </c>
      <c r="S380" s="6">
        <v>0.937</v>
      </c>
      <c r="T380" s="6">
        <v>23.57206349</v>
      </c>
    </row>
    <row r="381">
      <c r="A381" s="5" t="s">
        <v>42</v>
      </c>
      <c r="B381" s="6" t="s">
        <v>432</v>
      </c>
      <c r="C381" s="7" t="s">
        <v>61</v>
      </c>
      <c r="D381" s="7" t="s">
        <v>125</v>
      </c>
      <c r="E381" s="9">
        <v>45425.0</v>
      </c>
      <c r="F381" s="6">
        <v>1.0</v>
      </c>
      <c r="G381" s="6">
        <v>1.0</v>
      </c>
      <c r="H381" s="6">
        <v>6.0</v>
      </c>
      <c r="I381" s="6">
        <v>3.0</v>
      </c>
      <c r="J381" s="6">
        <v>7.0</v>
      </c>
      <c r="K381" s="14">
        <v>0.601765632629394</v>
      </c>
      <c r="L381" s="14">
        <v>0.154148057103157</v>
      </c>
      <c r="M381" s="16">
        <v>0.103602737188339</v>
      </c>
      <c r="N381" s="11">
        <v>0.1036028</v>
      </c>
      <c r="O381" s="6">
        <f t="shared" si="1"/>
        <v>-0.000000062811661</v>
      </c>
      <c r="P381" s="6">
        <v>0.003831417625</v>
      </c>
      <c r="Q381" s="6">
        <v>0.09795918367</v>
      </c>
      <c r="R381" s="6">
        <v>0.9939</v>
      </c>
      <c r="S381" s="6">
        <v>0.9939</v>
      </c>
      <c r="T381" s="6">
        <v>21.05961686</v>
      </c>
    </row>
    <row r="382">
      <c r="A382" s="5" t="s">
        <v>63</v>
      </c>
      <c r="B382" s="6" t="s">
        <v>432</v>
      </c>
      <c r="C382" s="7" t="s">
        <v>64</v>
      </c>
      <c r="D382" s="7" t="s">
        <v>126</v>
      </c>
      <c r="E382" s="9">
        <v>45425.0</v>
      </c>
      <c r="F382" s="6">
        <v>8.0</v>
      </c>
      <c r="G382" s="6">
        <v>1.0</v>
      </c>
      <c r="H382" s="6">
        <v>6.0</v>
      </c>
      <c r="I382" s="6">
        <v>4.0</v>
      </c>
      <c r="J382" s="6">
        <v>7.0</v>
      </c>
      <c r="K382" s="14">
        <v>0.638274669647216</v>
      </c>
      <c r="L382" s="14">
        <v>0.19121053814888</v>
      </c>
      <c r="M382" s="16">
        <v>0.182268857955932</v>
      </c>
      <c r="N382" s="11">
        <v>0.18226884</v>
      </c>
      <c r="O382" s="6">
        <f t="shared" si="1"/>
        <v>0.00000001795593202</v>
      </c>
      <c r="P382" s="6">
        <v>0.05603448276</v>
      </c>
      <c r="Q382" s="6">
        <v>0.06181015453</v>
      </c>
      <c r="R382" s="6">
        <v>0.9986</v>
      </c>
      <c r="S382" s="6">
        <v>-0.9986</v>
      </c>
      <c r="T382" s="6">
        <v>16.48631139</v>
      </c>
    </row>
    <row r="383">
      <c r="A383" s="5" t="s">
        <v>63</v>
      </c>
      <c r="B383" s="6" t="s">
        <v>432</v>
      </c>
      <c r="C383" s="7" t="s">
        <v>66</v>
      </c>
      <c r="D383" s="7" t="s">
        <v>127</v>
      </c>
      <c r="E383" s="9">
        <v>45425.0</v>
      </c>
      <c r="F383" s="6">
        <v>8.0</v>
      </c>
      <c r="G383" s="6">
        <v>1.0</v>
      </c>
      <c r="H383" s="6">
        <v>6.0</v>
      </c>
      <c r="I383" s="6">
        <v>4.0</v>
      </c>
      <c r="J383" s="6">
        <v>7.0</v>
      </c>
      <c r="K383" s="14">
        <v>0.61139041185379</v>
      </c>
      <c r="L383" s="14">
        <v>0.169742837548255</v>
      </c>
      <c r="M383" s="16">
        <v>0.00399479269981384</v>
      </c>
      <c r="N383" s="11">
        <v>0.003994849</v>
      </c>
      <c r="O383" s="6">
        <f t="shared" si="1"/>
        <v>-0.00000005630018616</v>
      </c>
      <c r="P383" s="6">
        <v>0.05</v>
      </c>
      <c r="Q383" s="6">
        <v>0.06007067138</v>
      </c>
      <c r="R383" s="6">
        <v>0.983</v>
      </c>
      <c r="S383" s="6">
        <v>0.983</v>
      </c>
      <c r="T383" s="6">
        <v>19.46666667</v>
      </c>
    </row>
    <row r="384">
      <c r="A384" s="5" t="s">
        <v>63</v>
      </c>
      <c r="B384" s="6" t="s">
        <v>432</v>
      </c>
      <c r="C384" s="7" t="s">
        <v>68</v>
      </c>
      <c r="D384" s="7" t="s">
        <v>128</v>
      </c>
      <c r="E384" s="9">
        <v>45425.0</v>
      </c>
      <c r="F384" s="6">
        <v>1.0</v>
      </c>
      <c r="G384" s="6">
        <v>1.0</v>
      </c>
      <c r="H384" s="6">
        <v>6.0</v>
      </c>
      <c r="I384" s="6">
        <v>4.0</v>
      </c>
      <c r="J384" s="6">
        <v>7.0</v>
      </c>
      <c r="K384" s="14">
        <v>0.606409728527069</v>
      </c>
      <c r="L384" s="14">
        <v>0.187043085694313</v>
      </c>
      <c r="M384" s="16">
        <v>0.13919086754322</v>
      </c>
      <c r="N384" s="11">
        <v>0.1391909</v>
      </c>
      <c r="O384" s="6">
        <f t="shared" si="1"/>
        <v>-0.00000003245678001</v>
      </c>
      <c r="P384" s="6">
        <v>0.04526748971</v>
      </c>
      <c r="Q384" s="6">
        <v>0.09913793103</v>
      </c>
      <c r="R384" s="6">
        <v>0.9506</v>
      </c>
      <c r="S384" s="6">
        <v>0.9506</v>
      </c>
      <c r="T384" s="6">
        <v>18.22793512</v>
      </c>
    </row>
    <row r="385">
      <c r="A385" s="5" t="s">
        <v>63</v>
      </c>
      <c r="B385" s="6" t="s">
        <v>432</v>
      </c>
      <c r="C385" s="7" t="s">
        <v>70</v>
      </c>
      <c r="D385" s="7" t="s">
        <v>129</v>
      </c>
      <c r="E385" s="9">
        <v>45425.0</v>
      </c>
      <c r="F385" s="6">
        <v>1.0</v>
      </c>
      <c r="G385" s="6">
        <v>1.0</v>
      </c>
      <c r="H385" s="6">
        <v>6.0</v>
      </c>
      <c r="I385" s="6">
        <v>3.0</v>
      </c>
      <c r="J385" s="6">
        <v>7.0</v>
      </c>
      <c r="K385" s="14">
        <v>0.636443674564361</v>
      </c>
      <c r="L385" s="14">
        <v>0.157821878790855</v>
      </c>
      <c r="M385" s="16">
        <v>0.0441465601325035</v>
      </c>
      <c r="N385" s="11">
        <v>0.04414651</v>
      </c>
      <c r="O385" s="6">
        <f t="shared" si="1"/>
        <v>0.0000000501325035</v>
      </c>
      <c r="P385" s="6">
        <v>0.03728813559</v>
      </c>
      <c r="Q385" s="6">
        <v>0.03146853147</v>
      </c>
      <c r="R385" s="6">
        <v>0.9968</v>
      </c>
      <c r="S385" s="6">
        <v>0.9968</v>
      </c>
      <c r="T385" s="6">
        <v>19.45932203</v>
      </c>
    </row>
    <row r="386">
      <c r="A386" s="5" t="s">
        <v>63</v>
      </c>
      <c r="B386" s="6" t="s">
        <v>432</v>
      </c>
      <c r="C386" s="7" t="s">
        <v>72</v>
      </c>
      <c r="D386" s="7" t="s">
        <v>130</v>
      </c>
      <c r="E386" s="9">
        <v>45425.0</v>
      </c>
      <c r="F386" s="6">
        <v>6.0</v>
      </c>
      <c r="G386" s="6">
        <v>1.0</v>
      </c>
      <c r="H386" s="6">
        <v>6.0</v>
      </c>
      <c r="I386" s="6">
        <v>4.0</v>
      </c>
      <c r="J386" s="6">
        <v>7.0</v>
      </c>
      <c r="K386" s="14">
        <v>0.627555310726165</v>
      </c>
      <c r="L386" s="14">
        <v>0.175166204571723</v>
      </c>
      <c r="M386" s="16">
        <v>0.260167449712753</v>
      </c>
      <c r="N386" s="11">
        <v>0.26016748</v>
      </c>
      <c r="O386" s="6">
        <f t="shared" si="1"/>
        <v>-0.00000003028724699</v>
      </c>
      <c r="P386" s="6">
        <v>0.04838709677</v>
      </c>
      <c r="Q386" s="6">
        <v>0.07983193277</v>
      </c>
      <c r="R386" s="6">
        <v>0.971</v>
      </c>
      <c r="S386" s="6">
        <v>0.971</v>
      </c>
      <c r="T386" s="6">
        <v>17.6078853</v>
      </c>
    </row>
    <row r="387">
      <c r="A387" s="5" t="s">
        <v>63</v>
      </c>
      <c r="B387" s="6" t="s">
        <v>432</v>
      </c>
      <c r="C387" s="7" t="s">
        <v>74</v>
      </c>
      <c r="D387" s="7" t="s">
        <v>131</v>
      </c>
      <c r="E387" s="9">
        <v>45425.0</v>
      </c>
      <c r="F387" s="6">
        <v>8.0</v>
      </c>
      <c r="G387" s="6">
        <v>1.0</v>
      </c>
      <c r="H387" s="6">
        <v>6.0</v>
      </c>
      <c r="I387" s="6">
        <v>5.0</v>
      </c>
      <c r="J387" s="6">
        <v>7.0</v>
      </c>
      <c r="K387" s="14">
        <v>0.616077899932861</v>
      </c>
      <c r="L387" s="14">
        <v>0.160583317279815</v>
      </c>
      <c r="M387" s="16">
        <v>0.120911389589309</v>
      </c>
      <c r="N387" s="11">
        <v>0.12091132</v>
      </c>
      <c r="O387" s="6">
        <f t="shared" si="1"/>
        <v>0.000000069589309</v>
      </c>
      <c r="P387" s="6">
        <v>0.04460966543</v>
      </c>
      <c r="Q387" s="6">
        <v>0.04633204633</v>
      </c>
      <c r="R387" s="6">
        <v>0.997</v>
      </c>
      <c r="S387" s="6">
        <v>0.997</v>
      </c>
      <c r="T387" s="6">
        <v>20.02772172</v>
      </c>
    </row>
    <row r="388">
      <c r="A388" s="5" t="s">
        <v>63</v>
      </c>
      <c r="B388" s="6" t="s">
        <v>432</v>
      </c>
      <c r="C388" s="7" t="s">
        <v>76</v>
      </c>
      <c r="D388" s="7" t="s">
        <v>132</v>
      </c>
      <c r="E388" s="9">
        <v>45425.0</v>
      </c>
      <c r="F388" s="6">
        <v>8.0</v>
      </c>
      <c r="G388" s="6">
        <v>1.0</v>
      </c>
      <c r="H388" s="6">
        <v>6.0</v>
      </c>
      <c r="I388" s="6">
        <v>3.0</v>
      </c>
      <c r="J388" s="6">
        <v>7.0</v>
      </c>
      <c r="K388" s="14">
        <v>0.630816042423248</v>
      </c>
      <c r="L388" s="14">
        <v>0.156086519360542</v>
      </c>
      <c r="M388" s="16">
        <v>0.114847816526889</v>
      </c>
      <c r="N388" s="11">
        <v>0.114847995</v>
      </c>
      <c r="O388" s="6">
        <f t="shared" si="1"/>
        <v>-0.000000178473111</v>
      </c>
      <c r="P388" s="6">
        <v>0.01459854015</v>
      </c>
      <c r="Q388" s="6">
        <v>0.0390625</v>
      </c>
      <c r="R388" s="6">
        <v>0.9908</v>
      </c>
      <c r="S388" s="6">
        <v>0.9908</v>
      </c>
      <c r="T388" s="6">
        <v>20.45627074</v>
      </c>
    </row>
    <row r="389">
      <c r="A389" s="5" t="s">
        <v>63</v>
      </c>
      <c r="B389" s="6" t="s">
        <v>432</v>
      </c>
      <c r="C389" s="7" t="s">
        <v>78</v>
      </c>
      <c r="D389" s="7" t="s">
        <v>133</v>
      </c>
      <c r="E389" s="9">
        <v>45425.0</v>
      </c>
      <c r="F389" s="6">
        <v>1.0</v>
      </c>
      <c r="G389" s="6">
        <v>1.0</v>
      </c>
      <c r="H389" s="6">
        <v>6.0</v>
      </c>
      <c r="I389" s="6">
        <v>5.0</v>
      </c>
      <c r="J389" s="6">
        <v>7.0</v>
      </c>
      <c r="K389" s="14">
        <v>0.624153733253479</v>
      </c>
      <c r="L389" s="14">
        <v>0.179717421531677</v>
      </c>
      <c r="M389" s="16">
        <v>0.00438642501831054</v>
      </c>
      <c r="N389" s="11">
        <v>0.0043865223</v>
      </c>
      <c r="O389" s="6">
        <f t="shared" si="1"/>
        <v>-0.00000009728168946</v>
      </c>
      <c r="P389" s="6">
        <v>0.03370786517</v>
      </c>
      <c r="Q389" s="6">
        <v>0.05587522714</v>
      </c>
      <c r="R389" s="6">
        <v>1.0</v>
      </c>
      <c r="S389" s="6">
        <v>1.0</v>
      </c>
      <c r="T389" s="6">
        <v>19.17328641</v>
      </c>
    </row>
    <row r="390">
      <c r="A390" s="5" t="s">
        <v>63</v>
      </c>
      <c r="B390" s="6" t="s">
        <v>432</v>
      </c>
      <c r="C390" s="7" t="s">
        <v>80</v>
      </c>
      <c r="D390" s="7" t="s">
        <v>134</v>
      </c>
      <c r="E390" s="9">
        <v>45425.0</v>
      </c>
      <c r="F390" s="6">
        <v>8.0</v>
      </c>
      <c r="G390" s="6">
        <v>1.0</v>
      </c>
      <c r="H390" s="6">
        <v>6.0</v>
      </c>
      <c r="I390" s="6">
        <v>5.0</v>
      </c>
      <c r="J390" s="6">
        <v>7.0</v>
      </c>
      <c r="K390" s="14">
        <v>0.656745672225952</v>
      </c>
      <c r="L390" s="14">
        <v>0.196043580770492</v>
      </c>
      <c r="M390" s="16">
        <v>0.298993408679962</v>
      </c>
      <c r="N390" s="11">
        <v>0.29899332</v>
      </c>
      <c r="O390" s="6">
        <f t="shared" si="1"/>
        <v>0.00000008867996198</v>
      </c>
      <c r="P390" s="6">
        <v>0.04545454545</v>
      </c>
      <c r="Q390" s="6">
        <v>0.04830917874</v>
      </c>
      <c r="R390" s="6">
        <v>0.7876</v>
      </c>
      <c r="S390" s="6">
        <v>0.7876</v>
      </c>
      <c r="T390" s="6">
        <v>15.55844156</v>
      </c>
    </row>
    <row r="391">
      <c r="A391" s="21" t="s">
        <v>63</v>
      </c>
      <c r="B391" s="23" t="s">
        <v>432</v>
      </c>
      <c r="C391" s="7" t="s">
        <v>82</v>
      </c>
      <c r="D391" s="8" t="s">
        <v>134</v>
      </c>
      <c r="E391" s="24">
        <v>45425.0</v>
      </c>
      <c r="F391" s="23">
        <v>8.0</v>
      </c>
      <c r="G391" s="23">
        <v>1.0</v>
      </c>
      <c r="H391" s="23">
        <v>6.0</v>
      </c>
      <c r="I391" s="23">
        <v>5.0</v>
      </c>
      <c r="J391" s="23">
        <v>7.0</v>
      </c>
      <c r="K391" s="25">
        <v>0.656745672225952</v>
      </c>
      <c r="L391" s="25">
        <v>0.196043580770492</v>
      </c>
      <c r="M391" s="26">
        <v>0.232939586043357</v>
      </c>
      <c r="N391" s="11">
        <v>0.29899332</v>
      </c>
      <c r="O391" s="6">
        <f t="shared" si="1"/>
        <v>-0.06605373396</v>
      </c>
      <c r="P391" s="23">
        <v>0.03819444444</v>
      </c>
      <c r="Q391" s="23">
        <v>0.04</v>
      </c>
      <c r="R391" s="23">
        <v>0.9859</v>
      </c>
      <c r="S391" s="23">
        <v>0.9859</v>
      </c>
      <c r="T391" s="23">
        <v>16.06315789</v>
      </c>
    </row>
    <row r="392">
      <c r="A392" s="5" t="s">
        <v>84</v>
      </c>
      <c r="B392" s="6" t="s">
        <v>432</v>
      </c>
      <c r="C392" s="7" t="s">
        <v>85</v>
      </c>
      <c r="D392" s="7" t="s">
        <v>135</v>
      </c>
      <c r="E392" s="9">
        <v>45425.0</v>
      </c>
      <c r="F392" s="6">
        <v>6.0</v>
      </c>
      <c r="G392" s="6">
        <v>1.0</v>
      </c>
      <c r="H392" s="6">
        <v>6.0</v>
      </c>
      <c r="I392" s="6">
        <v>6.0</v>
      </c>
      <c r="J392" s="6">
        <v>7.0</v>
      </c>
      <c r="K392" s="14">
        <v>0.618772029876709</v>
      </c>
      <c r="L392" s="14">
        <v>0.165689423680305</v>
      </c>
      <c r="M392" s="16">
        <v>0.309281200170516</v>
      </c>
      <c r="N392" s="11">
        <v>0.20054306</v>
      </c>
      <c r="O392" s="6">
        <f t="shared" si="1"/>
        <v>0.1087381402</v>
      </c>
      <c r="P392" s="6">
        <v>0.01973684211</v>
      </c>
      <c r="Q392" s="6">
        <v>0.01374570447</v>
      </c>
      <c r="R392" s="6">
        <v>0.999</v>
      </c>
      <c r="S392" s="6">
        <v>0.999</v>
      </c>
      <c r="T392" s="6">
        <v>19.89221968</v>
      </c>
    </row>
    <row r="393">
      <c r="A393" s="5" t="s">
        <v>84</v>
      </c>
      <c r="B393" s="6" t="s">
        <v>432</v>
      </c>
      <c r="C393" s="7" t="s">
        <v>87</v>
      </c>
      <c r="D393" s="7" t="s">
        <v>136</v>
      </c>
      <c r="E393" s="9">
        <v>45425.0</v>
      </c>
      <c r="F393" s="6">
        <v>8.0</v>
      </c>
      <c r="G393" s="6">
        <v>1.0</v>
      </c>
      <c r="H393" s="6">
        <v>6.0</v>
      </c>
      <c r="I393" s="6">
        <v>6.0</v>
      </c>
      <c r="J393" s="6">
        <v>7.0</v>
      </c>
      <c r="K393" s="14">
        <v>0.630345404148101</v>
      </c>
      <c r="L393" s="14">
        <v>0.179697170853614</v>
      </c>
      <c r="M393" s="16">
        <v>0.200543344020843</v>
      </c>
      <c r="N393" s="11">
        <v>0.009640764</v>
      </c>
      <c r="O393" s="6">
        <f t="shared" si="1"/>
        <v>0.19090258</v>
      </c>
      <c r="P393" s="6">
        <v>0.05128205128</v>
      </c>
      <c r="Q393" s="6">
        <v>0.1</v>
      </c>
      <c r="R393" s="6">
        <v>0.128</v>
      </c>
      <c r="S393" s="6">
        <v>0.128</v>
      </c>
      <c r="T393" s="6">
        <v>23.37709402</v>
      </c>
    </row>
    <row r="394">
      <c r="A394" s="5" t="s">
        <v>84</v>
      </c>
      <c r="B394" s="6" t="s">
        <v>432</v>
      </c>
      <c r="C394" s="7" t="s">
        <v>89</v>
      </c>
      <c r="D394" s="7" t="s">
        <v>137</v>
      </c>
      <c r="E394" s="9">
        <v>45425.0</v>
      </c>
      <c r="F394" s="6">
        <v>6.0</v>
      </c>
      <c r="G394" s="6">
        <v>1.0</v>
      </c>
      <c r="H394" s="6">
        <v>6.0</v>
      </c>
      <c r="I394" s="6">
        <v>5.0</v>
      </c>
      <c r="J394" s="6">
        <v>7.0</v>
      </c>
      <c r="K394" s="14">
        <v>0.617405772209167</v>
      </c>
      <c r="L394" s="14">
        <v>0.174562945961952</v>
      </c>
      <c r="M394" s="16">
        <v>0.00964085757732391</v>
      </c>
      <c r="N394" s="11">
        <v>-0.010846999</v>
      </c>
      <c r="O394" s="6">
        <f t="shared" si="1"/>
        <v>0.02048785658</v>
      </c>
      <c r="P394" s="6">
        <v>0.01418439716</v>
      </c>
      <c r="Q394" s="6">
        <v>0.007462686567</v>
      </c>
      <c r="R394" s="6">
        <v>0.9803</v>
      </c>
      <c r="S394" s="6">
        <v>-0.9803</v>
      </c>
      <c r="T394" s="6">
        <v>19.20417188</v>
      </c>
    </row>
    <row r="395">
      <c r="A395" s="5" t="s">
        <v>84</v>
      </c>
      <c r="B395" s="6" t="s">
        <v>432</v>
      </c>
      <c r="C395" s="7" t="s">
        <v>91</v>
      </c>
      <c r="D395" s="7" t="s">
        <v>138</v>
      </c>
      <c r="E395" s="9">
        <v>45425.0</v>
      </c>
      <c r="F395" s="6">
        <v>6.0</v>
      </c>
      <c r="G395" s="6">
        <v>1.0</v>
      </c>
      <c r="H395" s="6">
        <v>6.0</v>
      </c>
      <c r="I395" s="6">
        <v>4.0</v>
      </c>
      <c r="J395" s="6">
        <v>7.0</v>
      </c>
      <c r="K395" s="14">
        <v>0.622955799102783</v>
      </c>
      <c r="L395" s="14">
        <v>0.172512248158454</v>
      </c>
      <c r="M395" s="16">
        <v>-0.0108470730483531</v>
      </c>
      <c r="N395" s="11">
        <v>0.011071209</v>
      </c>
      <c r="O395" s="6">
        <f t="shared" si="1"/>
        <v>-0.02191828205</v>
      </c>
      <c r="P395" s="6">
        <v>0.01369863014</v>
      </c>
      <c r="Q395" s="6">
        <v>0.01408450704</v>
      </c>
      <c r="R395" s="6">
        <v>0.8934</v>
      </c>
      <c r="S395" s="6">
        <v>0.8934</v>
      </c>
      <c r="T395" s="6">
        <v>26.7196347</v>
      </c>
    </row>
    <row r="396">
      <c r="A396" s="5" t="s">
        <v>84</v>
      </c>
      <c r="B396" s="6" t="s">
        <v>432</v>
      </c>
      <c r="C396" s="7" t="s">
        <v>93</v>
      </c>
      <c r="D396" s="7" t="s">
        <v>139</v>
      </c>
      <c r="E396" s="9">
        <v>45425.0</v>
      </c>
      <c r="F396" s="6">
        <v>6.0</v>
      </c>
      <c r="G396" s="6">
        <v>1.0</v>
      </c>
      <c r="H396" s="6">
        <v>6.0</v>
      </c>
      <c r="I396" s="6">
        <v>4.0</v>
      </c>
      <c r="J396" s="6">
        <v>7.0</v>
      </c>
      <c r="K396" s="14">
        <v>0.62727290391922</v>
      </c>
      <c r="L396" s="14">
        <v>0.170603916049003</v>
      </c>
      <c r="M396" s="16">
        <v>0.0110712125897407</v>
      </c>
      <c r="N396" s="11">
        <v>0.104521975</v>
      </c>
      <c r="O396" s="6">
        <f t="shared" si="1"/>
        <v>-0.09345076241</v>
      </c>
      <c r="P396" s="6">
        <v>0.01869158879</v>
      </c>
      <c r="Q396" s="6">
        <v>0.02</v>
      </c>
      <c r="R396" s="6">
        <v>0.9313</v>
      </c>
      <c r="S396" s="6">
        <v>0.9313</v>
      </c>
      <c r="T396" s="6">
        <v>19.87126168</v>
      </c>
    </row>
    <row r="397">
      <c r="A397" s="5" t="s">
        <v>84</v>
      </c>
      <c r="B397" s="6" t="s">
        <v>432</v>
      </c>
      <c r="C397" s="7" t="s">
        <v>95</v>
      </c>
      <c r="D397" s="7" t="s">
        <v>140</v>
      </c>
      <c r="E397" s="9">
        <v>45425.0</v>
      </c>
      <c r="F397" s="6">
        <v>8.0</v>
      </c>
      <c r="G397" s="6">
        <v>1.0</v>
      </c>
      <c r="H397" s="6">
        <v>6.0</v>
      </c>
      <c r="I397" s="6">
        <v>4.0</v>
      </c>
      <c r="J397" s="6">
        <v>7.0</v>
      </c>
      <c r="K397" s="14">
        <v>0.62549352645874</v>
      </c>
      <c r="L397" s="14">
        <v>0.19873009622097</v>
      </c>
      <c r="M397" s="16">
        <v>0.104522094130516</v>
      </c>
      <c r="N397" s="11">
        <v>-0.104060814</v>
      </c>
      <c r="O397" s="6">
        <f t="shared" si="1"/>
        <v>0.2085829081</v>
      </c>
      <c r="P397" s="6">
        <v>0.01333333333</v>
      </c>
      <c r="Q397" s="6">
        <v>0.04225352113</v>
      </c>
      <c r="R397" s="6">
        <v>0.8473</v>
      </c>
      <c r="S397" s="6">
        <v>0.8473</v>
      </c>
      <c r="T397" s="6">
        <v>27.76666667</v>
      </c>
    </row>
    <row r="398">
      <c r="A398" s="5" t="s">
        <v>84</v>
      </c>
      <c r="B398" s="6" t="s">
        <v>432</v>
      </c>
      <c r="C398" s="7" t="s">
        <v>97</v>
      </c>
      <c r="D398" s="7" t="s">
        <v>141</v>
      </c>
      <c r="E398" s="9">
        <v>45425.0</v>
      </c>
      <c r="F398" s="6">
        <v>8.0</v>
      </c>
      <c r="G398" s="6">
        <v>1.0</v>
      </c>
      <c r="H398" s="6">
        <v>6.0</v>
      </c>
      <c r="I398" s="6">
        <v>7.0</v>
      </c>
      <c r="J398" s="6">
        <v>7.0</v>
      </c>
      <c r="K398" s="14">
        <v>0.64254230260849</v>
      </c>
      <c r="L398" s="14">
        <v>0.186156526207923</v>
      </c>
      <c r="M398" s="16">
        <v>-0.104060694575309</v>
      </c>
      <c r="N398" s="11">
        <v>-0.009770207</v>
      </c>
      <c r="O398" s="6">
        <f t="shared" si="1"/>
        <v>-0.09429048758</v>
      </c>
      <c r="P398" s="6">
        <v>0.0253164557</v>
      </c>
      <c r="Q398" s="6">
        <v>0.0</v>
      </c>
      <c r="R398" s="6">
        <v>0.9761</v>
      </c>
      <c r="S398" s="6">
        <v>0.9761</v>
      </c>
      <c r="T398" s="6">
        <v>26.1278481</v>
      </c>
    </row>
    <row r="399">
      <c r="A399" s="5" t="s">
        <v>84</v>
      </c>
      <c r="B399" s="6" t="s">
        <v>432</v>
      </c>
      <c r="C399" s="7" t="s">
        <v>99</v>
      </c>
      <c r="D399" s="7" t="s">
        <v>142</v>
      </c>
      <c r="E399" s="9">
        <v>45425.0</v>
      </c>
      <c r="F399" s="6">
        <v>6.0</v>
      </c>
      <c r="G399" s="6">
        <v>1.0</v>
      </c>
      <c r="H399" s="6">
        <v>6.0</v>
      </c>
      <c r="I399" s="6">
        <v>6.0</v>
      </c>
      <c r="J399" s="6">
        <v>7.0</v>
      </c>
      <c r="K399" s="14">
        <v>0.626515090465545</v>
      </c>
      <c r="L399" s="14">
        <v>0.18058742582798</v>
      </c>
      <c r="M399" s="16">
        <v>-0.00977017730474472</v>
      </c>
      <c r="N399" s="11">
        <v>-0.10939348</v>
      </c>
      <c r="O399" s="6">
        <f t="shared" si="1"/>
        <v>0.0996233027</v>
      </c>
      <c r="P399" s="6">
        <v>0.01470588235</v>
      </c>
      <c r="Q399" s="6">
        <v>0.01612903226</v>
      </c>
      <c r="R399" s="6">
        <v>0.9337</v>
      </c>
      <c r="S399" s="6">
        <v>0.9337</v>
      </c>
      <c r="T399" s="6">
        <v>29.65490196</v>
      </c>
    </row>
    <row r="400">
      <c r="A400" s="5" t="s">
        <v>84</v>
      </c>
      <c r="B400" s="6" t="s">
        <v>432</v>
      </c>
      <c r="C400" s="7" t="s">
        <v>101</v>
      </c>
      <c r="D400" s="7" t="s">
        <v>143</v>
      </c>
      <c r="E400" s="9">
        <v>45425.0</v>
      </c>
      <c r="F400" s="6">
        <v>8.0</v>
      </c>
      <c r="G400" s="6">
        <v>1.0</v>
      </c>
      <c r="H400" s="6">
        <v>6.0</v>
      </c>
      <c r="I400" s="6">
        <v>7.0</v>
      </c>
      <c r="J400" s="6">
        <v>7.0</v>
      </c>
      <c r="K400" s="14">
        <v>0.622764408588409</v>
      </c>
      <c r="L400" s="14">
        <v>0.161991462111473</v>
      </c>
      <c r="M400" s="16">
        <v>-0.109393499791622</v>
      </c>
      <c r="N400" s="11">
        <v>0.107038364</v>
      </c>
      <c r="O400" s="6">
        <f t="shared" si="1"/>
        <v>-0.2164318638</v>
      </c>
      <c r="P400" s="6">
        <v>0.02857142857</v>
      </c>
      <c r="Q400" s="6">
        <v>0.0</v>
      </c>
      <c r="R400" s="6">
        <v>0.6486</v>
      </c>
      <c r="S400" s="6">
        <v>-0.6486</v>
      </c>
      <c r="T400" s="6">
        <v>25.85714286</v>
      </c>
    </row>
    <row r="401">
      <c r="A401" s="5" t="s">
        <v>84</v>
      </c>
      <c r="B401" s="6" t="s">
        <v>432</v>
      </c>
      <c r="C401" s="7" t="s">
        <v>103</v>
      </c>
      <c r="D401" s="7" t="s">
        <v>144</v>
      </c>
      <c r="E401" s="9">
        <v>45425.0</v>
      </c>
      <c r="F401" s="6">
        <v>1.0</v>
      </c>
      <c r="G401" s="6">
        <v>1.0</v>
      </c>
      <c r="H401" s="6">
        <v>6.0</v>
      </c>
      <c r="I401" s="6">
        <v>6.0</v>
      </c>
      <c r="J401" s="6">
        <v>7.0</v>
      </c>
      <c r="K401" s="14">
        <v>0.630300045013427</v>
      </c>
      <c r="L401" s="14">
        <v>0.183634728193283</v>
      </c>
      <c r="M401" s="16">
        <v>0.107038401067256</v>
      </c>
      <c r="N401" s="11">
        <v>-0.13388015</v>
      </c>
      <c r="O401" s="6">
        <f t="shared" si="1"/>
        <v>0.2409185511</v>
      </c>
      <c r="P401" s="6">
        <v>0.02631578947</v>
      </c>
      <c r="Q401" s="6">
        <v>0.02898550725</v>
      </c>
      <c r="R401" s="6">
        <v>0.9169</v>
      </c>
      <c r="S401" s="6">
        <v>0.9169</v>
      </c>
      <c r="T401" s="6">
        <v>25.92280702</v>
      </c>
    </row>
    <row r="402">
      <c r="A402" s="5" t="s">
        <v>20</v>
      </c>
      <c r="B402" s="27" t="s">
        <v>433</v>
      </c>
      <c r="C402" s="7" t="s">
        <v>22</v>
      </c>
      <c r="D402" s="8" t="s">
        <v>434</v>
      </c>
      <c r="E402" s="18">
        <v>45425.0</v>
      </c>
      <c r="F402" s="6">
        <v>5.0</v>
      </c>
      <c r="G402" s="6">
        <v>10.0</v>
      </c>
      <c r="H402" s="6">
        <v>1.0</v>
      </c>
      <c r="I402" s="6">
        <v>1.0</v>
      </c>
      <c r="J402" s="6">
        <v>5.0</v>
      </c>
      <c r="K402" s="10">
        <v>0.595009207725524</v>
      </c>
      <c r="L402" s="10">
        <v>0.141826942563056</v>
      </c>
      <c r="M402" s="10">
        <v>-0.074438638985157</v>
      </c>
      <c r="N402" s="11">
        <v>-0.07443879</v>
      </c>
      <c r="O402" s="6">
        <f t="shared" si="1"/>
        <v>0.000000151014843</v>
      </c>
      <c r="P402" s="6">
        <v>0.03125</v>
      </c>
      <c r="Q402" s="6">
        <v>0.137931034482758</v>
      </c>
      <c r="R402" s="6">
        <v>0.5916</v>
      </c>
      <c r="S402" s="6">
        <v>0.5916</v>
      </c>
      <c r="T402" s="6">
        <v>15.15</v>
      </c>
    </row>
    <row r="403">
      <c r="A403" s="5" t="s">
        <v>20</v>
      </c>
      <c r="B403" s="27" t="s">
        <v>433</v>
      </c>
      <c r="C403" s="7" t="s">
        <v>24</v>
      </c>
      <c r="D403" s="8" t="s">
        <v>435</v>
      </c>
      <c r="E403" s="18">
        <v>45425.0</v>
      </c>
      <c r="F403" s="6">
        <v>5.0</v>
      </c>
      <c r="G403" s="6">
        <v>10.0</v>
      </c>
      <c r="H403" s="6">
        <v>1.0</v>
      </c>
      <c r="I403" s="6">
        <v>1.0</v>
      </c>
      <c r="J403" s="6">
        <v>5.0</v>
      </c>
      <c r="K403" s="10">
        <v>0.622776091098785</v>
      </c>
      <c r="L403" s="10">
        <v>0.181638702750206</v>
      </c>
      <c r="M403" s="10">
        <v>-0.105605214834213</v>
      </c>
      <c r="N403" s="11">
        <v>-0.105605274</v>
      </c>
      <c r="O403" s="6">
        <f t="shared" si="1"/>
        <v>0.00000005916578701</v>
      </c>
      <c r="P403" s="6">
        <v>0.052083333333333</v>
      </c>
      <c r="Q403" s="6">
        <v>0.039325842696629</v>
      </c>
      <c r="R403" s="6">
        <v>0.9964</v>
      </c>
      <c r="S403" s="6">
        <v>0.9964</v>
      </c>
      <c r="T403" s="6">
        <v>14.0583333333333</v>
      </c>
    </row>
    <row r="404">
      <c r="A404" s="5" t="s">
        <v>20</v>
      </c>
      <c r="B404" s="27" t="s">
        <v>433</v>
      </c>
      <c r="C404" s="7" t="s">
        <v>26</v>
      </c>
      <c r="D404" s="8" t="s">
        <v>436</v>
      </c>
      <c r="E404" s="18">
        <v>45425.0</v>
      </c>
      <c r="F404" s="6">
        <v>5.0</v>
      </c>
      <c r="G404" s="6">
        <v>1.0</v>
      </c>
      <c r="H404" s="6">
        <v>1.0</v>
      </c>
      <c r="I404" s="6">
        <v>1.0</v>
      </c>
      <c r="J404" s="6">
        <v>5.0</v>
      </c>
      <c r="K404" s="10">
        <v>0.602177441120147</v>
      </c>
      <c r="L404" s="10">
        <v>0.209102988243103</v>
      </c>
      <c r="M404" s="10">
        <v>-0.109515383839607</v>
      </c>
      <c r="N404" s="11">
        <v>-0.10951541</v>
      </c>
      <c r="O404" s="6">
        <f t="shared" si="1"/>
        <v>0.00000002616039299</v>
      </c>
      <c r="P404" s="6">
        <v>0.029411764705882</v>
      </c>
      <c r="Q404" s="6">
        <v>0.078125</v>
      </c>
      <c r="R404" s="6">
        <v>0.906</v>
      </c>
      <c r="S404" s="6">
        <v>0.906</v>
      </c>
      <c r="T404" s="6">
        <v>17.9764705882353</v>
      </c>
    </row>
    <row r="405">
      <c r="A405" s="5" t="s">
        <v>20</v>
      </c>
      <c r="B405" s="27" t="s">
        <v>433</v>
      </c>
      <c r="C405" s="7" t="s">
        <v>28</v>
      </c>
      <c r="D405" s="8" t="s">
        <v>437</v>
      </c>
      <c r="E405" s="18">
        <v>45425.0</v>
      </c>
      <c r="F405" s="6">
        <v>1.0</v>
      </c>
      <c r="G405" s="6">
        <v>1.0</v>
      </c>
      <c r="H405" s="6">
        <v>1.0</v>
      </c>
      <c r="I405" s="6">
        <v>1.0</v>
      </c>
      <c r="J405" s="6">
        <v>5.0</v>
      </c>
      <c r="K405" s="10">
        <v>0.630924344062805</v>
      </c>
      <c r="L405" s="10">
        <v>0.161858320236206</v>
      </c>
      <c r="M405" s="10">
        <v>-0.210861533880233</v>
      </c>
      <c r="N405" s="11">
        <v>-0.21086134</v>
      </c>
      <c r="O405" s="6">
        <f t="shared" si="1"/>
        <v>-0.000000193880233</v>
      </c>
      <c r="P405" s="6">
        <v>0.054054054054054</v>
      </c>
      <c r="Q405" s="6">
        <v>0.171428571428571</v>
      </c>
      <c r="R405" s="6">
        <v>0.0</v>
      </c>
      <c r="S405" s="6">
        <v>0.0</v>
      </c>
      <c r="T405" s="6">
        <v>14.6630630630631</v>
      </c>
    </row>
    <row r="406">
      <c r="A406" s="5" t="s">
        <v>20</v>
      </c>
      <c r="B406" s="27" t="s">
        <v>433</v>
      </c>
      <c r="C406" s="7" t="s">
        <v>30</v>
      </c>
      <c r="D406" s="8" t="s">
        <v>438</v>
      </c>
      <c r="E406" s="18">
        <v>45425.0</v>
      </c>
      <c r="F406" s="6">
        <v>5.0</v>
      </c>
      <c r="G406" s="6">
        <v>10.0</v>
      </c>
      <c r="H406" s="6">
        <v>1.0</v>
      </c>
      <c r="I406" s="6">
        <v>1.0</v>
      </c>
      <c r="J406" s="6">
        <v>5.0</v>
      </c>
      <c r="K406" s="10">
        <v>0.621837794780731</v>
      </c>
      <c r="L406" s="10">
        <v>0.21708869934082</v>
      </c>
      <c r="M406" s="10">
        <v>-0.0174897480756044</v>
      </c>
      <c r="N406" s="11">
        <v>-0.017489538</v>
      </c>
      <c r="O406" s="6">
        <f t="shared" si="1"/>
        <v>-0.0000002100756044</v>
      </c>
      <c r="P406" s="6">
        <v>0.043478260869565</v>
      </c>
      <c r="Q406" s="6">
        <v>0.123076923076923</v>
      </c>
      <c r="R406" s="6">
        <v>0.9855</v>
      </c>
      <c r="S406" s="6">
        <v>0.9855</v>
      </c>
      <c r="T406" s="6">
        <v>19.0550724637681</v>
      </c>
    </row>
    <row r="407">
      <c r="A407" s="5" t="s">
        <v>20</v>
      </c>
      <c r="B407" s="27" t="s">
        <v>433</v>
      </c>
      <c r="C407" s="7" t="s">
        <v>32</v>
      </c>
      <c r="D407" s="8" t="s">
        <v>439</v>
      </c>
      <c r="E407" s="18">
        <v>45425.0</v>
      </c>
      <c r="F407" s="6">
        <v>1.0</v>
      </c>
      <c r="G407" s="6">
        <v>1.0</v>
      </c>
      <c r="H407" s="6">
        <v>1.0</v>
      </c>
      <c r="I407" s="6">
        <v>1.0</v>
      </c>
      <c r="J407" s="6">
        <v>5.0</v>
      </c>
      <c r="K407" s="10">
        <v>0.594721555709838</v>
      </c>
      <c r="L407" s="10">
        <v>0.153665497899055</v>
      </c>
      <c r="M407" s="10">
        <v>-0.107895523309707</v>
      </c>
      <c r="N407" s="11">
        <v>-0.10789555</v>
      </c>
      <c r="O407" s="6">
        <f t="shared" si="1"/>
        <v>0.000000026690293</v>
      </c>
      <c r="P407" s="6">
        <v>0.015384615384615</v>
      </c>
      <c r="Q407" s="6">
        <v>0.114754098360655</v>
      </c>
      <c r="R407" s="6">
        <v>0.8074</v>
      </c>
      <c r="S407" s="6">
        <v>0.8074</v>
      </c>
      <c r="T407" s="6">
        <v>20.0384615384615</v>
      </c>
    </row>
    <row r="408">
      <c r="A408" s="5" t="s">
        <v>20</v>
      </c>
      <c r="B408" s="27" t="s">
        <v>433</v>
      </c>
      <c r="C408" s="7" t="s">
        <v>34</v>
      </c>
      <c r="D408" s="8" t="s">
        <v>440</v>
      </c>
      <c r="E408" s="18">
        <v>45425.0</v>
      </c>
      <c r="F408" s="6">
        <v>5.0</v>
      </c>
      <c r="G408" s="6">
        <v>1.0</v>
      </c>
      <c r="H408" s="6">
        <v>1.0</v>
      </c>
      <c r="I408" s="6">
        <v>1.0</v>
      </c>
      <c r="J408" s="6">
        <v>5.0</v>
      </c>
      <c r="K408" s="10">
        <v>0.586101353168487</v>
      </c>
      <c r="L408" s="10">
        <v>0.150513395667076</v>
      </c>
      <c r="M408" s="10">
        <v>0.0508432649075984</v>
      </c>
      <c r="N408" s="11">
        <v>0.050843228</v>
      </c>
      <c r="O408" s="6">
        <f t="shared" si="1"/>
        <v>0.0000000369075984</v>
      </c>
      <c r="P408" s="6">
        <v>0.02</v>
      </c>
      <c r="Q408" s="6">
        <v>0.152173913043478</v>
      </c>
      <c r="R408" s="6">
        <v>0.908</v>
      </c>
      <c r="S408" s="6">
        <v>0.908</v>
      </c>
      <c r="T408" s="6">
        <v>18.6666666666667</v>
      </c>
    </row>
    <row r="409">
      <c r="A409" s="5" t="s">
        <v>20</v>
      </c>
      <c r="B409" s="27" t="s">
        <v>433</v>
      </c>
      <c r="C409" s="7" t="s">
        <v>36</v>
      </c>
      <c r="D409" s="8" t="s">
        <v>441</v>
      </c>
      <c r="E409" s="18">
        <v>45425.0</v>
      </c>
      <c r="F409" s="6">
        <v>5.0</v>
      </c>
      <c r="G409" s="6">
        <v>10.0</v>
      </c>
      <c r="H409" s="6">
        <v>1.0</v>
      </c>
      <c r="I409" s="6">
        <v>1.0</v>
      </c>
      <c r="J409" s="6">
        <v>5.0</v>
      </c>
      <c r="K409" s="10">
        <v>0.611667513847351</v>
      </c>
      <c r="L409" s="10">
        <v>0.20023463666439</v>
      </c>
      <c r="M409" s="10">
        <v>-0.161605298519134</v>
      </c>
      <c r="N409" s="11">
        <v>-0.16160528</v>
      </c>
      <c r="O409" s="6">
        <f t="shared" si="1"/>
        <v>-0.000000018519134</v>
      </c>
      <c r="P409" s="6">
        <v>0.014492753623188</v>
      </c>
      <c r="Q409" s="6">
        <v>0.063492063492063</v>
      </c>
      <c r="R409" s="6">
        <v>0.8141</v>
      </c>
      <c r="S409" s="6">
        <v>0.8141</v>
      </c>
      <c r="T409" s="6">
        <v>19.0739130434783</v>
      </c>
    </row>
    <row r="410">
      <c r="A410" s="5" t="s">
        <v>20</v>
      </c>
      <c r="B410" s="27" t="s">
        <v>433</v>
      </c>
      <c r="C410" s="7" t="s">
        <v>38</v>
      </c>
      <c r="D410" s="8" t="s">
        <v>442</v>
      </c>
      <c r="E410" s="18">
        <v>45425.0</v>
      </c>
      <c r="F410" s="6">
        <v>1.0</v>
      </c>
      <c r="G410" s="6">
        <v>10.0</v>
      </c>
      <c r="H410" s="6">
        <v>1.0</v>
      </c>
      <c r="I410" s="6">
        <v>1.0</v>
      </c>
      <c r="J410" s="6">
        <v>5.0</v>
      </c>
      <c r="K410" s="10">
        <v>0.619641065597534</v>
      </c>
      <c r="L410" s="10">
        <v>0.173179015517234</v>
      </c>
      <c r="M410" s="10">
        <v>-0.42368471622467</v>
      </c>
      <c r="N410" s="11">
        <v>-0.42368448</v>
      </c>
      <c r="O410" s="6">
        <f t="shared" si="1"/>
        <v>-0.00000023622467</v>
      </c>
      <c r="P410" s="6">
        <v>0.036144578313253</v>
      </c>
      <c r="Q410" s="6">
        <v>0.074074074074074</v>
      </c>
      <c r="R410" s="6">
        <v>0.9041</v>
      </c>
      <c r="S410" s="6">
        <v>0.9041</v>
      </c>
      <c r="T410" s="6">
        <v>23.721686746988</v>
      </c>
    </row>
    <row r="411">
      <c r="A411" s="5" t="s">
        <v>20</v>
      </c>
      <c r="B411" s="27" t="s">
        <v>433</v>
      </c>
      <c r="C411" s="7" t="s">
        <v>40</v>
      </c>
      <c r="D411" s="8" t="s">
        <v>443</v>
      </c>
      <c r="E411" s="18">
        <v>45425.0</v>
      </c>
      <c r="F411" s="6">
        <v>5.0</v>
      </c>
      <c r="G411" s="6">
        <v>10.0</v>
      </c>
      <c r="H411" s="6">
        <v>1.0</v>
      </c>
      <c r="I411" s="6">
        <v>1.0</v>
      </c>
      <c r="J411" s="6">
        <v>5.0</v>
      </c>
      <c r="K411" s="10">
        <v>0.614749133586883</v>
      </c>
      <c r="L411" s="10">
        <v>0.169995710253715</v>
      </c>
      <c r="M411" s="10">
        <v>-0.139421880245208</v>
      </c>
      <c r="N411" s="11">
        <v>-0.13942176</v>
      </c>
      <c r="O411" s="6">
        <f t="shared" si="1"/>
        <v>-0.000000120245208</v>
      </c>
      <c r="P411" s="6">
        <v>0.024752475247524</v>
      </c>
      <c r="Q411" s="6">
        <v>0.043010752688172</v>
      </c>
      <c r="R411" s="6">
        <v>0.9916</v>
      </c>
      <c r="S411" s="6">
        <v>0.9916</v>
      </c>
      <c r="T411" s="6">
        <v>16.5152475247525</v>
      </c>
    </row>
    <row r="412">
      <c r="A412" s="5" t="s">
        <v>42</v>
      </c>
      <c r="B412" s="28" t="s">
        <v>433</v>
      </c>
      <c r="C412" s="7" t="s">
        <v>43</v>
      </c>
      <c r="D412" s="13" t="s">
        <v>444</v>
      </c>
      <c r="E412" s="18">
        <v>45425.0</v>
      </c>
      <c r="F412" s="6">
        <v>1.0</v>
      </c>
      <c r="G412" s="6">
        <v>1.0</v>
      </c>
      <c r="H412" s="6">
        <v>1.0</v>
      </c>
      <c r="I412" s="6">
        <v>1.0</v>
      </c>
      <c r="J412" s="6">
        <v>5.0</v>
      </c>
      <c r="K412" s="14">
        <v>0.625211298465728</v>
      </c>
      <c r="L412" s="14">
        <v>0.21803443133831</v>
      </c>
      <c r="M412" s="14">
        <v>-0.120410472154617</v>
      </c>
      <c r="N412" s="11">
        <v>-0.12041045</v>
      </c>
      <c r="O412" s="6">
        <f t="shared" si="1"/>
        <v>-0.000000022154617</v>
      </c>
      <c r="P412" s="5">
        <v>0.041666666666666</v>
      </c>
      <c r="Q412" s="6">
        <v>0.021739130434782</v>
      </c>
      <c r="R412" s="6">
        <v>0.8553</v>
      </c>
      <c r="S412" s="6">
        <v>0.8553</v>
      </c>
      <c r="T412" s="6">
        <v>15.5066666666667</v>
      </c>
    </row>
    <row r="413">
      <c r="A413" s="5" t="s">
        <v>42</v>
      </c>
      <c r="B413" s="17" t="s">
        <v>433</v>
      </c>
      <c r="C413" s="7" t="s">
        <v>45</v>
      </c>
      <c r="D413" s="8" t="s">
        <v>445</v>
      </c>
      <c r="E413" s="18">
        <v>45425.0</v>
      </c>
      <c r="F413" s="6">
        <v>1.0</v>
      </c>
      <c r="G413" s="6">
        <v>1.0</v>
      </c>
      <c r="H413" s="6">
        <v>1.0</v>
      </c>
      <c r="I413" s="6">
        <v>1.0</v>
      </c>
      <c r="J413" s="6">
        <v>5.0</v>
      </c>
      <c r="K413" s="10">
        <v>0.61469942331314</v>
      </c>
      <c r="L413" s="10">
        <v>0.166877821087837</v>
      </c>
      <c r="M413" s="10">
        <v>-0.0318203568458557</v>
      </c>
      <c r="N413" s="11">
        <v>-0.031820398</v>
      </c>
      <c r="O413" s="6">
        <f t="shared" si="1"/>
        <v>0.0000000411541443</v>
      </c>
      <c r="P413" s="6">
        <v>0.036144578313253</v>
      </c>
      <c r="Q413" s="6">
        <v>0.077922077922077</v>
      </c>
      <c r="R413" s="6">
        <v>0.971</v>
      </c>
      <c r="S413" s="6">
        <v>0.971</v>
      </c>
      <c r="T413" s="6">
        <v>15.6538152610442</v>
      </c>
    </row>
    <row r="414">
      <c r="A414" s="5" t="s">
        <v>42</v>
      </c>
      <c r="B414" s="17" t="s">
        <v>433</v>
      </c>
      <c r="C414" s="7" t="s">
        <v>47</v>
      </c>
      <c r="D414" s="8" t="s">
        <v>446</v>
      </c>
      <c r="E414" s="18">
        <v>45425.0</v>
      </c>
      <c r="F414" s="6">
        <v>1.0</v>
      </c>
      <c r="G414" s="6">
        <v>1.0</v>
      </c>
      <c r="H414" s="6">
        <v>1.0</v>
      </c>
      <c r="I414" s="6">
        <v>1.0</v>
      </c>
      <c r="J414" s="6">
        <v>5.0</v>
      </c>
      <c r="K414" s="10">
        <v>0.60243272781372</v>
      </c>
      <c r="L414" s="10">
        <v>0.165591552853584</v>
      </c>
      <c r="M414" s="10">
        <v>-0.15701176226139</v>
      </c>
      <c r="N414" s="11">
        <v>-0.15701206</v>
      </c>
      <c r="O414" s="6">
        <f t="shared" si="1"/>
        <v>0.00000029773861</v>
      </c>
      <c r="P414" s="6">
        <v>0.043478260869565</v>
      </c>
      <c r="Q414" s="6">
        <v>0.101449275362318</v>
      </c>
      <c r="R414" s="6">
        <v>0.9737</v>
      </c>
      <c r="S414" s="6">
        <v>0.9737</v>
      </c>
      <c r="T414" s="6">
        <v>15.5370600414079</v>
      </c>
    </row>
    <row r="415">
      <c r="A415" s="5" t="s">
        <v>42</v>
      </c>
      <c r="B415" s="17" t="s">
        <v>433</v>
      </c>
      <c r="C415" s="7" t="s">
        <v>49</v>
      </c>
      <c r="D415" s="8" t="s">
        <v>447</v>
      </c>
      <c r="E415" s="18">
        <v>45425.0</v>
      </c>
      <c r="F415" s="6">
        <v>1.0</v>
      </c>
      <c r="G415" s="6">
        <v>1.0</v>
      </c>
      <c r="H415" s="6">
        <v>1.0</v>
      </c>
      <c r="I415" s="6">
        <v>1.0</v>
      </c>
      <c r="J415" s="6">
        <v>5.0</v>
      </c>
      <c r="K415" s="10">
        <v>0.624801099300384</v>
      </c>
      <c r="L415" s="10">
        <v>0.189283177256584</v>
      </c>
      <c r="M415" s="10">
        <v>-0.0358853749930858</v>
      </c>
      <c r="N415" s="11">
        <v>-0.035885323</v>
      </c>
      <c r="O415" s="6">
        <f t="shared" si="1"/>
        <v>-0.0000000519930858</v>
      </c>
      <c r="P415" s="6">
        <v>0.059829059829059</v>
      </c>
      <c r="Q415" s="6">
        <v>0.064814814814814</v>
      </c>
      <c r="R415" s="6">
        <v>0.9848</v>
      </c>
      <c r="S415" s="6">
        <v>0.9848</v>
      </c>
      <c r="T415" s="6">
        <v>17.9677655677656</v>
      </c>
    </row>
    <row r="416">
      <c r="A416" s="5" t="s">
        <v>42</v>
      </c>
      <c r="B416" s="17" t="s">
        <v>433</v>
      </c>
      <c r="C416" s="7" t="s">
        <v>51</v>
      </c>
      <c r="D416" s="8" t="s">
        <v>448</v>
      </c>
      <c r="E416" s="18">
        <v>45425.0</v>
      </c>
      <c r="F416" s="6">
        <v>5.0</v>
      </c>
      <c r="G416" s="6">
        <v>1.0</v>
      </c>
      <c r="H416" s="6">
        <v>1.0</v>
      </c>
      <c r="I416" s="6">
        <v>1.0</v>
      </c>
      <c r="J416" s="6">
        <v>5.0</v>
      </c>
      <c r="K416" s="10">
        <v>0.61820912361145</v>
      </c>
      <c r="L416" s="10">
        <v>0.159894704818725</v>
      </c>
      <c r="M416" s="10">
        <v>0.0428261347115039</v>
      </c>
      <c r="N416" s="11">
        <v>0.042825744</v>
      </c>
      <c r="O416" s="6">
        <f t="shared" si="1"/>
        <v>0.0000003907115039</v>
      </c>
      <c r="P416" s="6">
        <v>0.0418410041841</v>
      </c>
      <c r="Q416" s="6">
        <v>0.057777777777777</v>
      </c>
      <c r="R416" s="6">
        <v>0.9871</v>
      </c>
      <c r="S416" s="6">
        <v>0.9871</v>
      </c>
      <c r="T416" s="6">
        <v>17.3724546722455</v>
      </c>
    </row>
    <row r="417">
      <c r="A417" s="5" t="s">
        <v>42</v>
      </c>
      <c r="B417" s="17" t="s">
        <v>433</v>
      </c>
      <c r="C417" s="7" t="s">
        <v>53</v>
      </c>
      <c r="D417" s="8" t="s">
        <v>449</v>
      </c>
      <c r="E417" s="18">
        <v>45425.0</v>
      </c>
      <c r="F417" s="6">
        <v>5.0</v>
      </c>
      <c r="G417" s="6">
        <v>1.0</v>
      </c>
      <c r="H417" s="6">
        <v>1.0</v>
      </c>
      <c r="I417" s="6">
        <v>1.0</v>
      </c>
      <c r="J417" s="6">
        <v>5.0</v>
      </c>
      <c r="K417" s="10">
        <v>0.622021555900573</v>
      </c>
      <c r="L417" s="10">
        <v>0.202954083681106</v>
      </c>
      <c r="M417" s="10">
        <v>-0.0837135836482048</v>
      </c>
      <c r="N417" s="11">
        <v>-0.083713524</v>
      </c>
      <c r="O417" s="6">
        <f t="shared" si="1"/>
        <v>-0.00000005964820481</v>
      </c>
      <c r="P417" s="6">
        <v>0.004347826086956</v>
      </c>
      <c r="Q417" s="6">
        <v>0.018691588785046</v>
      </c>
      <c r="R417" s="6">
        <v>0.9946</v>
      </c>
      <c r="S417" s="6">
        <v>0.9946</v>
      </c>
      <c r="T417" s="6">
        <v>19.904347826087</v>
      </c>
    </row>
    <row r="418">
      <c r="A418" s="5" t="s">
        <v>42</v>
      </c>
      <c r="B418" s="17" t="s">
        <v>433</v>
      </c>
      <c r="C418" s="7" t="s">
        <v>55</v>
      </c>
      <c r="D418" s="8" t="s">
        <v>450</v>
      </c>
      <c r="E418" s="18">
        <v>45425.0</v>
      </c>
      <c r="F418" s="6">
        <v>5.0</v>
      </c>
      <c r="G418" s="6">
        <v>10.0</v>
      </c>
      <c r="H418" s="6">
        <v>1.0</v>
      </c>
      <c r="I418" s="6">
        <v>7.0</v>
      </c>
      <c r="J418" s="6">
        <v>5.0</v>
      </c>
      <c r="K418" s="10">
        <v>0.623525023460388</v>
      </c>
      <c r="L418" s="10">
        <v>0.151547357439994</v>
      </c>
      <c r="M418" s="10">
        <v>-0.0864234194159507</v>
      </c>
      <c r="N418" s="11">
        <v>-0.08642348</v>
      </c>
      <c r="O418" s="6">
        <f t="shared" si="1"/>
        <v>0.00000006058404929</v>
      </c>
      <c r="P418" s="6">
        <v>0.045602605863192</v>
      </c>
      <c r="Q418" s="6">
        <v>0.030821917808219</v>
      </c>
      <c r="R418" s="6">
        <v>0.9708</v>
      </c>
      <c r="S418" s="6">
        <v>0.9708</v>
      </c>
      <c r="T418" s="6">
        <v>20.9380586319218</v>
      </c>
    </row>
    <row r="419">
      <c r="A419" s="5" t="s">
        <v>42</v>
      </c>
      <c r="B419" s="17" t="s">
        <v>433</v>
      </c>
      <c r="C419" s="7" t="s">
        <v>57</v>
      </c>
      <c r="D419" s="8" t="s">
        <v>451</v>
      </c>
      <c r="E419" s="18">
        <v>45425.0</v>
      </c>
      <c r="F419" s="6">
        <v>1.0</v>
      </c>
      <c r="G419" s="6">
        <v>1.0</v>
      </c>
      <c r="H419" s="6">
        <v>1.0</v>
      </c>
      <c r="I419" s="6">
        <v>1.0</v>
      </c>
      <c r="J419" s="6">
        <v>5.0</v>
      </c>
      <c r="K419" s="10">
        <v>0.614085972309112</v>
      </c>
      <c r="L419" s="10">
        <v>0.171751767396926</v>
      </c>
      <c r="M419" s="10">
        <v>-0.233822613954544</v>
      </c>
      <c r="N419" s="11">
        <v>-0.23382266</v>
      </c>
      <c r="O419" s="6">
        <f t="shared" si="1"/>
        <v>0.00000004604545598</v>
      </c>
      <c r="P419" s="6">
        <v>0.040229885057471</v>
      </c>
      <c r="Q419" s="6">
        <v>0.048192771084337</v>
      </c>
      <c r="R419" s="6">
        <v>0.9939</v>
      </c>
      <c r="S419" s="6">
        <v>0.9939</v>
      </c>
      <c r="T419" s="6">
        <v>19.9172413793103</v>
      </c>
    </row>
    <row r="420">
      <c r="A420" s="5" t="s">
        <v>42</v>
      </c>
      <c r="B420" s="17" t="s">
        <v>433</v>
      </c>
      <c r="C420" s="7" t="s">
        <v>59</v>
      </c>
      <c r="D420" s="8" t="s">
        <v>452</v>
      </c>
      <c r="E420" s="18">
        <v>45425.0</v>
      </c>
      <c r="F420" s="6">
        <v>1.0</v>
      </c>
      <c r="G420" s="6">
        <v>1.0</v>
      </c>
      <c r="H420" s="6">
        <v>1.0</v>
      </c>
      <c r="I420" s="6">
        <v>1.0</v>
      </c>
      <c r="J420" s="6">
        <v>5.0</v>
      </c>
      <c r="K420" s="10">
        <v>0.598046243190765</v>
      </c>
      <c r="L420" s="10">
        <v>0.150700330734252</v>
      </c>
      <c r="M420" s="10">
        <v>-0.0487603694200515</v>
      </c>
      <c r="N420" s="11">
        <v>-0.04876024</v>
      </c>
      <c r="O420" s="6">
        <f t="shared" si="1"/>
        <v>-0.0000001294200515</v>
      </c>
      <c r="P420" s="6">
        <v>0.020833333333333</v>
      </c>
      <c r="Q420" s="6">
        <v>0.043165467625899</v>
      </c>
      <c r="R420" s="6">
        <v>0.9804</v>
      </c>
      <c r="S420" s="6">
        <v>0.9804</v>
      </c>
      <c r="T420" s="6">
        <v>18.6222222222222</v>
      </c>
    </row>
    <row r="421">
      <c r="A421" s="5" t="s">
        <v>42</v>
      </c>
      <c r="B421" s="17" t="s">
        <v>433</v>
      </c>
      <c r="C421" s="7" t="s">
        <v>61</v>
      </c>
      <c r="D421" s="8" t="s">
        <v>453</v>
      </c>
      <c r="E421" s="18">
        <v>45425.0</v>
      </c>
      <c r="F421" s="6">
        <v>5.0</v>
      </c>
      <c r="G421" s="6">
        <v>10.0</v>
      </c>
      <c r="H421" s="6">
        <v>1.0</v>
      </c>
      <c r="I421" s="6">
        <v>1.0</v>
      </c>
      <c r="J421" s="6">
        <v>5.0</v>
      </c>
      <c r="K421" s="10">
        <v>0.623371720314025</v>
      </c>
      <c r="L421" s="10">
        <v>0.195241644978523</v>
      </c>
      <c r="M421" s="10">
        <v>0.0760181173682212</v>
      </c>
      <c r="N421" s="11">
        <v>0.07601807</v>
      </c>
      <c r="O421" s="6">
        <f t="shared" si="1"/>
        <v>0.00000004736822121</v>
      </c>
      <c r="P421" s="6">
        <v>0.007575757575757</v>
      </c>
      <c r="Q421" s="6">
        <v>0.095238095238095</v>
      </c>
      <c r="R421" s="6">
        <v>0.9947</v>
      </c>
      <c r="S421" s="6">
        <v>0.9947</v>
      </c>
      <c r="T421" s="6">
        <v>15.9939393939394</v>
      </c>
    </row>
    <row r="422">
      <c r="A422" s="5" t="s">
        <v>63</v>
      </c>
      <c r="B422" s="17" t="s">
        <v>433</v>
      </c>
      <c r="C422" s="7" t="s">
        <v>64</v>
      </c>
      <c r="D422" s="8" t="s">
        <v>454</v>
      </c>
      <c r="E422" s="18">
        <v>45425.0</v>
      </c>
      <c r="F422" s="6">
        <v>5.0</v>
      </c>
      <c r="G422" s="6">
        <v>10.0</v>
      </c>
      <c r="H422" s="6">
        <v>1.0</v>
      </c>
      <c r="I422" s="6">
        <v>1.0</v>
      </c>
      <c r="J422" s="6">
        <v>5.0</v>
      </c>
      <c r="K422" s="10">
        <v>0.60573786497116</v>
      </c>
      <c r="L422" s="10">
        <v>0.137912645936012</v>
      </c>
      <c r="M422" s="10">
        <v>-0.0677721127867698</v>
      </c>
      <c r="N422" s="11">
        <v>-0.06777202</v>
      </c>
      <c r="O422" s="6">
        <f t="shared" si="1"/>
        <v>-0.0000000927867698</v>
      </c>
      <c r="P422" s="6">
        <v>0.05813953488372</v>
      </c>
      <c r="Q422" s="6">
        <v>0.048</v>
      </c>
      <c r="R422" s="6">
        <v>0.9986</v>
      </c>
      <c r="S422" s="6">
        <v>-0.9986</v>
      </c>
      <c r="T422" s="6">
        <v>18.3382945736434</v>
      </c>
    </row>
    <row r="423">
      <c r="A423" s="5" t="s">
        <v>63</v>
      </c>
      <c r="B423" s="17" t="s">
        <v>433</v>
      </c>
      <c r="C423" s="7" t="s">
        <v>66</v>
      </c>
      <c r="D423" s="8" t="s">
        <v>455</v>
      </c>
      <c r="E423" s="18">
        <v>45425.0</v>
      </c>
      <c r="F423" s="6">
        <v>5.0</v>
      </c>
      <c r="G423" s="6">
        <v>10.0</v>
      </c>
      <c r="H423" s="6">
        <v>1.0</v>
      </c>
      <c r="I423" s="6">
        <v>1.0</v>
      </c>
      <c r="J423" s="6">
        <v>1.0</v>
      </c>
      <c r="K423" s="10">
        <v>0.626875638961792</v>
      </c>
      <c r="L423" s="10">
        <v>0.137801811099052</v>
      </c>
      <c r="M423" s="10">
        <v>0.0309709757566452</v>
      </c>
      <c r="N423" s="11">
        <v>0.030971088</v>
      </c>
      <c r="O423" s="6">
        <f t="shared" si="1"/>
        <v>-0.0000001122433548</v>
      </c>
      <c r="P423" s="6">
        <v>0.057142857142857</v>
      </c>
      <c r="Q423" s="6">
        <v>0.030188679245283</v>
      </c>
      <c r="R423" s="6">
        <v>0.3031</v>
      </c>
      <c r="S423" s="6">
        <v>-0.3031</v>
      </c>
      <c r="T423" s="6">
        <v>19.1804511278195</v>
      </c>
    </row>
    <row r="424">
      <c r="A424" s="5" t="s">
        <v>63</v>
      </c>
      <c r="B424" s="17" t="s">
        <v>433</v>
      </c>
      <c r="C424" s="7" t="s">
        <v>68</v>
      </c>
      <c r="D424" s="8" t="s">
        <v>456</v>
      </c>
      <c r="E424" s="18">
        <v>45425.0</v>
      </c>
      <c r="F424" s="6">
        <v>5.0</v>
      </c>
      <c r="G424" s="6">
        <v>1.0</v>
      </c>
      <c r="H424" s="6">
        <v>1.0</v>
      </c>
      <c r="I424" s="6">
        <v>7.0</v>
      </c>
      <c r="J424" s="6">
        <v>1.0</v>
      </c>
      <c r="K424" s="10">
        <v>0.629351079463958</v>
      </c>
      <c r="L424" s="10">
        <v>0.169141963124275</v>
      </c>
      <c r="M424" s="10">
        <v>-0.129821881651878</v>
      </c>
      <c r="N424" s="11">
        <v>-0.12982151</v>
      </c>
      <c r="O424" s="6">
        <f t="shared" si="1"/>
        <v>-0.000000371651878</v>
      </c>
      <c r="P424" s="6">
        <v>0.037974683544303</v>
      </c>
      <c r="Q424" s="6">
        <v>0.035555555555555</v>
      </c>
      <c r="R424" s="6">
        <v>0.9834</v>
      </c>
      <c r="S424" s="6">
        <v>0.9834</v>
      </c>
      <c r="T424" s="6">
        <v>23.1976371308017</v>
      </c>
    </row>
    <row r="425">
      <c r="A425" s="5" t="s">
        <v>63</v>
      </c>
      <c r="B425" s="17" t="s">
        <v>433</v>
      </c>
      <c r="C425" s="7" t="s">
        <v>70</v>
      </c>
      <c r="D425" s="8" t="s">
        <v>457</v>
      </c>
      <c r="E425" s="18">
        <v>45425.0</v>
      </c>
      <c r="F425" s="6">
        <v>5.0</v>
      </c>
      <c r="G425" s="6">
        <v>10.0</v>
      </c>
      <c r="H425" s="6">
        <v>1.0</v>
      </c>
      <c r="I425" s="6">
        <v>1.0</v>
      </c>
      <c r="J425" s="6">
        <v>5.0</v>
      </c>
      <c r="K425" s="10">
        <v>0.610446512699127</v>
      </c>
      <c r="L425" s="10">
        <v>0.176551476120948</v>
      </c>
      <c r="M425" s="10">
        <v>0.124615557491779</v>
      </c>
      <c r="N425" s="11">
        <v>0.12461551</v>
      </c>
      <c r="O425" s="6">
        <f t="shared" si="1"/>
        <v>0.000000047491779</v>
      </c>
      <c r="P425" s="6">
        <v>0.023972602739726</v>
      </c>
      <c r="Q425" s="6">
        <v>0.054347826086956</v>
      </c>
      <c r="R425" s="6">
        <v>0.9982</v>
      </c>
      <c r="S425" s="6">
        <v>0.9982</v>
      </c>
      <c r="T425" s="6">
        <v>20.4934116112198</v>
      </c>
    </row>
    <row r="426">
      <c r="A426" s="5" t="s">
        <v>63</v>
      </c>
      <c r="B426" s="17" t="s">
        <v>433</v>
      </c>
      <c r="C426" s="7" t="s">
        <v>72</v>
      </c>
      <c r="D426" s="8" t="s">
        <v>458</v>
      </c>
      <c r="E426" s="18">
        <v>45425.0</v>
      </c>
      <c r="F426" s="6">
        <v>5.0</v>
      </c>
      <c r="G426" s="6">
        <v>10.0</v>
      </c>
      <c r="H426" s="6">
        <v>1.0</v>
      </c>
      <c r="I426" s="6">
        <v>1.0</v>
      </c>
      <c r="J426" s="6">
        <v>5.0</v>
      </c>
      <c r="K426" s="10">
        <v>0.630512177944183</v>
      </c>
      <c r="L426" s="10">
        <v>0.166042581200599</v>
      </c>
      <c r="M426" s="10">
        <v>0.0213727056980133</v>
      </c>
      <c r="N426" s="11">
        <v>0.021372695</v>
      </c>
      <c r="O426" s="6">
        <f t="shared" si="1"/>
        <v>0.0000000106980133</v>
      </c>
      <c r="P426" s="6">
        <v>0.039603960396039</v>
      </c>
      <c r="Q426" s="6">
        <v>0.052083333333333</v>
      </c>
      <c r="R426" s="6">
        <v>0.9975</v>
      </c>
      <c r="S426" s="6">
        <v>0.9975</v>
      </c>
      <c r="T426" s="6">
        <v>19.5386138613861</v>
      </c>
    </row>
    <row r="427">
      <c r="A427" s="5" t="s">
        <v>63</v>
      </c>
      <c r="B427" s="17" t="s">
        <v>433</v>
      </c>
      <c r="C427" s="7" t="s">
        <v>74</v>
      </c>
      <c r="D427" s="8" t="s">
        <v>459</v>
      </c>
      <c r="E427" s="18">
        <v>45425.0</v>
      </c>
      <c r="F427" s="6">
        <v>5.0</v>
      </c>
      <c r="G427" s="6">
        <v>1.0</v>
      </c>
      <c r="H427" s="6">
        <v>1.0</v>
      </c>
      <c r="I427" s="6">
        <v>7.0</v>
      </c>
      <c r="J427" s="6">
        <v>5.0</v>
      </c>
      <c r="K427" s="10">
        <v>0.625915706157684</v>
      </c>
      <c r="L427" s="10">
        <v>0.141055092215538</v>
      </c>
      <c r="M427" s="10">
        <v>0.16067624092102</v>
      </c>
      <c r="N427" s="11">
        <v>0.16067627</v>
      </c>
      <c r="O427" s="6">
        <f t="shared" si="1"/>
        <v>-0.00000002907898</v>
      </c>
      <c r="P427" s="6">
        <v>0.053892215568862</v>
      </c>
      <c r="Q427" s="6">
        <v>0.040752351097178</v>
      </c>
      <c r="R427" s="6">
        <v>0.999</v>
      </c>
      <c r="S427" s="6">
        <v>0.999</v>
      </c>
      <c r="T427" s="6">
        <v>20.7331622469347</v>
      </c>
    </row>
    <row r="428">
      <c r="A428" s="5" t="s">
        <v>63</v>
      </c>
      <c r="B428" s="17" t="s">
        <v>433</v>
      </c>
      <c r="C428" s="7" t="s">
        <v>76</v>
      </c>
      <c r="D428" s="8" t="s">
        <v>460</v>
      </c>
      <c r="E428" s="18">
        <v>45425.0</v>
      </c>
      <c r="F428" s="6">
        <v>5.0</v>
      </c>
      <c r="G428" s="6">
        <v>10.0</v>
      </c>
      <c r="H428" s="6">
        <v>1.0</v>
      </c>
      <c r="I428" s="6">
        <v>7.0</v>
      </c>
      <c r="J428" s="6">
        <v>5.0</v>
      </c>
      <c r="K428" s="10">
        <v>0.622363686561584</v>
      </c>
      <c r="L428" s="10">
        <v>0.147499084472656</v>
      </c>
      <c r="M428" s="10">
        <v>0.148113146424293</v>
      </c>
      <c r="N428" s="11">
        <v>0.14811309</v>
      </c>
      <c r="O428" s="6">
        <f t="shared" si="1"/>
        <v>0.00000005642429299</v>
      </c>
      <c r="P428" s="6">
        <v>0.014256619144602</v>
      </c>
      <c r="Q428" s="6">
        <v>0.014861995753715</v>
      </c>
      <c r="R428" s="6">
        <v>0.9995</v>
      </c>
      <c r="S428" s="6">
        <v>0.9995</v>
      </c>
      <c r="T428" s="6">
        <v>20.5621375230337</v>
      </c>
    </row>
    <row r="429">
      <c r="A429" s="5" t="s">
        <v>63</v>
      </c>
      <c r="B429" s="17" t="s">
        <v>433</v>
      </c>
      <c r="C429" s="7" t="s">
        <v>78</v>
      </c>
      <c r="D429" s="8" t="s">
        <v>461</v>
      </c>
      <c r="E429" s="18">
        <v>45425.0</v>
      </c>
      <c r="F429" s="6">
        <v>5.0</v>
      </c>
      <c r="G429" s="6">
        <v>10.0</v>
      </c>
      <c r="H429" s="6">
        <v>1.0</v>
      </c>
      <c r="I429" s="6">
        <v>1.0</v>
      </c>
      <c r="J429" s="6">
        <v>5.0</v>
      </c>
      <c r="K429" s="10">
        <v>0.617282271385192</v>
      </c>
      <c r="L429" s="10">
        <v>0.178877055644989</v>
      </c>
      <c r="M429" s="10">
        <v>0.122165098786354</v>
      </c>
      <c r="N429" s="11">
        <v>0.12216518</v>
      </c>
      <c r="O429" s="6">
        <f t="shared" si="1"/>
        <v>-0.000000081213646</v>
      </c>
      <c r="P429" s="6">
        <v>0.02053388090349</v>
      </c>
      <c r="Q429" s="6">
        <v>0.081196581196581</v>
      </c>
      <c r="R429" s="6">
        <v>0.9994</v>
      </c>
      <c r="S429" s="6">
        <v>0.9994</v>
      </c>
      <c r="T429" s="6">
        <v>20.9250572015254</v>
      </c>
    </row>
    <row r="430">
      <c r="A430" s="5" t="s">
        <v>63</v>
      </c>
      <c r="B430" s="17" t="s">
        <v>433</v>
      </c>
      <c r="C430" s="7" t="s">
        <v>80</v>
      </c>
      <c r="D430" s="8" t="s">
        <v>462</v>
      </c>
      <c r="E430" s="18">
        <v>45425.0</v>
      </c>
      <c r="F430" s="6">
        <v>5.0</v>
      </c>
      <c r="G430" s="6">
        <v>10.0</v>
      </c>
      <c r="H430" s="6">
        <v>1.0</v>
      </c>
      <c r="I430" s="6">
        <v>7.0</v>
      </c>
      <c r="J430" s="6">
        <v>1.0</v>
      </c>
      <c r="K430" s="10">
        <v>0.621365308761596</v>
      </c>
      <c r="L430" s="10">
        <v>0.155180811882019</v>
      </c>
      <c r="M430" s="10">
        <v>-0.0961118042469024</v>
      </c>
      <c r="N430" s="11">
        <v>-0.09611163</v>
      </c>
      <c r="O430" s="6">
        <f t="shared" si="1"/>
        <v>-0.0000001742469024</v>
      </c>
      <c r="P430" s="6">
        <v>0.046454767726161</v>
      </c>
      <c r="Q430" s="6">
        <v>0.012820512820512</v>
      </c>
      <c r="R430" s="6">
        <v>0.9913</v>
      </c>
      <c r="S430" s="6">
        <v>0.9913</v>
      </c>
      <c r="T430" s="6">
        <v>18.2841981345649</v>
      </c>
    </row>
    <row r="431">
      <c r="A431" s="5" t="s">
        <v>63</v>
      </c>
      <c r="B431" s="17" t="s">
        <v>433</v>
      </c>
      <c r="C431" s="7" t="s">
        <v>82</v>
      </c>
      <c r="D431" s="8" t="s">
        <v>463</v>
      </c>
      <c r="E431" s="18">
        <v>45425.0</v>
      </c>
      <c r="F431" s="6">
        <v>5.0</v>
      </c>
      <c r="G431" s="6">
        <v>10.0</v>
      </c>
      <c r="H431" s="6">
        <v>1.0</v>
      </c>
      <c r="I431" s="6">
        <v>1.0</v>
      </c>
      <c r="J431" s="6">
        <v>1.0</v>
      </c>
      <c r="K431" s="10">
        <v>0.623188138008117</v>
      </c>
      <c r="L431" s="10">
        <v>0.173403367400169</v>
      </c>
      <c r="M431" s="10">
        <v>0.00389386340975761</v>
      </c>
      <c r="N431" s="11">
        <v>0.0038939011</v>
      </c>
      <c r="O431" s="6">
        <f t="shared" si="1"/>
        <v>-0.00000003769024239</v>
      </c>
      <c r="P431" s="6">
        <v>0.04</v>
      </c>
      <c r="Q431" s="6">
        <v>0.021442495126705</v>
      </c>
      <c r="R431" s="6">
        <v>0.9991</v>
      </c>
      <c r="S431" s="6">
        <v>0.9991</v>
      </c>
      <c r="T431" s="6">
        <v>20.9456221198157</v>
      </c>
    </row>
    <row r="432">
      <c r="A432" s="5" t="s">
        <v>84</v>
      </c>
      <c r="B432" s="17" t="s">
        <v>433</v>
      </c>
      <c r="C432" s="7" t="s">
        <v>85</v>
      </c>
      <c r="D432" s="8" t="s">
        <v>464</v>
      </c>
      <c r="E432" s="18">
        <v>45425.0</v>
      </c>
      <c r="F432" s="6">
        <v>5.0</v>
      </c>
      <c r="G432" s="6">
        <v>10.0</v>
      </c>
      <c r="H432" s="6">
        <v>1.0</v>
      </c>
      <c r="I432" s="6">
        <v>1.0</v>
      </c>
      <c r="J432" s="6">
        <v>1.0</v>
      </c>
      <c r="K432" s="10">
        <v>0.610400855541229</v>
      </c>
      <c r="L432" s="10">
        <v>0.159169808030128</v>
      </c>
      <c r="M432" s="10">
        <v>0.0476870089769363</v>
      </c>
      <c r="N432" s="11">
        <v>0.04768731</v>
      </c>
      <c r="O432" s="6">
        <f t="shared" si="1"/>
        <v>-0.0000003010230637</v>
      </c>
      <c r="P432" s="6">
        <v>0.017142857142857</v>
      </c>
      <c r="Q432" s="6">
        <v>0.023952095808383</v>
      </c>
      <c r="R432" s="6">
        <v>0.9986</v>
      </c>
      <c r="S432" s="6">
        <v>0.9986</v>
      </c>
      <c r="T432" s="6">
        <v>21.1238095238095</v>
      </c>
    </row>
    <row r="433">
      <c r="A433" s="5" t="s">
        <v>84</v>
      </c>
      <c r="B433" s="17" t="s">
        <v>433</v>
      </c>
      <c r="C433" s="7" t="s">
        <v>87</v>
      </c>
      <c r="D433" s="8" t="s">
        <v>465</v>
      </c>
      <c r="E433" s="18">
        <v>45425.0</v>
      </c>
      <c r="F433" s="6">
        <v>5.0</v>
      </c>
      <c r="G433" s="6">
        <v>10.0</v>
      </c>
      <c r="H433" s="6">
        <v>1.0</v>
      </c>
      <c r="I433" s="6">
        <v>1.0</v>
      </c>
      <c r="J433" s="6">
        <v>5.0</v>
      </c>
      <c r="K433" s="10">
        <v>0.611346304416656</v>
      </c>
      <c r="L433" s="10">
        <v>0.156519651412963</v>
      </c>
      <c r="M433" s="10">
        <v>0.124616622924804</v>
      </c>
      <c r="N433" s="11">
        <v>0.12461647</v>
      </c>
      <c r="O433" s="6">
        <f t="shared" si="1"/>
        <v>0.000000152924804</v>
      </c>
      <c r="P433" s="6">
        <v>0.043478260869565</v>
      </c>
      <c r="Q433" s="6">
        <v>0.072727272727272</v>
      </c>
      <c r="R433" s="6">
        <v>0.936</v>
      </c>
      <c r="S433" s="6">
        <v>0.936</v>
      </c>
      <c r="T433" s="6">
        <v>19.8405797101449</v>
      </c>
    </row>
    <row r="434">
      <c r="A434" s="5" t="s">
        <v>84</v>
      </c>
      <c r="B434" s="17" t="s">
        <v>433</v>
      </c>
      <c r="C434" s="7" t="s">
        <v>89</v>
      </c>
      <c r="D434" s="8" t="s">
        <v>466</v>
      </c>
      <c r="E434" s="18">
        <v>45425.0</v>
      </c>
      <c r="F434" s="6">
        <v>5.0</v>
      </c>
      <c r="G434" s="6">
        <v>10.0</v>
      </c>
      <c r="H434" s="6">
        <v>1.0</v>
      </c>
      <c r="I434" s="6">
        <v>1.0</v>
      </c>
      <c r="J434" s="6">
        <v>1.0</v>
      </c>
      <c r="K434" s="10">
        <v>0.618082225322723</v>
      </c>
      <c r="L434" s="10">
        <v>0.15059919655323</v>
      </c>
      <c r="M434" s="10">
        <v>0.0557936429977417</v>
      </c>
      <c r="N434" s="11">
        <v>0.055793647</v>
      </c>
      <c r="O434" s="6">
        <f t="shared" si="1"/>
        <v>-0.000000004002258303</v>
      </c>
      <c r="P434" s="6">
        <v>0.053719008264462</v>
      </c>
      <c r="Q434" s="6">
        <v>0.013274336283185</v>
      </c>
      <c r="R434" s="6">
        <v>0.9978</v>
      </c>
      <c r="S434" s="6">
        <v>0.9978</v>
      </c>
      <c r="T434" s="6">
        <v>20.3013484123532</v>
      </c>
    </row>
    <row r="435">
      <c r="A435" s="5" t="s">
        <v>84</v>
      </c>
      <c r="B435" s="17" t="s">
        <v>433</v>
      </c>
      <c r="C435" s="7" t="s">
        <v>91</v>
      </c>
      <c r="D435" s="8" t="s">
        <v>467</v>
      </c>
      <c r="E435" s="18">
        <v>45425.0</v>
      </c>
      <c r="F435" s="6">
        <v>5.0</v>
      </c>
      <c r="G435" s="6">
        <v>1.0</v>
      </c>
      <c r="H435" s="6">
        <v>1.0</v>
      </c>
      <c r="I435" s="6">
        <v>7.0</v>
      </c>
      <c r="J435" s="6">
        <v>1.0</v>
      </c>
      <c r="K435" s="10">
        <v>0.631296753883361</v>
      </c>
      <c r="L435" s="10">
        <v>0.170755892992019</v>
      </c>
      <c r="M435" s="10">
        <v>0.07845439016819</v>
      </c>
      <c r="N435" s="11">
        <v>0.078454316</v>
      </c>
      <c r="O435" s="6">
        <f t="shared" si="1"/>
        <v>0.00000007416819001</v>
      </c>
      <c r="P435" s="6">
        <v>0.033898305084745</v>
      </c>
      <c r="Q435" s="6">
        <v>0.013215859030837</v>
      </c>
      <c r="R435" s="6">
        <v>0.9959</v>
      </c>
      <c r="S435" s="6">
        <v>0.9959</v>
      </c>
      <c r="T435" s="6">
        <v>19.2962711864407</v>
      </c>
    </row>
    <row r="436">
      <c r="A436" s="5" t="s">
        <v>84</v>
      </c>
      <c r="B436" s="17" t="s">
        <v>433</v>
      </c>
      <c r="C436" s="7" t="s">
        <v>93</v>
      </c>
      <c r="D436" s="8" t="s">
        <v>468</v>
      </c>
      <c r="E436" s="18">
        <v>45425.0</v>
      </c>
      <c r="F436" s="6">
        <v>5.0</v>
      </c>
      <c r="G436" s="6">
        <v>1.0</v>
      </c>
      <c r="H436" s="6">
        <v>1.0</v>
      </c>
      <c r="I436" s="6">
        <v>7.0</v>
      </c>
      <c r="J436" s="6">
        <v>5.0</v>
      </c>
      <c r="K436" s="10">
        <v>0.610633850097656</v>
      </c>
      <c r="L436" s="10">
        <v>0.16519857943058</v>
      </c>
      <c r="M436" s="10">
        <v>0.0132387094199657</v>
      </c>
      <c r="N436" s="11">
        <v>0.013238635</v>
      </c>
      <c r="O436" s="6">
        <f t="shared" si="1"/>
        <v>0.0000000744199657</v>
      </c>
      <c r="P436" s="6">
        <v>0.040752351097178</v>
      </c>
      <c r="Q436" s="6">
        <v>0.073089700996677</v>
      </c>
      <c r="R436" s="6">
        <v>0.9912</v>
      </c>
      <c r="S436" s="6">
        <v>0.9912</v>
      </c>
      <c r="T436" s="6">
        <v>21.8501567398119</v>
      </c>
    </row>
    <row r="437">
      <c r="A437" s="5" t="s">
        <v>84</v>
      </c>
      <c r="B437" s="17" t="s">
        <v>433</v>
      </c>
      <c r="C437" s="7" t="s">
        <v>95</v>
      </c>
      <c r="D437" s="8" t="s">
        <v>469</v>
      </c>
      <c r="E437" s="18">
        <v>45425.0</v>
      </c>
      <c r="F437" s="6">
        <v>5.0</v>
      </c>
      <c r="G437" s="6">
        <v>1.0</v>
      </c>
      <c r="H437" s="6">
        <v>1.0</v>
      </c>
      <c r="I437" s="6">
        <v>7.0</v>
      </c>
      <c r="J437" s="6">
        <v>1.0</v>
      </c>
      <c r="K437" s="10">
        <v>0.620010316371917</v>
      </c>
      <c r="L437" s="10">
        <v>0.160859182476997</v>
      </c>
      <c r="M437" s="10">
        <v>-0.0604900084435939</v>
      </c>
      <c r="N437" s="11">
        <v>-0.06049005</v>
      </c>
      <c r="O437" s="6">
        <f t="shared" si="1"/>
        <v>0.00000004155640609</v>
      </c>
      <c r="P437" s="6">
        <v>0.045592705167173</v>
      </c>
      <c r="Q437" s="6">
        <v>0.02572347266881</v>
      </c>
      <c r="R437" s="6">
        <v>0.9808</v>
      </c>
      <c r="S437" s="6">
        <v>0.9808</v>
      </c>
      <c r="T437" s="6">
        <v>21.7872893064382</v>
      </c>
    </row>
    <row r="438">
      <c r="A438" s="5" t="s">
        <v>84</v>
      </c>
      <c r="B438" s="17" t="s">
        <v>433</v>
      </c>
      <c r="C438" s="7" t="s">
        <v>97</v>
      </c>
      <c r="D438" s="8" t="s">
        <v>470</v>
      </c>
      <c r="E438" s="18">
        <v>45425.0</v>
      </c>
      <c r="F438" s="6">
        <v>5.0</v>
      </c>
      <c r="G438" s="6">
        <v>10.0</v>
      </c>
      <c r="H438" s="6">
        <v>1.0</v>
      </c>
      <c r="I438" s="6">
        <v>1.0</v>
      </c>
      <c r="J438" s="6">
        <v>5.0</v>
      </c>
      <c r="K438" s="10">
        <v>0.608155608177185</v>
      </c>
      <c r="L438" s="10">
        <v>0.115038096904754</v>
      </c>
      <c r="M438" s="10">
        <v>0.133033990859985</v>
      </c>
      <c r="N438" s="11">
        <v>0.133034</v>
      </c>
      <c r="O438" s="6">
        <f t="shared" si="1"/>
        <v>-0.000000009140015023</v>
      </c>
      <c r="P438" s="6">
        <v>0.042713567839195</v>
      </c>
      <c r="Q438" s="6">
        <v>0.023809523809523</v>
      </c>
      <c r="R438" s="6">
        <v>0.9926</v>
      </c>
      <c r="S438" s="6">
        <v>0.9926</v>
      </c>
      <c r="T438" s="6">
        <v>20.8845561139028</v>
      </c>
    </row>
    <row r="439">
      <c r="A439" s="5" t="s">
        <v>84</v>
      </c>
      <c r="B439" s="17" t="s">
        <v>433</v>
      </c>
      <c r="C439" s="7" t="s">
        <v>99</v>
      </c>
      <c r="D439" s="8" t="s">
        <v>471</v>
      </c>
      <c r="E439" s="18">
        <v>45425.0</v>
      </c>
      <c r="F439" s="6">
        <v>5.0</v>
      </c>
      <c r="G439" s="6">
        <v>10.0</v>
      </c>
      <c r="H439" s="6">
        <v>1.0</v>
      </c>
      <c r="I439" s="6">
        <v>7.0</v>
      </c>
      <c r="J439" s="6">
        <v>5.0</v>
      </c>
      <c r="K439" s="10">
        <v>0.617254376411438</v>
      </c>
      <c r="L439" s="10">
        <v>0.130650341510772</v>
      </c>
      <c r="M439" s="10">
        <v>0.0140738412737846</v>
      </c>
      <c r="N439" s="11">
        <v>0.014074214</v>
      </c>
      <c r="O439" s="6">
        <f t="shared" si="1"/>
        <v>-0.0000003727262154</v>
      </c>
      <c r="P439" s="6">
        <v>0.036674816625916</v>
      </c>
      <c r="Q439" s="6">
        <v>0.012987012987012</v>
      </c>
      <c r="R439" s="6">
        <v>0.9972</v>
      </c>
      <c r="S439" s="6">
        <v>0.9972</v>
      </c>
      <c r="T439" s="6">
        <v>22.1702896940061</v>
      </c>
    </row>
    <row r="440">
      <c r="A440" s="5" t="s">
        <v>84</v>
      </c>
      <c r="B440" s="17" t="s">
        <v>433</v>
      </c>
      <c r="C440" s="7" t="s">
        <v>101</v>
      </c>
      <c r="D440" s="8" t="s">
        <v>472</v>
      </c>
      <c r="E440" s="18">
        <v>45425.0</v>
      </c>
      <c r="F440" s="6">
        <v>5.0</v>
      </c>
      <c r="G440" s="6">
        <v>10.0</v>
      </c>
      <c r="H440" s="6">
        <v>1.0</v>
      </c>
      <c r="I440" s="6">
        <v>1.0</v>
      </c>
      <c r="J440" s="6">
        <v>1.0</v>
      </c>
      <c r="K440" s="10">
        <v>0.602840602397918</v>
      </c>
      <c r="L440" s="10">
        <v>0.117820560932159</v>
      </c>
      <c r="M440" s="10">
        <v>0.110018350183963</v>
      </c>
      <c r="N440" s="11">
        <v>0.11001829</v>
      </c>
      <c r="O440" s="6">
        <f t="shared" si="1"/>
        <v>0.00000006018396299</v>
      </c>
      <c r="P440" s="6">
        <v>0.053941908713692</v>
      </c>
      <c r="Q440" s="6">
        <v>0.03076923076923</v>
      </c>
      <c r="R440" s="6">
        <v>0.9928</v>
      </c>
      <c r="S440" s="6">
        <v>-0.9928</v>
      </c>
      <c r="T440" s="6">
        <v>22.2720569057498</v>
      </c>
    </row>
    <row r="441">
      <c r="A441" s="5" t="s">
        <v>84</v>
      </c>
      <c r="B441" s="17" t="s">
        <v>433</v>
      </c>
      <c r="C441" s="7" t="s">
        <v>103</v>
      </c>
      <c r="D441" s="8" t="s">
        <v>473</v>
      </c>
      <c r="E441" s="18">
        <v>45425.0</v>
      </c>
      <c r="F441" s="6">
        <v>5.0</v>
      </c>
      <c r="G441" s="6">
        <v>10.0</v>
      </c>
      <c r="H441" s="6">
        <v>1.0</v>
      </c>
      <c r="I441" s="6">
        <v>7.0</v>
      </c>
      <c r="J441" s="6">
        <v>5.0</v>
      </c>
      <c r="K441" s="10">
        <v>0.608423888683319</v>
      </c>
      <c r="L441" s="10">
        <v>0.153293758630752</v>
      </c>
      <c r="M441" s="10">
        <v>-0.0535827986896038</v>
      </c>
      <c r="N441" s="11">
        <v>-0.053583015</v>
      </c>
      <c r="O441" s="6">
        <f t="shared" si="1"/>
        <v>0.0000002163103962</v>
      </c>
      <c r="P441" s="6">
        <v>0.039045553145336</v>
      </c>
      <c r="Q441" s="6">
        <v>0.062355658198614</v>
      </c>
      <c r="R441" s="6">
        <v>0.9984</v>
      </c>
      <c r="S441" s="6">
        <v>0.9984</v>
      </c>
      <c r="T441" s="6">
        <v>20.6681316608507</v>
      </c>
    </row>
    <row r="442">
      <c r="A442" s="5" t="s">
        <v>20</v>
      </c>
      <c r="B442" s="6" t="s">
        <v>474</v>
      </c>
      <c r="C442" s="7" t="s">
        <v>22</v>
      </c>
      <c r="D442" s="8" t="s">
        <v>475</v>
      </c>
      <c r="E442" s="9">
        <v>45491.0</v>
      </c>
      <c r="F442" s="6">
        <v>5.0</v>
      </c>
      <c r="G442" s="6">
        <v>1.0</v>
      </c>
      <c r="H442" s="6">
        <v>1.0</v>
      </c>
      <c r="I442" s="6">
        <v>1.0</v>
      </c>
      <c r="J442" s="6">
        <v>3.0</v>
      </c>
      <c r="K442" s="14">
        <v>0.623666226863861</v>
      </c>
      <c r="L442" s="14">
        <v>0.185842350125312</v>
      </c>
      <c r="M442" s="14">
        <v>0.0246342793107032</v>
      </c>
      <c r="N442" s="11">
        <v>0.024634313</v>
      </c>
      <c r="O442" s="6">
        <f t="shared" si="1"/>
        <v>-0.0000000336892968</v>
      </c>
      <c r="P442" s="6">
        <v>0.033333333333333</v>
      </c>
      <c r="Q442" s="6">
        <v>0.178571428571428</v>
      </c>
      <c r="R442" s="6">
        <v>0.8687</v>
      </c>
      <c r="S442" s="6">
        <v>0.8687</v>
      </c>
      <c r="T442" s="6">
        <v>14.6666666666667</v>
      </c>
    </row>
    <row r="443">
      <c r="A443" s="5" t="s">
        <v>20</v>
      </c>
      <c r="B443" s="6" t="s">
        <v>474</v>
      </c>
      <c r="C443" s="7" t="s">
        <v>24</v>
      </c>
      <c r="D443" s="8" t="s">
        <v>476</v>
      </c>
      <c r="E443" s="9">
        <v>45491.0</v>
      </c>
      <c r="F443" s="6">
        <v>5.0</v>
      </c>
      <c r="G443" s="6">
        <v>1.0</v>
      </c>
      <c r="H443" s="6">
        <v>1.0</v>
      </c>
      <c r="I443" s="6">
        <v>1.0</v>
      </c>
      <c r="J443" s="6">
        <v>3.0</v>
      </c>
      <c r="K443" s="14">
        <v>0.623359262943267</v>
      </c>
      <c r="L443" s="14">
        <v>0.179498687386512</v>
      </c>
      <c r="M443" s="14">
        <v>0.147937566041946</v>
      </c>
      <c r="N443" s="11">
        <v>0.1479379</v>
      </c>
      <c r="O443" s="6">
        <f t="shared" si="1"/>
        <v>-0.000000333958054</v>
      </c>
      <c r="P443" s="6">
        <v>0.027027027027027</v>
      </c>
      <c r="Q443" s="6">
        <v>0.083333333333333</v>
      </c>
      <c r="R443" s="6">
        <v>0.9218</v>
      </c>
      <c r="S443" s="6">
        <v>0.9218</v>
      </c>
      <c r="T443" s="6">
        <v>20.0684684684685</v>
      </c>
    </row>
    <row r="444">
      <c r="A444" s="5" t="s">
        <v>20</v>
      </c>
      <c r="B444" s="6" t="s">
        <v>474</v>
      </c>
      <c r="C444" s="7" t="s">
        <v>26</v>
      </c>
      <c r="D444" s="8" t="s">
        <v>477</v>
      </c>
      <c r="E444" s="9">
        <v>45491.0</v>
      </c>
      <c r="F444" s="6">
        <v>7.0</v>
      </c>
      <c r="G444" s="6">
        <v>7.0</v>
      </c>
      <c r="H444" s="6">
        <v>1.0</v>
      </c>
      <c r="I444" s="6">
        <v>1.0</v>
      </c>
      <c r="J444" s="6">
        <v>3.0</v>
      </c>
      <c r="K444" s="14">
        <v>0.584863126277923</v>
      </c>
      <c r="L444" s="14">
        <v>0.185747295618057</v>
      </c>
      <c r="M444" s="14">
        <v>0.126532301306724</v>
      </c>
      <c r="N444" s="11">
        <v>0.12653233</v>
      </c>
      <c r="O444" s="6">
        <f t="shared" si="1"/>
        <v>-0.00000002869327601</v>
      </c>
      <c r="P444" s="6">
        <v>0.021739130434782</v>
      </c>
      <c r="Q444" s="6">
        <v>0.116279069767441</v>
      </c>
      <c r="R444" s="6">
        <v>0.9739</v>
      </c>
      <c r="S444" s="6">
        <v>0.9739</v>
      </c>
      <c r="T444" s="6">
        <v>17.0260869565217</v>
      </c>
    </row>
    <row r="445">
      <c r="A445" s="5" t="s">
        <v>20</v>
      </c>
      <c r="B445" s="6" t="s">
        <v>474</v>
      </c>
      <c r="C445" s="7" t="s">
        <v>28</v>
      </c>
      <c r="D445" s="8" t="s">
        <v>478</v>
      </c>
      <c r="E445" s="9">
        <v>45491.0</v>
      </c>
      <c r="F445" s="6">
        <v>3.0</v>
      </c>
      <c r="G445" s="6">
        <v>1.0</v>
      </c>
      <c r="H445" s="6">
        <v>1.0</v>
      </c>
      <c r="I445" s="6">
        <v>1.0</v>
      </c>
      <c r="J445" s="6">
        <v>3.0</v>
      </c>
      <c r="K445" s="14">
        <v>0.628813385963439</v>
      </c>
      <c r="L445" s="14">
        <v>0.201692476868629</v>
      </c>
      <c r="M445" s="14">
        <v>-0.0121457800269126</v>
      </c>
      <c r="N445" s="11">
        <v>-0.012145735</v>
      </c>
      <c r="O445" s="6">
        <f t="shared" si="1"/>
        <v>-0.0000000450269126</v>
      </c>
      <c r="P445" s="6">
        <v>0.025</v>
      </c>
      <c r="Q445" s="6">
        <v>0.135135135135135</v>
      </c>
      <c r="R445" s="6">
        <v>0.8459</v>
      </c>
      <c r="S445" s="6">
        <v>0.8459</v>
      </c>
      <c r="T445" s="6">
        <v>16.3333333333333</v>
      </c>
    </row>
    <row r="446">
      <c r="A446" s="5" t="s">
        <v>20</v>
      </c>
      <c r="B446" s="6" t="s">
        <v>474</v>
      </c>
      <c r="C446" s="7" t="s">
        <v>30</v>
      </c>
      <c r="D446" s="8" t="s">
        <v>479</v>
      </c>
      <c r="E446" s="9">
        <v>45491.0</v>
      </c>
      <c r="F446" s="6">
        <v>5.0</v>
      </c>
      <c r="G446" s="6">
        <v>1.0</v>
      </c>
      <c r="H446" s="6">
        <v>1.0</v>
      </c>
      <c r="I446" s="6">
        <v>1.0</v>
      </c>
      <c r="J446" s="6">
        <v>3.0</v>
      </c>
      <c r="K446" s="14">
        <v>0.620283365249633</v>
      </c>
      <c r="L446" s="14">
        <v>0.20920281112194</v>
      </c>
      <c r="M446" s="14">
        <v>-0.0660248845815658</v>
      </c>
      <c r="N446" s="11">
        <v>-0.066024974</v>
      </c>
      <c r="O446" s="6">
        <f t="shared" si="1"/>
        <v>0.0000000894184342</v>
      </c>
      <c r="P446" s="6">
        <v>0.039215686274509</v>
      </c>
      <c r="Q446" s="6">
        <v>0.085106382978723</v>
      </c>
      <c r="R446" s="6">
        <v>0.9604</v>
      </c>
      <c r="S446" s="6">
        <v>0.9604</v>
      </c>
      <c r="T446" s="6">
        <v>19.6117647058824</v>
      </c>
    </row>
    <row r="447">
      <c r="A447" s="5" t="s">
        <v>20</v>
      </c>
      <c r="B447" s="6" t="s">
        <v>474</v>
      </c>
      <c r="C447" s="7" t="s">
        <v>32</v>
      </c>
      <c r="D447" s="8" t="s">
        <v>480</v>
      </c>
      <c r="E447" s="9">
        <v>45491.0</v>
      </c>
      <c r="F447" s="6">
        <v>3.0</v>
      </c>
      <c r="G447" s="6">
        <v>1.0</v>
      </c>
      <c r="H447" s="6">
        <v>1.0</v>
      </c>
      <c r="I447" s="6">
        <v>1.0</v>
      </c>
      <c r="J447" s="6">
        <v>3.0</v>
      </c>
      <c r="K447" s="14">
        <v>0.609372198581695</v>
      </c>
      <c r="L447" s="14">
        <v>0.162476986646652</v>
      </c>
      <c r="M447" s="14">
        <v>-0.154508009552955</v>
      </c>
      <c r="N447" s="11">
        <v>-0.15450816</v>
      </c>
      <c r="O447" s="6">
        <f t="shared" si="1"/>
        <v>0.000000150447045</v>
      </c>
      <c r="P447" s="6">
        <v>0.020833333333333</v>
      </c>
      <c r="Q447" s="6">
        <v>0.133333333333333</v>
      </c>
      <c r="R447" s="6">
        <v>0.1531</v>
      </c>
      <c r="S447" s="6">
        <v>-0.1531</v>
      </c>
      <c r="T447" s="6">
        <v>21.4</v>
      </c>
    </row>
    <row r="448">
      <c r="A448" s="5" t="s">
        <v>20</v>
      </c>
      <c r="B448" s="6" t="s">
        <v>474</v>
      </c>
      <c r="C448" s="7" t="s">
        <v>34</v>
      </c>
      <c r="D448" s="8" t="s">
        <v>481</v>
      </c>
      <c r="E448" s="9">
        <v>45491.0</v>
      </c>
      <c r="F448" s="6">
        <v>5.0</v>
      </c>
      <c r="G448" s="6">
        <v>1.0</v>
      </c>
      <c r="H448" s="6">
        <v>1.0</v>
      </c>
      <c r="I448" s="6">
        <v>1.0</v>
      </c>
      <c r="J448" s="6">
        <v>3.0</v>
      </c>
      <c r="K448" s="14">
        <v>0.604743003845214</v>
      </c>
      <c r="L448" s="14">
        <v>0.201336443424224</v>
      </c>
      <c r="M448" s="14">
        <v>0.0477763190865516</v>
      </c>
      <c r="N448" s="11">
        <v>0.0477762</v>
      </c>
      <c r="O448" s="6">
        <f t="shared" si="1"/>
        <v>0.0000001190865516</v>
      </c>
      <c r="P448" s="6">
        <v>0.0</v>
      </c>
      <c r="Q448" s="6">
        <v>0.153846153846153</v>
      </c>
      <c r="R448" s="6">
        <v>0.7081</v>
      </c>
      <c r="S448" s="6">
        <v>0.7081</v>
      </c>
      <c r="T448" s="6">
        <v>16.0761904761905</v>
      </c>
    </row>
    <row r="449">
      <c r="A449" s="5" t="s">
        <v>20</v>
      </c>
      <c r="B449" s="6" t="s">
        <v>474</v>
      </c>
      <c r="C449" s="7" t="s">
        <v>36</v>
      </c>
      <c r="D449" s="8" t="s">
        <v>482</v>
      </c>
      <c r="E449" s="9">
        <v>45491.0</v>
      </c>
      <c r="F449" s="6">
        <v>7.0</v>
      </c>
      <c r="G449" s="6">
        <v>1.0</v>
      </c>
      <c r="H449" s="6">
        <v>1.0</v>
      </c>
      <c r="I449" s="6">
        <v>1.0</v>
      </c>
      <c r="J449" s="6">
        <v>3.0</v>
      </c>
      <c r="K449" s="14">
        <v>0.612575948238372</v>
      </c>
      <c r="L449" s="14">
        <v>0.196814000606536</v>
      </c>
      <c r="M449" s="14">
        <v>0.00389311090111732</v>
      </c>
      <c r="N449" s="11">
        <v>0.0038930518</v>
      </c>
      <c r="O449" s="6">
        <f t="shared" si="1"/>
        <v>0.00000005910111732</v>
      </c>
      <c r="P449" s="6">
        <v>0.0</v>
      </c>
      <c r="Q449" s="6">
        <v>0.128205128205128</v>
      </c>
      <c r="R449" s="6">
        <v>0.892</v>
      </c>
      <c r="S449" s="6">
        <v>0.892</v>
      </c>
      <c r="T449" s="6">
        <v>15.8666666666667</v>
      </c>
    </row>
    <row r="450">
      <c r="A450" s="5" t="s">
        <v>20</v>
      </c>
      <c r="B450" s="6" t="s">
        <v>474</v>
      </c>
      <c r="C450" s="7" t="s">
        <v>38</v>
      </c>
      <c r="D450" s="8" t="s">
        <v>483</v>
      </c>
      <c r="E450" s="9">
        <v>45491.0</v>
      </c>
      <c r="F450" s="6">
        <v>3.0</v>
      </c>
      <c r="G450" s="6">
        <v>1.0</v>
      </c>
      <c r="H450" s="6">
        <v>1.0</v>
      </c>
      <c r="I450" s="6">
        <v>1.0</v>
      </c>
      <c r="J450" s="6">
        <v>3.0</v>
      </c>
      <c r="K450" s="14">
        <v>0.6255544424057</v>
      </c>
      <c r="L450" s="14">
        <v>0.188767701387405</v>
      </c>
      <c r="M450" s="14">
        <v>-0.286914229393005</v>
      </c>
      <c r="N450" s="11">
        <v>-0.28691444</v>
      </c>
      <c r="O450" s="6">
        <f t="shared" si="1"/>
        <v>0.000000210606995</v>
      </c>
      <c r="P450" s="6">
        <v>0.02</v>
      </c>
      <c r="Q450" s="6">
        <v>0.081632653061224</v>
      </c>
      <c r="R450" s="6">
        <v>0.8313</v>
      </c>
      <c r="S450" s="6">
        <v>0.8313</v>
      </c>
      <c r="T450" s="6">
        <v>24.2666666666667</v>
      </c>
    </row>
    <row r="451">
      <c r="A451" s="5" t="s">
        <v>20</v>
      </c>
      <c r="B451" s="6" t="s">
        <v>474</v>
      </c>
      <c r="C451" s="7" t="s">
        <v>40</v>
      </c>
      <c r="D451" s="8" t="s">
        <v>484</v>
      </c>
      <c r="E451" s="9">
        <v>45491.0</v>
      </c>
      <c r="F451" s="6">
        <v>5.0</v>
      </c>
      <c r="G451" s="6">
        <v>1.0</v>
      </c>
      <c r="H451" s="6">
        <v>1.0</v>
      </c>
      <c r="I451" s="6">
        <v>1.0</v>
      </c>
      <c r="J451" s="6">
        <v>3.0</v>
      </c>
      <c r="K451" s="14">
        <v>0.626913547515869</v>
      </c>
      <c r="L451" s="14">
        <v>0.175431832671165</v>
      </c>
      <c r="M451" s="14">
        <v>-0.119220107793807</v>
      </c>
      <c r="N451" s="11">
        <v>-0.119220026</v>
      </c>
      <c r="O451" s="6">
        <f t="shared" si="1"/>
        <v>-0.00000008179380699</v>
      </c>
      <c r="P451" s="6">
        <v>0.039215686274509</v>
      </c>
      <c r="Q451" s="6">
        <v>0.085106382978723</v>
      </c>
      <c r="R451" s="6">
        <v>0.8316</v>
      </c>
      <c r="S451" s="6">
        <v>0.8316</v>
      </c>
      <c r="T451" s="6">
        <v>20.1333333333333</v>
      </c>
    </row>
    <row r="452">
      <c r="A452" s="5" t="s">
        <v>42</v>
      </c>
      <c r="B452" s="6" t="s">
        <v>474</v>
      </c>
      <c r="C452" s="7" t="s">
        <v>43</v>
      </c>
      <c r="D452" s="8" t="s">
        <v>485</v>
      </c>
      <c r="E452" s="9">
        <v>45491.0</v>
      </c>
      <c r="F452" s="6">
        <v>5.0</v>
      </c>
      <c r="G452" s="6">
        <v>7.0</v>
      </c>
      <c r="H452" s="6">
        <v>1.0</v>
      </c>
      <c r="I452" s="6">
        <v>1.0</v>
      </c>
      <c r="J452" s="6">
        <v>3.0</v>
      </c>
      <c r="K452" s="14">
        <v>0.599058091640472</v>
      </c>
      <c r="L452" s="14">
        <v>0.19663093984127</v>
      </c>
      <c r="M452" s="14">
        <v>-0.0286856312304735</v>
      </c>
      <c r="N452" s="11">
        <v>-0.028685685</v>
      </c>
      <c r="O452" s="6">
        <f t="shared" si="1"/>
        <v>0.0000000537695265</v>
      </c>
      <c r="P452" s="6">
        <v>0.051724137931034</v>
      </c>
      <c r="Q452" s="6">
        <v>0.070175438596491</v>
      </c>
      <c r="R452" s="6">
        <v>0.9898</v>
      </c>
      <c r="S452" s="6">
        <v>0.9898</v>
      </c>
      <c r="T452" s="6">
        <v>13.3862068965517</v>
      </c>
    </row>
    <row r="453">
      <c r="A453" s="5" t="s">
        <v>42</v>
      </c>
      <c r="B453" s="6" t="s">
        <v>474</v>
      </c>
      <c r="C453" s="7" t="s">
        <v>45</v>
      </c>
      <c r="D453" s="8" t="s">
        <v>486</v>
      </c>
      <c r="E453" s="9">
        <v>45491.0</v>
      </c>
      <c r="F453" s="6">
        <v>5.0</v>
      </c>
      <c r="G453" s="6">
        <v>1.0</v>
      </c>
      <c r="H453" s="6">
        <v>1.0</v>
      </c>
      <c r="I453" s="6">
        <v>1.0</v>
      </c>
      <c r="J453" s="6">
        <v>3.0</v>
      </c>
      <c r="K453" s="14">
        <v>0.604262709617614</v>
      </c>
      <c r="L453" s="14">
        <v>0.201940268278121</v>
      </c>
      <c r="M453" s="14">
        <v>0.0174827575683593</v>
      </c>
      <c r="N453" s="11">
        <v>0.017482769</v>
      </c>
      <c r="O453" s="6">
        <f t="shared" si="1"/>
        <v>-0.0000000114316407</v>
      </c>
      <c r="P453" s="6">
        <v>0.044117647058823</v>
      </c>
      <c r="Q453" s="6">
        <v>0.059701492537313</v>
      </c>
      <c r="R453" s="6">
        <v>0.9715</v>
      </c>
      <c r="S453" s="6">
        <v>0.9715</v>
      </c>
      <c r="T453" s="6">
        <v>18.9694117647059</v>
      </c>
    </row>
    <row r="454">
      <c r="A454" s="5" t="s">
        <v>42</v>
      </c>
      <c r="B454" s="6" t="s">
        <v>474</v>
      </c>
      <c r="C454" s="7" t="s">
        <v>47</v>
      </c>
      <c r="D454" s="8" t="s">
        <v>487</v>
      </c>
      <c r="E454" s="9">
        <v>45491.0</v>
      </c>
      <c r="F454" s="6">
        <v>5.0</v>
      </c>
      <c r="G454" s="6">
        <v>7.0</v>
      </c>
      <c r="H454" s="6">
        <v>1.0</v>
      </c>
      <c r="I454" s="6">
        <v>1.0</v>
      </c>
      <c r="J454" s="6">
        <v>3.0</v>
      </c>
      <c r="K454" s="14">
        <v>0.59251195192337</v>
      </c>
      <c r="L454" s="14">
        <v>0.198515698313713</v>
      </c>
      <c r="M454" s="14">
        <v>-0.00253333151340484</v>
      </c>
      <c r="N454" s="11">
        <v>-0.0025332677</v>
      </c>
      <c r="O454" s="6">
        <f t="shared" si="1"/>
        <v>-0.00000006381340484</v>
      </c>
      <c r="P454" s="6">
        <v>0.078125</v>
      </c>
      <c r="Q454" s="6">
        <v>0.193548387096774</v>
      </c>
      <c r="R454" s="6">
        <v>0.9515</v>
      </c>
      <c r="S454" s="6">
        <v>0.9515</v>
      </c>
      <c r="T454" s="6">
        <v>15.775</v>
      </c>
    </row>
    <row r="455">
      <c r="A455" s="5" t="s">
        <v>42</v>
      </c>
      <c r="B455" s="6" t="s">
        <v>474</v>
      </c>
      <c r="C455" s="7" t="s">
        <v>49</v>
      </c>
      <c r="D455" s="8" t="s">
        <v>488</v>
      </c>
      <c r="E455" s="9">
        <v>45491.0</v>
      </c>
      <c r="F455" s="6">
        <v>5.0</v>
      </c>
      <c r="G455" s="6">
        <v>7.0</v>
      </c>
      <c r="H455" s="6">
        <v>1.0</v>
      </c>
      <c r="I455" s="6">
        <v>1.0</v>
      </c>
      <c r="J455" s="6">
        <v>3.0</v>
      </c>
      <c r="K455" s="14">
        <v>0.594345331192016</v>
      </c>
      <c r="L455" s="14">
        <v>0.177422642707824</v>
      </c>
      <c r="M455" s="14">
        <v>-0.0257384181022644</v>
      </c>
      <c r="N455" s="11">
        <v>-0.025738604</v>
      </c>
      <c r="O455" s="6">
        <f t="shared" si="1"/>
        <v>0.0000001858977356</v>
      </c>
      <c r="P455" s="6">
        <v>0.072164948453608</v>
      </c>
      <c r="Q455" s="6">
        <v>0.085106382978723</v>
      </c>
      <c r="R455" s="6">
        <v>0.9622</v>
      </c>
      <c r="S455" s="6">
        <v>0.9622</v>
      </c>
      <c r="T455" s="6">
        <v>18.013058419244</v>
      </c>
    </row>
    <row r="456">
      <c r="A456" s="5" t="s">
        <v>42</v>
      </c>
      <c r="B456" s="6" t="s">
        <v>474</v>
      </c>
      <c r="C456" s="7" t="s">
        <v>51</v>
      </c>
      <c r="D456" s="8" t="s">
        <v>489</v>
      </c>
      <c r="E456" s="9">
        <v>45491.0</v>
      </c>
      <c r="F456" s="6">
        <v>3.0</v>
      </c>
      <c r="G456" s="6">
        <v>1.0</v>
      </c>
      <c r="H456" s="6">
        <v>1.0</v>
      </c>
      <c r="I456" s="6">
        <v>1.0</v>
      </c>
      <c r="J456" s="6">
        <v>3.0</v>
      </c>
      <c r="K456" s="14">
        <v>0.610960960388183</v>
      </c>
      <c r="L456" s="14">
        <v>0.168424561619758</v>
      </c>
      <c r="M456" s="14">
        <v>0.0636934414505958</v>
      </c>
      <c r="N456" s="11">
        <v>0.0636936</v>
      </c>
      <c r="O456" s="6">
        <f t="shared" si="1"/>
        <v>-0.0000001585494042</v>
      </c>
      <c r="P456" s="6">
        <v>0.025773195876288</v>
      </c>
      <c r="Q456" s="6">
        <v>0.032786885245901</v>
      </c>
      <c r="R456" s="6">
        <v>0.9845</v>
      </c>
      <c r="S456" s="6">
        <v>0.9845</v>
      </c>
      <c r="T456" s="6">
        <v>18.9877663230241</v>
      </c>
    </row>
    <row r="457">
      <c r="A457" s="5" t="s">
        <v>42</v>
      </c>
      <c r="B457" s="6" t="s">
        <v>474</v>
      </c>
      <c r="C457" s="7" t="s">
        <v>53</v>
      </c>
      <c r="D457" s="8" t="s">
        <v>490</v>
      </c>
      <c r="E457" s="9">
        <v>45491.0</v>
      </c>
      <c r="F457" s="6">
        <v>7.0</v>
      </c>
      <c r="G457" s="6">
        <v>1.0</v>
      </c>
      <c r="H457" s="6">
        <v>1.0</v>
      </c>
      <c r="I457" s="6">
        <v>1.0</v>
      </c>
      <c r="J457" s="6">
        <v>3.0</v>
      </c>
      <c r="K457" s="14">
        <v>0.623634696006774</v>
      </c>
      <c r="L457" s="14">
        <v>0.193859308958053</v>
      </c>
      <c r="M457" s="14">
        <v>0.001512061804533</v>
      </c>
      <c r="N457" s="11">
        <v>0.001511958</v>
      </c>
      <c r="O457" s="6">
        <f t="shared" si="1"/>
        <v>0.000000103804533</v>
      </c>
      <c r="P457" s="6">
        <v>0.042424242424242</v>
      </c>
      <c r="Q457" s="6">
        <v>0.052631578947368</v>
      </c>
      <c r="R457" s="6">
        <v>0.9943</v>
      </c>
      <c r="S457" s="6">
        <v>0.9943</v>
      </c>
      <c r="T457" s="6">
        <v>19.6223776223776</v>
      </c>
    </row>
    <row r="458">
      <c r="A458" s="5" t="s">
        <v>42</v>
      </c>
      <c r="B458" s="6" t="s">
        <v>474</v>
      </c>
      <c r="C458" s="7" t="s">
        <v>55</v>
      </c>
      <c r="D458" s="8" t="s">
        <v>491</v>
      </c>
      <c r="E458" s="9">
        <v>45491.0</v>
      </c>
      <c r="F458" s="6">
        <v>3.0</v>
      </c>
      <c r="G458" s="6">
        <v>1.0</v>
      </c>
      <c r="H458" s="6">
        <v>1.0</v>
      </c>
      <c r="I458" s="6">
        <v>6.0</v>
      </c>
      <c r="J458" s="6">
        <v>3.0</v>
      </c>
      <c r="K458" s="14">
        <v>0.61968195438385</v>
      </c>
      <c r="L458" s="14">
        <v>0.148683384060859</v>
      </c>
      <c r="M458" s="14">
        <v>-0.104684084653854</v>
      </c>
      <c r="N458" s="11">
        <v>-0.10468388</v>
      </c>
      <c r="O458" s="6">
        <f t="shared" si="1"/>
        <v>-0.000000204653854</v>
      </c>
      <c r="P458" s="6">
        <v>0.024291497975708</v>
      </c>
      <c r="Q458" s="6">
        <v>0.033755274261603</v>
      </c>
      <c r="R458" s="6">
        <v>0.34</v>
      </c>
      <c r="S458" s="6">
        <v>-0.34</v>
      </c>
      <c r="T458" s="6">
        <v>22.2040485829959</v>
      </c>
    </row>
    <row r="459">
      <c r="A459" s="5" t="s">
        <v>42</v>
      </c>
      <c r="B459" s="6" t="s">
        <v>474</v>
      </c>
      <c r="C459" s="7" t="s">
        <v>57</v>
      </c>
      <c r="D459" s="8" t="s">
        <v>492</v>
      </c>
      <c r="E459" s="9">
        <v>45491.0</v>
      </c>
      <c r="F459" s="6">
        <v>5.0</v>
      </c>
      <c r="G459" s="6">
        <v>7.0</v>
      </c>
      <c r="H459" s="6">
        <v>1.0</v>
      </c>
      <c r="I459" s="6">
        <v>6.0</v>
      </c>
      <c r="J459" s="6">
        <v>3.0</v>
      </c>
      <c r="K459" s="14">
        <v>0.616718411445617</v>
      </c>
      <c r="L459" s="14">
        <v>0.146941721439361</v>
      </c>
      <c r="M459" s="14">
        <v>-0.0363178625702858</v>
      </c>
      <c r="N459" s="11">
        <v>-0.036317933</v>
      </c>
      <c r="O459" s="6">
        <f t="shared" si="1"/>
        <v>0.0000000704297142</v>
      </c>
      <c r="P459" s="6">
        <v>0.026315789473684</v>
      </c>
      <c r="Q459" s="6">
        <v>0.080536912751677</v>
      </c>
      <c r="R459" s="6">
        <v>0.9568</v>
      </c>
      <c r="S459" s="6">
        <v>0.9568</v>
      </c>
      <c r="T459" s="6">
        <v>18.0713450292398</v>
      </c>
    </row>
    <row r="460">
      <c r="A460" s="5" t="s">
        <v>42</v>
      </c>
      <c r="B460" s="6" t="s">
        <v>474</v>
      </c>
      <c r="C460" s="7" t="s">
        <v>59</v>
      </c>
      <c r="D460" s="8" t="s">
        <v>493</v>
      </c>
      <c r="E460" s="9">
        <v>45491.0</v>
      </c>
      <c r="F460" s="6">
        <v>3.0</v>
      </c>
      <c r="G460" s="6">
        <v>1.0</v>
      </c>
      <c r="H460" s="6">
        <v>1.0</v>
      </c>
      <c r="I460" s="6">
        <v>1.0</v>
      </c>
      <c r="J460" s="6">
        <v>3.0</v>
      </c>
      <c r="K460" s="14">
        <v>0.604419350624084</v>
      </c>
      <c r="L460" s="14">
        <v>0.163039728999137</v>
      </c>
      <c r="M460" s="14">
        <v>-0.106889180839061</v>
      </c>
      <c r="N460" s="11">
        <v>-0.10688911</v>
      </c>
      <c r="O460" s="6">
        <f t="shared" si="1"/>
        <v>-0.00000007083906101</v>
      </c>
      <c r="P460" s="6">
        <v>0.036363636363636</v>
      </c>
      <c r="Q460" s="6">
        <v>0.024691358024691</v>
      </c>
      <c r="R460" s="6">
        <v>0.9131</v>
      </c>
      <c r="S460" s="6">
        <v>0.9131</v>
      </c>
      <c r="T460" s="6">
        <v>24.0909090909091</v>
      </c>
    </row>
    <row r="461">
      <c r="A461" s="5" t="s">
        <v>42</v>
      </c>
      <c r="B461" s="6" t="s">
        <v>474</v>
      </c>
      <c r="C461" s="7" t="s">
        <v>61</v>
      </c>
      <c r="D461" s="8" t="s">
        <v>494</v>
      </c>
      <c r="E461" s="9">
        <v>45491.0</v>
      </c>
      <c r="F461" s="6">
        <v>5.0</v>
      </c>
      <c r="G461" s="6">
        <v>1.0</v>
      </c>
      <c r="H461" s="6">
        <v>1.0</v>
      </c>
      <c r="I461" s="6">
        <v>1.0</v>
      </c>
      <c r="J461" s="6">
        <v>3.0</v>
      </c>
      <c r="K461" s="14">
        <v>0.613264203071594</v>
      </c>
      <c r="L461" s="14">
        <v>0.1546211540699</v>
      </c>
      <c r="M461" s="14">
        <v>0.037139993160963</v>
      </c>
      <c r="N461" s="11">
        <v>0.03713999</v>
      </c>
      <c r="O461" s="6">
        <f t="shared" si="1"/>
        <v>0.000000003160963005</v>
      </c>
      <c r="P461" s="6">
        <v>0.038461538461538</v>
      </c>
      <c r="Q461" s="6">
        <v>0.047297297297297</v>
      </c>
      <c r="R461" s="6">
        <v>0.9936</v>
      </c>
      <c r="S461" s="6">
        <v>0.9936</v>
      </c>
      <c r="T461" s="6">
        <v>15.3948717948718</v>
      </c>
    </row>
    <row r="462">
      <c r="A462" s="5" t="s">
        <v>63</v>
      </c>
      <c r="B462" s="6" t="s">
        <v>474</v>
      </c>
      <c r="C462" s="7" t="s">
        <v>64</v>
      </c>
      <c r="D462" s="8" t="s">
        <v>495</v>
      </c>
      <c r="E462" s="9">
        <v>45491.0</v>
      </c>
      <c r="F462" s="6">
        <v>7.0</v>
      </c>
      <c r="G462" s="6">
        <v>7.0</v>
      </c>
      <c r="H462" s="6">
        <v>1.0</v>
      </c>
      <c r="I462" s="6">
        <v>6.0</v>
      </c>
      <c r="J462" s="6">
        <v>1.0</v>
      </c>
      <c r="K462" s="14">
        <v>0.620482206344604</v>
      </c>
      <c r="L462" s="14">
        <v>0.162362068891525</v>
      </c>
      <c r="M462" s="14">
        <v>0.146362781524658</v>
      </c>
      <c r="N462" s="11">
        <v>0.14636277</v>
      </c>
      <c r="O462" s="6">
        <f t="shared" si="1"/>
        <v>0.00000001152465801</v>
      </c>
      <c r="P462" s="6">
        <v>0.051851851851851</v>
      </c>
      <c r="Q462" s="6">
        <v>0.039370078740157</v>
      </c>
      <c r="R462" s="6">
        <v>0.9896</v>
      </c>
      <c r="S462" s="6">
        <v>-0.9896</v>
      </c>
      <c r="T462" s="6">
        <v>15.1168091168091</v>
      </c>
    </row>
    <row r="463">
      <c r="A463" s="5" t="s">
        <v>63</v>
      </c>
      <c r="B463" s="6" t="s">
        <v>474</v>
      </c>
      <c r="C463" s="7" t="s">
        <v>66</v>
      </c>
      <c r="D463" s="8" t="s">
        <v>496</v>
      </c>
      <c r="E463" s="9">
        <v>45491.0</v>
      </c>
      <c r="F463" s="6">
        <v>7.0</v>
      </c>
      <c r="G463" s="6">
        <v>7.0</v>
      </c>
      <c r="H463" s="6">
        <v>1.0</v>
      </c>
      <c r="I463" s="6">
        <v>1.0</v>
      </c>
      <c r="J463" s="6">
        <v>1.0</v>
      </c>
      <c r="K463" s="14">
        <v>0.619055986404419</v>
      </c>
      <c r="L463" s="14">
        <v>0.126079857349395</v>
      </c>
      <c r="M463" s="14">
        <v>0.10077591985464</v>
      </c>
      <c r="N463" s="11">
        <v>0.10077588</v>
      </c>
      <c r="O463" s="6">
        <f t="shared" si="1"/>
        <v>0.00000003985464</v>
      </c>
      <c r="P463" s="6">
        <v>0.078313253012048</v>
      </c>
      <c r="Q463" s="6">
        <v>0.04375</v>
      </c>
      <c r="R463" s="6">
        <v>0.2617</v>
      </c>
      <c r="S463" s="6">
        <v>0.2617</v>
      </c>
      <c r="T463" s="6">
        <v>19.1701204819277</v>
      </c>
    </row>
    <row r="464">
      <c r="A464" s="5" t="s">
        <v>63</v>
      </c>
      <c r="B464" s="6" t="s">
        <v>474</v>
      </c>
      <c r="C464" s="7" t="s">
        <v>68</v>
      </c>
      <c r="D464" s="8" t="s">
        <v>497</v>
      </c>
      <c r="E464" s="9">
        <v>45491.0</v>
      </c>
      <c r="F464" s="6">
        <v>5.0</v>
      </c>
      <c r="G464" s="6">
        <v>1.0</v>
      </c>
      <c r="H464" s="6">
        <v>1.0</v>
      </c>
      <c r="I464" s="6">
        <v>1.0</v>
      </c>
      <c r="J464" s="6">
        <v>1.0</v>
      </c>
      <c r="K464" s="14">
        <v>0.623504400253295</v>
      </c>
      <c r="L464" s="14">
        <v>0.158413812518119</v>
      </c>
      <c r="M464" s="14">
        <v>0.0285205133259296</v>
      </c>
      <c r="N464" s="11">
        <v>0.02852051</v>
      </c>
      <c r="O464" s="6">
        <f t="shared" si="1"/>
        <v>0.000000003325929601</v>
      </c>
      <c r="P464" s="6">
        <v>0.045226130653266</v>
      </c>
      <c r="Q464" s="6">
        <v>0.081967213114754</v>
      </c>
      <c r="R464" s="6">
        <v>0.9832</v>
      </c>
      <c r="S464" s="6">
        <v>0.9832</v>
      </c>
      <c r="T464" s="6">
        <v>19.3770184254606</v>
      </c>
    </row>
    <row r="465">
      <c r="A465" s="5" t="s">
        <v>63</v>
      </c>
      <c r="B465" s="6" t="s">
        <v>474</v>
      </c>
      <c r="C465" s="7" t="s">
        <v>70</v>
      </c>
      <c r="D465" s="8" t="s">
        <v>498</v>
      </c>
      <c r="E465" s="9">
        <v>45491.0</v>
      </c>
      <c r="F465" s="6">
        <v>3.0</v>
      </c>
      <c r="G465" s="6">
        <v>1.0</v>
      </c>
      <c r="H465" s="6">
        <v>1.0</v>
      </c>
      <c r="I465" s="6">
        <v>1.0</v>
      </c>
      <c r="J465" s="6">
        <v>1.0</v>
      </c>
      <c r="K465" s="14">
        <v>0.61803388595581</v>
      </c>
      <c r="L465" s="14">
        <v>0.180336371064186</v>
      </c>
      <c r="M465" s="14">
        <v>0.0949170440435409</v>
      </c>
      <c r="N465" s="11">
        <v>0.094917156</v>
      </c>
      <c r="O465" s="6">
        <f t="shared" si="1"/>
        <v>-0.0000001119564591</v>
      </c>
      <c r="P465" s="6">
        <v>0.019704433497536</v>
      </c>
      <c r="Q465" s="6">
        <v>0.047120418848167</v>
      </c>
      <c r="R465" s="6">
        <v>0.9978</v>
      </c>
      <c r="S465" s="6">
        <v>0.9978</v>
      </c>
      <c r="T465" s="6">
        <v>18.4740147783251</v>
      </c>
    </row>
    <row r="466">
      <c r="A466" s="5" t="s">
        <v>63</v>
      </c>
      <c r="B466" s="6" t="s">
        <v>474</v>
      </c>
      <c r="C466" s="7" t="s">
        <v>72</v>
      </c>
      <c r="D466" s="8" t="s">
        <v>499</v>
      </c>
      <c r="E466" s="9">
        <v>45491.0</v>
      </c>
      <c r="F466" s="6">
        <v>7.0</v>
      </c>
      <c r="G466" s="6">
        <v>1.0</v>
      </c>
      <c r="H466" s="6">
        <v>1.0</v>
      </c>
      <c r="I466" s="6">
        <v>8.0</v>
      </c>
      <c r="J466" s="6">
        <v>1.0</v>
      </c>
      <c r="K466" s="14">
        <v>0.626467883586883</v>
      </c>
      <c r="L466" s="14">
        <v>0.144123598933219</v>
      </c>
      <c r="M466" s="14">
        <v>0.243502914905548</v>
      </c>
      <c r="N466" s="11">
        <v>0.24350293</v>
      </c>
      <c r="O466" s="6">
        <f t="shared" si="1"/>
        <v>-0.00000001509445199</v>
      </c>
      <c r="P466" s="6">
        <v>0.055276381909547</v>
      </c>
      <c r="Q466" s="6">
        <v>0.057591623036649</v>
      </c>
      <c r="R466" s="6">
        <v>0.9966</v>
      </c>
      <c r="S466" s="6">
        <v>0.9966</v>
      </c>
      <c r="T466" s="6">
        <v>20.1006700167504</v>
      </c>
    </row>
    <row r="467">
      <c r="A467" s="5" t="s">
        <v>63</v>
      </c>
      <c r="B467" s="6" t="s">
        <v>474</v>
      </c>
      <c r="C467" s="7" t="s">
        <v>74</v>
      </c>
      <c r="D467" s="8" t="s">
        <v>500</v>
      </c>
      <c r="E467" s="9">
        <v>45491.0</v>
      </c>
      <c r="F467" s="6">
        <v>7.0</v>
      </c>
      <c r="G467" s="6">
        <v>7.0</v>
      </c>
      <c r="H467" s="6">
        <v>1.0</v>
      </c>
      <c r="I467" s="6">
        <v>6.0</v>
      </c>
      <c r="J467" s="6">
        <v>1.0</v>
      </c>
      <c r="K467" s="14">
        <v>0.632436037063598</v>
      </c>
      <c r="L467" s="14">
        <v>0.176885530352592</v>
      </c>
      <c r="M467" s="14">
        <v>0.280697017908096</v>
      </c>
      <c r="N467" s="11">
        <v>0.28069702</v>
      </c>
      <c r="O467" s="6">
        <f t="shared" si="1"/>
        <v>-0.000000002091904039</v>
      </c>
      <c r="P467" s="6">
        <v>0.046391752577319</v>
      </c>
      <c r="Q467" s="6">
        <v>0.01639344262295</v>
      </c>
      <c r="R467" s="6">
        <v>0.9973</v>
      </c>
      <c r="S467" s="6">
        <v>0.9973</v>
      </c>
      <c r="T467" s="6">
        <v>19.4563573883161</v>
      </c>
    </row>
    <row r="468">
      <c r="A468" s="5" t="s">
        <v>63</v>
      </c>
      <c r="B468" s="6" t="s">
        <v>474</v>
      </c>
      <c r="C468" s="7" t="s">
        <v>76</v>
      </c>
      <c r="D468" s="8" t="s">
        <v>501</v>
      </c>
      <c r="E468" s="9">
        <v>45491.0</v>
      </c>
      <c r="F468" s="6">
        <v>7.0</v>
      </c>
      <c r="G468" s="6">
        <v>1.0</v>
      </c>
      <c r="H468" s="6">
        <v>1.0</v>
      </c>
      <c r="I468" s="6">
        <v>1.0</v>
      </c>
      <c r="J468" s="6">
        <v>3.0</v>
      </c>
      <c r="K468" s="14">
        <v>0.634123563766479</v>
      </c>
      <c r="L468" s="14">
        <v>0.180449455976486</v>
      </c>
      <c r="M468" s="14">
        <v>0.134771972894668</v>
      </c>
      <c r="N468" s="11">
        <v>0.13477209</v>
      </c>
      <c r="O468" s="6">
        <f t="shared" si="1"/>
        <v>-0.000000117105332</v>
      </c>
      <c r="P468" s="6">
        <v>0.016949152542372</v>
      </c>
      <c r="Q468" s="6">
        <v>0.031531531531531</v>
      </c>
      <c r="R468" s="6">
        <v>0.9978</v>
      </c>
      <c r="S468" s="6">
        <v>0.9978</v>
      </c>
      <c r="T468" s="6">
        <v>19.3570621468927</v>
      </c>
    </row>
    <row r="469">
      <c r="A469" s="5" t="s">
        <v>63</v>
      </c>
      <c r="B469" s="6" t="s">
        <v>474</v>
      </c>
      <c r="C469" s="7" t="s">
        <v>78</v>
      </c>
      <c r="D469" s="8" t="s">
        <v>502</v>
      </c>
      <c r="E469" s="9">
        <v>45491.0</v>
      </c>
      <c r="F469" s="6">
        <v>1.0</v>
      </c>
      <c r="G469" s="6">
        <v>5.0</v>
      </c>
      <c r="H469" s="6">
        <v>5.0</v>
      </c>
      <c r="I469" s="6">
        <v>1.0</v>
      </c>
      <c r="J469" s="6">
        <v>3.0</v>
      </c>
      <c r="K469" s="14">
        <v>0.63718581199646</v>
      </c>
      <c r="L469" s="14">
        <v>0.157189607620239</v>
      </c>
      <c r="M469" s="14">
        <v>0.0334401279687881</v>
      </c>
      <c r="N469" s="11">
        <v>0.033440024</v>
      </c>
      <c r="O469" s="6">
        <f t="shared" si="1"/>
        <v>0.0000001039687881</v>
      </c>
      <c r="P469" s="6">
        <v>0.01860465116279</v>
      </c>
      <c r="Q469" s="6">
        <v>0.034313725490196</v>
      </c>
      <c r="R469" s="6">
        <v>0.9979</v>
      </c>
      <c r="S469" s="6">
        <v>0.9979</v>
      </c>
      <c r="T469" s="6">
        <v>20.1542227662179</v>
      </c>
    </row>
    <row r="470">
      <c r="A470" s="5" t="s">
        <v>63</v>
      </c>
      <c r="B470" s="6" t="s">
        <v>474</v>
      </c>
      <c r="C470" s="7" t="s">
        <v>80</v>
      </c>
      <c r="D470" s="8" t="s">
        <v>503</v>
      </c>
      <c r="E470" s="9">
        <v>45491.0</v>
      </c>
      <c r="F470" s="6">
        <v>7.0</v>
      </c>
      <c r="G470" s="6">
        <v>7.0</v>
      </c>
      <c r="H470" s="6">
        <v>1.0</v>
      </c>
      <c r="I470" s="6">
        <v>1.0</v>
      </c>
      <c r="J470" s="6">
        <v>1.0</v>
      </c>
      <c r="K470" s="14">
        <v>0.620467603206634</v>
      </c>
      <c r="L470" s="14">
        <v>0.152155026793479</v>
      </c>
      <c r="M470" s="14">
        <v>0.117540314793586</v>
      </c>
      <c r="N470" s="11">
        <v>0.117540054</v>
      </c>
      <c r="O470" s="6">
        <f t="shared" si="1"/>
        <v>0.000000260793586</v>
      </c>
      <c r="P470" s="6">
        <v>0.050847457627118</v>
      </c>
      <c r="Q470" s="6">
        <v>0.075555555555555</v>
      </c>
      <c r="R470" s="6">
        <v>0.9962</v>
      </c>
      <c r="S470" s="6">
        <v>0.9962</v>
      </c>
      <c r="T470" s="6">
        <v>16.9712994350283</v>
      </c>
    </row>
    <row r="471">
      <c r="A471" s="5" t="s">
        <v>63</v>
      </c>
      <c r="B471" s="6" t="s">
        <v>474</v>
      </c>
      <c r="C471" s="7" t="s">
        <v>82</v>
      </c>
      <c r="D471" s="8" t="s">
        <v>504</v>
      </c>
      <c r="E471" s="9">
        <v>45491.0</v>
      </c>
      <c r="F471" s="6">
        <v>5.0</v>
      </c>
      <c r="G471" s="6">
        <v>7.0</v>
      </c>
      <c r="H471" s="6">
        <v>1.0</v>
      </c>
      <c r="I471" s="6">
        <v>1.0</v>
      </c>
      <c r="J471" s="6">
        <v>1.0</v>
      </c>
      <c r="K471" s="14">
        <v>0.643786311149597</v>
      </c>
      <c r="L471" s="14">
        <v>0.173034533858299</v>
      </c>
      <c r="M471" s="14">
        <v>0.185459405183792</v>
      </c>
      <c r="N471" s="11">
        <v>0.18545951</v>
      </c>
      <c r="O471" s="6">
        <f t="shared" si="1"/>
        <v>-0.000000104816208</v>
      </c>
      <c r="P471" s="6">
        <v>0.048611111111111</v>
      </c>
      <c r="Q471" s="6">
        <v>0.06985294117647</v>
      </c>
      <c r="R471" s="6">
        <v>0.9965</v>
      </c>
      <c r="S471" s="6">
        <v>0.9965</v>
      </c>
      <c r="T471" s="6">
        <v>14.9520467836257</v>
      </c>
    </row>
    <row r="472">
      <c r="A472" s="5" t="s">
        <v>84</v>
      </c>
      <c r="B472" s="6" t="s">
        <v>474</v>
      </c>
      <c r="C472" s="7" t="s">
        <v>85</v>
      </c>
      <c r="D472" s="8" t="s">
        <v>505</v>
      </c>
      <c r="E472" s="9">
        <v>45491.0</v>
      </c>
      <c r="F472" s="6">
        <v>7.0</v>
      </c>
      <c r="G472" s="6">
        <v>7.0</v>
      </c>
      <c r="H472" s="6">
        <v>1.0</v>
      </c>
      <c r="I472" s="6">
        <v>1.0</v>
      </c>
      <c r="J472" s="6">
        <v>1.0</v>
      </c>
      <c r="K472" s="14">
        <v>0.612468123435974</v>
      </c>
      <c r="L472" s="14">
        <v>0.141198605298995</v>
      </c>
      <c r="M472" s="14">
        <v>0.25471943616867</v>
      </c>
      <c r="N472" s="11">
        <v>0.25471905</v>
      </c>
      <c r="O472" s="6">
        <f t="shared" si="1"/>
        <v>0.00000038616867</v>
      </c>
      <c r="P472" s="6">
        <v>0.023952095808383</v>
      </c>
      <c r="Q472" s="6">
        <v>0.019108280254777</v>
      </c>
      <c r="R472" s="6">
        <v>0.9914</v>
      </c>
      <c r="S472" s="6">
        <v>0.9914</v>
      </c>
      <c r="T472" s="6">
        <v>20.9802794411178</v>
      </c>
    </row>
    <row r="473">
      <c r="A473" s="5" t="s">
        <v>84</v>
      </c>
      <c r="B473" s="6" t="s">
        <v>474</v>
      </c>
      <c r="C473" s="7" t="s">
        <v>87</v>
      </c>
      <c r="D473" s="8" t="s">
        <v>506</v>
      </c>
      <c r="E473" s="9">
        <v>45491.0</v>
      </c>
      <c r="F473" s="6">
        <v>7.0</v>
      </c>
      <c r="G473" s="6">
        <v>7.0</v>
      </c>
      <c r="H473" s="6">
        <v>1.0</v>
      </c>
      <c r="I473" s="6">
        <v>6.0</v>
      </c>
      <c r="J473" s="6">
        <v>1.0</v>
      </c>
      <c r="K473" s="14">
        <v>0.625797986984252</v>
      </c>
      <c r="L473" s="14">
        <v>0.155205875635147</v>
      </c>
      <c r="M473" s="14">
        <v>0.128412470221519</v>
      </c>
      <c r="N473" s="11">
        <v>0.12841247</v>
      </c>
      <c r="O473" s="6">
        <f t="shared" si="1"/>
        <v>0.0000000002215189976</v>
      </c>
      <c r="P473" s="6">
        <v>0.08284023668639</v>
      </c>
      <c r="Q473" s="6">
        <v>0.024844720496894</v>
      </c>
      <c r="R473" s="6">
        <v>0.9919</v>
      </c>
      <c r="S473" s="6">
        <v>-0.9919</v>
      </c>
      <c r="T473" s="6">
        <v>18.4544378698225</v>
      </c>
    </row>
    <row r="474">
      <c r="A474" s="5" t="s">
        <v>84</v>
      </c>
      <c r="B474" s="6" t="s">
        <v>474</v>
      </c>
      <c r="C474" s="7" t="s">
        <v>89</v>
      </c>
      <c r="D474" s="8" t="s">
        <v>507</v>
      </c>
      <c r="E474" s="9">
        <v>45491.0</v>
      </c>
      <c r="F474" s="6">
        <v>5.0</v>
      </c>
      <c r="G474" s="6">
        <v>1.0</v>
      </c>
      <c r="H474" s="6">
        <v>1.0</v>
      </c>
      <c r="I474" s="6">
        <v>6.0</v>
      </c>
      <c r="J474" s="6">
        <v>1.0</v>
      </c>
      <c r="K474" s="14">
        <v>0.626759469509124</v>
      </c>
      <c r="L474" s="14">
        <v>0.171399012207984</v>
      </c>
      <c r="M474" s="14">
        <v>0.147396206855773</v>
      </c>
      <c r="N474" s="11">
        <v>0.14739619</v>
      </c>
      <c r="O474" s="6">
        <f t="shared" si="1"/>
        <v>0.000000016855773</v>
      </c>
      <c r="P474" s="6">
        <v>0.043478260869565</v>
      </c>
      <c r="Q474" s="6">
        <v>0.046391752577319</v>
      </c>
      <c r="R474" s="6">
        <v>0.9641</v>
      </c>
      <c r="S474" s="6">
        <v>0.9641</v>
      </c>
      <c r="T474" s="6">
        <v>20.831884057971</v>
      </c>
    </row>
    <row r="475">
      <c r="A475" s="5" t="s">
        <v>84</v>
      </c>
      <c r="B475" s="6" t="s">
        <v>474</v>
      </c>
      <c r="C475" s="7" t="s">
        <v>91</v>
      </c>
      <c r="D475" s="8" t="s">
        <v>508</v>
      </c>
      <c r="E475" s="9">
        <v>45491.0</v>
      </c>
      <c r="F475" s="6">
        <v>3.0</v>
      </c>
      <c r="G475" s="6">
        <v>1.0</v>
      </c>
      <c r="H475" s="6">
        <v>1.0</v>
      </c>
      <c r="I475" s="6">
        <v>6.0</v>
      </c>
      <c r="J475" s="6">
        <v>1.0</v>
      </c>
      <c r="K475" s="14">
        <v>0.625285625457763</v>
      </c>
      <c r="L475" s="14">
        <v>0.15197117626667</v>
      </c>
      <c r="M475" s="14">
        <v>0.11076533049345</v>
      </c>
      <c r="N475" s="11">
        <v>0.110765405</v>
      </c>
      <c r="O475" s="6">
        <f t="shared" si="1"/>
        <v>-0.00000007450655</v>
      </c>
      <c r="P475" s="6">
        <v>0.047846889952153</v>
      </c>
      <c r="Q475" s="6">
        <v>0.025380710659898</v>
      </c>
      <c r="R475" s="6">
        <v>0.9943</v>
      </c>
      <c r="S475" s="6">
        <v>0.9943</v>
      </c>
      <c r="T475" s="6">
        <v>20.7209994683679</v>
      </c>
    </row>
    <row r="476">
      <c r="A476" s="5" t="s">
        <v>84</v>
      </c>
      <c r="B476" s="6" t="s">
        <v>474</v>
      </c>
      <c r="C476" s="7" t="s">
        <v>93</v>
      </c>
      <c r="D476" s="8" t="s">
        <v>509</v>
      </c>
      <c r="E476" s="9">
        <v>45491.0</v>
      </c>
      <c r="F476" s="6">
        <v>7.0</v>
      </c>
      <c r="G476" s="6">
        <v>5.0</v>
      </c>
      <c r="H476" s="6">
        <v>5.0</v>
      </c>
      <c r="I476" s="6">
        <v>6.0</v>
      </c>
      <c r="J476" s="6">
        <v>1.0</v>
      </c>
      <c r="K476" s="14">
        <v>0.634613215923309</v>
      </c>
      <c r="L476" s="14">
        <v>0.16059461236</v>
      </c>
      <c r="M476" s="14">
        <v>0.0958547592163086</v>
      </c>
      <c r="N476" s="11">
        <v>0.09585482</v>
      </c>
      <c r="O476" s="6">
        <f t="shared" si="1"/>
        <v>-0.0000000607836914</v>
      </c>
      <c r="P476" s="6">
        <v>0.045296167247386</v>
      </c>
      <c r="Q476" s="6">
        <v>0.044117647058823</v>
      </c>
      <c r="R476" s="6">
        <v>0.9947</v>
      </c>
      <c r="S476" s="6">
        <v>0.9947</v>
      </c>
      <c r="T476" s="6">
        <v>20.8798060899864</v>
      </c>
    </row>
    <row r="477">
      <c r="A477" s="5" t="s">
        <v>84</v>
      </c>
      <c r="B477" s="6" t="s">
        <v>474</v>
      </c>
      <c r="C477" s="7" t="s">
        <v>95</v>
      </c>
      <c r="D477" s="8" t="s">
        <v>510</v>
      </c>
      <c r="E477" s="9">
        <v>45491.0</v>
      </c>
      <c r="F477" s="6">
        <v>7.0</v>
      </c>
      <c r="G477" s="6">
        <v>5.0</v>
      </c>
      <c r="H477" s="6">
        <v>1.0</v>
      </c>
      <c r="I477" s="6">
        <v>1.0</v>
      </c>
      <c r="J477" s="6">
        <v>1.0</v>
      </c>
      <c r="K477" s="14">
        <v>0.629688143730163</v>
      </c>
      <c r="L477" s="14">
        <v>0.170262187719345</v>
      </c>
      <c r="M477" s="14">
        <v>0.0675271078944206</v>
      </c>
      <c r="N477" s="11">
        <v>0.067526944</v>
      </c>
      <c r="O477" s="6">
        <f t="shared" si="1"/>
        <v>0.0000001638944206</v>
      </c>
      <c r="P477" s="6">
        <v>0.053719008264462</v>
      </c>
      <c r="Q477" s="6">
        <v>0.039130434782608</v>
      </c>
      <c r="R477" s="6">
        <v>0.9109</v>
      </c>
      <c r="S477" s="6">
        <v>0.9109</v>
      </c>
      <c r="T477" s="6">
        <v>20.1360591561549</v>
      </c>
    </row>
    <row r="478">
      <c r="A478" s="5" t="s">
        <v>84</v>
      </c>
      <c r="B478" s="6" t="s">
        <v>474</v>
      </c>
      <c r="C478" s="7" t="s">
        <v>97</v>
      </c>
      <c r="D478" s="8" t="s">
        <v>511</v>
      </c>
      <c r="E478" s="9">
        <v>45491.0</v>
      </c>
      <c r="F478" s="6">
        <v>3.0</v>
      </c>
      <c r="G478" s="6">
        <v>1.0</v>
      </c>
      <c r="H478" s="6">
        <v>1.0</v>
      </c>
      <c r="I478" s="6">
        <v>1.0</v>
      </c>
      <c r="J478" s="6">
        <v>3.0</v>
      </c>
      <c r="K478" s="14">
        <v>0.622284054756164</v>
      </c>
      <c r="L478" s="14">
        <v>0.142473176121711</v>
      </c>
      <c r="M478" s="14">
        <v>0.201407462358474</v>
      </c>
      <c r="N478" s="11">
        <v>0.20140739</v>
      </c>
      <c r="O478" s="6">
        <f t="shared" si="1"/>
        <v>0.00000007235847402</v>
      </c>
      <c r="P478" s="6">
        <v>0.04953560371517</v>
      </c>
      <c r="Q478" s="6">
        <v>0.012987012987012</v>
      </c>
      <c r="R478" s="6">
        <v>0.9912</v>
      </c>
      <c r="S478" s="6">
        <v>0.9912</v>
      </c>
      <c r="T478" s="6">
        <v>20.8955541795666</v>
      </c>
    </row>
    <row r="479">
      <c r="A479" s="5" t="s">
        <v>84</v>
      </c>
      <c r="B479" s="6" t="s">
        <v>474</v>
      </c>
      <c r="C479" s="7" t="s">
        <v>99</v>
      </c>
      <c r="D479" s="8" t="s">
        <v>512</v>
      </c>
      <c r="E479" s="9">
        <v>45491.0</v>
      </c>
      <c r="F479" s="6">
        <v>5.0</v>
      </c>
      <c r="G479" s="6">
        <v>1.0</v>
      </c>
      <c r="H479" s="6">
        <v>1.0</v>
      </c>
      <c r="I479" s="6">
        <v>6.0</v>
      </c>
      <c r="J479" s="6">
        <v>1.0</v>
      </c>
      <c r="K479" s="14">
        <v>0.613532543182373</v>
      </c>
      <c r="L479" s="14">
        <v>0.138780131936073</v>
      </c>
      <c r="M479" s="14">
        <v>0.0390303842723369</v>
      </c>
      <c r="N479" s="11">
        <v>0.039030474</v>
      </c>
      <c r="O479" s="6">
        <f t="shared" si="1"/>
        <v>-0.00000008972766311</v>
      </c>
      <c r="P479" s="6">
        <v>0.04601226993865</v>
      </c>
      <c r="Q479" s="6">
        <v>0.013157894736842</v>
      </c>
      <c r="R479" s="6">
        <v>0.9974</v>
      </c>
      <c r="S479" s="6">
        <v>0.9974</v>
      </c>
      <c r="T479" s="6">
        <v>20.7209060877773</v>
      </c>
    </row>
    <row r="480">
      <c r="A480" s="5" t="s">
        <v>84</v>
      </c>
      <c r="B480" s="6" t="s">
        <v>474</v>
      </c>
      <c r="C480" s="7" t="s">
        <v>101</v>
      </c>
      <c r="D480" s="8" t="s">
        <v>513</v>
      </c>
      <c r="E480" s="9">
        <v>45491.0</v>
      </c>
      <c r="F480" s="6">
        <v>7.0</v>
      </c>
      <c r="G480" s="6">
        <v>7.0</v>
      </c>
      <c r="H480" s="6">
        <v>1.0</v>
      </c>
      <c r="I480" s="6">
        <v>8.0</v>
      </c>
      <c r="J480" s="6">
        <v>1.0</v>
      </c>
      <c r="K480" s="14">
        <v>0.613454818725585</v>
      </c>
      <c r="L480" s="14">
        <v>0.131340071558952</v>
      </c>
      <c r="M480" s="14">
        <v>0.162534311413764</v>
      </c>
      <c r="N480" s="11">
        <v>0.16253431</v>
      </c>
      <c r="O480" s="6">
        <f t="shared" si="1"/>
        <v>0.000000001413764023</v>
      </c>
      <c r="P480" s="6">
        <v>0.053731343283582</v>
      </c>
      <c r="Q480" s="6">
        <v>0.025</v>
      </c>
      <c r="R480" s="6">
        <v>0.9808</v>
      </c>
      <c r="S480" s="6">
        <v>-0.9808</v>
      </c>
      <c r="T480" s="6">
        <v>22.1958208955224</v>
      </c>
    </row>
    <row r="481">
      <c r="A481" s="5" t="s">
        <v>84</v>
      </c>
      <c r="B481" s="6" t="s">
        <v>474</v>
      </c>
      <c r="C481" s="7" t="s">
        <v>103</v>
      </c>
      <c r="D481" s="8" t="s">
        <v>514</v>
      </c>
      <c r="E481" s="9">
        <v>45491.0</v>
      </c>
      <c r="F481" s="6">
        <v>5.0</v>
      </c>
      <c r="G481" s="6">
        <v>1.0</v>
      </c>
      <c r="H481" s="6">
        <v>1.0</v>
      </c>
      <c r="I481" s="6">
        <v>1.0</v>
      </c>
      <c r="J481" s="6">
        <v>1.0</v>
      </c>
      <c r="K481" s="14">
        <v>0.622433483600616</v>
      </c>
      <c r="L481" s="14">
        <v>0.164046198129653</v>
      </c>
      <c r="M481" s="14">
        <v>0.159623503684997</v>
      </c>
      <c r="N481" s="11">
        <v>0.15962371</v>
      </c>
      <c r="O481" s="6">
        <f t="shared" si="1"/>
        <v>-0.000000206315003</v>
      </c>
      <c r="P481" s="6">
        <v>0.044510385756676</v>
      </c>
      <c r="Q481" s="6">
        <v>0.028391167192429</v>
      </c>
      <c r="R481" s="6">
        <v>0.9975</v>
      </c>
      <c r="S481" s="6">
        <v>0.9975</v>
      </c>
      <c r="T481" s="6">
        <v>20.6908506429278</v>
      </c>
    </row>
    <row r="482">
      <c r="A482" s="5" t="s">
        <v>20</v>
      </c>
      <c r="B482" s="17" t="s">
        <v>515</v>
      </c>
      <c r="C482" s="7" t="s">
        <v>22</v>
      </c>
      <c r="D482" s="29" t="s">
        <v>516</v>
      </c>
      <c r="E482" s="9">
        <v>45491.0</v>
      </c>
      <c r="F482" s="6">
        <v>2.0</v>
      </c>
      <c r="G482" s="6">
        <v>3.0</v>
      </c>
      <c r="H482" s="6">
        <v>8.0</v>
      </c>
      <c r="I482" s="6">
        <v>1.0</v>
      </c>
      <c r="J482" s="6">
        <v>7.0</v>
      </c>
      <c r="K482" s="10">
        <v>0.608414947986602</v>
      </c>
      <c r="L482" s="10">
        <v>0.17636851966381</v>
      </c>
      <c r="M482" s="10">
        <v>0.107644878327846</v>
      </c>
      <c r="N482" s="11">
        <v>0.10764483</v>
      </c>
      <c r="O482" s="6">
        <f t="shared" si="1"/>
        <v>0.000000048327846</v>
      </c>
      <c r="P482" s="17">
        <v>0.033333333333333</v>
      </c>
      <c r="Q482" s="17">
        <v>0.214285714285714</v>
      </c>
      <c r="R482" s="17">
        <v>0.8152</v>
      </c>
      <c r="S482" s="17">
        <v>0.8152</v>
      </c>
      <c r="T482" s="17">
        <v>16.0</v>
      </c>
    </row>
    <row r="483">
      <c r="A483" s="5" t="s">
        <v>20</v>
      </c>
      <c r="B483" s="17" t="s">
        <v>515</v>
      </c>
      <c r="C483" s="7" t="s">
        <v>24</v>
      </c>
      <c r="D483" s="29" t="s">
        <v>517</v>
      </c>
      <c r="E483" s="9">
        <v>45491.0</v>
      </c>
      <c r="F483" s="6">
        <v>1.0</v>
      </c>
      <c r="G483" s="6">
        <v>3.0</v>
      </c>
      <c r="H483" s="6">
        <v>8.0</v>
      </c>
      <c r="I483" s="6">
        <v>1.0</v>
      </c>
      <c r="J483" s="6">
        <v>7.0</v>
      </c>
      <c r="K483" s="10">
        <v>0.63395607471466</v>
      </c>
      <c r="L483" s="10">
        <v>0.210499033331871</v>
      </c>
      <c r="M483" s="10">
        <v>0.124944522976875</v>
      </c>
      <c r="N483" s="11">
        <v>0.12494437</v>
      </c>
      <c r="O483" s="6">
        <f t="shared" si="1"/>
        <v>0.000000152976875</v>
      </c>
      <c r="P483" s="17">
        <v>0.023809523809523</v>
      </c>
      <c r="Q483" s="17">
        <v>0.097560975609756</v>
      </c>
      <c r="R483" s="17">
        <v>0.8609</v>
      </c>
      <c r="S483" s="17">
        <v>0.8609</v>
      </c>
      <c r="T483" s="17">
        <v>14.1714285714286</v>
      </c>
    </row>
    <row r="484">
      <c r="A484" s="5" t="s">
        <v>20</v>
      </c>
      <c r="B484" s="17" t="s">
        <v>515</v>
      </c>
      <c r="C484" s="7" t="s">
        <v>26</v>
      </c>
      <c r="D484" s="29" t="s">
        <v>518</v>
      </c>
      <c r="E484" s="9">
        <v>45491.0</v>
      </c>
      <c r="F484" s="6">
        <v>2.0</v>
      </c>
      <c r="G484" s="6">
        <v>3.0</v>
      </c>
      <c r="H484" s="6">
        <v>8.0</v>
      </c>
      <c r="I484" s="6">
        <v>1.0</v>
      </c>
      <c r="J484" s="6">
        <v>5.0</v>
      </c>
      <c r="K484" s="10">
        <v>0.618425548076629</v>
      </c>
      <c r="L484" s="10">
        <v>0.224316030740737</v>
      </c>
      <c r="M484" s="10">
        <v>-0.00227737799286842</v>
      </c>
      <c r="N484" s="11">
        <v>-0.0022772434</v>
      </c>
      <c r="O484" s="6">
        <f t="shared" si="1"/>
        <v>-0.0000001345928684</v>
      </c>
      <c r="P484" s="17">
        <v>0.041666666666666</v>
      </c>
      <c r="Q484" s="17">
        <v>0.162790697674418</v>
      </c>
      <c r="R484" s="17">
        <v>0.9516</v>
      </c>
      <c r="S484" s="17">
        <v>0.9516</v>
      </c>
      <c r="T484" s="17">
        <v>19.7333333333333</v>
      </c>
    </row>
    <row r="485">
      <c r="A485" s="5" t="s">
        <v>20</v>
      </c>
      <c r="B485" s="17" t="s">
        <v>515</v>
      </c>
      <c r="C485" s="7" t="s">
        <v>28</v>
      </c>
      <c r="D485" s="29" t="s">
        <v>519</v>
      </c>
      <c r="E485" s="9">
        <v>45491.0</v>
      </c>
      <c r="F485" s="6">
        <v>2.0</v>
      </c>
      <c r="G485" s="6">
        <v>3.0</v>
      </c>
      <c r="H485" s="6">
        <v>8.0</v>
      </c>
      <c r="I485" s="6">
        <v>1.0</v>
      </c>
      <c r="J485" s="6">
        <v>7.0</v>
      </c>
      <c r="K485" s="10">
        <v>0.619638085365295</v>
      </c>
      <c r="L485" s="10">
        <v>0.168996691703796</v>
      </c>
      <c r="M485" s="10">
        <v>0.0982228368520736</v>
      </c>
      <c r="N485" s="11">
        <v>0.09822296</v>
      </c>
      <c r="O485" s="6">
        <f t="shared" si="1"/>
        <v>-0.0000001231479264</v>
      </c>
      <c r="P485" s="17">
        <v>0.03125</v>
      </c>
      <c r="Q485" s="17">
        <v>0.103448275862068</v>
      </c>
      <c r="R485" s="17">
        <v>0.8048</v>
      </c>
      <c r="S485" s="17">
        <v>0.8048</v>
      </c>
      <c r="T485" s="17">
        <v>16.7666666666667</v>
      </c>
    </row>
    <row r="486">
      <c r="A486" s="5" t="s">
        <v>20</v>
      </c>
      <c r="B486" s="17" t="s">
        <v>515</v>
      </c>
      <c r="C486" s="7" t="s">
        <v>30</v>
      </c>
      <c r="D486" s="29" t="s">
        <v>520</v>
      </c>
      <c r="E486" s="9">
        <v>45491.0</v>
      </c>
      <c r="F486" s="6">
        <v>2.0</v>
      </c>
      <c r="G486" s="6">
        <v>3.0</v>
      </c>
      <c r="H486" s="6">
        <v>8.0</v>
      </c>
      <c r="I486" s="6">
        <v>1.0</v>
      </c>
      <c r="J486" s="6">
        <v>7.0</v>
      </c>
      <c r="K486" s="10">
        <v>0.627062678337097</v>
      </c>
      <c r="L486" s="10">
        <v>0.194144368171691</v>
      </c>
      <c r="M486" s="10">
        <v>-0.136586666107177</v>
      </c>
      <c r="N486" s="11">
        <v>-0.13658683</v>
      </c>
      <c r="O486" s="6">
        <f t="shared" si="1"/>
        <v>0.000000163892823</v>
      </c>
      <c r="P486" s="17">
        <v>0.018518518518518</v>
      </c>
      <c r="Q486" s="17">
        <v>0.058823529411764</v>
      </c>
      <c r="R486" s="17">
        <v>0.9377</v>
      </c>
      <c r="S486" s="17">
        <v>0.9377</v>
      </c>
      <c r="T486" s="17">
        <v>17.9925925925926</v>
      </c>
    </row>
    <row r="487">
      <c r="A487" s="5" t="s">
        <v>20</v>
      </c>
      <c r="B487" s="17" t="s">
        <v>515</v>
      </c>
      <c r="C487" s="7" t="s">
        <v>32</v>
      </c>
      <c r="D487" s="29" t="s">
        <v>521</v>
      </c>
      <c r="E487" s="9">
        <v>45491.0</v>
      </c>
      <c r="F487" s="6">
        <v>1.0</v>
      </c>
      <c r="G487" s="6">
        <v>3.0</v>
      </c>
      <c r="H487" s="6">
        <v>8.0</v>
      </c>
      <c r="I487" s="6">
        <v>1.0</v>
      </c>
      <c r="J487" s="6">
        <v>7.0</v>
      </c>
      <c r="K487" s="10">
        <v>0.6115363240242</v>
      </c>
      <c r="L487" s="10">
        <v>0.156863152980804</v>
      </c>
      <c r="M487" s="10">
        <v>-0.155375376343727</v>
      </c>
      <c r="N487" s="11">
        <v>-0.15537521</v>
      </c>
      <c r="O487" s="6">
        <f t="shared" si="1"/>
        <v>-0.000000166343727</v>
      </c>
      <c r="P487" s="17">
        <v>0.063829787234042</v>
      </c>
      <c r="Q487" s="17">
        <v>0.111111111111111</v>
      </c>
      <c r="R487" s="17">
        <v>0.2617</v>
      </c>
      <c r="S487" s="17">
        <v>0.2617</v>
      </c>
      <c r="T487" s="17">
        <v>16.4794326241135</v>
      </c>
    </row>
    <row r="488">
      <c r="A488" s="5" t="s">
        <v>20</v>
      </c>
      <c r="B488" s="17" t="s">
        <v>515</v>
      </c>
      <c r="C488" s="7" t="s">
        <v>34</v>
      </c>
      <c r="D488" s="29" t="s">
        <v>522</v>
      </c>
      <c r="E488" s="9">
        <v>45491.0</v>
      </c>
      <c r="F488" s="6">
        <v>2.0</v>
      </c>
      <c r="G488" s="6">
        <v>3.0</v>
      </c>
      <c r="H488" s="6">
        <v>8.0</v>
      </c>
      <c r="I488" s="6">
        <v>1.0</v>
      </c>
      <c r="J488" s="6">
        <v>7.0</v>
      </c>
      <c r="K488" s="10">
        <v>0.604382634162902</v>
      </c>
      <c r="L488" s="10">
        <v>0.165986865758895</v>
      </c>
      <c r="M488" s="10">
        <v>0.0534252375364303</v>
      </c>
      <c r="N488" s="11">
        <v>0.053425062</v>
      </c>
      <c r="O488" s="6">
        <f t="shared" si="1"/>
        <v>0.0000001755364303</v>
      </c>
      <c r="P488" s="17">
        <v>0.029411764705882</v>
      </c>
      <c r="Q488" s="17">
        <v>0.125</v>
      </c>
      <c r="R488" s="17">
        <v>0.68</v>
      </c>
      <c r="S488" s="17">
        <v>0.68</v>
      </c>
      <c r="T488" s="17">
        <v>16.2117647058824</v>
      </c>
    </row>
    <row r="489">
      <c r="A489" s="5" t="s">
        <v>20</v>
      </c>
      <c r="B489" s="17" t="s">
        <v>515</v>
      </c>
      <c r="C489" s="7" t="s">
        <v>36</v>
      </c>
      <c r="D489" s="29" t="s">
        <v>523</v>
      </c>
      <c r="E489" s="9">
        <v>45491.0</v>
      </c>
      <c r="F489" s="6">
        <v>2.0</v>
      </c>
      <c r="G489" s="6">
        <v>3.0</v>
      </c>
      <c r="H489" s="6">
        <v>8.0</v>
      </c>
      <c r="I489" s="6">
        <v>1.0</v>
      </c>
      <c r="J489" s="6">
        <v>7.0</v>
      </c>
      <c r="K489" s="10">
        <v>0.607711791992187</v>
      </c>
      <c r="L489" s="10">
        <v>0.194605648517608</v>
      </c>
      <c r="M489" s="10">
        <v>0.0597327761352062</v>
      </c>
      <c r="N489" s="11">
        <v>0.059732784</v>
      </c>
      <c r="O489" s="6">
        <f t="shared" si="1"/>
        <v>-0.000000007864793795</v>
      </c>
      <c r="P489" s="17">
        <v>0.025</v>
      </c>
      <c r="Q489" s="17">
        <v>0.081081081081081</v>
      </c>
      <c r="R489" s="17">
        <v>0.9208</v>
      </c>
      <c r="S489" s="17">
        <v>0.9208</v>
      </c>
      <c r="T489" s="17">
        <v>19.3333333333333</v>
      </c>
    </row>
    <row r="490">
      <c r="A490" s="5" t="s">
        <v>20</v>
      </c>
      <c r="B490" s="17" t="s">
        <v>515</v>
      </c>
      <c r="C490" s="7" t="s">
        <v>38</v>
      </c>
      <c r="D490" s="29" t="s">
        <v>524</v>
      </c>
      <c r="E490" s="9">
        <v>45491.0</v>
      </c>
      <c r="F490" s="6">
        <v>2.0</v>
      </c>
      <c r="G490" s="6">
        <v>3.0</v>
      </c>
      <c r="H490" s="6">
        <v>8.0</v>
      </c>
      <c r="I490" s="6">
        <v>1.0</v>
      </c>
      <c r="J490" s="6">
        <v>7.0</v>
      </c>
      <c r="K490" s="10">
        <v>0.614647984504699</v>
      </c>
      <c r="L490" s="10">
        <v>0.212654158473014</v>
      </c>
      <c r="M490" s="10">
        <v>-0.0717267245054245</v>
      </c>
      <c r="N490" s="11">
        <v>-0.07172675</v>
      </c>
      <c r="O490" s="6">
        <f t="shared" si="1"/>
        <v>0.00000002549457551</v>
      </c>
      <c r="P490" s="17">
        <v>0.022222222222222</v>
      </c>
      <c r="Q490" s="17">
        <v>0.162790697674418</v>
      </c>
      <c r="R490" s="17">
        <v>0.5996</v>
      </c>
      <c r="S490" s="17">
        <v>0.5996</v>
      </c>
      <c r="T490" s="17">
        <v>16.0555555555556</v>
      </c>
    </row>
    <row r="491">
      <c r="A491" s="5" t="s">
        <v>20</v>
      </c>
      <c r="B491" s="17" t="s">
        <v>515</v>
      </c>
      <c r="C491" s="7" t="s">
        <v>40</v>
      </c>
      <c r="D491" s="29" t="s">
        <v>525</v>
      </c>
      <c r="E491" s="9">
        <v>45491.0</v>
      </c>
      <c r="F491" s="6">
        <v>2.0</v>
      </c>
      <c r="G491" s="6">
        <v>3.0</v>
      </c>
      <c r="H491" s="6">
        <v>8.0</v>
      </c>
      <c r="I491" s="6">
        <v>1.0</v>
      </c>
      <c r="J491" s="6">
        <v>5.0</v>
      </c>
      <c r="K491" s="10">
        <v>0.632902860641479</v>
      </c>
      <c r="L491" s="10">
        <v>0.211031183600425</v>
      </c>
      <c r="M491" s="10">
        <v>0.025026585906744</v>
      </c>
      <c r="N491" s="11">
        <v>0.025026653</v>
      </c>
      <c r="O491" s="6">
        <f t="shared" si="1"/>
        <v>-0.000000067093256</v>
      </c>
      <c r="P491" s="17">
        <v>0.041666666666666</v>
      </c>
      <c r="Q491" s="17">
        <v>0.127659574468085</v>
      </c>
      <c r="R491" s="17">
        <v>0.7393</v>
      </c>
      <c r="S491" s="17">
        <v>-0.7393</v>
      </c>
      <c r="T491" s="17">
        <v>17.3</v>
      </c>
    </row>
    <row r="492">
      <c r="A492" s="5" t="s">
        <v>42</v>
      </c>
      <c r="B492" s="17" t="s">
        <v>515</v>
      </c>
      <c r="C492" s="7" t="s">
        <v>43</v>
      </c>
      <c r="D492" s="29" t="s">
        <v>526</v>
      </c>
      <c r="E492" s="9">
        <v>45491.0</v>
      </c>
      <c r="F492" s="6">
        <v>1.0</v>
      </c>
      <c r="G492" s="6">
        <v>3.0</v>
      </c>
      <c r="H492" s="6">
        <v>8.0</v>
      </c>
      <c r="I492" s="6">
        <v>1.0</v>
      </c>
      <c r="J492" s="6">
        <v>5.0</v>
      </c>
      <c r="K492" s="10">
        <v>0.607878565788269</v>
      </c>
      <c r="L492" s="10">
        <v>0.191332578659057</v>
      </c>
      <c r="M492" s="10">
        <v>-0.011422611773014</v>
      </c>
      <c r="N492" s="11">
        <v>-0.011422593</v>
      </c>
      <c r="O492" s="6">
        <f t="shared" si="1"/>
        <v>-0.000000018773014</v>
      </c>
      <c r="P492" s="17">
        <v>0.057692307692307</v>
      </c>
      <c r="Q492" s="17">
        <v>0.061224489795918</v>
      </c>
      <c r="R492" s="17">
        <v>0.9878</v>
      </c>
      <c r="S492" s="17">
        <v>0.9878</v>
      </c>
      <c r="T492" s="17">
        <v>12.8923076923077</v>
      </c>
    </row>
    <row r="493">
      <c r="A493" s="5" t="s">
        <v>42</v>
      </c>
      <c r="B493" s="17" t="s">
        <v>515</v>
      </c>
      <c r="C493" s="7" t="s">
        <v>45</v>
      </c>
      <c r="D493" s="29" t="s">
        <v>527</v>
      </c>
      <c r="E493" s="9">
        <v>45491.0</v>
      </c>
      <c r="F493" s="6">
        <v>1.0</v>
      </c>
      <c r="G493" s="6">
        <v>3.0</v>
      </c>
      <c r="H493" s="6">
        <v>8.0</v>
      </c>
      <c r="I493" s="6">
        <v>1.0</v>
      </c>
      <c r="J493" s="6">
        <v>5.0</v>
      </c>
      <c r="K493" s="10">
        <v>0.612225174903869</v>
      </c>
      <c r="L493" s="10">
        <v>0.228781446814537</v>
      </c>
      <c r="M493" s="10">
        <v>-0.0182549245655536</v>
      </c>
      <c r="N493" s="11">
        <v>-0.018254943</v>
      </c>
      <c r="O493" s="6">
        <f t="shared" si="1"/>
        <v>0.0000000184344464</v>
      </c>
      <c r="P493" s="17">
        <v>0.032786885245901</v>
      </c>
      <c r="Q493" s="17">
        <v>0.11864406779661</v>
      </c>
      <c r="R493" s="17">
        <v>0.9744</v>
      </c>
      <c r="S493" s="17">
        <v>0.9744</v>
      </c>
      <c r="T493" s="17">
        <v>19.8704918032787</v>
      </c>
    </row>
    <row r="494">
      <c r="A494" s="5" t="s">
        <v>42</v>
      </c>
      <c r="B494" s="17" t="s">
        <v>515</v>
      </c>
      <c r="C494" s="7" t="s">
        <v>47</v>
      </c>
      <c r="D494" s="29" t="s">
        <v>528</v>
      </c>
      <c r="E494" s="9">
        <v>45491.0</v>
      </c>
      <c r="F494" s="6">
        <v>1.0</v>
      </c>
      <c r="G494" s="6">
        <v>3.0</v>
      </c>
      <c r="H494" s="6">
        <v>8.0</v>
      </c>
      <c r="I494" s="6">
        <v>1.0</v>
      </c>
      <c r="J494" s="6">
        <v>5.0</v>
      </c>
      <c r="K494" s="10">
        <v>0.593346893787384</v>
      </c>
      <c r="L494" s="10">
        <v>0.171171218156814</v>
      </c>
      <c r="M494" s="10">
        <v>-0.0183711275458335</v>
      </c>
      <c r="N494" s="11">
        <v>-0.018370926</v>
      </c>
      <c r="O494" s="6">
        <f t="shared" si="1"/>
        <v>-0.0000002015458335</v>
      </c>
      <c r="P494" s="17">
        <v>0.048387096774193</v>
      </c>
      <c r="Q494" s="17">
        <v>0.081967213114754</v>
      </c>
      <c r="R494" s="17">
        <v>0.9849</v>
      </c>
      <c r="S494" s="17">
        <v>0.9849</v>
      </c>
      <c r="T494" s="17">
        <v>14.5870967741936</v>
      </c>
    </row>
    <row r="495">
      <c r="A495" s="5" t="s">
        <v>42</v>
      </c>
      <c r="B495" s="17" t="s">
        <v>515</v>
      </c>
      <c r="C495" s="7" t="s">
        <v>49</v>
      </c>
      <c r="D495" s="29" t="s">
        <v>529</v>
      </c>
      <c r="E495" s="9">
        <v>45491.0</v>
      </c>
      <c r="F495" s="6">
        <v>1.0</v>
      </c>
      <c r="G495" s="6">
        <v>3.0</v>
      </c>
      <c r="H495" s="6">
        <v>8.0</v>
      </c>
      <c r="I495" s="6">
        <v>1.0</v>
      </c>
      <c r="J495" s="6">
        <v>5.0</v>
      </c>
      <c r="K495" s="10">
        <v>0.605411827564239</v>
      </c>
      <c r="L495" s="10">
        <v>0.18962787091732</v>
      </c>
      <c r="M495" s="10">
        <v>-0.0330946892499923</v>
      </c>
      <c r="N495" s="11">
        <v>-0.033094633</v>
      </c>
      <c r="O495" s="6">
        <f t="shared" si="1"/>
        <v>-0.0000000562499923</v>
      </c>
      <c r="P495" s="17">
        <v>0.072164948453608</v>
      </c>
      <c r="Q495" s="17">
        <v>0.08695652173913</v>
      </c>
      <c r="R495" s="17">
        <v>0.8548</v>
      </c>
      <c r="S495" s="17">
        <v>0.8548</v>
      </c>
      <c r="T495" s="17">
        <v>17.6006872852234</v>
      </c>
    </row>
    <row r="496">
      <c r="A496" s="5" t="s">
        <v>42</v>
      </c>
      <c r="B496" s="17" t="s">
        <v>515</v>
      </c>
      <c r="C496" s="7" t="s">
        <v>51</v>
      </c>
      <c r="D496" s="29" t="s">
        <v>530</v>
      </c>
      <c r="E496" s="9">
        <v>45491.0</v>
      </c>
      <c r="F496" s="6">
        <v>2.0</v>
      </c>
      <c r="G496" s="6">
        <v>3.0</v>
      </c>
      <c r="H496" s="6">
        <v>8.0</v>
      </c>
      <c r="I496" s="6">
        <v>1.0</v>
      </c>
      <c r="J496" s="6">
        <v>5.0</v>
      </c>
      <c r="K496" s="10">
        <v>0.619877517223358</v>
      </c>
      <c r="L496" s="10">
        <v>0.176770731806755</v>
      </c>
      <c r="M496" s="10">
        <v>0.0788567662239074</v>
      </c>
      <c r="N496" s="11">
        <v>0.07885657</v>
      </c>
      <c r="O496" s="6">
        <f t="shared" si="1"/>
        <v>0.0000001962239074</v>
      </c>
      <c r="P496" s="17">
        <v>0.014598540145985</v>
      </c>
      <c r="Q496" s="17">
        <v>0.054263565891472</v>
      </c>
      <c r="R496" s="17">
        <v>0.9878</v>
      </c>
      <c r="S496" s="17">
        <v>0.9878</v>
      </c>
      <c r="T496" s="17">
        <v>18.5128258602711</v>
      </c>
    </row>
    <row r="497">
      <c r="A497" s="5" t="s">
        <v>42</v>
      </c>
      <c r="B497" s="17" t="s">
        <v>515</v>
      </c>
      <c r="C497" s="7" t="s">
        <v>53</v>
      </c>
      <c r="D497" s="29" t="s">
        <v>531</v>
      </c>
      <c r="E497" s="9">
        <v>45491.0</v>
      </c>
      <c r="F497" s="6">
        <v>1.0</v>
      </c>
      <c r="G497" s="6">
        <v>3.0</v>
      </c>
      <c r="H497" s="6">
        <v>8.0</v>
      </c>
      <c r="I497" s="6">
        <v>1.0</v>
      </c>
      <c r="J497" s="6">
        <v>7.0</v>
      </c>
      <c r="K497" s="10">
        <v>0.627234041690826</v>
      </c>
      <c r="L497" s="10">
        <v>0.188094526529312</v>
      </c>
      <c r="M497" s="10">
        <v>0.0597188957035541</v>
      </c>
      <c r="N497" s="11">
        <v>0.05971882</v>
      </c>
      <c r="O497" s="6">
        <f t="shared" si="1"/>
        <v>0.0000000757035541</v>
      </c>
      <c r="P497" s="17">
        <v>0.019230769230769</v>
      </c>
      <c r="Q497" s="17">
        <v>0.052631578947368</v>
      </c>
      <c r="R497" s="17">
        <v>0.9117</v>
      </c>
      <c r="S497" s="17">
        <v>0.9117</v>
      </c>
      <c r="T497" s="17">
        <v>18.851282051282</v>
      </c>
    </row>
    <row r="498">
      <c r="A498" s="5" t="s">
        <v>42</v>
      </c>
      <c r="B498" s="17" t="s">
        <v>515</v>
      </c>
      <c r="C498" s="7" t="s">
        <v>55</v>
      </c>
      <c r="D498" s="29" t="s">
        <v>532</v>
      </c>
      <c r="E498" s="9">
        <v>45491.0</v>
      </c>
      <c r="F498" s="6">
        <v>1.0</v>
      </c>
      <c r="G498" s="6">
        <v>3.0</v>
      </c>
      <c r="H498" s="6">
        <v>8.0</v>
      </c>
      <c r="I498" s="6">
        <v>1.0</v>
      </c>
      <c r="J498" s="6">
        <v>7.0</v>
      </c>
      <c r="K498" s="10">
        <v>0.627699434757232</v>
      </c>
      <c r="L498" s="10">
        <v>0.148703768849372</v>
      </c>
      <c r="M498" s="10">
        <v>-0.0551808141171932</v>
      </c>
      <c r="N498" s="11">
        <v>-0.05518074</v>
      </c>
      <c r="O498" s="6">
        <f t="shared" si="1"/>
        <v>-0.0000000741171932</v>
      </c>
      <c r="P498" s="17">
        <v>0.039800995024875</v>
      </c>
      <c r="Q498" s="17">
        <v>0.041666666666666</v>
      </c>
      <c r="R498" s="17">
        <v>0.9393</v>
      </c>
      <c r="S498" s="17">
        <v>0.9393</v>
      </c>
      <c r="T498" s="17">
        <v>21.7414179104478</v>
      </c>
    </row>
    <row r="499">
      <c r="A499" s="5" t="s">
        <v>42</v>
      </c>
      <c r="B499" s="17" t="s">
        <v>515</v>
      </c>
      <c r="C499" s="7" t="s">
        <v>57</v>
      </c>
      <c r="D499" s="29" t="s">
        <v>533</v>
      </c>
      <c r="E499" s="9">
        <v>45491.0</v>
      </c>
      <c r="F499" s="6">
        <v>1.0</v>
      </c>
      <c r="G499" s="6">
        <v>3.0</v>
      </c>
      <c r="H499" s="6">
        <v>8.0</v>
      </c>
      <c r="I499" s="6">
        <v>1.0</v>
      </c>
      <c r="J499" s="6">
        <v>5.0</v>
      </c>
      <c r="K499" s="10">
        <v>0.604049324989318</v>
      </c>
      <c r="L499" s="10">
        <v>0.137882843613624</v>
      </c>
      <c r="M499" s="10">
        <v>-0.00367143750190734</v>
      </c>
      <c r="N499" s="11">
        <v>-0.0036714147</v>
      </c>
      <c r="O499" s="6">
        <f t="shared" si="1"/>
        <v>-0.00000002280190734</v>
      </c>
      <c r="P499" s="17">
        <v>0.052631578947368</v>
      </c>
      <c r="Q499" s="17">
        <v>0.067567567567567</v>
      </c>
      <c r="R499" s="17">
        <v>0.9715</v>
      </c>
      <c r="S499" s="17">
        <v>0.9715</v>
      </c>
      <c r="T499" s="17">
        <v>17.5450292397661</v>
      </c>
    </row>
    <row r="500">
      <c r="A500" s="5" t="s">
        <v>42</v>
      </c>
      <c r="B500" s="17" t="s">
        <v>515</v>
      </c>
      <c r="C500" s="7" t="s">
        <v>59</v>
      </c>
      <c r="D500" s="29" t="s">
        <v>534</v>
      </c>
      <c r="E500" s="9">
        <v>45491.0</v>
      </c>
      <c r="F500" s="6">
        <v>1.0</v>
      </c>
      <c r="G500" s="6">
        <v>3.0</v>
      </c>
      <c r="H500" s="6">
        <v>8.0</v>
      </c>
      <c r="I500" s="6">
        <v>1.0</v>
      </c>
      <c r="J500" s="6">
        <v>5.0</v>
      </c>
      <c r="K500" s="10">
        <v>0.612944066524505</v>
      </c>
      <c r="L500" s="10">
        <v>0.15402241051197</v>
      </c>
      <c r="M500" s="10">
        <v>-0.101558983325958</v>
      </c>
      <c r="N500" s="11">
        <v>-0.10155894</v>
      </c>
      <c r="O500" s="6">
        <f t="shared" si="1"/>
        <v>-0.000000043325958</v>
      </c>
      <c r="P500" s="17">
        <v>0.050632911392405</v>
      </c>
      <c r="Q500" s="17">
        <v>0.033112582781456</v>
      </c>
      <c r="R500" s="17">
        <v>0.9721</v>
      </c>
      <c r="S500" s="17">
        <v>0.9721</v>
      </c>
      <c r="T500" s="17">
        <v>21.0035443037975</v>
      </c>
    </row>
    <row r="501">
      <c r="A501" s="5" t="s">
        <v>42</v>
      </c>
      <c r="B501" s="17" t="s">
        <v>515</v>
      </c>
      <c r="C501" s="7" t="s">
        <v>61</v>
      </c>
      <c r="D501" s="29" t="s">
        <v>535</v>
      </c>
      <c r="E501" s="9">
        <v>45491.0</v>
      </c>
      <c r="F501" s="6">
        <v>2.0</v>
      </c>
      <c r="G501" s="6">
        <v>3.0</v>
      </c>
      <c r="H501" s="6">
        <v>8.0</v>
      </c>
      <c r="I501" s="6">
        <v>1.0</v>
      </c>
      <c r="J501" s="6">
        <v>5.0</v>
      </c>
      <c r="K501" s="10">
        <v>0.602126777172088</v>
      </c>
      <c r="L501" s="10">
        <v>0.161588594317436</v>
      </c>
      <c r="M501" s="10">
        <v>0.0837858766317367</v>
      </c>
      <c r="N501" s="11">
        <v>0.08378576</v>
      </c>
      <c r="O501" s="6">
        <f t="shared" si="1"/>
        <v>0.0000001166317367</v>
      </c>
      <c r="P501" s="17">
        <v>0.036764705882352</v>
      </c>
      <c r="Q501" s="17">
        <v>0.072</v>
      </c>
      <c r="R501" s="17">
        <v>0.9894</v>
      </c>
      <c r="S501" s="17">
        <v>0.9894</v>
      </c>
      <c r="T501" s="17">
        <v>16.5949579831933</v>
      </c>
    </row>
    <row r="502">
      <c r="A502" s="5" t="s">
        <v>63</v>
      </c>
      <c r="B502" s="17" t="s">
        <v>515</v>
      </c>
      <c r="C502" s="7" t="s">
        <v>64</v>
      </c>
      <c r="D502" s="29" t="s">
        <v>536</v>
      </c>
      <c r="E502" s="9">
        <v>45491.0</v>
      </c>
      <c r="F502" s="6">
        <v>1.0</v>
      </c>
      <c r="G502" s="6">
        <v>3.0</v>
      </c>
      <c r="H502" s="6">
        <v>8.0</v>
      </c>
      <c r="I502" s="6">
        <v>1.0</v>
      </c>
      <c r="J502" s="6">
        <v>7.0</v>
      </c>
      <c r="K502" s="10">
        <v>0.620923995971679</v>
      </c>
      <c r="L502" s="10">
        <v>0.154637038707733</v>
      </c>
      <c r="M502" s="10">
        <v>0.0741300880908966</v>
      </c>
      <c r="N502" s="11">
        <v>0.074130066</v>
      </c>
      <c r="O502" s="6">
        <f t="shared" si="1"/>
        <v>0.00000002209089661</v>
      </c>
      <c r="P502" s="17">
        <v>0.06578947368421</v>
      </c>
      <c r="Q502" s="17">
        <v>0.053333333333333</v>
      </c>
      <c r="R502" s="17">
        <v>0.0754</v>
      </c>
      <c r="S502" s="17">
        <v>0.0754</v>
      </c>
      <c r="T502" s="17">
        <v>20.2315789473684</v>
      </c>
    </row>
    <row r="503">
      <c r="A503" s="5" t="s">
        <v>63</v>
      </c>
      <c r="B503" s="17" t="s">
        <v>515</v>
      </c>
      <c r="C503" s="7" t="s">
        <v>66</v>
      </c>
      <c r="D503" s="29" t="s">
        <v>537</v>
      </c>
      <c r="E503" s="9">
        <v>45491.0</v>
      </c>
      <c r="F503" s="6">
        <v>1.0</v>
      </c>
      <c r="G503" s="6">
        <v>3.0</v>
      </c>
      <c r="H503" s="6">
        <v>8.0</v>
      </c>
      <c r="I503" s="6">
        <v>1.0</v>
      </c>
      <c r="J503" s="6">
        <v>7.0</v>
      </c>
      <c r="K503" s="10">
        <v>0.620365977287292</v>
      </c>
      <c r="L503" s="10">
        <v>0.142200231552124</v>
      </c>
      <c r="M503" s="10">
        <v>0.160137355327606</v>
      </c>
      <c r="N503" s="11">
        <v>0.16013737</v>
      </c>
      <c r="O503" s="6">
        <f t="shared" si="1"/>
        <v>-0.00000001467239399</v>
      </c>
      <c r="P503" s="17">
        <v>0.059405940594059</v>
      </c>
      <c r="Q503" s="17">
        <v>0.061855670103092</v>
      </c>
      <c r="R503" s="17">
        <v>0.0387</v>
      </c>
      <c r="S503" s="17">
        <v>0.0387</v>
      </c>
      <c r="T503" s="17">
        <v>20.7930693069307</v>
      </c>
    </row>
    <row r="504">
      <c r="A504" s="5" t="s">
        <v>63</v>
      </c>
      <c r="B504" s="17" t="s">
        <v>515</v>
      </c>
      <c r="C504" s="7" t="s">
        <v>68</v>
      </c>
      <c r="D504" s="29" t="s">
        <v>538</v>
      </c>
      <c r="E504" s="9">
        <v>45491.0</v>
      </c>
      <c r="F504" s="6">
        <v>2.0</v>
      </c>
      <c r="G504" s="6">
        <v>3.0</v>
      </c>
      <c r="H504" s="6">
        <v>8.0</v>
      </c>
      <c r="I504" s="6">
        <v>1.0</v>
      </c>
      <c r="J504" s="6">
        <v>5.0</v>
      </c>
      <c r="K504" s="10">
        <v>0.61728423833847</v>
      </c>
      <c r="L504" s="10">
        <v>0.172874212265014</v>
      </c>
      <c r="M504" s="10">
        <v>0.0105632580816745</v>
      </c>
      <c r="N504" s="11">
        <v>0.010563262</v>
      </c>
      <c r="O504" s="6">
        <f t="shared" si="1"/>
        <v>-0.000000003918325501</v>
      </c>
      <c r="P504" s="17">
        <v>0.027027027027027</v>
      </c>
      <c r="Q504" s="17">
        <v>0.037383177570093</v>
      </c>
      <c r="R504" s="17">
        <v>0.9673</v>
      </c>
      <c r="S504" s="17">
        <v>0.9673</v>
      </c>
      <c r="T504" s="17">
        <v>18.5711711711712</v>
      </c>
    </row>
    <row r="505">
      <c r="A505" s="5" t="s">
        <v>63</v>
      </c>
      <c r="B505" s="17" t="s">
        <v>515</v>
      </c>
      <c r="C505" s="7" t="s">
        <v>70</v>
      </c>
      <c r="D505" s="29" t="s">
        <v>539</v>
      </c>
      <c r="E505" s="9">
        <v>45491.0</v>
      </c>
      <c r="F505" s="6">
        <v>2.0</v>
      </c>
      <c r="G505" s="6">
        <v>3.0</v>
      </c>
      <c r="H505" s="6">
        <v>8.0</v>
      </c>
      <c r="I505" s="6">
        <v>1.0</v>
      </c>
      <c r="J505" s="6">
        <v>5.0</v>
      </c>
      <c r="K505" s="10">
        <v>0.606235325336456</v>
      </c>
      <c r="L505" s="10">
        <v>0.170365273952484</v>
      </c>
      <c r="M505" s="10">
        <v>0.158032923936843</v>
      </c>
      <c r="N505" s="11">
        <v>0.15803291</v>
      </c>
      <c r="O505" s="6">
        <f t="shared" si="1"/>
        <v>0.00000001393684301</v>
      </c>
      <c r="P505" s="17">
        <v>0.029702970297029</v>
      </c>
      <c r="Q505" s="17">
        <v>0.051020408163265</v>
      </c>
      <c r="R505" s="17">
        <v>0.9928</v>
      </c>
      <c r="S505" s="17">
        <v>0.9928</v>
      </c>
      <c r="T505" s="17">
        <v>23.9215841584158</v>
      </c>
    </row>
    <row r="506">
      <c r="A506" s="5" t="s">
        <v>63</v>
      </c>
      <c r="B506" s="17" t="s">
        <v>515</v>
      </c>
      <c r="C506" s="7" t="s">
        <v>72</v>
      </c>
      <c r="D506" s="29" t="s">
        <v>540</v>
      </c>
      <c r="E506" s="9">
        <v>45491.0</v>
      </c>
      <c r="F506" s="6">
        <v>2.0</v>
      </c>
      <c r="G506" s="6">
        <v>3.0</v>
      </c>
      <c r="H506" s="6">
        <v>8.0</v>
      </c>
      <c r="I506" s="6">
        <v>1.0</v>
      </c>
      <c r="J506" s="6">
        <v>7.0</v>
      </c>
      <c r="K506" s="10">
        <v>0.635710895061492</v>
      </c>
      <c r="L506" s="10">
        <v>0.178961038589477</v>
      </c>
      <c r="M506" s="10">
        <v>0.305155813694</v>
      </c>
      <c r="N506" s="11">
        <v>0.30515584</v>
      </c>
      <c r="O506" s="6">
        <f t="shared" si="1"/>
        <v>-0.00000002630599999</v>
      </c>
      <c r="P506" s="17">
        <v>0.088709677419354</v>
      </c>
      <c r="Q506" s="17">
        <v>0.074380165289256</v>
      </c>
      <c r="R506" s="17">
        <v>0.9861</v>
      </c>
      <c r="S506" s="17">
        <v>0.9861</v>
      </c>
      <c r="T506" s="17">
        <v>24.0129032258065</v>
      </c>
    </row>
    <row r="507">
      <c r="A507" s="5" t="s">
        <v>63</v>
      </c>
      <c r="B507" s="17" t="s">
        <v>515</v>
      </c>
      <c r="C507" s="7" t="s">
        <v>74</v>
      </c>
      <c r="D507" s="29" t="s">
        <v>541</v>
      </c>
      <c r="E507" s="9">
        <v>45491.0</v>
      </c>
      <c r="F507" s="6">
        <v>1.0</v>
      </c>
      <c r="G507" s="6">
        <v>3.0</v>
      </c>
      <c r="H507" s="6">
        <v>8.0</v>
      </c>
      <c r="I507" s="6">
        <v>1.0</v>
      </c>
      <c r="J507" s="6">
        <v>5.0</v>
      </c>
      <c r="K507" s="10">
        <v>0.620585501194</v>
      </c>
      <c r="L507" s="10">
        <v>0.173494830727577</v>
      </c>
      <c r="M507" s="10">
        <v>0.318875789642334</v>
      </c>
      <c r="N507" s="11">
        <v>0.31887603</v>
      </c>
      <c r="O507" s="6">
        <f t="shared" si="1"/>
        <v>-0.000000240357666</v>
      </c>
      <c r="P507" s="17">
        <v>0.05</v>
      </c>
      <c r="Q507" s="17">
        <v>0.060344827586206</v>
      </c>
      <c r="R507" s="17">
        <v>0.995</v>
      </c>
      <c r="S507" s="17">
        <v>0.995</v>
      </c>
      <c r="T507" s="17">
        <v>21.2666666666667</v>
      </c>
    </row>
    <row r="508">
      <c r="A508" s="5" t="s">
        <v>63</v>
      </c>
      <c r="B508" s="17" t="s">
        <v>515</v>
      </c>
      <c r="C508" s="7" t="s">
        <v>76</v>
      </c>
      <c r="D508" s="29" t="s">
        <v>542</v>
      </c>
      <c r="E508" s="9">
        <v>45491.0</v>
      </c>
      <c r="F508" s="6">
        <v>1.0</v>
      </c>
      <c r="G508" s="6">
        <v>3.0</v>
      </c>
      <c r="H508" s="6">
        <v>8.0</v>
      </c>
      <c r="I508" s="6">
        <v>1.0</v>
      </c>
      <c r="J508" s="6">
        <v>7.0</v>
      </c>
      <c r="K508" s="10">
        <v>0.626665353775024</v>
      </c>
      <c r="L508" s="10">
        <v>0.158269703388214</v>
      </c>
      <c r="M508" s="10">
        <v>0.108775347471237</v>
      </c>
      <c r="N508" s="11">
        <v>0.108775325</v>
      </c>
      <c r="O508" s="6">
        <f t="shared" si="1"/>
        <v>0.000000022471237</v>
      </c>
      <c r="P508" s="17">
        <v>0.03125</v>
      </c>
      <c r="Q508" s="17">
        <v>0.023474178403755</v>
      </c>
      <c r="R508" s="17">
        <v>0.9971</v>
      </c>
      <c r="S508" s="17">
        <v>0.9971</v>
      </c>
      <c r="T508" s="17">
        <v>18.8941558441558</v>
      </c>
    </row>
    <row r="509">
      <c r="A509" s="5" t="s">
        <v>63</v>
      </c>
      <c r="B509" s="17" t="s">
        <v>515</v>
      </c>
      <c r="C509" s="7" t="s">
        <v>78</v>
      </c>
      <c r="D509" s="29" t="s">
        <v>543</v>
      </c>
      <c r="E509" s="9">
        <v>45491.0</v>
      </c>
      <c r="F509" s="6">
        <v>2.0</v>
      </c>
      <c r="G509" s="6">
        <v>3.0</v>
      </c>
      <c r="H509" s="6">
        <v>8.0</v>
      </c>
      <c r="I509" s="6">
        <v>1.0</v>
      </c>
      <c r="J509" s="6">
        <v>5.0</v>
      </c>
      <c r="K509" s="10">
        <v>0.625105261802673</v>
      </c>
      <c r="L509" s="10">
        <v>0.15935018658638</v>
      </c>
      <c r="M509" s="10">
        <v>0.192724391818046</v>
      </c>
      <c r="N509" s="11">
        <v>0.19272463</v>
      </c>
      <c r="O509" s="6">
        <f t="shared" si="1"/>
        <v>-0.000000238181954</v>
      </c>
      <c r="P509" s="17">
        <v>0.029850746268656</v>
      </c>
      <c r="Q509" s="17">
        <v>0.057291666666666</v>
      </c>
      <c r="R509" s="17">
        <v>0.9976</v>
      </c>
      <c r="S509" s="17">
        <v>0.9976</v>
      </c>
      <c r="T509" s="17">
        <v>20.2517998244074</v>
      </c>
    </row>
    <row r="510">
      <c r="A510" s="5" t="s">
        <v>63</v>
      </c>
      <c r="B510" s="17" t="s">
        <v>515</v>
      </c>
      <c r="C510" s="7" t="s">
        <v>80</v>
      </c>
      <c r="D510" s="29" t="s">
        <v>544</v>
      </c>
      <c r="E510" s="9">
        <v>45491.0</v>
      </c>
      <c r="F510" s="6">
        <v>2.0</v>
      </c>
      <c r="G510" s="6">
        <v>3.0</v>
      </c>
      <c r="H510" s="6">
        <v>8.0</v>
      </c>
      <c r="I510" s="6">
        <v>1.0</v>
      </c>
      <c r="J510" s="6">
        <v>5.0</v>
      </c>
      <c r="K510" s="10">
        <v>0.614011883735656</v>
      </c>
      <c r="L510" s="10">
        <v>0.172861158847808</v>
      </c>
      <c r="M510" s="10">
        <v>0.0951185375452041</v>
      </c>
      <c r="N510" s="11">
        <v>0.09511867</v>
      </c>
      <c r="O510" s="6">
        <f t="shared" si="1"/>
        <v>-0.0000001324547959</v>
      </c>
      <c r="P510" s="17">
        <v>0.049723756906077</v>
      </c>
      <c r="Q510" s="17">
        <v>0.053254437869822</v>
      </c>
      <c r="R510" s="17">
        <v>0.9901</v>
      </c>
      <c r="S510" s="17">
        <v>0.9901</v>
      </c>
      <c r="T510" s="17">
        <v>16.3979600509987</v>
      </c>
    </row>
    <row r="511">
      <c r="A511" s="5" t="s">
        <v>63</v>
      </c>
      <c r="B511" s="17" t="s">
        <v>515</v>
      </c>
      <c r="C511" s="7" t="s">
        <v>82</v>
      </c>
      <c r="D511" s="29" t="s">
        <v>545</v>
      </c>
      <c r="E511" s="9">
        <v>45491.0</v>
      </c>
      <c r="F511" s="6">
        <v>1.0</v>
      </c>
      <c r="G511" s="6">
        <v>3.0</v>
      </c>
      <c r="H511" s="6">
        <v>8.0</v>
      </c>
      <c r="I511" s="6">
        <v>1.0</v>
      </c>
      <c r="J511" s="6">
        <v>5.0</v>
      </c>
      <c r="K511" s="10">
        <v>0.624502182006835</v>
      </c>
      <c r="L511" s="10">
        <v>0.16598056256771</v>
      </c>
      <c r="M511" s="10">
        <v>0.1019272133708</v>
      </c>
      <c r="N511" s="11">
        <v>0.101927176</v>
      </c>
      <c r="O511" s="6">
        <f t="shared" si="1"/>
        <v>0.00000003737080001</v>
      </c>
      <c r="P511" s="17">
        <v>0.055555555555555</v>
      </c>
      <c r="Q511" s="17">
        <v>0.07112970711297</v>
      </c>
      <c r="R511" s="17">
        <v>0.9591</v>
      </c>
      <c r="S511" s="17">
        <v>0.9591</v>
      </c>
      <c r="T511" s="17">
        <v>16.4163742690058</v>
      </c>
      <c r="U511" s="30"/>
      <c r="V511" s="30"/>
      <c r="W511" s="30"/>
      <c r="X511" s="30"/>
      <c r="Y511" s="30"/>
      <c r="Z511" s="30"/>
    </row>
    <row r="512">
      <c r="A512" s="5" t="s">
        <v>84</v>
      </c>
      <c r="B512" s="17" t="s">
        <v>515</v>
      </c>
      <c r="C512" s="7" t="s">
        <v>85</v>
      </c>
      <c r="D512" s="29" t="s">
        <v>546</v>
      </c>
      <c r="E512" s="9">
        <v>45491.0</v>
      </c>
      <c r="F512" s="6">
        <v>1.0</v>
      </c>
      <c r="G512" s="6">
        <v>3.0</v>
      </c>
      <c r="H512" s="6">
        <v>8.0</v>
      </c>
      <c r="I512" s="6">
        <v>1.0</v>
      </c>
      <c r="J512" s="6">
        <v>7.0</v>
      </c>
      <c r="K512" s="10">
        <v>0.614900469779968</v>
      </c>
      <c r="L512" s="10">
        <v>0.147367611527442</v>
      </c>
      <c r="M512" s="10">
        <v>0.191945165395736</v>
      </c>
      <c r="N512" s="11">
        <v>0.19194524</v>
      </c>
      <c r="O512" s="6">
        <f t="shared" si="1"/>
        <v>-0.00000007460426399</v>
      </c>
      <c r="P512" s="17">
        <v>0.015625</v>
      </c>
      <c r="Q512" s="17">
        <v>0.0</v>
      </c>
      <c r="R512" s="17">
        <v>0.998</v>
      </c>
      <c r="S512" s="17">
        <v>0.998</v>
      </c>
      <c r="T512" s="17">
        <v>20.9333333333333</v>
      </c>
    </row>
    <row r="513">
      <c r="A513" s="5" t="s">
        <v>84</v>
      </c>
      <c r="B513" s="17" t="s">
        <v>515</v>
      </c>
      <c r="C513" s="7" t="s">
        <v>87</v>
      </c>
      <c r="D513" s="29" t="s">
        <v>547</v>
      </c>
      <c r="E513" s="9">
        <v>45491.0</v>
      </c>
      <c r="F513" s="6">
        <v>1.0</v>
      </c>
      <c r="G513" s="6">
        <v>3.0</v>
      </c>
      <c r="H513" s="6">
        <v>8.0</v>
      </c>
      <c r="I513" s="6">
        <v>1.0</v>
      </c>
      <c r="J513" s="6">
        <v>7.0</v>
      </c>
      <c r="K513" s="10">
        <v>0.616943001747131</v>
      </c>
      <c r="L513" s="10">
        <v>0.148174837231636</v>
      </c>
      <c r="M513" s="10">
        <v>0.171219021081924</v>
      </c>
      <c r="N513" s="11">
        <v>0.17121898</v>
      </c>
      <c r="O513" s="6">
        <f t="shared" si="1"/>
        <v>0.000000041081924</v>
      </c>
      <c r="P513" s="17">
        <v>0.057803468208092</v>
      </c>
      <c r="Q513" s="17">
        <v>0.012269938650306</v>
      </c>
      <c r="R513" s="17">
        <v>0.8625</v>
      </c>
      <c r="S513" s="17">
        <v>-0.8625</v>
      </c>
      <c r="T513" s="17">
        <v>20.8144064028457</v>
      </c>
    </row>
    <row r="514">
      <c r="A514" s="5" t="s">
        <v>84</v>
      </c>
      <c r="B514" s="17" t="s">
        <v>515</v>
      </c>
      <c r="C514" s="7" t="s">
        <v>89</v>
      </c>
      <c r="D514" s="29" t="s">
        <v>548</v>
      </c>
      <c r="E514" s="9">
        <v>45491.0</v>
      </c>
      <c r="F514" s="6">
        <v>1.0</v>
      </c>
      <c r="G514" s="6">
        <v>3.0</v>
      </c>
      <c r="H514" s="6">
        <v>8.0</v>
      </c>
      <c r="I514" s="6">
        <v>1.0</v>
      </c>
      <c r="J514" s="6">
        <v>7.0</v>
      </c>
      <c r="K514" s="10">
        <v>0.630884766578674</v>
      </c>
      <c r="L514" s="10">
        <v>0.170285061001777</v>
      </c>
      <c r="M514" s="10">
        <v>0.15109434723854</v>
      </c>
      <c r="N514" s="11">
        <v>0.15109417</v>
      </c>
      <c r="O514" s="6">
        <f t="shared" si="1"/>
        <v>0.00000017723854</v>
      </c>
      <c r="P514" s="17">
        <v>0.039823008849557</v>
      </c>
      <c r="Q514" s="17">
        <v>0.014018691588785</v>
      </c>
      <c r="R514" s="17">
        <v>0.9655</v>
      </c>
      <c r="S514" s="17">
        <v>0.9655</v>
      </c>
      <c r="T514" s="17">
        <v>21.395062878435</v>
      </c>
    </row>
    <row r="515">
      <c r="A515" s="5" t="s">
        <v>84</v>
      </c>
      <c r="B515" s="17" t="s">
        <v>515</v>
      </c>
      <c r="C515" s="7" t="s">
        <v>91</v>
      </c>
      <c r="D515" s="29" t="s">
        <v>549</v>
      </c>
      <c r="E515" s="9">
        <v>45491.0</v>
      </c>
      <c r="F515" s="6">
        <v>2.0</v>
      </c>
      <c r="G515" s="6">
        <v>3.0</v>
      </c>
      <c r="H515" s="6">
        <v>8.0</v>
      </c>
      <c r="I515" s="6">
        <v>1.0</v>
      </c>
      <c r="J515" s="6">
        <v>7.0</v>
      </c>
      <c r="K515" s="10">
        <v>0.625075936317443</v>
      </c>
      <c r="L515" s="10">
        <v>0.159303858876228</v>
      </c>
      <c r="M515" s="10">
        <v>0.103179812431335</v>
      </c>
      <c r="N515" s="11">
        <v>0.10317999</v>
      </c>
      <c r="O515" s="6">
        <f t="shared" si="1"/>
        <v>-0.000000177568665</v>
      </c>
      <c r="P515" s="17">
        <v>0.04</v>
      </c>
      <c r="Q515" s="17">
        <v>0.009302325581395</v>
      </c>
      <c r="R515" s="17">
        <v>0.996</v>
      </c>
      <c r="S515" s="17">
        <v>0.996</v>
      </c>
      <c r="T515" s="17">
        <v>21.0</v>
      </c>
    </row>
    <row r="516">
      <c r="A516" s="5" t="s">
        <v>84</v>
      </c>
      <c r="B516" s="17" t="s">
        <v>515</v>
      </c>
      <c r="C516" s="7" t="s">
        <v>93</v>
      </c>
      <c r="D516" s="29" t="s">
        <v>550</v>
      </c>
      <c r="E516" s="9">
        <v>45491.0</v>
      </c>
      <c r="F516" s="6">
        <v>1.0</v>
      </c>
      <c r="G516" s="6">
        <v>3.0</v>
      </c>
      <c r="H516" s="6">
        <v>8.0</v>
      </c>
      <c r="I516" s="6">
        <v>1.0</v>
      </c>
      <c r="J516" s="6">
        <v>7.0</v>
      </c>
      <c r="K516" s="10">
        <v>0.631685435771942</v>
      </c>
      <c r="L516" s="10">
        <v>0.174212753772735</v>
      </c>
      <c r="M516" s="10">
        <v>0.054660964757204</v>
      </c>
      <c r="N516" s="11">
        <v>0.054661024</v>
      </c>
      <c r="O516" s="6">
        <f t="shared" si="1"/>
        <v>-0.000000059242796</v>
      </c>
      <c r="P516" s="17">
        <v>0.044609665427509</v>
      </c>
      <c r="Q516" s="17">
        <v>0.015625</v>
      </c>
      <c r="R516" s="17">
        <v>0.9929</v>
      </c>
      <c r="S516" s="17">
        <v>0.9929</v>
      </c>
      <c r="T516" s="17">
        <v>22.9122285267071</v>
      </c>
    </row>
    <row r="517">
      <c r="A517" s="5" t="s">
        <v>84</v>
      </c>
      <c r="B517" s="17" t="s">
        <v>515</v>
      </c>
      <c r="C517" s="7" t="s">
        <v>95</v>
      </c>
      <c r="D517" s="29" t="s">
        <v>551</v>
      </c>
      <c r="E517" s="9">
        <v>45491.0</v>
      </c>
      <c r="F517" s="6">
        <v>1.0</v>
      </c>
      <c r="G517" s="6">
        <v>3.0</v>
      </c>
      <c r="H517" s="6">
        <v>8.0</v>
      </c>
      <c r="I517" s="6">
        <v>1.0</v>
      </c>
      <c r="J517" s="6">
        <v>7.0</v>
      </c>
      <c r="K517" s="10">
        <v>0.628857135772705</v>
      </c>
      <c r="L517" s="10">
        <v>0.170434698462486</v>
      </c>
      <c r="M517" s="10">
        <v>0.0453482903540134</v>
      </c>
      <c r="N517" s="11">
        <v>0.04534815</v>
      </c>
      <c r="O517" s="6">
        <f t="shared" si="1"/>
        <v>0.0000001403540134</v>
      </c>
      <c r="P517" s="17">
        <v>0.037974683544303</v>
      </c>
      <c r="Q517" s="17">
        <v>0.044642857142857</v>
      </c>
      <c r="R517" s="17">
        <v>0.9186</v>
      </c>
      <c r="S517" s="17">
        <v>0.9186</v>
      </c>
      <c r="T517" s="17">
        <v>21.2726731198809</v>
      </c>
    </row>
    <row r="518">
      <c r="A518" s="5" t="s">
        <v>84</v>
      </c>
      <c r="B518" s="17" t="s">
        <v>515</v>
      </c>
      <c r="C518" s="7" t="s">
        <v>97</v>
      </c>
      <c r="D518" s="29" t="s">
        <v>552</v>
      </c>
      <c r="E518" s="9">
        <v>45491.0</v>
      </c>
      <c r="F518" s="6">
        <v>1.0</v>
      </c>
      <c r="G518" s="6">
        <v>3.0</v>
      </c>
      <c r="H518" s="6">
        <v>8.0</v>
      </c>
      <c r="I518" s="6">
        <v>1.0</v>
      </c>
      <c r="J518" s="6">
        <v>7.0</v>
      </c>
      <c r="K518" s="10">
        <v>0.631168007850647</v>
      </c>
      <c r="L518" s="10">
        <v>0.13898791372776</v>
      </c>
      <c r="M518" s="10">
        <v>0.114513784646987</v>
      </c>
      <c r="N518" s="11">
        <v>0.11451383</v>
      </c>
      <c r="O518" s="6">
        <f t="shared" si="1"/>
        <v>-0.000000045353013</v>
      </c>
      <c r="P518" s="17">
        <v>0.04696132596685</v>
      </c>
      <c r="Q518" s="17">
        <v>0.020527859237536</v>
      </c>
      <c r="R518" s="17">
        <v>0.9933</v>
      </c>
      <c r="S518" s="17">
        <v>0.9933</v>
      </c>
      <c r="T518" s="17">
        <v>21.1640679353387</v>
      </c>
    </row>
    <row r="519">
      <c r="A519" s="5" t="s">
        <v>84</v>
      </c>
      <c r="B519" s="17" t="s">
        <v>515</v>
      </c>
      <c r="C519" s="7" t="s">
        <v>99</v>
      </c>
      <c r="D519" s="29" t="s">
        <v>553</v>
      </c>
      <c r="E519" s="9">
        <v>45491.0</v>
      </c>
      <c r="F519" s="6">
        <v>1.0</v>
      </c>
      <c r="G519" s="6">
        <v>3.0</v>
      </c>
      <c r="H519" s="6">
        <v>8.0</v>
      </c>
      <c r="I519" s="6">
        <v>1.0</v>
      </c>
      <c r="J519" s="6">
        <v>5.0</v>
      </c>
      <c r="K519" s="10">
        <v>0.623072862625122</v>
      </c>
      <c r="L519" s="10">
        <v>0.156652584671974</v>
      </c>
      <c r="M519" s="10">
        <v>0.0149267576634883</v>
      </c>
      <c r="N519" s="11">
        <v>0.014927048</v>
      </c>
      <c r="O519" s="6">
        <f t="shared" si="1"/>
        <v>-0.0000002903365117</v>
      </c>
      <c r="P519" s="17">
        <v>0.037249283667621</v>
      </c>
      <c r="Q519" s="17">
        <v>0.01840490797546</v>
      </c>
      <c r="R519" s="17">
        <v>0.9947</v>
      </c>
      <c r="S519" s="17">
        <v>0.9947</v>
      </c>
      <c r="T519" s="17">
        <v>22.7061869892816</v>
      </c>
    </row>
    <row r="520">
      <c r="A520" s="5" t="s">
        <v>84</v>
      </c>
      <c r="B520" s="17" t="s">
        <v>515</v>
      </c>
      <c r="C520" s="7" t="s">
        <v>101</v>
      </c>
      <c r="D520" s="29" t="s">
        <v>554</v>
      </c>
      <c r="E520" s="9">
        <v>45491.0</v>
      </c>
      <c r="F520" s="6">
        <v>1.0</v>
      </c>
      <c r="G520" s="6">
        <v>3.0</v>
      </c>
      <c r="H520" s="6">
        <v>8.0</v>
      </c>
      <c r="I520" s="6">
        <v>1.0</v>
      </c>
      <c r="J520" s="6">
        <v>7.0</v>
      </c>
      <c r="K520" s="10">
        <v>0.620522201061248</v>
      </c>
      <c r="L520" s="10">
        <v>0.140279278159141</v>
      </c>
      <c r="M520" s="10">
        <v>0.137526780366897</v>
      </c>
      <c r="N520" s="11">
        <v>0.13752683</v>
      </c>
      <c r="O520" s="6">
        <f t="shared" si="1"/>
        <v>-0.00000004963310299</v>
      </c>
      <c r="P520" s="17">
        <v>0.049861495844875</v>
      </c>
      <c r="Q520" s="17">
        <v>0.017492711370262</v>
      </c>
      <c r="R520" s="17">
        <v>0.9911</v>
      </c>
      <c r="S520" s="17">
        <v>-0.9911</v>
      </c>
      <c r="T520" s="17">
        <v>21.1930234944085</v>
      </c>
    </row>
    <row r="521">
      <c r="A521" s="5" t="s">
        <v>84</v>
      </c>
      <c r="B521" s="17" t="s">
        <v>515</v>
      </c>
      <c r="C521" s="7" t="s">
        <v>103</v>
      </c>
      <c r="D521" s="29" t="s">
        <v>555</v>
      </c>
      <c r="E521" s="9">
        <v>45491.0</v>
      </c>
      <c r="F521" s="6">
        <v>1.0</v>
      </c>
      <c r="G521" s="6">
        <v>3.0</v>
      </c>
      <c r="H521" s="6">
        <v>8.0</v>
      </c>
      <c r="I521" s="6">
        <v>1.0</v>
      </c>
      <c r="J521" s="6">
        <v>7.0</v>
      </c>
      <c r="K521" s="10">
        <v>0.618950426578521</v>
      </c>
      <c r="L521" s="10">
        <v>0.166873529553413</v>
      </c>
      <c r="M521" s="10">
        <v>0.226179495453834</v>
      </c>
      <c r="N521" s="11">
        <v>0.22617966</v>
      </c>
      <c r="O521" s="6">
        <f t="shared" si="1"/>
        <v>-0.000000164546166</v>
      </c>
      <c r="P521" s="17">
        <v>0.039682539682539</v>
      </c>
      <c r="Q521" s="17">
        <v>0.019498607242339</v>
      </c>
      <c r="R521" s="17">
        <v>0.9978</v>
      </c>
      <c r="S521" s="17">
        <v>0.9978</v>
      </c>
      <c r="T521" s="17">
        <v>20.4897354497354</v>
      </c>
    </row>
    <row r="522">
      <c r="A522" s="5" t="s">
        <v>20</v>
      </c>
      <c r="B522" s="6" t="s">
        <v>556</v>
      </c>
      <c r="C522" s="7" t="s">
        <v>22</v>
      </c>
      <c r="D522" s="8" t="s">
        <v>557</v>
      </c>
      <c r="E522" s="9">
        <v>45510.0</v>
      </c>
      <c r="F522" s="6">
        <v>1.0</v>
      </c>
      <c r="G522" s="6">
        <v>1.0</v>
      </c>
      <c r="H522" s="6">
        <v>1.0</v>
      </c>
      <c r="I522" s="6">
        <v>1.0</v>
      </c>
      <c r="J522" s="6">
        <v>1.0</v>
      </c>
      <c r="K522" s="14">
        <v>0.623916149139404</v>
      </c>
      <c r="L522" s="14">
        <v>0.184711337089538</v>
      </c>
      <c r="M522" s="14">
        <v>-0.236974835395813</v>
      </c>
      <c r="N522" s="11">
        <v>-0.23697488</v>
      </c>
      <c r="O522" s="6">
        <f t="shared" si="1"/>
        <v>0.00000004460418701</v>
      </c>
      <c r="P522" s="6">
        <v>0.027027027027027</v>
      </c>
      <c r="Q522" s="6">
        <v>0.147058823529411</v>
      </c>
      <c r="R522" s="6">
        <v>0.5239</v>
      </c>
      <c r="S522" s="6">
        <v>0.5239</v>
      </c>
      <c r="T522" s="6">
        <v>16.8252252252252</v>
      </c>
    </row>
    <row r="523">
      <c r="A523" s="5" t="s">
        <v>20</v>
      </c>
      <c r="B523" s="6" t="s">
        <v>556</v>
      </c>
      <c r="C523" s="7" t="s">
        <v>24</v>
      </c>
      <c r="D523" s="8" t="s">
        <v>558</v>
      </c>
      <c r="E523" s="9">
        <v>45510.0</v>
      </c>
      <c r="F523" s="6">
        <v>1.0</v>
      </c>
      <c r="G523" s="6">
        <v>6.0</v>
      </c>
      <c r="H523" s="6">
        <v>1.0</v>
      </c>
      <c r="I523" s="6">
        <v>1.0</v>
      </c>
      <c r="J523" s="6">
        <v>1.0</v>
      </c>
      <c r="K523" s="14">
        <v>0.613142848014831</v>
      </c>
      <c r="L523" s="14">
        <v>0.192620396614074</v>
      </c>
      <c r="M523" s="14">
        <v>0.0995493680238723</v>
      </c>
      <c r="N523" s="11">
        <v>0.099549375</v>
      </c>
      <c r="O523" s="6">
        <f t="shared" si="1"/>
        <v>-0.000000006976127689</v>
      </c>
      <c r="P523" s="6">
        <v>0.018518518518518</v>
      </c>
      <c r="Q523" s="6">
        <v>0.076923076923076</v>
      </c>
      <c r="R523" s="6">
        <v>0.9618</v>
      </c>
      <c r="S523" s="6">
        <v>0.9618</v>
      </c>
      <c r="T523" s="6">
        <v>22.6518518518518</v>
      </c>
    </row>
    <row r="524">
      <c r="A524" s="5" t="s">
        <v>20</v>
      </c>
      <c r="B524" s="6" t="s">
        <v>556</v>
      </c>
      <c r="C524" s="7" t="s">
        <v>26</v>
      </c>
      <c r="D524" s="8" t="s">
        <v>559</v>
      </c>
      <c r="E524" s="9">
        <v>45510.0</v>
      </c>
      <c r="F524" s="6">
        <v>1.0</v>
      </c>
      <c r="G524" s="6">
        <v>1.0</v>
      </c>
      <c r="H524" s="6">
        <v>1.0</v>
      </c>
      <c r="I524" s="6">
        <v>1.0</v>
      </c>
      <c r="J524" s="6">
        <v>1.0</v>
      </c>
      <c r="K524" s="14">
        <v>0.604341924190521</v>
      </c>
      <c r="L524" s="14">
        <v>0.204033136367797</v>
      </c>
      <c r="M524" s="14">
        <v>0.0856093615293502</v>
      </c>
      <c r="N524" s="11">
        <v>0.085609384</v>
      </c>
      <c r="O524" s="6">
        <f t="shared" si="1"/>
        <v>-0.0000000224706498</v>
      </c>
      <c r="P524" s="6">
        <v>0.017241379310344</v>
      </c>
      <c r="Q524" s="6">
        <v>0.111111111111111</v>
      </c>
      <c r="R524" s="6">
        <v>0.8398</v>
      </c>
      <c r="S524" s="6">
        <v>0.8398</v>
      </c>
      <c r="T524" s="6">
        <v>20.1471264367816</v>
      </c>
    </row>
    <row r="525">
      <c r="A525" s="5" t="s">
        <v>20</v>
      </c>
      <c r="B525" s="6" t="s">
        <v>556</v>
      </c>
      <c r="C525" s="7" t="s">
        <v>28</v>
      </c>
      <c r="D525" s="8" t="s">
        <v>560</v>
      </c>
      <c r="E525" s="9">
        <v>45510.0</v>
      </c>
      <c r="F525" s="6">
        <v>1.0</v>
      </c>
      <c r="G525" s="6">
        <v>1.0</v>
      </c>
      <c r="H525" s="6">
        <v>1.0</v>
      </c>
      <c r="I525" s="6">
        <v>1.0</v>
      </c>
      <c r="J525" s="6">
        <v>1.0</v>
      </c>
      <c r="K525" s="14">
        <v>0.630213379859924</v>
      </c>
      <c r="L525" s="14">
        <v>0.225218698382377</v>
      </c>
      <c r="M525" s="14">
        <v>-0.00362514704465866</v>
      </c>
      <c r="N525" s="11">
        <v>-0.003625061</v>
      </c>
      <c r="O525" s="6">
        <f t="shared" si="1"/>
        <v>-0.00000008604465866</v>
      </c>
      <c r="P525" s="6">
        <v>0.052631578947368</v>
      </c>
      <c r="Q525" s="6">
        <v>0.114285714285714</v>
      </c>
      <c r="R525" s="6">
        <v>0.8353</v>
      </c>
      <c r="S525" s="6">
        <v>0.8353</v>
      </c>
      <c r="T525" s="6">
        <v>15.5929824561403</v>
      </c>
    </row>
    <row r="526">
      <c r="A526" s="5" t="s">
        <v>20</v>
      </c>
      <c r="B526" s="6" t="s">
        <v>556</v>
      </c>
      <c r="C526" s="7" t="s">
        <v>30</v>
      </c>
      <c r="D526" s="8" t="s">
        <v>561</v>
      </c>
      <c r="E526" s="9">
        <v>45510.0</v>
      </c>
      <c r="F526" s="6">
        <v>1.0</v>
      </c>
      <c r="G526" s="6">
        <v>1.0</v>
      </c>
      <c r="H526" s="6">
        <v>1.0</v>
      </c>
      <c r="I526" s="6">
        <v>1.0</v>
      </c>
      <c r="J526" s="6">
        <v>1.0</v>
      </c>
      <c r="K526" s="14">
        <v>0.616338670253753</v>
      </c>
      <c r="L526" s="14">
        <v>0.194929748773574</v>
      </c>
      <c r="M526" s="14">
        <v>-0.0746490582823753</v>
      </c>
      <c r="N526" s="11">
        <v>-0.074649155</v>
      </c>
      <c r="O526" s="6">
        <f t="shared" si="1"/>
        <v>0.0000000967176247</v>
      </c>
      <c r="P526" s="6">
        <v>0.053571428571428</v>
      </c>
      <c r="Q526" s="6">
        <v>0.137254901960784</v>
      </c>
      <c r="R526" s="6">
        <v>0.9808</v>
      </c>
      <c r="S526" s="6">
        <v>0.9808</v>
      </c>
      <c r="T526" s="6">
        <v>18.3428571428571</v>
      </c>
    </row>
    <row r="527">
      <c r="A527" s="5" t="s">
        <v>20</v>
      </c>
      <c r="B527" s="6" t="s">
        <v>556</v>
      </c>
      <c r="C527" s="7" t="s">
        <v>32</v>
      </c>
      <c r="D527" s="8" t="s">
        <v>562</v>
      </c>
      <c r="E527" s="9">
        <v>45510.0</v>
      </c>
      <c r="F527" s="6">
        <v>1.0</v>
      </c>
      <c r="G527" s="6">
        <v>1.0</v>
      </c>
      <c r="H527" s="6">
        <v>1.0</v>
      </c>
      <c r="I527" s="6">
        <v>1.0</v>
      </c>
      <c r="J527" s="6">
        <v>1.0</v>
      </c>
      <c r="K527" s="14">
        <v>0.602891147136688</v>
      </c>
      <c r="L527" s="14">
        <v>0.188933908939361</v>
      </c>
      <c r="M527" s="14">
        <v>-0.0454024598002433</v>
      </c>
      <c r="N527" s="11">
        <v>-0.045402598</v>
      </c>
      <c r="O527" s="6">
        <f t="shared" si="1"/>
        <v>0.0000001381997567</v>
      </c>
      <c r="P527" s="6">
        <v>0.0</v>
      </c>
      <c r="Q527" s="6">
        <v>0.075</v>
      </c>
      <c r="R527" s="6">
        <v>0.6696</v>
      </c>
      <c r="S527" s="6">
        <v>0.6696</v>
      </c>
      <c r="T527" s="6">
        <v>21.7333333333333</v>
      </c>
    </row>
    <row r="528">
      <c r="A528" s="5" t="s">
        <v>20</v>
      </c>
      <c r="B528" s="6" t="s">
        <v>556</v>
      </c>
      <c r="C528" s="7" t="s">
        <v>34</v>
      </c>
      <c r="D528" s="8" t="s">
        <v>563</v>
      </c>
      <c r="E528" s="9">
        <v>45510.0</v>
      </c>
      <c r="F528" s="6">
        <v>1.0</v>
      </c>
      <c r="G528" s="6">
        <v>1.0</v>
      </c>
      <c r="H528" s="6">
        <v>1.0</v>
      </c>
      <c r="I528" s="6">
        <v>1.0</v>
      </c>
      <c r="J528" s="6">
        <v>1.0</v>
      </c>
      <c r="K528" s="14">
        <v>0.632164180278778</v>
      </c>
      <c r="L528" s="14">
        <v>0.224618300795555</v>
      </c>
      <c r="M528" s="14">
        <v>-0.0161578673869371</v>
      </c>
      <c r="N528" s="11">
        <v>-0.016157825</v>
      </c>
      <c r="O528" s="6">
        <f t="shared" si="1"/>
        <v>-0.0000000423869371</v>
      </c>
      <c r="P528" s="6">
        <v>0.0</v>
      </c>
      <c r="Q528" s="6">
        <v>0.095238095238095</v>
      </c>
      <c r="R528" s="6">
        <v>0.7802</v>
      </c>
      <c r="S528" s="6">
        <v>0.7802</v>
      </c>
      <c r="T528" s="6">
        <v>20.4333333333333</v>
      </c>
    </row>
    <row r="529">
      <c r="A529" s="5" t="s">
        <v>20</v>
      </c>
      <c r="B529" s="6" t="s">
        <v>556</v>
      </c>
      <c r="C529" s="7" t="s">
        <v>36</v>
      </c>
      <c r="D529" s="8" t="s">
        <v>564</v>
      </c>
      <c r="E529" s="9">
        <v>45510.0</v>
      </c>
      <c r="F529" s="6">
        <v>1.0</v>
      </c>
      <c r="G529" s="6">
        <v>1.0</v>
      </c>
      <c r="H529" s="6">
        <v>1.0</v>
      </c>
      <c r="I529" s="6">
        <v>1.0</v>
      </c>
      <c r="J529" s="6">
        <v>1.0</v>
      </c>
      <c r="K529" s="14">
        <v>0.623877704143524</v>
      </c>
      <c r="L529" s="14">
        <v>0.189259901642799</v>
      </c>
      <c r="M529" s="14">
        <v>-0.0285138580948114</v>
      </c>
      <c r="N529" s="11">
        <v>-0.028513782</v>
      </c>
      <c r="O529" s="6">
        <f t="shared" si="1"/>
        <v>-0.0000000760948114</v>
      </c>
      <c r="P529" s="6">
        <v>0.034482758620689</v>
      </c>
      <c r="Q529" s="6">
        <v>0.129629629629629</v>
      </c>
      <c r="R529" s="6">
        <v>0.8147</v>
      </c>
      <c r="S529" s="6">
        <v>0.8147</v>
      </c>
      <c r="T529" s="6">
        <v>20.1471264367816</v>
      </c>
    </row>
    <row r="530">
      <c r="A530" s="5" t="s">
        <v>20</v>
      </c>
      <c r="B530" s="6" t="s">
        <v>556</v>
      </c>
      <c r="C530" s="7" t="s">
        <v>38</v>
      </c>
      <c r="D530" s="8" t="s">
        <v>565</v>
      </c>
      <c r="E530" s="9">
        <v>45510.0</v>
      </c>
      <c r="F530" s="6">
        <v>1.0</v>
      </c>
      <c r="G530" s="6">
        <v>1.0</v>
      </c>
      <c r="H530" s="6">
        <v>1.0</v>
      </c>
      <c r="I530" s="6">
        <v>1.0</v>
      </c>
      <c r="J530" s="6">
        <v>1.0</v>
      </c>
      <c r="K530" s="14">
        <v>0.622610211372375</v>
      </c>
      <c r="L530" s="14">
        <v>0.186511814594268</v>
      </c>
      <c r="M530" s="14">
        <v>-0.306926757097244</v>
      </c>
      <c r="N530" s="11">
        <v>-0.30692664</v>
      </c>
      <c r="O530" s="6">
        <f t="shared" si="1"/>
        <v>-0.000000117097244</v>
      </c>
      <c r="P530" s="6">
        <v>0.035087719298245</v>
      </c>
      <c r="Q530" s="6">
        <v>0.125</v>
      </c>
      <c r="R530" s="6">
        <v>0.9041</v>
      </c>
      <c r="S530" s="6">
        <v>0.9041</v>
      </c>
      <c r="T530" s="6">
        <v>20.9333333333333</v>
      </c>
    </row>
    <row r="531">
      <c r="A531" s="5" t="s">
        <v>20</v>
      </c>
      <c r="B531" s="6" t="s">
        <v>556</v>
      </c>
      <c r="C531" s="7" t="s">
        <v>40</v>
      </c>
      <c r="D531" s="8" t="s">
        <v>566</v>
      </c>
      <c r="E531" s="9">
        <v>45510.0</v>
      </c>
      <c r="F531" s="6">
        <v>1.0</v>
      </c>
      <c r="G531" s="6">
        <v>1.0</v>
      </c>
      <c r="H531" s="6">
        <v>1.0</v>
      </c>
      <c r="I531" s="6">
        <v>1.0</v>
      </c>
      <c r="J531" s="6">
        <v>1.0</v>
      </c>
      <c r="K531" s="14">
        <v>0.62766146659851</v>
      </c>
      <c r="L531" s="14">
        <v>0.184600472450256</v>
      </c>
      <c r="M531" s="14">
        <v>-0.0974896848201751</v>
      </c>
      <c r="N531" s="11">
        <v>-0.09748955</v>
      </c>
      <c r="O531" s="6">
        <f t="shared" si="1"/>
        <v>-0.0000001348201751</v>
      </c>
      <c r="P531" s="6">
        <v>0.037735849056603</v>
      </c>
      <c r="Q531" s="6">
        <v>0.156862745098039</v>
      </c>
      <c r="R531" s="6">
        <v>0.8822</v>
      </c>
      <c r="S531" s="6">
        <v>0.8822</v>
      </c>
      <c r="T531" s="6">
        <v>19.1421383647799</v>
      </c>
    </row>
    <row r="532">
      <c r="A532" s="5" t="s">
        <v>42</v>
      </c>
      <c r="B532" s="6" t="s">
        <v>556</v>
      </c>
      <c r="C532" s="7" t="s">
        <v>43</v>
      </c>
      <c r="D532" s="8" t="s">
        <v>567</v>
      </c>
      <c r="E532" s="9">
        <v>45510.0</v>
      </c>
      <c r="F532" s="6">
        <v>1.0</v>
      </c>
      <c r="G532" s="6">
        <v>1.0</v>
      </c>
      <c r="H532" s="6">
        <v>1.0</v>
      </c>
      <c r="I532" s="6">
        <v>1.0</v>
      </c>
      <c r="J532" s="6">
        <v>1.0</v>
      </c>
      <c r="K532" s="14">
        <v>0.619589924812316</v>
      </c>
      <c r="L532" s="14">
        <v>0.183612689375877</v>
      </c>
      <c r="M532" s="14">
        <v>-0.021754628047347</v>
      </c>
      <c r="N532" s="11">
        <v>-0.021754596</v>
      </c>
      <c r="O532" s="6">
        <f t="shared" si="1"/>
        <v>-0.000000032047347</v>
      </c>
      <c r="P532" s="6">
        <v>0.041666666666666</v>
      </c>
      <c r="Q532" s="6">
        <v>0.043478260869565</v>
      </c>
      <c r="R532" s="6">
        <v>0.9884</v>
      </c>
      <c r="S532" s="6">
        <v>0.9884</v>
      </c>
      <c r="T532" s="6">
        <v>19.6</v>
      </c>
    </row>
    <row r="533">
      <c r="A533" s="5" t="s">
        <v>42</v>
      </c>
      <c r="B533" s="6" t="s">
        <v>556</v>
      </c>
      <c r="C533" s="7" t="s">
        <v>45</v>
      </c>
      <c r="D533" s="8" t="s">
        <v>568</v>
      </c>
      <c r="E533" s="9">
        <v>45510.0</v>
      </c>
      <c r="F533" s="6">
        <v>1.0</v>
      </c>
      <c r="G533" s="6">
        <v>6.0</v>
      </c>
      <c r="H533" s="6">
        <v>1.0</v>
      </c>
      <c r="I533" s="6">
        <v>1.0</v>
      </c>
      <c r="J533" s="6">
        <v>1.0</v>
      </c>
      <c r="K533" s="14">
        <v>0.606913208961486</v>
      </c>
      <c r="L533" s="14">
        <v>0.185317799448966</v>
      </c>
      <c r="M533" s="14">
        <v>0.0844289660453796</v>
      </c>
      <c r="N533" s="11">
        <v>0.08442914</v>
      </c>
      <c r="O533" s="6">
        <f t="shared" si="1"/>
        <v>-0.0000001739546204</v>
      </c>
      <c r="P533" s="6">
        <v>0.017857142857142</v>
      </c>
      <c r="Q533" s="6">
        <v>0.055555555555555</v>
      </c>
      <c r="R533" s="6">
        <v>0.9819</v>
      </c>
      <c r="S533" s="6">
        <v>0.9819</v>
      </c>
      <c r="T533" s="6">
        <v>18.4571428571429</v>
      </c>
    </row>
    <row r="534">
      <c r="A534" s="5" t="s">
        <v>42</v>
      </c>
      <c r="B534" s="6" t="s">
        <v>556</v>
      </c>
      <c r="C534" s="7" t="s">
        <v>47</v>
      </c>
      <c r="D534" s="8" t="s">
        <v>569</v>
      </c>
      <c r="E534" s="9">
        <v>45510.0</v>
      </c>
      <c r="F534" s="6">
        <v>1.0</v>
      </c>
      <c r="G534" s="6">
        <v>6.0</v>
      </c>
      <c r="H534" s="6">
        <v>1.0</v>
      </c>
      <c r="I534" s="6">
        <v>1.0</v>
      </c>
      <c r="J534" s="6">
        <v>1.0</v>
      </c>
      <c r="K534" s="14">
        <v>0.602310597896575</v>
      </c>
      <c r="L534" s="14">
        <v>0.16258630156517</v>
      </c>
      <c r="M534" s="14">
        <v>-0.141460493206977</v>
      </c>
      <c r="N534" s="11">
        <v>-0.1414603</v>
      </c>
      <c r="O534" s="6">
        <f t="shared" si="1"/>
        <v>-0.000000193206977</v>
      </c>
      <c r="P534" s="6">
        <v>0.047619047619047</v>
      </c>
      <c r="Q534" s="6">
        <v>0.066666666666666</v>
      </c>
      <c r="R534" s="6">
        <v>0.9546</v>
      </c>
      <c r="S534" s="6">
        <v>0.9546</v>
      </c>
      <c r="T534" s="6">
        <v>18.3634920634921</v>
      </c>
    </row>
    <row r="535">
      <c r="A535" s="5" t="s">
        <v>42</v>
      </c>
      <c r="B535" s="6" t="s">
        <v>556</v>
      </c>
      <c r="C535" s="7" t="s">
        <v>49</v>
      </c>
      <c r="D535" s="8" t="s">
        <v>570</v>
      </c>
      <c r="E535" s="9">
        <v>45510.0</v>
      </c>
      <c r="F535" s="6">
        <v>1.0</v>
      </c>
      <c r="G535" s="6">
        <v>1.0</v>
      </c>
      <c r="H535" s="6">
        <v>1.0</v>
      </c>
      <c r="I535" s="6">
        <v>1.0</v>
      </c>
      <c r="J535" s="6">
        <v>1.0</v>
      </c>
      <c r="K535" s="14">
        <v>0.600060582160949</v>
      </c>
      <c r="L535" s="14">
        <v>0.184048667550086</v>
      </c>
      <c r="M535" s="14">
        <v>0.0837997496128082</v>
      </c>
      <c r="N535" s="11">
        <v>0.08379973</v>
      </c>
      <c r="O535" s="6">
        <f t="shared" si="1"/>
        <v>0.0000000196128082</v>
      </c>
      <c r="P535" s="6">
        <v>0.066666666666666</v>
      </c>
      <c r="Q535" s="6">
        <v>0.123595505617977</v>
      </c>
      <c r="R535" s="6">
        <v>0.9864</v>
      </c>
      <c r="S535" s="6">
        <v>0.9864</v>
      </c>
      <c r="T535" s="6">
        <v>20.5333333333333</v>
      </c>
    </row>
    <row r="536">
      <c r="A536" s="5" t="s">
        <v>42</v>
      </c>
      <c r="B536" s="6" t="s">
        <v>556</v>
      </c>
      <c r="C536" s="7" t="s">
        <v>51</v>
      </c>
      <c r="D536" s="8" t="s">
        <v>571</v>
      </c>
      <c r="E536" s="9">
        <v>45510.0</v>
      </c>
      <c r="F536" s="6">
        <v>1.0</v>
      </c>
      <c r="G536" s="6">
        <v>1.0</v>
      </c>
      <c r="H536" s="6">
        <v>1.0</v>
      </c>
      <c r="I536" s="6">
        <v>1.0</v>
      </c>
      <c r="J536" s="6">
        <v>1.0</v>
      </c>
      <c r="K536" s="14">
        <v>0.619224965572357</v>
      </c>
      <c r="L536" s="14">
        <v>0.166892126202583</v>
      </c>
      <c r="M536" s="14">
        <v>-0.00504129752516746</v>
      </c>
      <c r="N536" s="11">
        <v>-0.0050411853</v>
      </c>
      <c r="O536" s="6">
        <f t="shared" si="1"/>
        <v>-0.0000001122251675</v>
      </c>
      <c r="P536" s="6">
        <v>0.04191616766467</v>
      </c>
      <c r="Q536" s="6">
        <v>0.019354838709677</v>
      </c>
      <c r="R536" s="6">
        <v>0.9953</v>
      </c>
      <c r="S536" s="6">
        <v>0.9953</v>
      </c>
      <c r="T536" s="6">
        <v>19.2799733865602</v>
      </c>
    </row>
    <row r="537">
      <c r="A537" s="5" t="s">
        <v>42</v>
      </c>
      <c r="B537" s="6" t="s">
        <v>556</v>
      </c>
      <c r="C537" s="7" t="s">
        <v>53</v>
      </c>
      <c r="D537" s="8" t="s">
        <v>572</v>
      </c>
      <c r="E537" s="9">
        <v>45510.0</v>
      </c>
      <c r="F537" s="6">
        <v>1.0</v>
      </c>
      <c r="G537" s="6">
        <v>1.0</v>
      </c>
      <c r="H537" s="6">
        <v>1.0</v>
      </c>
      <c r="I537" s="6">
        <v>1.0</v>
      </c>
      <c r="J537" s="6">
        <v>1.0</v>
      </c>
      <c r="K537" s="14">
        <v>0.620165765285491</v>
      </c>
      <c r="L537" s="14">
        <v>0.212551951408386</v>
      </c>
      <c r="M537" s="14">
        <v>-0.00528613850474357</v>
      </c>
      <c r="N537" s="11">
        <v>-0.00528606</v>
      </c>
      <c r="O537" s="6">
        <f t="shared" si="1"/>
        <v>-0.00000007850474357</v>
      </c>
      <c r="P537" s="6">
        <v>0.051020408163265</v>
      </c>
      <c r="Q537" s="6">
        <v>0.072916666666666</v>
      </c>
      <c r="R537" s="6">
        <v>0.9806</v>
      </c>
      <c r="S537" s="6">
        <v>0.9806</v>
      </c>
      <c r="T537" s="6">
        <v>20.0848979591837</v>
      </c>
    </row>
    <row r="538">
      <c r="A538" s="5" t="s">
        <v>42</v>
      </c>
      <c r="B538" s="6" t="s">
        <v>556</v>
      </c>
      <c r="C538" s="7" t="s">
        <v>55</v>
      </c>
      <c r="D538" s="8" t="s">
        <v>573</v>
      </c>
      <c r="E538" s="9">
        <v>45510.0</v>
      </c>
      <c r="F538" s="6">
        <v>1.0</v>
      </c>
      <c r="G538" s="6">
        <v>1.0</v>
      </c>
      <c r="H538" s="6">
        <v>1.0</v>
      </c>
      <c r="I538" s="6">
        <v>1.0</v>
      </c>
      <c r="J538" s="6">
        <v>1.0</v>
      </c>
      <c r="K538" s="14">
        <v>0.608820855617523</v>
      </c>
      <c r="L538" s="14">
        <v>0.134774163365364</v>
      </c>
      <c r="M538" s="14">
        <v>-0.0176493804901838</v>
      </c>
      <c r="N538" s="11">
        <v>-0.017649442</v>
      </c>
      <c r="O538" s="6">
        <f t="shared" si="1"/>
        <v>0.0000000615098162</v>
      </c>
      <c r="P538" s="6">
        <v>0.029556650246305</v>
      </c>
      <c r="Q538" s="6">
        <v>0.020100502512562</v>
      </c>
      <c r="R538" s="6">
        <v>0.9403</v>
      </c>
      <c r="S538" s="6">
        <v>0.9403</v>
      </c>
      <c r="T538" s="6">
        <v>24.7217196596507</v>
      </c>
    </row>
    <row r="539">
      <c r="A539" s="5" t="s">
        <v>42</v>
      </c>
      <c r="B539" s="6" t="s">
        <v>556</v>
      </c>
      <c r="C539" s="7" t="s">
        <v>57</v>
      </c>
      <c r="D539" s="8" t="s">
        <v>574</v>
      </c>
      <c r="E539" s="9">
        <v>45510.0</v>
      </c>
      <c r="F539" s="6">
        <v>1.0</v>
      </c>
      <c r="G539" s="6">
        <v>1.0</v>
      </c>
      <c r="H539" s="6">
        <v>1.0</v>
      </c>
      <c r="I539" s="6">
        <v>1.0</v>
      </c>
      <c r="J539" s="6">
        <v>1.0</v>
      </c>
      <c r="K539" s="14">
        <v>0.616031885147094</v>
      </c>
      <c r="L539" s="14">
        <v>0.159410372376441</v>
      </c>
      <c r="M539" s="14">
        <v>-0.055175669491291</v>
      </c>
      <c r="N539" s="11">
        <v>-0.055175673</v>
      </c>
      <c r="O539" s="6">
        <f t="shared" si="1"/>
        <v>0.000000003508709004</v>
      </c>
      <c r="P539" s="6">
        <v>0.03125</v>
      </c>
      <c r="Q539" s="6">
        <v>0.040983606557377</v>
      </c>
      <c r="R539" s="6">
        <v>0.9877</v>
      </c>
      <c r="S539" s="6">
        <v>0.9877</v>
      </c>
      <c r="T539" s="6">
        <v>18.5642857142857</v>
      </c>
    </row>
    <row r="540">
      <c r="A540" s="5" t="s">
        <v>42</v>
      </c>
      <c r="B540" s="6" t="s">
        <v>556</v>
      </c>
      <c r="C540" s="7" t="s">
        <v>59</v>
      </c>
      <c r="D540" s="8" t="s">
        <v>575</v>
      </c>
      <c r="E540" s="9">
        <v>45510.0</v>
      </c>
      <c r="F540" s="6">
        <v>1.0</v>
      </c>
      <c r="G540" s="6">
        <v>6.0</v>
      </c>
      <c r="H540" s="6">
        <v>1.0</v>
      </c>
      <c r="I540" s="6">
        <v>1.0</v>
      </c>
      <c r="J540" s="6">
        <v>1.0</v>
      </c>
      <c r="K540" s="14">
        <v>0.594078540802002</v>
      </c>
      <c r="L540" s="14">
        <v>0.146780833601951</v>
      </c>
      <c r="M540" s="14">
        <v>-0.0788376629352569</v>
      </c>
      <c r="N540" s="11">
        <v>-0.07883785</v>
      </c>
      <c r="O540" s="6">
        <f t="shared" si="1"/>
        <v>0.0000001870647431</v>
      </c>
      <c r="P540" s="6">
        <v>0.0390625</v>
      </c>
      <c r="Q540" s="6">
        <v>0.040650406504065</v>
      </c>
      <c r="R540" s="6">
        <v>0.9682</v>
      </c>
      <c r="S540" s="6">
        <v>0.9682</v>
      </c>
      <c r="T540" s="6">
        <v>21.0333333333333</v>
      </c>
    </row>
    <row r="541">
      <c r="A541" s="5" t="s">
        <v>42</v>
      </c>
      <c r="B541" s="6" t="s">
        <v>556</v>
      </c>
      <c r="C541" s="7" t="s">
        <v>61</v>
      </c>
      <c r="D541" s="8" t="s">
        <v>576</v>
      </c>
      <c r="E541" s="9">
        <v>45510.0</v>
      </c>
      <c r="F541" s="6">
        <v>1.0</v>
      </c>
      <c r="G541" s="6">
        <v>1.0</v>
      </c>
      <c r="H541" s="6">
        <v>1.0</v>
      </c>
      <c r="I541" s="6">
        <v>1.0</v>
      </c>
      <c r="J541" s="6">
        <v>1.0</v>
      </c>
      <c r="K541" s="14">
        <v>0.619965672492981</v>
      </c>
      <c r="L541" s="14">
        <v>0.170907229185104</v>
      </c>
      <c r="M541" s="14">
        <v>0.07117360830307</v>
      </c>
      <c r="N541" s="11">
        <v>0.071173616</v>
      </c>
      <c r="O541" s="6">
        <f t="shared" si="1"/>
        <v>-0.000000007696929996</v>
      </c>
      <c r="P541" s="6">
        <v>0.077922077922077</v>
      </c>
      <c r="Q541" s="6">
        <v>0.052631578947368</v>
      </c>
      <c r="R541" s="6">
        <v>0.9871</v>
      </c>
      <c r="S541" s="6">
        <v>0.9871</v>
      </c>
      <c r="T541" s="6">
        <v>20.1367965367965</v>
      </c>
    </row>
    <row r="542">
      <c r="A542" s="5" t="s">
        <v>63</v>
      </c>
      <c r="B542" s="6" t="s">
        <v>556</v>
      </c>
      <c r="C542" s="7" t="s">
        <v>64</v>
      </c>
      <c r="D542" s="8" t="s">
        <v>577</v>
      </c>
      <c r="E542" s="9">
        <v>45510.0</v>
      </c>
      <c r="F542" s="6">
        <v>1.0</v>
      </c>
      <c r="G542" s="6">
        <v>6.0</v>
      </c>
      <c r="H542" s="6">
        <v>1.0</v>
      </c>
      <c r="I542" s="6">
        <v>1.0</v>
      </c>
      <c r="J542" s="6">
        <v>1.0</v>
      </c>
      <c r="K542" s="14">
        <v>0.619037151336669</v>
      </c>
      <c r="L542" s="14">
        <v>0.143690466880798</v>
      </c>
      <c r="M542" s="14">
        <v>0.0793840587139129</v>
      </c>
      <c r="N542" s="11">
        <v>0.07938437</v>
      </c>
      <c r="O542" s="6">
        <f t="shared" si="1"/>
        <v>-0.0000003112860871</v>
      </c>
      <c r="P542" s="6">
        <v>0.067415730337078</v>
      </c>
      <c r="Q542" s="6">
        <v>0.029761904761904</v>
      </c>
      <c r="R542" s="6">
        <v>0.9855</v>
      </c>
      <c r="S542" s="6">
        <v>-0.9855</v>
      </c>
      <c r="T542" s="6">
        <v>16.7645443196005</v>
      </c>
    </row>
    <row r="543">
      <c r="A543" s="5" t="s">
        <v>63</v>
      </c>
      <c r="B543" s="6" t="s">
        <v>556</v>
      </c>
      <c r="C543" s="7" t="s">
        <v>66</v>
      </c>
      <c r="D543" s="8" t="s">
        <v>578</v>
      </c>
      <c r="E543" s="9">
        <v>45510.0</v>
      </c>
      <c r="F543" s="6">
        <v>1.0</v>
      </c>
      <c r="G543" s="6">
        <v>1.0</v>
      </c>
      <c r="H543" s="6">
        <v>1.0</v>
      </c>
      <c r="I543" s="6">
        <v>1.0</v>
      </c>
      <c r="J543" s="6">
        <v>1.0</v>
      </c>
      <c r="K543" s="14">
        <v>0.619526028633117</v>
      </c>
      <c r="L543" s="14">
        <v>0.150617763400077</v>
      </c>
      <c r="M543" s="14">
        <v>0.225805953145027</v>
      </c>
      <c r="N543" s="11">
        <v>0.22580591</v>
      </c>
      <c r="O543" s="6">
        <f t="shared" si="1"/>
        <v>0.000000043145027</v>
      </c>
      <c r="P543" s="6">
        <v>0.057142857142857</v>
      </c>
      <c r="Q543" s="6">
        <v>0.036585365853658</v>
      </c>
      <c r="R543" s="6">
        <v>0.5136</v>
      </c>
      <c r="S543" s="6">
        <v>0.5136</v>
      </c>
      <c r="T543" s="6">
        <v>20.7714285714286</v>
      </c>
    </row>
    <row r="544">
      <c r="A544" s="5" t="s">
        <v>63</v>
      </c>
      <c r="B544" s="6" t="s">
        <v>556</v>
      </c>
      <c r="C544" s="7" t="s">
        <v>68</v>
      </c>
      <c r="D544" s="8" t="s">
        <v>579</v>
      </c>
      <c r="E544" s="9">
        <v>45510.0</v>
      </c>
      <c r="F544" s="6">
        <v>1.0</v>
      </c>
      <c r="G544" s="6">
        <v>1.0</v>
      </c>
      <c r="H544" s="6">
        <v>1.0</v>
      </c>
      <c r="I544" s="6">
        <v>1.0</v>
      </c>
      <c r="J544" s="6">
        <v>1.0</v>
      </c>
      <c r="K544" s="14">
        <v>0.618839800357818</v>
      </c>
      <c r="L544" s="14">
        <v>0.160164400935173</v>
      </c>
      <c r="M544" s="14">
        <v>0.00278136506676673</v>
      </c>
      <c r="N544" s="11">
        <v>0.0027813655</v>
      </c>
      <c r="O544" s="6">
        <f t="shared" si="1"/>
        <v>-0.00000000043323327</v>
      </c>
      <c r="P544" s="6">
        <v>0.055944055944055</v>
      </c>
      <c r="Q544" s="6">
        <v>0.03731343283582</v>
      </c>
      <c r="R544" s="6">
        <v>0.953</v>
      </c>
      <c r="S544" s="6">
        <v>0.953</v>
      </c>
      <c r="T544" s="6">
        <v>19.2251748251748</v>
      </c>
    </row>
    <row r="545">
      <c r="A545" s="5" t="s">
        <v>63</v>
      </c>
      <c r="B545" s="6" t="s">
        <v>556</v>
      </c>
      <c r="C545" s="7" t="s">
        <v>70</v>
      </c>
      <c r="D545" s="8" t="s">
        <v>580</v>
      </c>
      <c r="E545" s="9">
        <v>45510.0</v>
      </c>
      <c r="F545" s="6">
        <v>1.0</v>
      </c>
      <c r="G545" s="6">
        <v>6.0</v>
      </c>
      <c r="H545" s="6">
        <v>1.0</v>
      </c>
      <c r="I545" s="6">
        <v>1.0</v>
      </c>
      <c r="J545" s="6">
        <v>1.0</v>
      </c>
      <c r="K545" s="14">
        <v>0.615013360977172</v>
      </c>
      <c r="L545" s="14">
        <v>0.181280434131622</v>
      </c>
      <c r="M545" s="14">
        <v>0.131917148828506</v>
      </c>
      <c r="N545" s="11">
        <v>0.13191709</v>
      </c>
      <c r="O545" s="6">
        <f t="shared" si="1"/>
        <v>0.00000005882850601</v>
      </c>
      <c r="P545" s="6">
        <v>0.014851485148514</v>
      </c>
      <c r="Q545" s="6">
        <v>0.026178010471204</v>
      </c>
      <c r="R545" s="6">
        <v>0.9963</v>
      </c>
      <c r="S545" s="6">
        <v>0.9963</v>
      </c>
      <c r="T545" s="6">
        <v>20.8322112211221</v>
      </c>
    </row>
    <row r="546">
      <c r="A546" s="5" t="s">
        <v>63</v>
      </c>
      <c r="B546" s="6" t="s">
        <v>556</v>
      </c>
      <c r="C546" s="7" t="s">
        <v>72</v>
      </c>
      <c r="D546" s="8" t="s">
        <v>581</v>
      </c>
      <c r="E546" s="9">
        <v>45510.0</v>
      </c>
      <c r="F546" s="6">
        <v>1.0</v>
      </c>
      <c r="G546" s="6">
        <v>6.0</v>
      </c>
      <c r="H546" s="6">
        <v>1.0</v>
      </c>
      <c r="I546" s="6">
        <v>1.0</v>
      </c>
      <c r="J546" s="6">
        <v>1.0</v>
      </c>
      <c r="K546" s="14">
        <v>0.628974020481109</v>
      </c>
      <c r="L546" s="14">
        <v>0.132233560085296</v>
      </c>
      <c r="M546" s="14">
        <v>0.297528773546218</v>
      </c>
      <c r="N546" s="11">
        <v>0.2975288</v>
      </c>
      <c r="O546" s="6">
        <f t="shared" si="1"/>
        <v>-0.000000026453782</v>
      </c>
      <c r="P546" s="6">
        <v>0.057851239669421</v>
      </c>
      <c r="Q546" s="6">
        <v>0.061403508771929</v>
      </c>
      <c r="R546" s="6">
        <v>0.9864</v>
      </c>
      <c r="S546" s="6">
        <v>0.9864</v>
      </c>
      <c r="T546" s="6">
        <v>16.9258953168044</v>
      </c>
    </row>
    <row r="547">
      <c r="A547" s="5" t="s">
        <v>63</v>
      </c>
      <c r="B547" s="6" t="s">
        <v>556</v>
      </c>
      <c r="C547" s="7" t="s">
        <v>74</v>
      </c>
      <c r="D547" s="8" t="s">
        <v>582</v>
      </c>
      <c r="E547" s="9">
        <v>45510.0</v>
      </c>
      <c r="F547" s="6">
        <v>1.0</v>
      </c>
      <c r="G547" s="6">
        <v>6.0</v>
      </c>
      <c r="H547" s="6">
        <v>1.0</v>
      </c>
      <c r="I547" s="6">
        <v>1.0</v>
      </c>
      <c r="J547" s="6">
        <v>1.0</v>
      </c>
      <c r="K547" s="14">
        <v>0.61910057067871</v>
      </c>
      <c r="L547" s="14">
        <v>0.15323257446289</v>
      </c>
      <c r="M547" s="14">
        <v>0.277830839157104</v>
      </c>
      <c r="N547" s="11">
        <v>0.2778308</v>
      </c>
      <c r="O547" s="6">
        <f t="shared" si="1"/>
        <v>0.000000039157104</v>
      </c>
      <c r="P547" s="6">
        <v>0.054878048780487</v>
      </c>
      <c r="Q547" s="6">
        <v>0.012738853503184</v>
      </c>
      <c r="R547" s="6">
        <v>0.9989</v>
      </c>
      <c r="S547" s="6">
        <v>0.9989</v>
      </c>
      <c r="T547" s="6">
        <v>22.0611973392461</v>
      </c>
    </row>
    <row r="548">
      <c r="A548" s="5" t="s">
        <v>63</v>
      </c>
      <c r="B548" s="6" t="s">
        <v>556</v>
      </c>
      <c r="C548" s="7" t="s">
        <v>76</v>
      </c>
      <c r="D548" s="8" t="s">
        <v>583</v>
      </c>
      <c r="E548" s="9">
        <v>45510.0</v>
      </c>
      <c r="F548" s="6">
        <v>1.0</v>
      </c>
      <c r="G548" s="6">
        <v>1.0</v>
      </c>
      <c r="H548" s="6">
        <v>1.0</v>
      </c>
      <c r="I548" s="6">
        <v>1.0</v>
      </c>
      <c r="J548" s="6">
        <v>1.0</v>
      </c>
      <c r="K548" s="14">
        <v>0.631959855556488</v>
      </c>
      <c r="L548" s="14">
        <v>0.164039030671119</v>
      </c>
      <c r="M548" s="14">
        <v>0.0831888914108276</v>
      </c>
      <c r="N548" s="11">
        <v>0.08318912</v>
      </c>
      <c r="O548" s="6">
        <f t="shared" si="1"/>
        <v>-0.0000002285891724</v>
      </c>
      <c r="P548" s="6">
        <v>0.004651162790697</v>
      </c>
      <c r="Q548" s="6">
        <v>0.014634146341463</v>
      </c>
      <c r="R548" s="6">
        <v>0.9981</v>
      </c>
      <c r="S548" s="6">
        <v>0.9981</v>
      </c>
      <c r="T548" s="6">
        <v>19.1837209302326</v>
      </c>
    </row>
    <row r="549">
      <c r="A549" s="5" t="s">
        <v>63</v>
      </c>
      <c r="B549" s="6" t="s">
        <v>556</v>
      </c>
      <c r="C549" s="7" t="s">
        <v>78</v>
      </c>
      <c r="D549" s="8" t="s">
        <v>584</v>
      </c>
      <c r="E549" s="9">
        <v>45510.0</v>
      </c>
      <c r="F549" s="6">
        <v>1.0</v>
      </c>
      <c r="G549" s="6">
        <v>1.0</v>
      </c>
      <c r="H549" s="6">
        <v>1.0</v>
      </c>
      <c r="I549" s="6">
        <v>1.0</v>
      </c>
      <c r="J549" s="6">
        <v>1.0</v>
      </c>
      <c r="K549" s="14">
        <v>0.634134411811828</v>
      </c>
      <c r="L549" s="14">
        <v>0.15140876173973</v>
      </c>
      <c r="M549" s="14">
        <v>0.198669150471687</v>
      </c>
      <c r="N549" s="11">
        <v>0.19866924</v>
      </c>
      <c r="O549" s="6">
        <f t="shared" si="1"/>
        <v>-0.00000008952831299</v>
      </c>
      <c r="P549" s="6">
        <v>0.00558659217877</v>
      </c>
      <c r="Q549" s="6">
        <v>0.017647058823529</v>
      </c>
      <c r="R549" s="6">
        <v>0.9979</v>
      </c>
      <c r="S549" s="6">
        <v>0.9979</v>
      </c>
      <c r="T549" s="6">
        <v>18.5532122905028</v>
      </c>
    </row>
    <row r="550">
      <c r="A550" s="5" t="s">
        <v>63</v>
      </c>
      <c r="B550" s="6" t="s">
        <v>556</v>
      </c>
      <c r="C550" s="7" t="s">
        <v>80</v>
      </c>
      <c r="D550" s="8" t="s">
        <v>585</v>
      </c>
      <c r="E550" s="9">
        <v>45510.0</v>
      </c>
      <c r="F550" s="6">
        <v>1.0</v>
      </c>
      <c r="G550" s="6">
        <v>6.0</v>
      </c>
      <c r="H550" s="6">
        <v>1.0</v>
      </c>
      <c r="I550" s="6">
        <v>1.0</v>
      </c>
      <c r="J550" s="6">
        <v>1.0</v>
      </c>
      <c r="K550" s="14">
        <v>0.614478826522827</v>
      </c>
      <c r="L550" s="14">
        <v>0.156594097614288</v>
      </c>
      <c r="M550" s="14">
        <v>0.104775547981262</v>
      </c>
      <c r="N550" s="11">
        <v>0.10477555</v>
      </c>
      <c r="O550" s="6">
        <f t="shared" si="1"/>
        <v>-0.000000002018737996</v>
      </c>
      <c r="P550" s="6">
        <v>0.058510638297872</v>
      </c>
      <c r="Q550" s="6">
        <v>0.017142857142857</v>
      </c>
      <c r="R550" s="6">
        <v>0.9428</v>
      </c>
      <c r="S550" s="6">
        <v>0.9428</v>
      </c>
      <c r="T550" s="6">
        <v>17.7792907801418</v>
      </c>
    </row>
    <row r="551">
      <c r="A551" s="5" t="s">
        <v>63</v>
      </c>
      <c r="B551" s="6" t="s">
        <v>556</v>
      </c>
      <c r="C551" s="7" t="s">
        <v>82</v>
      </c>
      <c r="D551" s="8" t="s">
        <v>586</v>
      </c>
      <c r="E551" s="9">
        <v>45510.0</v>
      </c>
      <c r="F551" s="6">
        <v>1.0</v>
      </c>
      <c r="G551" s="6">
        <v>1.0</v>
      </c>
      <c r="H551" s="6">
        <v>1.0</v>
      </c>
      <c r="I551" s="6">
        <v>1.0</v>
      </c>
      <c r="J551" s="6">
        <v>1.0</v>
      </c>
      <c r="K551" s="14">
        <v>0.615682542324066</v>
      </c>
      <c r="L551" s="14">
        <v>0.180167615413665</v>
      </c>
      <c r="M551" s="14">
        <v>0.0965420305728912</v>
      </c>
      <c r="N551" s="11">
        <v>0.09654208</v>
      </c>
      <c r="O551" s="6">
        <f t="shared" si="1"/>
        <v>-0.00000004942710881</v>
      </c>
      <c r="P551" s="6">
        <v>0.06043956043956</v>
      </c>
      <c r="Q551" s="6">
        <v>0.017045454545454</v>
      </c>
      <c r="R551" s="6">
        <v>0.9517</v>
      </c>
      <c r="S551" s="6">
        <v>0.9517</v>
      </c>
      <c r="T551" s="6">
        <v>20.4668131868132</v>
      </c>
    </row>
    <row r="552">
      <c r="A552" s="5" t="s">
        <v>84</v>
      </c>
      <c r="B552" s="6" t="s">
        <v>556</v>
      </c>
      <c r="C552" s="7" t="s">
        <v>85</v>
      </c>
      <c r="D552" s="8" t="s">
        <v>587</v>
      </c>
      <c r="E552" s="9">
        <v>45510.0</v>
      </c>
      <c r="F552" s="6">
        <v>1.0</v>
      </c>
      <c r="G552" s="6">
        <v>1.0</v>
      </c>
      <c r="H552" s="6">
        <v>1.0</v>
      </c>
      <c r="I552" s="6">
        <v>1.0</v>
      </c>
      <c r="J552" s="6">
        <v>1.0</v>
      </c>
      <c r="K552" s="14">
        <v>0.608600556850433</v>
      </c>
      <c r="L552" s="14">
        <v>0.149837002158164</v>
      </c>
      <c r="M552" s="14">
        <v>0.13457253575325</v>
      </c>
      <c r="N552" s="11">
        <v>0.13457246</v>
      </c>
      <c r="O552" s="6">
        <f t="shared" si="1"/>
        <v>0.00000007575325001</v>
      </c>
      <c r="P552" s="6">
        <v>0.0</v>
      </c>
      <c r="Q552" s="6">
        <v>0.022727272727272</v>
      </c>
      <c r="R552" s="6">
        <v>0.9896</v>
      </c>
      <c r="S552" s="6">
        <v>0.9896</v>
      </c>
      <c r="T552" s="6">
        <v>25.5555555555556</v>
      </c>
    </row>
    <row r="553">
      <c r="A553" s="5" t="s">
        <v>84</v>
      </c>
      <c r="B553" s="6" t="s">
        <v>556</v>
      </c>
      <c r="C553" s="7" t="s">
        <v>87</v>
      </c>
      <c r="D553" s="8" t="s">
        <v>588</v>
      </c>
      <c r="E553" s="9">
        <v>45510.0</v>
      </c>
      <c r="F553" s="6">
        <v>1.0</v>
      </c>
      <c r="G553" s="6">
        <v>1.0</v>
      </c>
      <c r="H553" s="6">
        <v>1.0</v>
      </c>
      <c r="I553" s="6">
        <v>1.0</v>
      </c>
      <c r="J553" s="6">
        <v>1.0</v>
      </c>
      <c r="K553" s="14">
        <v>0.617489516735076</v>
      </c>
      <c r="L553" s="14">
        <v>0.16405464708805</v>
      </c>
      <c r="M553" s="14">
        <v>0.0733211636543273</v>
      </c>
      <c r="N553" s="11">
        <v>0.073321216</v>
      </c>
      <c r="O553" s="6">
        <f t="shared" si="1"/>
        <v>-0.0000000523456727</v>
      </c>
      <c r="P553" s="6">
        <v>0.059701492537313</v>
      </c>
      <c r="Q553" s="6">
        <v>0.046153846153846</v>
      </c>
      <c r="R553" s="6">
        <v>0.1744</v>
      </c>
      <c r="S553" s="6">
        <v>-0.1744</v>
      </c>
      <c r="T553" s="6">
        <v>20.4313432835821</v>
      </c>
    </row>
    <row r="554">
      <c r="A554" s="5" t="s">
        <v>84</v>
      </c>
      <c r="B554" s="6" t="s">
        <v>556</v>
      </c>
      <c r="C554" s="7" t="s">
        <v>89</v>
      </c>
      <c r="D554" s="8" t="s">
        <v>589</v>
      </c>
      <c r="E554" s="9">
        <v>45510.0</v>
      </c>
      <c r="F554" s="6">
        <v>1.0</v>
      </c>
      <c r="G554" s="6">
        <v>1.0</v>
      </c>
      <c r="H554" s="6">
        <v>1.0</v>
      </c>
      <c r="I554" s="6">
        <v>1.0</v>
      </c>
      <c r="J554" s="6">
        <v>1.0</v>
      </c>
      <c r="K554" s="14">
        <v>0.617503941059112</v>
      </c>
      <c r="L554" s="14">
        <v>0.160500228404998</v>
      </c>
      <c r="M554" s="14">
        <v>0.145460560917854</v>
      </c>
      <c r="N554" s="11">
        <v>0.14546074</v>
      </c>
      <c r="O554" s="6">
        <f t="shared" si="1"/>
        <v>-0.000000179082146</v>
      </c>
      <c r="P554" s="6">
        <v>0.041666666666666</v>
      </c>
      <c r="Q554" s="6">
        <v>0.029411764705882</v>
      </c>
      <c r="R554" s="6">
        <v>0.9666</v>
      </c>
      <c r="S554" s="6">
        <v>0.9666</v>
      </c>
      <c r="T554" s="6">
        <v>24.4222222222222</v>
      </c>
    </row>
    <row r="555">
      <c r="A555" s="5" t="s">
        <v>84</v>
      </c>
      <c r="B555" s="6" t="s">
        <v>556</v>
      </c>
      <c r="C555" s="7" t="s">
        <v>91</v>
      </c>
      <c r="D555" s="8" t="s">
        <v>590</v>
      </c>
      <c r="E555" s="9">
        <v>45510.0</v>
      </c>
      <c r="F555" s="6">
        <v>1.0</v>
      </c>
      <c r="G555" s="6">
        <v>1.0</v>
      </c>
      <c r="H555" s="6">
        <v>1.0</v>
      </c>
      <c r="I555" s="6">
        <v>1.0</v>
      </c>
      <c r="J555" s="6">
        <v>1.0</v>
      </c>
      <c r="K555" s="14">
        <v>0.618543088436126</v>
      </c>
      <c r="L555" s="14">
        <v>0.16513392329216</v>
      </c>
      <c r="M555" s="14">
        <v>0.10354845225811</v>
      </c>
      <c r="N555" s="11">
        <v>0.10354864</v>
      </c>
      <c r="O555" s="6">
        <f t="shared" si="1"/>
        <v>-0.00000018774189</v>
      </c>
      <c r="P555" s="6">
        <v>0.029411764705882</v>
      </c>
      <c r="Q555" s="6">
        <v>0.03030303030303</v>
      </c>
      <c r="R555" s="6">
        <v>0.9442</v>
      </c>
      <c r="S555" s="6">
        <v>0.9442</v>
      </c>
      <c r="T555" s="6">
        <v>26.7137254901961</v>
      </c>
    </row>
    <row r="556">
      <c r="A556" s="5" t="s">
        <v>84</v>
      </c>
      <c r="B556" s="6" t="s">
        <v>556</v>
      </c>
      <c r="C556" s="7" t="s">
        <v>93</v>
      </c>
      <c r="D556" s="8" t="s">
        <v>591</v>
      </c>
      <c r="E556" s="9">
        <v>45510.0</v>
      </c>
      <c r="F556" s="6">
        <v>1.0</v>
      </c>
      <c r="G556" s="6">
        <v>1.0</v>
      </c>
      <c r="H556" s="6">
        <v>1.0</v>
      </c>
      <c r="I556" s="6">
        <v>1.0</v>
      </c>
      <c r="J556" s="6">
        <v>1.0</v>
      </c>
      <c r="K556" s="14">
        <v>0.617600858211517</v>
      </c>
      <c r="L556" s="14">
        <v>0.166178077459335</v>
      </c>
      <c r="M556" s="14">
        <v>0.156576424837112</v>
      </c>
      <c r="N556" s="11">
        <v>0.15657635</v>
      </c>
      <c r="O556" s="6">
        <f t="shared" si="1"/>
        <v>0.00000007483711201</v>
      </c>
      <c r="P556" s="6">
        <v>0.072916666666666</v>
      </c>
      <c r="Q556" s="6">
        <v>0.054347826086956</v>
      </c>
      <c r="R556" s="6">
        <v>0.9793</v>
      </c>
      <c r="S556" s="6">
        <v>0.9793</v>
      </c>
      <c r="T556" s="6">
        <v>21.0133333333333</v>
      </c>
    </row>
    <row r="557">
      <c r="A557" s="5" t="s">
        <v>84</v>
      </c>
      <c r="B557" s="6" t="s">
        <v>556</v>
      </c>
      <c r="C557" s="7" t="s">
        <v>95</v>
      </c>
      <c r="D557" s="8" t="s">
        <v>592</v>
      </c>
      <c r="E557" s="9">
        <v>45510.0</v>
      </c>
      <c r="F557" s="6">
        <v>1.0</v>
      </c>
      <c r="G557" s="6">
        <v>1.0</v>
      </c>
      <c r="H557" s="6">
        <v>1.0</v>
      </c>
      <c r="I557" s="6">
        <v>1.0</v>
      </c>
      <c r="J557" s="6">
        <v>1.0</v>
      </c>
      <c r="K557" s="14">
        <v>0.62517112493515</v>
      </c>
      <c r="L557" s="14">
        <v>0.17686142027378</v>
      </c>
      <c r="M557" s="14">
        <v>-0.0188672393560409</v>
      </c>
      <c r="N557" s="11">
        <v>-0.018867033</v>
      </c>
      <c r="O557" s="6">
        <f t="shared" si="1"/>
        <v>-0.0000002063560409</v>
      </c>
      <c r="P557" s="6">
        <v>0.054347826086956</v>
      </c>
      <c r="Q557" s="6">
        <v>0.055555555555555</v>
      </c>
      <c r="R557" s="6">
        <v>0.6705</v>
      </c>
      <c r="S557" s="6">
        <v>0.6705</v>
      </c>
      <c r="T557" s="6">
        <v>20.8382608695652</v>
      </c>
    </row>
    <row r="558">
      <c r="A558" s="5" t="s">
        <v>84</v>
      </c>
      <c r="B558" s="6" t="s">
        <v>556</v>
      </c>
      <c r="C558" s="7" t="s">
        <v>97</v>
      </c>
      <c r="D558" s="8" t="s">
        <v>593</v>
      </c>
      <c r="E558" s="9">
        <v>45510.0</v>
      </c>
      <c r="F558" s="6">
        <v>1.0</v>
      </c>
      <c r="G558" s="6">
        <v>1.0</v>
      </c>
      <c r="H558" s="6">
        <v>1.0</v>
      </c>
      <c r="I558" s="6">
        <v>1.0</v>
      </c>
      <c r="J558" s="6">
        <v>1.0</v>
      </c>
      <c r="K558" s="14">
        <v>0.613109767436981</v>
      </c>
      <c r="L558" s="14">
        <v>0.140404537320137</v>
      </c>
      <c r="M558" s="14">
        <v>0.142039120197296</v>
      </c>
      <c r="N558" s="11">
        <v>0.14203899</v>
      </c>
      <c r="O558" s="6">
        <f t="shared" si="1"/>
        <v>0.000000130197296</v>
      </c>
      <c r="P558" s="6">
        <v>0.065040650406504</v>
      </c>
      <c r="Q558" s="6">
        <v>0.042372881355932</v>
      </c>
      <c r="R558" s="6">
        <v>0.9136</v>
      </c>
      <c r="S558" s="6">
        <v>0.9136</v>
      </c>
      <c r="T558" s="6">
        <v>22.3131242740999</v>
      </c>
    </row>
    <row r="559">
      <c r="A559" s="5" t="s">
        <v>84</v>
      </c>
      <c r="B559" s="6" t="s">
        <v>556</v>
      </c>
      <c r="C559" s="7" t="s">
        <v>99</v>
      </c>
      <c r="D559" s="8" t="s">
        <v>594</v>
      </c>
      <c r="E559" s="9">
        <v>45510.0</v>
      </c>
      <c r="F559" s="6">
        <v>1.0</v>
      </c>
      <c r="G559" s="6">
        <v>1.0</v>
      </c>
      <c r="H559" s="6">
        <v>1.0</v>
      </c>
      <c r="I559" s="6">
        <v>1.0</v>
      </c>
      <c r="J559" s="6">
        <v>1.0</v>
      </c>
      <c r="K559" s="14">
        <v>0.610808670520782</v>
      </c>
      <c r="L559" s="14">
        <v>0.135599911212921</v>
      </c>
      <c r="M559" s="14">
        <v>-0.0321699082851409</v>
      </c>
      <c r="N559" s="11">
        <v>-0.03216985</v>
      </c>
      <c r="O559" s="6">
        <f t="shared" si="1"/>
        <v>-0.0000000582851409</v>
      </c>
      <c r="P559" s="6">
        <v>0.044943820224719</v>
      </c>
      <c r="Q559" s="6">
        <v>0.018181818181818</v>
      </c>
      <c r="R559" s="6">
        <v>0.9948</v>
      </c>
      <c r="S559" s="6">
        <v>0.9948</v>
      </c>
      <c r="T559" s="6">
        <v>21.3039325842697</v>
      </c>
    </row>
    <row r="560">
      <c r="A560" s="5" t="s">
        <v>84</v>
      </c>
      <c r="B560" s="6" t="s">
        <v>556</v>
      </c>
      <c r="C560" s="7" t="s">
        <v>101</v>
      </c>
      <c r="D560" s="8" t="s">
        <v>595</v>
      </c>
      <c r="E560" s="9">
        <v>45510.0</v>
      </c>
      <c r="F560" s="6">
        <v>1.0</v>
      </c>
      <c r="G560" s="6">
        <v>1.0</v>
      </c>
      <c r="H560" s="6">
        <v>1.0</v>
      </c>
      <c r="I560" s="6">
        <v>1.0</v>
      </c>
      <c r="J560" s="6">
        <v>1.0</v>
      </c>
      <c r="K560" s="14">
        <v>0.615975677967071</v>
      </c>
      <c r="L560" s="14">
        <v>0.145874693989753</v>
      </c>
      <c r="M560" s="14">
        <v>0.2382333278656</v>
      </c>
      <c r="N560" s="11">
        <v>0.2382332</v>
      </c>
      <c r="O560" s="6">
        <f t="shared" si="1"/>
        <v>0.0000001278656</v>
      </c>
      <c r="P560" s="6">
        <v>0.053191489361702</v>
      </c>
      <c r="Q560" s="6">
        <v>0.039325842696629</v>
      </c>
      <c r="R560" s="6">
        <v>0.9887</v>
      </c>
      <c r="S560" s="6">
        <v>-0.9887</v>
      </c>
      <c r="T560" s="6">
        <v>20.3324822695036</v>
      </c>
    </row>
    <row r="561">
      <c r="A561" s="5" t="s">
        <v>84</v>
      </c>
      <c r="B561" s="6" t="s">
        <v>556</v>
      </c>
      <c r="C561" s="7" t="s">
        <v>103</v>
      </c>
      <c r="D561" s="8" t="s">
        <v>596</v>
      </c>
      <c r="E561" s="9">
        <v>45510.0</v>
      </c>
      <c r="F561" s="6">
        <v>1.0</v>
      </c>
      <c r="G561" s="6">
        <v>1.0</v>
      </c>
      <c r="H561" s="6">
        <v>7.0</v>
      </c>
      <c r="I561" s="6">
        <v>1.0</v>
      </c>
      <c r="J561" s="6">
        <v>1.0</v>
      </c>
      <c r="K561" s="14">
        <v>0.628308653831481</v>
      </c>
      <c r="L561" s="14">
        <v>0.18642945587635</v>
      </c>
      <c r="M561" s="14">
        <v>0.137194484472274</v>
      </c>
      <c r="N561" s="11">
        <v>0.13719441</v>
      </c>
      <c r="O561" s="6">
        <f t="shared" si="1"/>
        <v>0.00000007447227401</v>
      </c>
      <c r="P561" s="6">
        <v>0.042857142857142</v>
      </c>
      <c r="Q561" s="6">
        <v>0.015306122448979</v>
      </c>
      <c r="R561" s="6">
        <v>0.9948</v>
      </c>
      <c r="S561" s="6">
        <v>0.9948</v>
      </c>
      <c r="T561" s="6">
        <v>19.2268907563025</v>
      </c>
    </row>
    <row r="562">
      <c r="A562" s="5" t="s">
        <v>20</v>
      </c>
      <c r="B562" s="17" t="s">
        <v>597</v>
      </c>
      <c r="C562" s="7" t="s">
        <v>22</v>
      </c>
      <c r="D562" s="8" t="s">
        <v>598</v>
      </c>
      <c r="E562" s="18">
        <v>45517.0</v>
      </c>
      <c r="F562" s="6">
        <v>1.0</v>
      </c>
      <c r="G562" s="6">
        <v>1.0</v>
      </c>
      <c r="H562" s="6">
        <v>1.0</v>
      </c>
      <c r="I562" s="6">
        <v>1.0</v>
      </c>
      <c r="J562" s="6">
        <v>8.0</v>
      </c>
      <c r="K562" s="10">
        <v>0.63972407579422</v>
      </c>
      <c r="L562" s="10">
        <v>0.197989627718925</v>
      </c>
      <c r="M562" s="10">
        <v>0.110575251281261</v>
      </c>
      <c r="N562" s="11">
        <v>0.110574976</v>
      </c>
      <c r="O562" s="6">
        <f t="shared" si="1"/>
        <v>0.000000275281261</v>
      </c>
      <c r="P562" s="6">
        <v>0.038461538461538</v>
      </c>
      <c r="Q562" s="6">
        <v>0.17391304347826</v>
      </c>
      <c r="R562" s="6">
        <v>0.9294</v>
      </c>
      <c r="S562" s="6">
        <v>0.9294</v>
      </c>
      <c r="T562" s="6">
        <v>9.77230769230769</v>
      </c>
    </row>
    <row r="563">
      <c r="A563" s="5" t="s">
        <v>20</v>
      </c>
      <c r="B563" s="17" t="s">
        <v>597</v>
      </c>
      <c r="C563" s="7" t="s">
        <v>24</v>
      </c>
      <c r="D563" s="8" t="s">
        <v>599</v>
      </c>
      <c r="E563" s="18">
        <v>45517.0</v>
      </c>
      <c r="F563" s="6">
        <v>1.0</v>
      </c>
      <c r="G563" s="6">
        <v>1.0</v>
      </c>
      <c r="H563" s="6">
        <v>1.0</v>
      </c>
      <c r="I563" s="6">
        <v>5.0</v>
      </c>
      <c r="J563" s="6">
        <v>1.0</v>
      </c>
      <c r="K563" s="10">
        <v>0.634372234344482</v>
      </c>
      <c r="L563" s="10">
        <v>0.186542674899101</v>
      </c>
      <c r="M563" s="10">
        <v>0.104075483977794</v>
      </c>
      <c r="N563" s="11">
        <v>0.104075275</v>
      </c>
      <c r="O563" s="6">
        <f t="shared" si="1"/>
        <v>0.000000208977794</v>
      </c>
      <c r="P563" s="6">
        <v>0.044444444444444</v>
      </c>
      <c r="Q563" s="6">
        <v>0.095238095238095</v>
      </c>
      <c r="R563" s="6">
        <v>0.9868</v>
      </c>
      <c r="S563" s="6">
        <v>0.9868</v>
      </c>
      <c r="T563" s="6">
        <v>16.9444444444444</v>
      </c>
    </row>
    <row r="564">
      <c r="A564" s="5" t="s">
        <v>20</v>
      </c>
      <c r="B564" s="17" t="s">
        <v>597</v>
      </c>
      <c r="C564" s="7" t="s">
        <v>26</v>
      </c>
      <c r="D564" s="8" t="s">
        <v>600</v>
      </c>
      <c r="E564" s="18">
        <v>45517.0</v>
      </c>
      <c r="F564" s="6">
        <v>5.0</v>
      </c>
      <c r="G564" s="6">
        <v>1.0</v>
      </c>
      <c r="H564" s="6">
        <v>1.0</v>
      </c>
      <c r="I564" s="6">
        <v>7.0</v>
      </c>
      <c r="J564" s="6">
        <v>8.0</v>
      </c>
      <c r="K564" s="10">
        <v>0.618803322315216</v>
      </c>
      <c r="L564" s="10">
        <v>0.186555176973342</v>
      </c>
      <c r="M564" s="10">
        <v>0.080085888504982</v>
      </c>
      <c r="N564" s="11">
        <v>0.08008574</v>
      </c>
      <c r="O564" s="6">
        <f t="shared" si="1"/>
        <v>0.000000148504982</v>
      </c>
      <c r="P564" s="6">
        <v>0.053571428571428</v>
      </c>
      <c r="Q564" s="6">
        <v>0.111111111111111</v>
      </c>
      <c r="R564" s="6">
        <v>0.9828</v>
      </c>
      <c r="S564" s="6">
        <v>0.9828</v>
      </c>
      <c r="T564" s="6">
        <v>18.0514285714286</v>
      </c>
    </row>
    <row r="565">
      <c r="A565" s="5" t="s">
        <v>20</v>
      </c>
      <c r="B565" s="17" t="s">
        <v>597</v>
      </c>
      <c r="C565" s="7" t="s">
        <v>28</v>
      </c>
      <c r="D565" s="8" t="s">
        <v>601</v>
      </c>
      <c r="E565" s="18">
        <v>45517.0</v>
      </c>
      <c r="F565" s="6">
        <v>1.0</v>
      </c>
      <c r="G565" s="6">
        <v>1.0</v>
      </c>
      <c r="H565" s="6">
        <v>1.0</v>
      </c>
      <c r="I565" s="6">
        <v>5.0</v>
      </c>
      <c r="J565" s="6">
        <v>8.0</v>
      </c>
      <c r="K565" s="10">
        <v>0.642128944396972</v>
      </c>
      <c r="L565" s="10">
        <v>0.17435136437416</v>
      </c>
      <c r="M565" s="10">
        <v>0.069460317492485</v>
      </c>
      <c r="N565" s="11">
        <v>0.06946019</v>
      </c>
      <c r="O565" s="6">
        <f t="shared" si="1"/>
        <v>0.000000127492485</v>
      </c>
      <c r="P565" s="6">
        <v>0.026315789473684</v>
      </c>
      <c r="Q565" s="6">
        <v>0.111111111111111</v>
      </c>
      <c r="R565" s="6">
        <v>0.9672</v>
      </c>
      <c r="S565" s="6">
        <v>0.9672</v>
      </c>
      <c r="T565" s="6">
        <v>15.3789473684211</v>
      </c>
    </row>
    <row r="566">
      <c r="A566" s="5" t="s">
        <v>20</v>
      </c>
      <c r="B566" s="17" t="s">
        <v>597</v>
      </c>
      <c r="C566" s="7" t="s">
        <v>30</v>
      </c>
      <c r="D566" s="8" t="s">
        <v>602</v>
      </c>
      <c r="E566" s="18">
        <v>45517.0</v>
      </c>
      <c r="F566" s="6">
        <v>5.0</v>
      </c>
      <c r="G566" s="6">
        <v>1.0</v>
      </c>
      <c r="H566" s="6">
        <v>1.0</v>
      </c>
      <c r="I566" s="6">
        <v>7.0</v>
      </c>
      <c r="J566" s="6">
        <v>8.0</v>
      </c>
      <c r="K566" s="10">
        <v>0.617928683757782</v>
      </c>
      <c r="L566" s="10">
        <v>0.161664500832557</v>
      </c>
      <c r="M566" s="10">
        <v>-0.0434048846364021</v>
      </c>
      <c r="N566" s="11">
        <v>-0.0434048</v>
      </c>
      <c r="O566" s="6">
        <f t="shared" si="1"/>
        <v>-0.0000000846364021</v>
      </c>
      <c r="P566" s="6">
        <v>0.042553191489361</v>
      </c>
      <c r="Q566" s="6">
        <v>0.111111111111111</v>
      </c>
      <c r="R566" s="6">
        <v>0.9737</v>
      </c>
      <c r="S566" s="6">
        <v>0.9737</v>
      </c>
      <c r="T566" s="6">
        <v>17.3770212765957</v>
      </c>
    </row>
    <row r="567">
      <c r="A567" s="5" t="s">
        <v>20</v>
      </c>
      <c r="B567" s="17" t="s">
        <v>597</v>
      </c>
      <c r="C567" s="7" t="s">
        <v>32</v>
      </c>
      <c r="D567" s="31" t="s">
        <v>603</v>
      </c>
      <c r="E567" s="18">
        <v>45517.0</v>
      </c>
      <c r="F567" s="6">
        <v>1.0</v>
      </c>
      <c r="G567" s="6">
        <v>1.0</v>
      </c>
      <c r="H567" s="6">
        <v>1.0</v>
      </c>
      <c r="I567" s="6">
        <v>1.0</v>
      </c>
      <c r="J567" s="6">
        <v>1.0</v>
      </c>
      <c r="K567" s="14">
        <v>0.591057837009429</v>
      </c>
      <c r="L567" s="14">
        <v>0.144330903887748</v>
      </c>
      <c r="M567" s="14">
        <v>-0.080764003098011</v>
      </c>
      <c r="N567" s="11">
        <v>-0.080763824</v>
      </c>
      <c r="O567" s="6">
        <f t="shared" si="1"/>
        <v>-0.000000179098011</v>
      </c>
      <c r="P567" s="19">
        <v>0.019607843137254</v>
      </c>
      <c r="Q567" s="6">
        <v>0.166666666666666</v>
      </c>
      <c r="R567" s="6">
        <v>0.9161</v>
      </c>
      <c r="S567" s="6">
        <v>0.9161</v>
      </c>
      <c r="T567" s="6">
        <v>14.5117647058823</v>
      </c>
    </row>
    <row r="568">
      <c r="A568" s="5" t="s">
        <v>20</v>
      </c>
      <c r="B568" s="17" t="s">
        <v>597</v>
      </c>
      <c r="C568" s="7" t="s">
        <v>34</v>
      </c>
      <c r="D568" s="8" t="s">
        <v>604</v>
      </c>
      <c r="E568" s="18">
        <v>45517.0</v>
      </c>
      <c r="F568" s="6">
        <v>5.0</v>
      </c>
      <c r="G568" s="6">
        <v>1.0</v>
      </c>
      <c r="H568" s="6">
        <v>1.0</v>
      </c>
      <c r="I568" s="6">
        <v>5.0</v>
      </c>
      <c r="J568" s="6">
        <v>8.0</v>
      </c>
      <c r="K568" s="10">
        <v>0.601384937763214</v>
      </c>
      <c r="L568" s="10">
        <v>0.135398551821708</v>
      </c>
      <c r="M568" s="10">
        <v>-0.00178263336420059</v>
      </c>
      <c r="N568" s="11">
        <v>-0.0017827149</v>
      </c>
      <c r="O568" s="6">
        <f t="shared" si="1"/>
        <v>0.00000008153579941</v>
      </c>
      <c r="P568" s="6">
        <v>0.044444444444444</v>
      </c>
      <c r="Q568" s="6">
        <v>0.093023255813953</v>
      </c>
      <c r="R568" s="6">
        <v>0.9702</v>
      </c>
      <c r="S568" s="6">
        <v>0.9702</v>
      </c>
      <c r="T568" s="6">
        <v>16.0555555555556</v>
      </c>
    </row>
    <row r="569">
      <c r="A569" s="5" t="s">
        <v>20</v>
      </c>
      <c r="B569" s="17" t="s">
        <v>597</v>
      </c>
      <c r="C569" s="7" t="s">
        <v>36</v>
      </c>
      <c r="D569" s="8" t="s">
        <v>605</v>
      </c>
      <c r="E569" s="18">
        <v>45517.0</v>
      </c>
      <c r="F569" s="6">
        <v>5.0</v>
      </c>
      <c r="G569" s="6">
        <v>1.0</v>
      </c>
      <c r="H569" s="6">
        <v>1.0</v>
      </c>
      <c r="I569" s="6">
        <v>1.0</v>
      </c>
      <c r="J569" s="6">
        <v>1.0</v>
      </c>
      <c r="K569" s="10">
        <v>0.616881251335144</v>
      </c>
      <c r="L569" s="10">
        <v>0.179801255464553</v>
      </c>
      <c r="M569" s="10">
        <v>-0.107266649603843</v>
      </c>
      <c r="N569" s="11">
        <v>-0.10726668</v>
      </c>
      <c r="O569" s="6">
        <f t="shared" si="1"/>
        <v>0.00000003039615701</v>
      </c>
      <c r="P569" s="6">
        <v>0.051724137931034</v>
      </c>
      <c r="Q569" s="6">
        <v>0.072727272727272</v>
      </c>
      <c r="R569" s="6">
        <v>0.9692</v>
      </c>
      <c r="S569" s="6">
        <v>0.9692</v>
      </c>
      <c r="T569" s="6">
        <v>17.0537931034483</v>
      </c>
    </row>
    <row r="570">
      <c r="A570" s="5" t="s">
        <v>20</v>
      </c>
      <c r="B570" s="17" t="s">
        <v>597</v>
      </c>
      <c r="C570" s="7" t="s">
        <v>38</v>
      </c>
      <c r="D570" s="8" t="s">
        <v>606</v>
      </c>
      <c r="E570" s="18">
        <v>45517.0</v>
      </c>
      <c r="F570" s="6">
        <v>3.0</v>
      </c>
      <c r="G570" s="6">
        <v>1.0</v>
      </c>
      <c r="H570" s="6">
        <v>1.0</v>
      </c>
      <c r="I570" s="6">
        <v>1.0</v>
      </c>
      <c r="J570" s="6">
        <v>8.0</v>
      </c>
      <c r="K570" s="10">
        <v>0.629680216312408</v>
      </c>
      <c r="L570" s="10">
        <v>0.164949566125869</v>
      </c>
      <c r="M570" s="10">
        <v>-0.244044959545135</v>
      </c>
      <c r="N570" s="11">
        <v>-0.24404491</v>
      </c>
      <c r="O570" s="6">
        <f t="shared" si="1"/>
        <v>-0.00000004954513499</v>
      </c>
      <c r="P570" s="6">
        <v>0.019230769230769</v>
      </c>
      <c r="Q570" s="6">
        <v>0.1</v>
      </c>
      <c r="R570" s="6">
        <v>0.952</v>
      </c>
      <c r="S570" s="6">
        <v>0.952</v>
      </c>
      <c r="T570" s="6">
        <v>13.3907692307692</v>
      </c>
    </row>
    <row r="571">
      <c r="A571" s="5" t="s">
        <v>20</v>
      </c>
      <c r="B571" s="17" t="s">
        <v>597</v>
      </c>
      <c r="C571" s="7" t="s">
        <v>40</v>
      </c>
      <c r="D571" s="8" t="s">
        <v>607</v>
      </c>
      <c r="E571" s="18">
        <v>45517.0</v>
      </c>
      <c r="F571" s="6">
        <v>1.0</v>
      </c>
      <c r="G571" s="6">
        <v>1.0</v>
      </c>
      <c r="H571" s="6">
        <v>1.0</v>
      </c>
      <c r="I571" s="6">
        <v>1.0</v>
      </c>
      <c r="J571" s="6">
        <v>8.0</v>
      </c>
      <c r="K571" s="10">
        <v>0.634421527385711</v>
      </c>
      <c r="L571" s="10">
        <v>0.178733691573143</v>
      </c>
      <c r="M571" s="10">
        <v>-0.00166305527091026</v>
      </c>
      <c r="N571" s="11">
        <v>-0.0016631479</v>
      </c>
      <c r="O571" s="6">
        <f t="shared" si="1"/>
        <v>0.00000009262908974</v>
      </c>
      <c r="P571" s="6">
        <v>0.054545454545454</v>
      </c>
      <c r="Q571" s="6">
        <v>0.132075471698113</v>
      </c>
      <c r="R571" s="6">
        <v>0.8642</v>
      </c>
      <c r="S571" s="6">
        <v>0.8642</v>
      </c>
      <c r="T571" s="6">
        <v>12.4</v>
      </c>
    </row>
    <row r="572">
      <c r="A572" s="5" t="s">
        <v>42</v>
      </c>
      <c r="B572" s="17" t="s">
        <v>597</v>
      </c>
      <c r="C572" s="7" t="s">
        <v>43</v>
      </c>
      <c r="D572" s="8" t="s">
        <v>608</v>
      </c>
      <c r="E572" s="18">
        <v>45517.0</v>
      </c>
      <c r="F572" s="6">
        <v>1.0</v>
      </c>
      <c r="G572" s="6">
        <v>1.0</v>
      </c>
      <c r="H572" s="6">
        <v>1.0</v>
      </c>
      <c r="I572" s="6">
        <v>1.0</v>
      </c>
      <c r="J572" s="6">
        <v>1.0</v>
      </c>
      <c r="K572" s="10">
        <v>0.605954647064209</v>
      </c>
      <c r="L572" s="10">
        <v>0.190467029809951</v>
      </c>
      <c r="M572" s="10">
        <v>0.0612130314111709</v>
      </c>
      <c r="N572" s="11">
        <v>0.061212976</v>
      </c>
      <c r="O572" s="6">
        <f t="shared" si="1"/>
        <v>0.00000005541117089</v>
      </c>
      <c r="P572" s="6">
        <v>0.016129032258064</v>
      </c>
      <c r="Q572" s="6">
        <v>0.051724137931034</v>
      </c>
      <c r="R572" s="6">
        <v>0.9922</v>
      </c>
      <c r="S572" s="6">
        <v>0.9922</v>
      </c>
      <c r="T572" s="6">
        <v>13.3470967741936</v>
      </c>
    </row>
    <row r="573">
      <c r="A573" s="5" t="s">
        <v>42</v>
      </c>
      <c r="B573" s="17" t="s">
        <v>597</v>
      </c>
      <c r="C573" s="7" t="s">
        <v>45</v>
      </c>
      <c r="D573" s="8" t="s">
        <v>609</v>
      </c>
      <c r="E573" s="18">
        <v>45517.0</v>
      </c>
      <c r="F573" s="6">
        <v>5.0</v>
      </c>
      <c r="G573" s="6">
        <v>1.0</v>
      </c>
      <c r="H573" s="6">
        <v>1.0</v>
      </c>
      <c r="I573" s="6">
        <v>1.0</v>
      </c>
      <c r="J573" s="6">
        <v>1.0</v>
      </c>
      <c r="K573" s="10">
        <v>0.620391607284545</v>
      </c>
      <c r="L573" s="10">
        <v>0.183825299143791</v>
      </c>
      <c r="M573" s="10">
        <v>-0.0135181378573179</v>
      </c>
      <c r="N573" s="11">
        <v>-0.0135180615</v>
      </c>
      <c r="O573" s="6">
        <f t="shared" si="1"/>
        <v>-0.0000000763573179</v>
      </c>
      <c r="P573" s="6">
        <v>0.018867924528301</v>
      </c>
      <c r="Q573" s="6">
        <v>0.078431372549019</v>
      </c>
      <c r="R573" s="6">
        <v>0.9905</v>
      </c>
      <c r="S573" s="6">
        <v>0.9905</v>
      </c>
      <c r="T573" s="6">
        <v>17.8249056603774</v>
      </c>
    </row>
    <row r="574">
      <c r="A574" s="5" t="s">
        <v>42</v>
      </c>
      <c r="B574" s="17" t="s">
        <v>597</v>
      </c>
      <c r="C574" s="7" t="s">
        <v>47</v>
      </c>
      <c r="D574" s="8" t="s">
        <v>610</v>
      </c>
      <c r="E574" s="18">
        <v>45517.0</v>
      </c>
      <c r="F574" s="6">
        <v>1.0</v>
      </c>
      <c r="G574" s="6">
        <v>1.0</v>
      </c>
      <c r="H574" s="6">
        <v>1.0</v>
      </c>
      <c r="I574" s="6">
        <v>1.0</v>
      </c>
      <c r="J574" s="6">
        <v>1.0</v>
      </c>
      <c r="K574" s="10">
        <v>0.617173135280609</v>
      </c>
      <c r="L574" s="10">
        <v>0.18322280049324</v>
      </c>
      <c r="M574" s="10">
        <v>-0.0109937824308872</v>
      </c>
      <c r="N574" s="11">
        <v>-0.01099365</v>
      </c>
      <c r="O574" s="6">
        <f t="shared" si="1"/>
        <v>-0.0000001324308872</v>
      </c>
      <c r="P574" s="6">
        <v>0.020408163265306</v>
      </c>
      <c r="Q574" s="6">
        <v>0.106382978723404</v>
      </c>
      <c r="R574" s="6">
        <v>0.9898</v>
      </c>
      <c r="S574" s="6">
        <v>0.9898</v>
      </c>
      <c r="T574" s="6">
        <v>13.8795918367347</v>
      </c>
    </row>
    <row r="575">
      <c r="A575" s="5" t="s">
        <v>42</v>
      </c>
      <c r="B575" s="17" t="s">
        <v>597</v>
      </c>
      <c r="C575" s="7" t="s">
        <v>49</v>
      </c>
      <c r="D575" s="8" t="s">
        <v>611</v>
      </c>
      <c r="E575" s="18">
        <v>45517.0</v>
      </c>
      <c r="F575" s="6">
        <v>3.0</v>
      </c>
      <c r="G575" s="6">
        <v>1.0</v>
      </c>
      <c r="H575" s="6">
        <v>1.0</v>
      </c>
      <c r="I575" s="6">
        <v>1.0</v>
      </c>
      <c r="J575" s="6">
        <v>1.0</v>
      </c>
      <c r="K575" s="10">
        <v>0.604013502597808</v>
      </c>
      <c r="L575" s="10">
        <v>0.181393563747406</v>
      </c>
      <c r="M575" s="10">
        <v>0.0433441624045372</v>
      </c>
      <c r="N575" s="11">
        <v>0.04334399</v>
      </c>
      <c r="O575" s="6">
        <f t="shared" si="1"/>
        <v>0.0000001724045372</v>
      </c>
      <c r="P575" s="6">
        <v>0.04</v>
      </c>
      <c r="Q575" s="6">
        <v>0.095890410958904</v>
      </c>
      <c r="R575" s="6">
        <v>0.9958</v>
      </c>
      <c r="S575" s="6">
        <v>0.9958</v>
      </c>
      <c r="T575" s="6">
        <v>13.8857142857143</v>
      </c>
    </row>
    <row r="576">
      <c r="A576" s="5" t="s">
        <v>42</v>
      </c>
      <c r="B576" s="17" t="s">
        <v>597</v>
      </c>
      <c r="C576" s="7" t="s">
        <v>51</v>
      </c>
      <c r="D576" s="8" t="s">
        <v>612</v>
      </c>
      <c r="E576" s="18">
        <v>45517.0</v>
      </c>
      <c r="F576" s="6">
        <v>1.0</v>
      </c>
      <c r="G576" s="6">
        <v>7.0</v>
      </c>
      <c r="H576" s="6">
        <v>1.0</v>
      </c>
      <c r="I576" s="6">
        <v>5.0</v>
      </c>
      <c r="J576" s="6">
        <v>1.0</v>
      </c>
      <c r="K576" s="10">
        <v>0.605928897857666</v>
      </c>
      <c r="L576" s="10">
        <v>0.156663700938224</v>
      </c>
      <c r="M576" s="10">
        <v>-0.0302743632346391</v>
      </c>
      <c r="N576" s="11">
        <v>-0.030274188</v>
      </c>
      <c r="O576" s="6">
        <f t="shared" si="1"/>
        <v>-0.0000001752346391</v>
      </c>
      <c r="P576" s="6">
        <v>0.016129032258064</v>
      </c>
      <c r="Q576" s="6">
        <v>0.042016806722689</v>
      </c>
      <c r="R576" s="6">
        <v>0.9978</v>
      </c>
      <c r="S576" s="6">
        <v>0.9978</v>
      </c>
      <c r="T576" s="6">
        <v>17.0912442396313</v>
      </c>
    </row>
    <row r="577">
      <c r="A577" s="5" t="s">
        <v>42</v>
      </c>
      <c r="B577" s="17" t="s">
        <v>597</v>
      </c>
      <c r="C577" s="7" t="s">
        <v>53</v>
      </c>
      <c r="D577" s="8" t="s">
        <v>613</v>
      </c>
      <c r="E577" s="18">
        <v>45517.0</v>
      </c>
      <c r="F577" s="6">
        <v>5.0</v>
      </c>
      <c r="G577" s="6">
        <v>1.0</v>
      </c>
      <c r="H577" s="6">
        <v>1.0</v>
      </c>
      <c r="I577" s="6">
        <v>1.0</v>
      </c>
      <c r="J577" s="6">
        <v>1.0</v>
      </c>
      <c r="K577" s="10">
        <v>0.60720682144165</v>
      </c>
      <c r="L577" s="10">
        <v>0.2078358232975</v>
      </c>
      <c r="M577" s="10">
        <v>0.0412262454628944</v>
      </c>
      <c r="N577" s="11">
        <v>0.041226245</v>
      </c>
      <c r="O577" s="6">
        <f t="shared" si="1"/>
        <v>0.0000000004628943964</v>
      </c>
      <c r="P577" s="6">
        <v>0.014705882352941</v>
      </c>
      <c r="Q577" s="6">
        <v>0.104477611940298</v>
      </c>
      <c r="R577" s="6">
        <v>0.9922</v>
      </c>
      <c r="S577" s="6">
        <v>0.9922</v>
      </c>
      <c r="T577" s="6">
        <v>21.3223529411765</v>
      </c>
    </row>
    <row r="578">
      <c r="A578" s="5" t="s">
        <v>42</v>
      </c>
      <c r="B578" s="17" t="s">
        <v>597</v>
      </c>
      <c r="C578" s="7" t="s">
        <v>55</v>
      </c>
      <c r="D578" s="8" t="s">
        <v>614</v>
      </c>
      <c r="E578" s="18">
        <v>45517.0</v>
      </c>
      <c r="F578" s="6">
        <v>5.0</v>
      </c>
      <c r="G578" s="6">
        <v>1.0</v>
      </c>
      <c r="H578" s="6">
        <v>1.0</v>
      </c>
      <c r="I578" s="6">
        <v>1.0</v>
      </c>
      <c r="J578" s="6">
        <v>8.0</v>
      </c>
      <c r="K578" s="10">
        <v>0.60584807395935</v>
      </c>
      <c r="L578" s="10">
        <v>0.157930701971054</v>
      </c>
      <c r="M578" s="10">
        <v>-0.0592549555003643</v>
      </c>
      <c r="N578" s="11">
        <v>-0.05925488</v>
      </c>
      <c r="O578" s="6">
        <f t="shared" si="1"/>
        <v>-0.00000007550036429</v>
      </c>
      <c r="P578" s="6">
        <v>0.045454545454545</v>
      </c>
      <c r="Q578" s="6">
        <v>0.059171597633136</v>
      </c>
      <c r="R578" s="6">
        <v>0.9568</v>
      </c>
      <c r="S578" s="6">
        <v>0.9568</v>
      </c>
      <c r="T578" s="6">
        <v>20.9376623376623</v>
      </c>
    </row>
    <row r="579">
      <c r="A579" s="5" t="s">
        <v>42</v>
      </c>
      <c r="B579" s="17" t="s">
        <v>597</v>
      </c>
      <c r="C579" s="7" t="s">
        <v>57</v>
      </c>
      <c r="D579" s="8" t="s">
        <v>615</v>
      </c>
      <c r="E579" s="18">
        <v>45517.0</v>
      </c>
      <c r="F579" s="6">
        <v>5.0</v>
      </c>
      <c r="G579" s="6">
        <v>1.0</v>
      </c>
      <c r="H579" s="6">
        <v>1.0</v>
      </c>
      <c r="I579" s="6">
        <v>7.0</v>
      </c>
      <c r="J579" s="6">
        <v>1.0</v>
      </c>
      <c r="K579" s="10">
        <v>0.604244410991668</v>
      </c>
      <c r="L579" s="10">
        <v>0.16906726360321</v>
      </c>
      <c r="M579" s="10">
        <v>-0.0426050871610641</v>
      </c>
      <c r="N579" s="11">
        <v>-0.04260507</v>
      </c>
      <c r="O579" s="6">
        <f t="shared" si="1"/>
        <v>-0.0000000171610641</v>
      </c>
      <c r="P579" s="6">
        <v>0.031578947368421</v>
      </c>
      <c r="Q579" s="6">
        <v>0.089887640449438</v>
      </c>
      <c r="R579" s="6">
        <v>0.9965</v>
      </c>
      <c r="S579" s="6">
        <v>0.9965</v>
      </c>
      <c r="T579" s="6">
        <v>17.3815789473684</v>
      </c>
    </row>
    <row r="580">
      <c r="A580" s="5" t="s">
        <v>42</v>
      </c>
      <c r="B580" s="17" t="s">
        <v>597</v>
      </c>
      <c r="C580" s="7" t="s">
        <v>59</v>
      </c>
      <c r="D580" s="8" t="s">
        <v>616</v>
      </c>
      <c r="E580" s="18">
        <v>45517.0</v>
      </c>
      <c r="F580" s="6">
        <v>3.0</v>
      </c>
      <c r="G580" s="6">
        <v>1.0</v>
      </c>
      <c r="H580" s="6">
        <v>1.0</v>
      </c>
      <c r="I580" s="6">
        <v>1.0</v>
      </c>
      <c r="J580" s="6">
        <v>1.0</v>
      </c>
      <c r="K580" s="10">
        <v>0.58957952260971</v>
      </c>
      <c r="L580" s="10">
        <v>0.144351452589035</v>
      </c>
      <c r="M580" s="10">
        <v>-0.115103498101234</v>
      </c>
      <c r="N580" s="11">
        <v>-0.11510375</v>
      </c>
      <c r="O580" s="6">
        <f t="shared" si="1"/>
        <v>0.000000251898766</v>
      </c>
      <c r="P580" s="6">
        <v>0.027522935779816</v>
      </c>
      <c r="Q580" s="6">
        <v>0.066037735849056</v>
      </c>
      <c r="R580" s="6">
        <v>0.9935</v>
      </c>
      <c r="S580" s="6">
        <v>0.9935</v>
      </c>
      <c r="T580" s="6">
        <v>16.4591743119266</v>
      </c>
    </row>
    <row r="581">
      <c r="A581" s="5" t="s">
        <v>42</v>
      </c>
      <c r="B581" s="17" t="s">
        <v>597</v>
      </c>
      <c r="C581" s="7" t="s">
        <v>61</v>
      </c>
      <c r="D581" s="8" t="s">
        <v>617</v>
      </c>
      <c r="E581" s="18">
        <v>45517.0</v>
      </c>
      <c r="F581" s="6">
        <v>5.0</v>
      </c>
      <c r="G581" s="6">
        <v>1.0</v>
      </c>
      <c r="H581" s="6">
        <v>1.0</v>
      </c>
      <c r="I581" s="6">
        <v>1.0</v>
      </c>
      <c r="J581" s="6">
        <v>1.0</v>
      </c>
      <c r="K581" s="10">
        <v>0.61140352487564</v>
      </c>
      <c r="L581" s="10">
        <v>0.155309781432151</v>
      </c>
      <c r="M581" s="10">
        <v>0.12616616487503</v>
      </c>
      <c r="N581" s="11">
        <v>0.12616639</v>
      </c>
      <c r="O581" s="6">
        <f t="shared" si="1"/>
        <v>-0.00000022512497</v>
      </c>
      <c r="P581" s="6">
        <v>0.013513513513513</v>
      </c>
      <c r="Q581" s="6">
        <v>0.072463768115942</v>
      </c>
      <c r="R581" s="6">
        <v>0.9459</v>
      </c>
      <c r="S581" s="6">
        <v>0.9459</v>
      </c>
      <c r="T581" s="6">
        <v>13.0414414414414</v>
      </c>
    </row>
    <row r="582">
      <c r="A582" s="5" t="s">
        <v>63</v>
      </c>
      <c r="B582" s="17" t="s">
        <v>597</v>
      </c>
      <c r="C582" s="7" t="s">
        <v>64</v>
      </c>
      <c r="D582" s="8" t="s">
        <v>618</v>
      </c>
      <c r="E582" s="18">
        <v>45517.0</v>
      </c>
      <c r="F582" s="6">
        <v>9.0</v>
      </c>
      <c r="G582" s="6">
        <v>1.0</v>
      </c>
      <c r="H582" s="6">
        <v>1.0</v>
      </c>
      <c r="I582" s="6">
        <v>9.0</v>
      </c>
      <c r="J582" s="6">
        <v>1.0</v>
      </c>
      <c r="K582" s="10">
        <v>0.601336419582366</v>
      </c>
      <c r="L582" s="10">
        <v>0.132917433977127</v>
      </c>
      <c r="M582" s="10">
        <v>-0.159720629453659</v>
      </c>
      <c r="N582" s="11">
        <v>-0.15972076</v>
      </c>
      <c r="O582" s="6">
        <f t="shared" si="1"/>
        <v>0.000000130546341</v>
      </c>
      <c r="P582" s="6">
        <v>0.059259259259259</v>
      </c>
      <c r="Q582" s="6">
        <v>0.06060606060606</v>
      </c>
      <c r="R582" s="6">
        <v>0.9808</v>
      </c>
      <c r="S582" s="6">
        <v>-0.9808</v>
      </c>
      <c r="T582" s="6">
        <v>14.8518518518518</v>
      </c>
    </row>
    <row r="583">
      <c r="A583" s="5" t="s">
        <v>63</v>
      </c>
      <c r="B583" s="17" t="s">
        <v>597</v>
      </c>
      <c r="C583" s="7" t="s">
        <v>66</v>
      </c>
      <c r="D583" s="8" t="s">
        <v>619</v>
      </c>
      <c r="E583" s="18">
        <v>45517.0</v>
      </c>
      <c r="F583" s="6">
        <v>7.0</v>
      </c>
      <c r="G583" s="6">
        <v>1.0</v>
      </c>
      <c r="H583" s="6">
        <v>1.0</v>
      </c>
      <c r="I583" s="6">
        <v>7.0</v>
      </c>
      <c r="J583" s="6">
        <v>1.0</v>
      </c>
      <c r="K583" s="10">
        <v>0.617890536785125</v>
      </c>
      <c r="L583" s="10">
        <v>0.14147463440895</v>
      </c>
      <c r="M583" s="10">
        <v>0.0298427175730466</v>
      </c>
      <c r="N583" s="11">
        <v>0.029842641</v>
      </c>
      <c r="O583" s="6">
        <f t="shared" si="1"/>
        <v>0.0000000765730466</v>
      </c>
      <c r="P583" s="6">
        <v>0.058823529411764</v>
      </c>
      <c r="Q583" s="6">
        <v>0.05</v>
      </c>
      <c r="R583" s="6">
        <v>0.2617</v>
      </c>
      <c r="S583" s="6">
        <v>0.2617</v>
      </c>
      <c r="T583" s="6">
        <v>19.5325490196078</v>
      </c>
    </row>
    <row r="584">
      <c r="A584" s="5" t="s">
        <v>63</v>
      </c>
      <c r="B584" s="17" t="s">
        <v>597</v>
      </c>
      <c r="C584" s="7" t="s">
        <v>68</v>
      </c>
      <c r="D584" s="8" t="s">
        <v>620</v>
      </c>
      <c r="E584" s="18">
        <v>45517.0</v>
      </c>
      <c r="F584" s="6">
        <v>9.0</v>
      </c>
      <c r="G584" s="6">
        <v>7.0</v>
      </c>
      <c r="H584" s="6">
        <v>1.0</v>
      </c>
      <c r="I584" s="6">
        <v>9.0</v>
      </c>
      <c r="J584" s="6">
        <v>1.0</v>
      </c>
      <c r="K584" s="10">
        <v>0.627852976322174</v>
      </c>
      <c r="L584" s="10">
        <v>0.183497935533523</v>
      </c>
      <c r="M584" s="10">
        <v>-0.16963605582714</v>
      </c>
      <c r="N584" s="11">
        <v>-0.16963615</v>
      </c>
      <c r="O584" s="6">
        <f t="shared" si="1"/>
        <v>0.00000009417286001</v>
      </c>
      <c r="P584" s="6">
        <v>0.036036036036036</v>
      </c>
      <c r="Q584" s="6">
        <v>0.094339622641509</v>
      </c>
      <c r="R584" s="6">
        <v>0.9706</v>
      </c>
      <c r="S584" s="6">
        <v>0.9706</v>
      </c>
      <c r="T584" s="6">
        <v>22.2133333333333</v>
      </c>
    </row>
    <row r="585">
      <c r="A585" s="5" t="s">
        <v>63</v>
      </c>
      <c r="B585" s="17" t="s">
        <v>597</v>
      </c>
      <c r="C585" s="7" t="s">
        <v>70</v>
      </c>
      <c r="D585" s="8" t="s">
        <v>621</v>
      </c>
      <c r="E585" s="18">
        <v>45517.0</v>
      </c>
      <c r="F585" s="6">
        <v>7.0</v>
      </c>
      <c r="G585" s="6">
        <v>1.0</v>
      </c>
      <c r="H585" s="6">
        <v>1.0</v>
      </c>
      <c r="I585" s="6">
        <v>1.0</v>
      </c>
      <c r="J585" s="6">
        <v>1.0</v>
      </c>
      <c r="K585" s="10">
        <v>0.619241952896118</v>
      </c>
      <c r="L585" s="10">
        <v>0.180538475513458</v>
      </c>
      <c r="M585" s="10">
        <v>0.0578481703996658</v>
      </c>
      <c r="N585" s="11">
        <v>0.05784813</v>
      </c>
      <c r="O585" s="6">
        <f t="shared" si="1"/>
        <v>0.0000000403996658</v>
      </c>
      <c r="P585" s="6">
        <v>0.02061855670103</v>
      </c>
      <c r="Q585" s="6">
        <v>0.096774193548387</v>
      </c>
      <c r="R585" s="6">
        <v>0.9949</v>
      </c>
      <c r="S585" s="6">
        <v>0.9949</v>
      </c>
      <c r="T585" s="6">
        <v>18.8940206185567</v>
      </c>
    </row>
    <row r="586">
      <c r="A586" s="5" t="s">
        <v>63</v>
      </c>
      <c r="B586" s="17" t="s">
        <v>597</v>
      </c>
      <c r="C586" s="7" t="s">
        <v>72</v>
      </c>
      <c r="D586" s="8" t="s">
        <v>622</v>
      </c>
      <c r="E586" s="18">
        <v>45517.0</v>
      </c>
      <c r="F586" s="6">
        <v>7.0</v>
      </c>
      <c r="G586" s="6">
        <v>7.0</v>
      </c>
      <c r="H586" s="6">
        <v>9.0</v>
      </c>
      <c r="I586" s="6">
        <v>1.0</v>
      </c>
      <c r="J586" s="6">
        <v>1.0</v>
      </c>
      <c r="K586" s="10">
        <v>0.634499371051788</v>
      </c>
      <c r="L586" s="10">
        <v>0.155691236257553</v>
      </c>
      <c r="M586" s="10">
        <v>0.153598979115486</v>
      </c>
      <c r="N586" s="11">
        <v>0.15359885</v>
      </c>
      <c r="O586" s="6">
        <f t="shared" si="1"/>
        <v>0.000000129115486</v>
      </c>
      <c r="P586" s="6">
        <v>0.022727272727272</v>
      </c>
      <c r="Q586" s="6">
        <v>0.088607594936708</v>
      </c>
      <c r="R586" s="6">
        <v>0.8979</v>
      </c>
      <c r="S586" s="6">
        <v>0.8979</v>
      </c>
      <c r="T586" s="6">
        <v>18.8</v>
      </c>
    </row>
    <row r="587">
      <c r="A587" s="5" t="s">
        <v>63</v>
      </c>
      <c r="B587" s="17" t="s">
        <v>597</v>
      </c>
      <c r="C587" s="7" t="s">
        <v>74</v>
      </c>
      <c r="D587" s="8" t="s">
        <v>623</v>
      </c>
      <c r="E587" s="18">
        <v>45517.0</v>
      </c>
      <c r="F587" s="6">
        <v>7.0</v>
      </c>
      <c r="G587" s="6">
        <v>1.0</v>
      </c>
      <c r="H587" s="6">
        <v>9.0</v>
      </c>
      <c r="I587" s="6">
        <v>1.0</v>
      </c>
      <c r="J587" s="6">
        <v>1.0</v>
      </c>
      <c r="K587" s="10">
        <v>0.632621109485626</v>
      </c>
      <c r="L587" s="10">
        <v>0.161138162016868</v>
      </c>
      <c r="M587" s="10">
        <v>0.252678662538528</v>
      </c>
      <c r="N587" s="11">
        <v>0.2526785</v>
      </c>
      <c r="O587" s="6">
        <f t="shared" si="1"/>
        <v>0.000000162538528</v>
      </c>
      <c r="P587" s="6">
        <v>0.042105263157894</v>
      </c>
      <c r="Q587" s="6">
        <v>0.088888888888888</v>
      </c>
      <c r="R587" s="6">
        <v>0.9912</v>
      </c>
      <c r="S587" s="6">
        <v>0.9912</v>
      </c>
      <c r="T587" s="6">
        <v>19.8105263157895</v>
      </c>
    </row>
    <row r="588">
      <c r="A588" s="5" t="s">
        <v>63</v>
      </c>
      <c r="B588" s="17" t="s">
        <v>597</v>
      </c>
      <c r="C588" s="7" t="s">
        <v>76</v>
      </c>
      <c r="D588" s="8" t="s">
        <v>624</v>
      </c>
      <c r="E588" s="18">
        <v>45517.0</v>
      </c>
      <c r="F588" s="6">
        <v>9.0</v>
      </c>
      <c r="G588" s="6">
        <v>7.0</v>
      </c>
      <c r="H588" s="6">
        <v>1.0</v>
      </c>
      <c r="I588" s="6">
        <v>9.0</v>
      </c>
      <c r="J588" s="6">
        <v>1.0</v>
      </c>
      <c r="K588" s="10">
        <v>0.6238294839859</v>
      </c>
      <c r="L588" s="10">
        <v>0.162998810410499</v>
      </c>
      <c r="M588" s="10">
        <v>0.0907468646764755</v>
      </c>
      <c r="N588" s="11">
        <v>0.09074685</v>
      </c>
      <c r="O588" s="6">
        <f t="shared" si="1"/>
        <v>0.00000001467647549</v>
      </c>
      <c r="P588" s="6">
        <v>0.005917159763313</v>
      </c>
      <c r="Q588" s="6">
        <v>0.029940119760479</v>
      </c>
      <c r="R588" s="6">
        <v>0.9962</v>
      </c>
      <c r="S588" s="6">
        <v>0.9962</v>
      </c>
      <c r="T588" s="6">
        <v>16.3389598255995</v>
      </c>
    </row>
    <row r="589">
      <c r="A589" s="5" t="s">
        <v>63</v>
      </c>
      <c r="B589" s="17" t="s">
        <v>597</v>
      </c>
      <c r="C589" s="7" t="s">
        <v>78</v>
      </c>
      <c r="D589" s="8" t="s">
        <v>625</v>
      </c>
      <c r="E589" s="18">
        <v>45517.0</v>
      </c>
      <c r="F589" s="6">
        <v>9.0</v>
      </c>
      <c r="G589" s="6">
        <v>7.0</v>
      </c>
      <c r="H589" s="6">
        <v>1.0</v>
      </c>
      <c r="I589" s="6">
        <v>9.0</v>
      </c>
      <c r="J589" s="6">
        <v>1.0</v>
      </c>
      <c r="K589" s="10">
        <v>0.613610863685607</v>
      </c>
      <c r="L589" s="10">
        <v>0.153046742081642</v>
      </c>
      <c r="M589" s="10">
        <v>0.265184760093688</v>
      </c>
      <c r="N589" s="11">
        <v>0.265185</v>
      </c>
      <c r="O589" s="6">
        <f t="shared" si="1"/>
        <v>-0.000000239906312</v>
      </c>
      <c r="P589" s="6">
        <v>0.02097902097902</v>
      </c>
      <c r="Q589" s="6">
        <v>0.064748201438848</v>
      </c>
      <c r="R589" s="6">
        <v>0.9962</v>
      </c>
      <c r="S589" s="6">
        <v>0.9962</v>
      </c>
      <c r="T589" s="6">
        <v>15.602972027972</v>
      </c>
    </row>
    <row r="590">
      <c r="A590" s="5" t="s">
        <v>63</v>
      </c>
      <c r="B590" s="17" t="s">
        <v>597</v>
      </c>
      <c r="C590" s="7" t="s">
        <v>80</v>
      </c>
      <c r="D590" s="8" t="s">
        <v>626</v>
      </c>
      <c r="E590" s="18">
        <v>45517.0</v>
      </c>
      <c r="F590" s="6">
        <v>5.0</v>
      </c>
      <c r="G590" s="6">
        <v>1.0</v>
      </c>
      <c r="H590" s="6">
        <v>1.0</v>
      </c>
      <c r="I590" s="6">
        <v>1.0</v>
      </c>
      <c r="J590" s="6">
        <v>1.0</v>
      </c>
      <c r="K590" s="10">
        <v>0.616248548030853</v>
      </c>
      <c r="L590" s="10">
        <v>0.161968365311622</v>
      </c>
      <c r="M590" s="10">
        <v>-0.0252552814781665</v>
      </c>
      <c r="N590" s="11">
        <v>-0.025255207</v>
      </c>
      <c r="O590" s="6">
        <f t="shared" si="1"/>
        <v>-0.0000000744781665</v>
      </c>
      <c r="P590" s="6">
        <v>0.025862068965517</v>
      </c>
      <c r="Q590" s="6">
        <v>0.107142857142857</v>
      </c>
      <c r="R590" s="6">
        <v>0.9777</v>
      </c>
      <c r="S590" s="6">
        <v>0.9777</v>
      </c>
      <c r="T590" s="6">
        <v>18.5903448275862</v>
      </c>
    </row>
    <row r="591">
      <c r="A591" s="5" t="s">
        <v>63</v>
      </c>
      <c r="B591" s="17" t="s">
        <v>597</v>
      </c>
      <c r="C591" s="7" t="s">
        <v>82</v>
      </c>
      <c r="D591" s="8" t="s">
        <v>627</v>
      </c>
      <c r="E591" s="18">
        <v>45517.0</v>
      </c>
      <c r="F591" s="6">
        <v>9.0</v>
      </c>
      <c r="G591" s="6">
        <v>7.0</v>
      </c>
      <c r="H591" s="6">
        <v>1.0</v>
      </c>
      <c r="I591" s="6">
        <v>7.0</v>
      </c>
      <c r="J591" s="6">
        <v>1.0</v>
      </c>
      <c r="K591" s="10">
        <v>0.639880537986755</v>
      </c>
      <c r="L591" s="10">
        <v>0.172641888260841</v>
      </c>
      <c r="M591" s="10">
        <v>0.0673519596457481</v>
      </c>
      <c r="N591" s="11">
        <v>0.067351975</v>
      </c>
      <c r="O591" s="6">
        <f t="shared" si="1"/>
        <v>-0.0000000153542519</v>
      </c>
      <c r="P591" s="6">
        <v>0.059829059829059</v>
      </c>
      <c r="Q591" s="6">
        <v>0.088495575221238</v>
      </c>
      <c r="R591" s="6">
        <v>0.9578</v>
      </c>
      <c r="S591" s="6">
        <v>0.9578</v>
      </c>
      <c r="T591" s="6">
        <v>19.0820512820513</v>
      </c>
    </row>
    <row r="592">
      <c r="A592" s="5" t="s">
        <v>84</v>
      </c>
      <c r="B592" s="17" t="s">
        <v>597</v>
      </c>
      <c r="C592" s="7" t="s">
        <v>85</v>
      </c>
      <c r="D592" s="8" t="s">
        <v>628</v>
      </c>
      <c r="E592" s="18">
        <v>45517.0</v>
      </c>
      <c r="F592" s="6">
        <v>9.0</v>
      </c>
      <c r="G592" s="6">
        <v>1.0</v>
      </c>
      <c r="H592" s="6">
        <v>1.0</v>
      </c>
      <c r="I592" s="6">
        <v>9.0</v>
      </c>
      <c r="J592" s="6">
        <v>1.0</v>
      </c>
      <c r="K592" s="10">
        <v>0.598549604415893</v>
      </c>
      <c r="L592" s="10">
        <v>0.158403262495994</v>
      </c>
      <c r="M592" s="10">
        <v>0.103782951831817</v>
      </c>
      <c r="N592" s="11">
        <v>0.10378306</v>
      </c>
      <c r="O592" s="6">
        <f t="shared" si="1"/>
        <v>-0.000000108168183</v>
      </c>
      <c r="P592" s="6">
        <v>0.036363636363636</v>
      </c>
      <c r="Q592" s="6">
        <v>0.046296296296296</v>
      </c>
      <c r="R592" s="6">
        <v>0.998</v>
      </c>
      <c r="S592" s="6">
        <v>0.998</v>
      </c>
      <c r="T592" s="6">
        <v>27.7979797979798</v>
      </c>
    </row>
    <row r="593">
      <c r="A593" s="5" t="s">
        <v>84</v>
      </c>
      <c r="B593" s="17" t="s">
        <v>597</v>
      </c>
      <c r="C593" s="7" t="s">
        <v>87</v>
      </c>
      <c r="D593" s="8" t="s">
        <v>629</v>
      </c>
      <c r="E593" s="18">
        <v>45517.0</v>
      </c>
      <c r="F593" s="6">
        <v>9.0</v>
      </c>
      <c r="G593" s="6">
        <v>1.0</v>
      </c>
      <c r="H593" s="6">
        <v>9.0</v>
      </c>
      <c r="I593" s="6">
        <v>9.0</v>
      </c>
      <c r="J593" s="6">
        <v>1.0</v>
      </c>
      <c r="K593" s="10">
        <v>0.608315110206604</v>
      </c>
      <c r="L593" s="10">
        <v>0.1474469602108</v>
      </c>
      <c r="M593" s="10">
        <v>0.114521905779838</v>
      </c>
      <c r="N593" s="11">
        <v>0.11452202</v>
      </c>
      <c r="O593" s="6">
        <f t="shared" si="1"/>
        <v>-0.000000114220162</v>
      </c>
      <c r="P593" s="6">
        <v>0.042553191489361</v>
      </c>
      <c r="Q593" s="6">
        <v>0.102272727272727</v>
      </c>
      <c r="R593" s="6">
        <v>0.0926</v>
      </c>
      <c r="S593" s="6">
        <v>0.0926</v>
      </c>
      <c r="T593" s="6">
        <v>21.1370212765957</v>
      </c>
    </row>
    <row r="594">
      <c r="A594" s="5" t="s">
        <v>84</v>
      </c>
      <c r="B594" s="17" t="s">
        <v>597</v>
      </c>
      <c r="C594" s="7" t="s">
        <v>89</v>
      </c>
      <c r="D594" s="8" t="s">
        <v>630</v>
      </c>
      <c r="E594" s="18">
        <v>45517.0</v>
      </c>
      <c r="F594" s="6">
        <v>5.0</v>
      </c>
      <c r="G594" s="6">
        <v>7.0</v>
      </c>
      <c r="H594" s="6">
        <v>1.0</v>
      </c>
      <c r="I594" s="6">
        <v>1.0</v>
      </c>
      <c r="J594" s="6">
        <v>1.0</v>
      </c>
      <c r="K594" s="10">
        <v>0.597383499145507</v>
      </c>
      <c r="L594" s="10">
        <v>0.154504671692848</v>
      </c>
      <c r="M594" s="10">
        <v>-0.00200564786791801</v>
      </c>
      <c r="N594" s="11">
        <v>-0.0020054537</v>
      </c>
      <c r="O594" s="6">
        <f t="shared" si="1"/>
        <v>-0.000000194167918</v>
      </c>
      <c r="P594" s="6">
        <v>0.02</v>
      </c>
      <c r="Q594" s="6">
        <v>0.041666666666666</v>
      </c>
      <c r="R594" s="6">
        <v>0.9516</v>
      </c>
      <c r="S594" s="6">
        <v>0.9516</v>
      </c>
      <c r="T594" s="6">
        <v>21.4545454545455</v>
      </c>
    </row>
    <row r="595">
      <c r="A595" s="5" t="s">
        <v>84</v>
      </c>
      <c r="B595" s="17" t="s">
        <v>597</v>
      </c>
      <c r="C595" s="7" t="s">
        <v>91</v>
      </c>
      <c r="D595" s="8" t="s">
        <v>631</v>
      </c>
      <c r="E595" s="18">
        <v>45517.0</v>
      </c>
      <c r="F595" s="6">
        <v>7.0</v>
      </c>
      <c r="G595" s="6">
        <v>7.0</v>
      </c>
      <c r="H595" s="6">
        <v>1.0</v>
      </c>
      <c r="I595" s="6">
        <v>1.0</v>
      </c>
      <c r="J595" s="6">
        <v>1.0</v>
      </c>
      <c r="K595" s="10">
        <v>0.60578441619873</v>
      </c>
      <c r="L595" s="10">
        <v>0.146418258547782</v>
      </c>
      <c r="M595" s="10">
        <v>0.0983362644910812</v>
      </c>
      <c r="N595" s="11">
        <v>0.098336495</v>
      </c>
      <c r="O595" s="6">
        <f t="shared" si="1"/>
        <v>-0.0000002305089188</v>
      </c>
      <c r="P595" s="6">
        <v>0.033112582781456</v>
      </c>
      <c r="Q595" s="6">
        <v>0.047945205479452</v>
      </c>
      <c r="R595" s="6">
        <v>0.9975</v>
      </c>
      <c r="S595" s="6">
        <v>0.9975</v>
      </c>
      <c r="T595" s="6">
        <v>20.6095364238411</v>
      </c>
    </row>
    <row r="596">
      <c r="A596" s="5" t="s">
        <v>84</v>
      </c>
      <c r="B596" s="17" t="s">
        <v>597</v>
      </c>
      <c r="C596" s="7" t="s">
        <v>93</v>
      </c>
      <c r="D596" s="8" t="s">
        <v>632</v>
      </c>
      <c r="E596" s="18">
        <v>45517.0</v>
      </c>
      <c r="F596" s="6">
        <v>9.0</v>
      </c>
      <c r="G596" s="6">
        <v>7.0</v>
      </c>
      <c r="H596" s="6">
        <v>1.0</v>
      </c>
      <c r="I596" s="6">
        <v>9.0</v>
      </c>
      <c r="J596" s="6">
        <v>1.0</v>
      </c>
      <c r="K596" s="10">
        <v>0.600168466567993</v>
      </c>
      <c r="L596" s="10">
        <v>0.151290163397789</v>
      </c>
      <c r="M596" s="10">
        <v>-0.0164323858916759</v>
      </c>
      <c r="N596" s="11">
        <v>-0.016432226</v>
      </c>
      <c r="O596" s="6">
        <f t="shared" si="1"/>
        <v>-0.0000001598916759</v>
      </c>
      <c r="P596" s="6">
        <v>0.012269938650306</v>
      </c>
      <c r="Q596" s="6">
        <v>0.051282051282051</v>
      </c>
      <c r="R596" s="6">
        <v>0.9906</v>
      </c>
      <c r="S596" s="6">
        <v>0.9906</v>
      </c>
      <c r="T596" s="6">
        <v>23.4525153374233</v>
      </c>
    </row>
    <row r="597">
      <c r="A597" s="5" t="s">
        <v>84</v>
      </c>
      <c r="B597" s="17" t="s">
        <v>597</v>
      </c>
      <c r="C597" s="7" t="s">
        <v>95</v>
      </c>
      <c r="D597" s="8" t="s">
        <v>633</v>
      </c>
      <c r="E597" s="18">
        <v>45517.0</v>
      </c>
      <c r="F597" s="6">
        <v>9.0</v>
      </c>
      <c r="G597" s="6">
        <v>5.0</v>
      </c>
      <c r="H597" s="6">
        <v>1.0</v>
      </c>
      <c r="I597" s="6">
        <v>9.0</v>
      </c>
      <c r="J597" s="6">
        <v>1.0</v>
      </c>
      <c r="K597" s="10">
        <v>0.608867883682251</v>
      </c>
      <c r="L597" s="10">
        <v>0.158507749438285</v>
      </c>
      <c r="M597" s="10">
        <v>0.0159291103482246</v>
      </c>
      <c r="N597" s="11">
        <v>0.015929509</v>
      </c>
      <c r="O597" s="6">
        <f t="shared" si="1"/>
        <v>-0.0000003986517754</v>
      </c>
      <c r="P597" s="6">
        <v>0.048951048951048</v>
      </c>
      <c r="Q597" s="6">
        <v>0.079710144927536</v>
      </c>
      <c r="R597" s="6">
        <v>0.9587</v>
      </c>
      <c r="S597" s="6">
        <v>0.9587</v>
      </c>
      <c r="T597" s="6">
        <v>21.136013986014</v>
      </c>
    </row>
    <row r="598">
      <c r="A598" s="5" t="s">
        <v>84</v>
      </c>
      <c r="B598" s="17" t="s">
        <v>597</v>
      </c>
      <c r="C598" s="7" t="s">
        <v>97</v>
      </c>
      <c r="D598" s="8" t="s">
        <v>634</v>
      </c>
      <c r="E598" s="18">
        <v>45517.0</v>
      </c>
      <c r="F598" s="6">
        <v>5.0</v>
      </c>
      <c r="G598" s="6">
        <v>5.0</v>
      </c>
      <c r="H598" s="6">
        <v>5.0</v>
      </c>
      <c r="I598" s="6">
        <v>9.0</v>
      </c>
      <c r="J598" s="6">
        <v>1.0</v>
      </c>
      <c r="K598" s="10">
        <v>0.59602552652359</v>
      </c>
      <c r="L598" s="10">
        <v>0.139139354228973</v>
      </c>
      <c r="M598" s="10">
        <v>0.263233721256256</v>
      </c>
      <c r="N598" s="11">
        <v>0.26323375</v>
      </c>
      <c r="O598" s="6">
        <f t="shared" si="1"/>
        <v>-0.000000028743744</v>
      </c>
      <c r="P598" s="6">
        <v>0.048582995951417</v>
      </c>
      <c r="Q598" s="6">
        <v>0.088983050847457</v>
      </c>
      <c r="R598" s="6">
        <v>0.9953</v>
      </c>
      <c r="S598" s="6">
        <v>0.9953</v>
      </c>
      <c r="T598" s="6">
        <v>22.0454453441296</v>
      </c>
    </row>
    <row r="599">
      <c r="A599" s="5" t="s">
        <v>84</v>
      </c>
      <c r="B599" s="17" t="s">
        <v>597</v>
      </c>
      <c r="C599" s="7" t="s">
        <v>99</v>
      </c>
      <c r="D599" s="8" t="s">
        <v>635</v>
      </c>
      <c r="E599" s="18">
        <v>45517.0</v>
      </c>
      <c r="F599" s="6">
        <v>5.0</v>
      </c>
      <c r="G599" s="6">
        <v>1.0</v>
      </c>
      <c r="H599" s="6">
        <v>1.0</v>
      </c>
      <c r="I599" s="6">
        <v>7.0</v>
      </c>
      <c r="J599" s="6">
        <v>1.0</v>
      </c>
      <c r="K599" s="10">
        <v>0.596455991268158</v>
      </c>
      <c r="L599" s="10">
        <v>0.150391995906829</v>
      </c>
      <c r="M599" s="10">
        <v>0.0338881090283393</v>
      </c>
      <c r="N599" s="11">
        <v>0.03388807</v>
      </c>
      <c r="O599" s="6">
        <f t="shared" si="1"/>
        <v>0.0000000390283393</v>
      </c>
      <c r="P599" s="6">
        <v>0.047619047619047</v>
      </c>
      <c r="Q599" s="6">
        <v>0.042944785276073</v>
      </c>
      <c r="R599" s="6">
        <v>0.9982</v>
      </c>
      <c r="S599" s="6">
        <v>0.9982</v>
      </c>
      <c r="T599" s="6">
        <v>22.3120879120879</v>
      </c>
    </row>
    <row r="600">
      <c r="A600" s="5" t="s">
        <v>84</v>
      </c>
      <c r="B600" s="17" t="s">
        <v>597</v>
      </c>
      <c r="C600" s="7" t="s">
        <v>101</v>
      </c>
      <c r="D600" s="8" t="s">
        <v>636</v>
      </c>
      <c r="E600" s="18">
        <v>45517.0</v>
      </c>
      <c r="F600" s="6">
        <v>9.0</v>
      </c>
      <c r="G600" s="6">
        <v>1.0</v>
      </c>
      <c r="H600" s="6">
        <v>1.0</v>
      </c>
      <c r="I600" s="6">
        <v>9.0</v>
      </c>
      <c r="J600" s="6">
        <v>1.0</v>
      </c>
      <c r="K600" s="10">
        <v>0.602558612823486</v>
      </c>
      <c r="L600" s="10">
        <v>0.14613851904869</v>
      </c>
      <c r="M600" s="10">
        <v>0.253709971904754</v>
      </c>
      <c r="N600" s="11">
        <v>0.25370973</v>
      </c>
      <c r="O600" s="6">
        <f t="shared" si="1"/>
        <v>0.000000241904754</v>
      </c>
      <c r="P600" s="6">
        <v>0.061371841155234</v>
      </c>
      <c r="Q600" s="6">
        <v>0.037735849056603</v>
      </c>
      <c r="R600" s="6">
        <v>0.9058</v>
      </c>
      <c r="S600" s="6">
        <v>0.9058</v>
      </c>
      <c r="T600" s="6">
        <v>21.8245062645997</v>
      </c>
    </row>
    <row r="601">
      <c r="A601" s="5" t="s">
        <v>84</v>
      </c>
      <c r="B601" s="17" t="s">
        <v>597</v>
      </c>
      <c r="C601" s="7" t="s">
        <v>103</v>
      </c>
      <c r="D601" s="8" t="s">
        <v>637</v>
      </c>
      <c r="E601" s="18">
        <v>45517.0</v>
      </c>
      <c r="F601" s="6">
        <v>9.0</v>
      </c>
      <c r="G601" s="6">
        <v>5.0</v>
      </c>
      <c r="H601" s="6">
        <v>9.0</v>
      </c>
      <c r="I601" s="6">
        <v>9.0</v>
      </c>
      <c r="J601" s="6">
        <v>1.0</v>
      </c>
      <c r="K601" s="10">
        <v>0.614293158054351</v>
      </c>
      <c r="L601" s="10">
        <v>0.181421607732772</v>
      </c>
      <c r="M601" s="10">
        <v>0.28256756067276</v>
      </c>
      <c r="N601" s="11">
        <v>0.28256756</v>
      </c>
      <c r="O601" s="6">
        <f t="shared" si="1"/>
        <v>0.0000000006727600144</v>
      </c>
      <c r="P601" s="6">
        <v>0.026666666666666</v>
      </c>
      <c r="Q601" s="6">
        <v>0.093457943925233</v>
      </c>
      <c r="R601" s="6">
        <v>0.9975</v>
      </c>
      <c r="S601" s="6">
        <v>0.9975</v>
      </c>
      <c r="T601" s="6">
        <v>17.7944444444444</v>
      </c>
    </row>
    <row r="602">
      <c r="A602" s="5" t="s">
        <v>20</v>
      </c>
      <c r="B602" s="17" t="s">
        <v>638</v>
      </c>
      <c r="C602" s="7" t="s">
        <v>22</v>
      </c>
      <c r="D602" s="8" t="s">
        <v>639</v>
      </c>
      <c r="E602" s="18">
        <v>45616.0</v>
      </c>
      <c r="F602" s="6">
        <v>7.0</v>
      </c>
      <c r="G602" s="6">
        <v>4.0</v>
      </c>
      <c r="H602" s="6">
        <v>3.0</v>
      </c>
      <c r="I602" s="6">
        <v>3.0</v>
      </c>
      <c r="J602" s="6">
        <v>6.0</v>
      </c>
      <c r="K602" s="10">
        <v>0.623336911201477</v>
      </c>
      <c r="L602" s="10">
        <v>0.187366142868995</v>
      </c>
      <c r="M602" s="10">
        <v>0.00908167660236358</v>
      </c>
      <c r="N602" s="11">
        <v>0.009081554</v>
      </c>
      <c r="O602" s="6">
        <f t="shared" si="1"/>
        <v>0.0000001226023636</v>
      </c>
      <c r="P602" s="6">
        <v>0.0</v>
      </c>
      <c r="Q602" s="6">
        <v>0.12</v>
      </c>
      <c r="R602" s="6">
        <v>0.817</v>
      </c>
      <c r="S602" s="6">
        <v>0.817</v>
      </c>
      <c r="T602" s="6">
        <v>10.8761904761905</v>
      </c>
    </row>
    <row r="603">
      <c r="A603" s="5" t="s">
        <v>20</v>
      </c>
      <c r="B603" s="17" t="s">
        <v>638</v>
      </c>
      <c r="C603" s="7" t="s">
        <v>24</v>
      </c>
      <c r="D603" s="8" t="s">
        <v>640</v>
      </c>
      <c r="E603" s="18">
        <v>45616.0</v>
      </c>
      <c r="F603" s="6">
        <v>7.0</v>
      </c>
      <c r="G603" s="6">
        <v>4.0</v>
      </c>
      <c r="H603" s="6">
        <v>3.0</v>
      </c>
      <c r="I603" s="6">
        <v>3.0</v>
      </c>
      <c r="J603" s="6">
        <v>9.0</v>
      </c>
      <c r="K603" s="10">
        <v>0.630960047245025</v>
      </c>
      <c r="L603" s="10">
        <v>0.183857381343841</v>
      </c>
      <c r="M603" s="10">
        <v>0.0602486953139305</v>
      </c>
      <c r="N603" s="11">
        <v>0.060248483</v>
      </c>
      <c r="O603" s="6">
        <f t="shared" si="1"/>
        <v>0.0000002123139305</v>
      </c>
      <c r="P603" s="6">
        <v>0.021739130434782</v>
      </c>
      <c r="Q603" s="6">
        <v>0.116279069767441</v>
      </c>
      <c r="R603" s="6">
        <v>0.9713</v>
      </c>
      <c r="S603" s="6">
        <v>0.9713</v>
      </c>
      <c r="T603" s="6">
        <v>17.4376811594203</v>
      </c>
    </row>
    <row r="604">
      <c r="A604" s="5" t="s">
        <v>20</v>
      </c>
      <c r="B604" s="17" t="s">
        <v>638</v>
      </c>
      <c r="C604" s="7" t="s">
        <v>26</v>
      </c>
      <c r="D604" s="8" t="s">
        <v>641</v>
      </c>
      <c r="E604" s="18">
        <v>45616.0</v>
      </c>
      <c r="F604" s="6">
        <v>7.0</v>
      </c>
      <c r="G604" s="6">
        <v>4.0</v>
      </c>
      <c r="H604" s="6">
        <v>3.0</v>
      </c>
      <c r="I604" s="6">
        <v>3.0</v>
      </c>
      <c r="J604" s="6">
        <v>9.0</v>
      </c>
      <c r="K604" s="10">
        <v>0.605400919914245</v>
      </c>
      <c r="L604" s="10">
        <v>0.172732204198837</v>
      </c>
      <c r="M604" s="10">
        <v>0.129499584436416</v>
      </c>
      <c r="N604" s="11">
        <v>0.12949975</v>
      </c>
      <c r="O604" s="6">
        <f t="shared" si="1"/>
        <v>-0.000000165563584</v>
      </c>
      <c r="P604" s="6">
        <v>0.081081081081081</v>
      </c>
      <c r="Q604" s="6">
        <v>0.147058823529411</v>
      </c>
      <c r="R604" s="6">
        <v>0.8482</v>
      </c>
      <c r="S604" s="6">
        <v>0.8482</v>
      </c>
      <c r="T604" s="6">
        <v>17.7540540540541</v>
      </c>
    </row>
    <row r="605">
      <c r="A605" s="5" t="s">
        <v>20</v>
      </c>
      <c r="B605" s="17" t="s">
        <v>638</v>
      </c>
      <c r="C605" s="7" t="s">
        <v>28</v>
      </c>
      <c r="D605" s="8" t="s">
        <v>642</v>
      </c>
      <c r="E605" s="18">
        <v>45616.0</v>
      </c>
      <c r="F605" s="6">
        <v>5.0</v>
      </c>
      <c r="G605" s="6">
        <v>9.0</v>
      </c>
      <c r="H605" s="6">
        <v>3.0</v>
      </c>
      <c r="I605" s="6">
        <v>3.0</v>
      </c>
      <c r="J605" s="6">
        <v>6.0</v>
      </c>
      <c r="K605" s="10">
        <v>0.595360994338989</v>
      </c>
      <c r="L605" s="10">
        <v>0.148706153035163</v>
      </c>
      <c r="M605" s="10">
        <v>0.00188321992754936</v>
      </c>
      <c r="N605" s="11">
        <v>0.0018829447</v>
      </c>
      <c r="O605" s="6">
        <f t="shared" si="1"/>
        <v>0.0000002752275494</v>
      </c>
      <c r="P605" s="6">
        <v>0.0</v>
      </c>
      <c r="Q605" s="6">
        <v>0.074074074074074</v>
      </c>
      <c r="R605" s="6">
        <v>0.7712</v>
      </c>
      <c r="S605" s="6">
        <v>0.7712</v>
      </c>
      <c r="T605" s="6">
        <v>13.941935483871</v>
      </c>
    </row>
    <row r="606">
      <c r="A606" s="5" t="s">
        <v>20</v>
      </c>
      <c r="B606" s="17" t="s">
        <v>638</v>
      </c>
      <c r="C606" s="7" t="s">
        <v>30</v>
      </c>
      <c r="D606" s="8" t="s">
        <v>643</v>
      </c>
      <c r="E606" s="18">
        <v>45616.0</v>
      </c>
      <c r="F606" s="6">
        <v>7.0</v>
      </c>
      <c r="G606" s="6">
        <v>4.0</v>
      </c>
      <c r="H606" s="6">
        <v>8.0</v>
      </c>
      <c r="I606" s="6">
        <v>3.0</v>
      </c>
      <c r="J606" s="6">
        <v>9.0</v>
      </c>
      <c r="K606" s="10">
        <v>0.622851431369781</v>
      </c>
      <c r="L606" s="10">
        <v>0.207759246230125</v>
      </c>
      <c r="M606" s="10">
        <v>0.0428378321230411</v>
      </c>
      <c r="N606" s="11">
        <v>0.042837955</v>
      </c>
      <c r="O606" s="6">
        <f t="shared" si="1"/>
        <v>-0.0000001228769589</v>
      </c>
      <c r="P606" s="6">
        <v>0.022222222222222</v>
      </c>
      <c r="Q606" s="6">
        <v>0.136363636363636</v>
      </c>
      <c r="R606" s="6">
        <v>0.9549</v>
      </c>
      <c r="S606" s="6">
        <v>0.9549</v>
      </c>
      <c r="T606" s="6">
        <v>17.8333333333333</v>
      </c>
    </row>
    <row r="607">
      <c r="A607" s="5" t="s">
        <v>20</v>
      </c>
      <c r="B607" s="17" t="s">
        <v>638</v>
      </c>
      <c r="C607" s="7" t="s">
        <v>32</v>
      </c>
      <c r="D607" s="8" t="s">
        <v>644</v>
      </c>
      <c r="E607" s="18">
        <v>45616.0</v>
      </c>
      <c r="F607" s="6">
        <v>7.0</v>
      </c>
      <c r="G607" s="6">
        <v>4.0</v>
      </c>
      <c r="H607" s="6">
        <v>8.0</v>
      </c>
      <c r="I607" s="6">
        <v>3.0</v>
      </c>
      <c r="J607" s="6">
        <v>6.0</v>
      </c>
      <c r="K607" s="10">
        <v>0.593976259231567</v>
      </c>
      <c r="L607" s="10">
        <v>0.150999754667282</v>
      </c>
      <c r="M607" s="10">
        <v>-0.0138578861951828</v>
      </c>
      <c r="N607" s="11">
        <v>-0.013857923</v>
      </c>
      <c r="O607" s="6">
        <f t="shared" si="1"/>
        <v>0.0000000368048172</v>
      </c>
      <c r="P607" s="6">
        <v>0.040816326530612</v>
      </c>
      <c r="Q607" s="6">
        <v>0.152173913043478</v>
      </c>
      <c r="R607" s="6">
        <v>0.9797</v>
      </c>
      <c r="S607" s="6">
        <v>0.9797</v>
      </c>
      <c r="T607" s="6">
        <v>11.2669387755102</v>
      </c>
    </row>
    <row r="608">
      <c r="A608" s="5" t="s">
        <v>20</v>
      </c>
      <c r="B608" s="17" t="s">
        <v>638</v>
      </c>
      <c r="C608" s="7" t="s">
        <v>34</v>
      </c>
      <c r="D608" s="8" t="s">
        <v>645</v>
      </c>
      <c r="E608" s="18">
        <v>45616.0</v>
      </c>
      <c r="F608" s="6">
        <v>5.0</v>
      </c>
      <c r="G608" s="6">
        <v>4.0</v>
      </c>
      <c r="H608" s="6">
        <v>3.0</v>
      </c>
      <c r="I608" s="6">
        <v>3.0</v>
      </c>
      <c r="J608" s="6">
        <v>6.0</v>
      </c>
      <c r="K608" s="10">
        <v>0.595407783985137</v>
      </c>
      <c r="L608" s="10">
        <v>0.158745661377906</v>
      </c>
      <c r="M608" s="10">
        <v>0.156200289726257</v>
      </c>
      <c r="N608" s="11">
        <v>0.15620027</v>
      </c>
      <c r="O608" s="6">
        <f t="shared" si="1"/>
        <v>0.00000001972625699</v>
      </c>
      <c r="P608" s="6">
        <v>0.034482758620689</v>
      </c>
      <c r="Q608" s="6">
        <v>0.074074074074074</v>
      </c>
      <c r="R608" s="6">
        <v>0.9535</v>
      </c>
      <c r="S608" s="6">
        <v>0.9535</v>
      </c>
      <c r="T608" s="6">
        <v>18.0724137931035</v>
      </c>
    </row>
    <row r="609">
      <c r="A609" s="5" t="s">
        <v>20</v>
      </c>
      <c r="B609" s="17" t="s">
        <v>638</v>
      </c>
      <c r="C609" s="7" t="s">
        <v>36</v>
      </c>
      <c r="D609" s="8" t="s">
        <v>646</v>
      </c>
      <c r="E609" s="18">
        <v>45616.0</v>
      </c>
      <c r="F609" s="6">
        <v>7.0</v>
      </c>
      <c r="G609" s="6">
        <v>4.0</v>
      </c>
      <c r="H609" s="6">
        <v>3.0</v>
      </c>
      <c r="I609" s="6">
        <v>3.0</v>
      </c>
      <c r="J609" s="6">
        <v>6.0</v>
      </c>
      <c r="K609" s="10">
        <v>0.597891688346862</v>
      </c>
      <c r="L609" s="10">
        <v>0.170444965362548</v>
      </c>
      <c r="M609" s="10">
        <v>0.119894742965698</v>
      </c>
      <c r="N609" s="11">
        <v>0.119894676</v>
      </c>
      <c r="O609" s="6">
        <f t="shared" si="1"/>
        <v>0.000000066965698</v>
      </c>
      <c r="P609" s="6">
        <v>0.023255813953488</v>
      </c>
      <c r="Q609" s="6">
        <v>0.146341463414634</v>
      </c>
      <c r="R609" s="6">
        <v>0.9615</v>
      </c>
      <c r="S609" s="6">
        <v>0.9615</v>
      </c>
      <c r="T609" s="6">
        <v>17.8263565891473</v>
      </c>
    </row>
    <row r="610">
      <c r="A610" s="5" t="s">
        <v>20</v>
      </c>
      <c r="B610" s="17" t="s">
        <v>638</v>
      </c>
      <c r="C610" s="7" t="s">
        <v>38</v>
      </c>
      <c r="D610" s="8" t="s">
        <v>647</v>
      </c>
      <c r="E610" s="18">
        <v>45616.0</v>
      </c>
      <c r="F610" s="6">
        <v>5.0</v>
      </c>
      <c r="G610" s="6">
        <v>4.0</v>
      </c>
      <c r="H610" s="6">
        <v>3.0</v>
      </c>
      <c r="I610" s="6">
        <v>3.0</v>
      </c>
      <c r="J610" s="6">
        <v>9.0</v>
      </c>
      <c r="K610" s="10">
        <v>0.628450691699981</v>
      </c>
      <c r="L610" s="10">
        <v>0.186728119850158</v>
      </c>
      <c r="M610" s="10">
        <v>-0.215129345655441</v>
      </c>
      <c r="N610" s="11">
        <v>-0.21512918</v>
      </c>
      <c r="O610" s="6">
        <f t="shared" si="1"/>
        <v>-0.000000165655441</v>
      </c>
      <c r="P610" s="6">
        <v>0.019607843137254</v>
      </c>
      <c r="Q610" s="6">
        <v>0.10204081632653</v>
      </c>
      <c r="R610" s="6">
        <v>0.0</v>
      </c>
      <c r="S610" s="6">
        <v>0.0</v>
      </c>
      <c r="T610" s="6">
        <v>17.7803921568627</v>
      </c>
    </row>
    <row r="611">
      <c r="A611" s="5" t="s">
        <v>20</v>
      </c>
      <c r="B611" s="28" t="s">
        <v>638</v>
      </c>
      <c r="C611" s="7" t="s">
        <v>40</v>
      </c>
      <c r="D611" s="13" t="s">
        <v>648</v>
      </c>
      <c r="E611" s="18">
        <v>45616.0</v>
      </c>
      <c r="F611" s="6">
        <v>5.0</v>
      </c>
      <c r="G611" s="6">
        <v>4.0</v>
      </c>
      <c r="H611" s="6">
        <v>3.0</v>
      </c>
      <c r="I611" s="6">
        <v>7.0</v>
      </c>
      <c r="J611" s="6">
        <v>6.0</v>
      </c>
      <c r="K611" s="14">
        <v>0.621560335159301</v>
      </c>
      <c r="L611" s="14">
        <v>0.20244862139225</v>
      </c>
      <c r="M611" s="14">
        <v>0.021057866513729</v>
      </c>
      <c r="N611" s="11">
        <v>0.02105793</v>
      </c>
      <c r="O611" s="6">
        <f t="shared" si="1"/>
        <v>-0.000000063486271</v>
      </c>
      <c r="P611" s="5">
        <v>0.047619047619047</v>
      </c>
      <c r="Q611" s="6">
        <v>0.102564102564102</v>
      </c>
      <c r="R611" s="6">
        <v>0.7754</v>
      </c>
      <c r="S611" s="6">
        <v>0.7754</v>
      </c>
      <c r="T611" s="6">
        <v>11.8190476190476</v>
      </c>
    </row>
    <row r="612">
      <c r="A612" s="5" t="s">
        <v>42</v>
      </c>
      <c r="B612" s="27" t="s">
        <v>638</v>
      </c>
      <c r="C612" s="7" t="s">
        <v>43</v>
      </c>
      <c r="D612" s="8" t="s">
        <v>649</v>
      </c>
      <c r="E612" s="18">
        <v>45616.0</v>
      </c>
      <c r="F612" s="6">
        <v>7.0</v>
      </c>
      <c r="G612" s="6">
        <v>4.0</v>
      </c>
      <c r="H612" s="6">
        <v>3.0</v>
      </c>
      <c r="I612" s="6">
        <v>3.0</v>
      </c>
      <c r="J612" s="6">
        <v>6.0</v>
      </c>
      <c r="K612" s="10">
        <v>0.631167471408844</v>
      </c>
      <c r="L612" s="10">
        <v>0.17926700413227</v>
      </c>
      <c r="M612" s="10">
        <v>0.0584278926253318</v>
      </c>
      <c r="N612" s="11">
        <v>0.05842759</v>
      </c>
      <c r="O612" s="6">
        <f t="shared" si="1"/>
        <v>0.0000003026253318</v>
      </c>
      <c r="P612" s="6">
        <v>0.063829787234042</v>
      </c>
      <c r="Q612" s="6">
        <v>0.068181818181818</v>
      </c>
      <c r="R612" s="6">
        <v>0.9871</v>
      </c>
      <c r="S612" s="6">
        <v>0.9871</v>
      </c>
      <c r="T612" s="6">
        <v>17.9106382978723</v>
      </c>
    </row>
    <row r="613">
      <c r="A613" s="5" t="s">
        <v>42</v>
      </c>
      <c r="B613" s="27" t="s">
        <v>638</v>
      </c>
      <c r="C613" s="7" t="s">
        <v>45</v>
      </c>
      <c r="D613" s="8" t="s">
        <v>650</v>
      </c>
      <c r="E613" s="18">
        <v>45616.0</v>
      </c>
      <c r="F613" s="6">
        <v>5.0</v>
      </c>
      <c r="G613" s="6">
        <v>4.0</v>
      </c>
      <c r="H613" s="6">
        <v>8.0</v>
      </c>
      <c r="I613" s="6">
        <v>3.0</v>
      </c>
      <c r="J613" s="6">
        <v>6.0</v>
      </c>
      <c r="K613" s="10">
        <v>0.614439249038696</v>
      </c>
      <c r="L613" s="10">
        <v>0.171959429979324</v>
      </c>
      <c r="M613" s="10">
        <v>-0.00107964873313903</v>
      </c>
      <c r="N613" s="11">
        <v>-0.0010797451</v>
      </c>
      <c r="O613" s="6">
        <f t="shared" si="1"/>
        <v>0.00000009636686097</v>
      </c>
      <c r="P613" s="6">
        <v>0.078431372549019</v>
      </c>
      <c r="Q613" s="6">
        <v>0.127659574468085</v>
      </c>
      <c r="R613" s="6">
        <v>0.8955</v>
      </c>
      <c r="S613" s="6">
        <v>0.8955</v>
      </c>
      <c r="T613" s="6">
        <v>21.7019607843137</v>
      </c>
    </row>
    <row r="614">
      <c r="A614" s="5" t="s">
        <v>42</v>
      </c>
      <c r="B614" s="27" t="s">
        <v>638</v>
      </c>
      <c r="C614" s="7" t="s">
        <v>47</v>
      </c>
      <c r="D614" s="8" t="s">
        <v>651</v>
      </c>
      <c r="E614" s="18">
        <v>45616.0</v>
      </c>
      <c r="F614" s="6">
        <v>7.0</v>
      </c>
      <c r="G614" s="6">
        <v>4.0</v>
      </c>
      <c r="H614" s="6">
        <v>8.0</v>
      </c>
      <c r="I614" s="6">
        <v>3.0</v>
      </c>
      <c r="J614" s="6">
        <v>6.0</v>
      </c>
      <c r="K614" s="10">
        <v>0.608859837055206</v>
      </c>
      <c r="L614" s="10">
        <v>0.172759935259819</v>
      </c>
      <c r="M614" s="10">
        <v>-0.0545900911092758</v>
      </c>
      <c r="N614" s="11">
        <v>-0.054590393</v>
      </c>
      <c r="O614" s="6">
        <f t="shared" si="1"/>
        <v>0.0000003018907242</v>
      </c>
      <c r="P614" s="6">
        <v>0.035087719298245</v>
      </c>
      <c r="Q614" s="6">
        <v>0.094339622641509</v>
      </c>
      <c r="R614" s="6">
        <v>0.9796</v>
      </c>
      <c r="S614" s="6">
        <v>0.9796</v>
      </c>
      <c r="T614" s="6">
        <v>17.4245614035088</v>
      </c>
    </row>
    <row r="615">
      <c r="A615" s="5" t="s">
        <v>42</v>
      </c>
      <c r="B615" s="27" t="s">
        <v>638</v>
      </c>
      <c r="C615" s="7" t="s">
        <v>49</v>
      </c>
      <c r="D615" s="8" t="s">
        <v>652</v>
      </c>
      <c r="E615" s="18">
        <v>45616.0</v>
      </c>
      <c r="F615" s="6">
        <v>7.0</v>
      </c>
      <c r="G615" s="6">
        <v>9.0</v>
      </c>
      <c r="H615" s="6">
        <v>5.0</v>
      </c>
      <c r="I615" s="6">
        <v>3.0</v>
      </c>
      <c r="J615" s="6">
        <v>6.0</v>
      </c>
      <c r="K615" s="10">
        <v>0.628318846225738</v>
      </c>
      <c r="L615" s="10">
        <v>0.195052877068519</v>
      </c>
      <c r="M615" s="10">
        <v>0.0996687710285186</v>
      </c>
      <c r="N615" s="11">
        <v>0.09966878</v>
      </c>
      <c r="O615" s="6">
        <f t="shared" si="1"/>
        <v>-0.000000008971481405</v>
      </c>
      <c r="P615" s="6">
        <v>0.029411764705882</v>
      </c>
      <c r="Q615" s="6">
        <v>0.063492063492063</v>
      </c>
      <c r="R615" s="6">
        <v>0.9801</v>
      </c>
      <c r="S615" s="6">
        <v>0.9801</v>
      </c>
      <c r="T615" s="6">
        <v>15.44</v>
      </c>
    </row>
    <row r="616">
      <c r="A616" s="5" t="s">
        <v>42</v>
      </c>
      <c r="B616" s="27" t="s">
        <v>638</v>
      </c>
      <c r="C616" s="7" t="s">
        <v>51</v>
      </c>
      <c r="D616" s="8" t="s">
        <v>653</v>
      </c>
      <c r="E616" s="18">
        <v>45616.0</v>
      </c>
      <c r="F616" s="6">
        <v>5.0</v>
      </c>
      <c r="G616" s="6">
        <v>4.0</v>
      </c>
      <c r="H616" s="6">
        <v>8.0</v>
      </c>
      <c r="I616" s="6">
        <v>3.0</v>
      </c>
      <c r="J616" s="6">
        <v>6.0</v>
      </c>
      <c r="K616" s="10">
        <v>0.616603434085846</v>
      </c>
      <c r="L616" s="10">
        <v>0.168157860636711</v>
      </c>
      <c r="M616" s="10">
        <v>0.0580770149827003</v>
      </c>
      <c r="N616" s="11">
        <v>0.05807695</v>
      </c>
      <c r="O616" s="6">
        <f t="shared" si="1"/>
        <v>0.0000000649827003</v>
      </c>
      <c r="P616" s="6">
        <v>0.033333333333333</v>
      </c>
      <c r="Q616" s="6">
        <v>0.087719298245614</v>
      </c>
      <c r="R616" s="6">
        <v>0.5994</v>
      </c>
      <c r="S616" s="6">
        <v>0.5994</v>
      </c>
      <c r="T616" s="6">
        <v>21.3333333333333</v>
      </c>
    </row>
    <row r="617">
      <c r="A617" s="5" t="s">
        <v>42</v>
      </c>
      <c r="B617" s="27" t="s">
        <v>638</v>
      </c>
      <c r="C617" s="7" t="s">
        <v>53</v>
      </c>
      <c r="D617" s="8" t="s">
        <v>654</v>
      </c>
      <c r="E617" s="18">
        <v>45616.0</v>
      </c>
      <c r="F617" s="6">
        <v>7.0</v>
      </c>
      <c r="G617" s="6">
        <v>4.0</v>
      </c>
      <c r="H617" s="6">
        <v>3.0</v>
      </c>
      <c r="I617" s="6">
        <v>3.0</v>
      </c>
      <c r="J617" s="6">
        <v>6.0</v>
      </c>
      <c r="K617" s="10">
        <v>0.630380928516387</v>
      </c>
      <c r="L617" s="10">
        <v>0.196086570620536</v>
      </c>
      <c r="M617" s="10">
        <v>0.0438020676374435</v>
      </c>
      <c r="N617" s="11">
        <v>0.04380217</v>
      </c>
      <c r="O617" s="6">
        <f t="shared" si="1"/>
        <v>-0.0000001023625565</v>
      </c>
      <c r="P617" s="6">
        <v>0.015625</v>
      </c>
      <c r="Q617" s="6">
        <v>0.114754098360655</v>
      </c>
      <c r="R617" s="6">
        <v>0.9366</v>
      </c>
      <c r="S617" s="6">
        <v>0.9366</v>
      </c>
      <c r="T617" s="6">
        <v>18.275</v>
      </c>
    </row>
    <row r="618">
      <c r="A618" s="5" t="s">
        <v>42</v>
      </c>
      <c r="B618" s="27" t="s">
        <v>638</v>
      </c>
      <c r="C618" s="7" t="s">
        <v>55</v>
      </c>
      <c r="D618" s="8" t="s">
        <v>655</v>
      </c>
      <c r="E618" s="18">
        <v>45616.0</v>
      </c>
      <c r="F618" s="6">
        <v>7.0</v>
      </c>
      <c r="G618" s="6">
        <v>4.0</v>
      </c>
      <c r="H618" s="6">
        <v>3.0</v>
      </c>
      <c r="I618" s="6">
        <v>3.0</v>
      </c>
      <c r="J618" s="6">
        <v>6.0</v>
      </c>
      <c r="K618" s="10">
        <v>0.618216872215271</v>
      </c>
      <c r="L618" s="10">
        <v>0.159727156162261</v>
      </c>
      <c r="M618" s="10">
        <v>-0.147655233740806</v>
      </c>
      <c r="N618" s="11">
        <v>-0.14765526</v>
      </c>
      <c r="O618" s="6">
        <f t="shared" si="1"/>
        <v>0.00000002625919401</v>
      </c>
      <c r="P618" s="6">
        <v>0.01</v>
      </c>
      <c r="Q618" s="6">
        <v>0.072916666666666</v>
      </c>
      <c r="R618" s="6">
        <v>0.5378</v>
      </c>
      <c r="S618" s="6">
        <v>-0.5378</v>
      </c>
      <c r="T618" s="6">
        <v>20.9142857142857</v>
      </c>
    </row>
    <row r="619">
      <c r="A619" s="5" t="s">
        <v>42</v>
      </c>
      <c r="B619" s="27" t="s">
        <v>638</v>
      </c>
      <c r="C619" s="7" t="s">
        <v>57</v>
      </c>
      <c r="D619" s="8" t="s">
        <v>656</v>
      </c>
      <c r="E619" s="18">
        <v>45616.0</v>
      </c>
      <c r="F619" s="6">
        <v>9.0</v>
      </c>
      <c r="G619" s="6">
        <v>4.0</v>
      </c>
      <c r="H619" s="6">
        <v>3.0</v>
      </c>
      <c r="I619" s="6">
        <v>3.0</v>
      </c>
      <c r="J619" s="6">
        <v>6.0</v>
      </c>
      <c r="K619" s="10">
        <v>0.635703027248382</v>
      </c>
      <c r="L619" s="10">
        <v>0.182477936148643</v>
      </c>
      <c r="M619" s="10">
        <v>0.00932635180652141</v>
      </c>
      <c r="N619" s="11">
        <v>0.009326402</v>
      </c>
      <c r="O619" s="6">
        <f t="shared" si="1"/>
        <v>-0.00000005019347859</v>
      </c>
      <c r="P619" s="6">
        <v>0.044776119402985</v>
      </c>
      <c r="Q619" s="6">
        <v>0.081967213114754</v>
      </c>
      <c r="R619" s="6">
        <v>0.9465</v>
      </c>
      <c r="S619" s="6">
        <v>0.9465</v>
      </c>
      <c r="T619" s="6">
        <v>17.4462686567164</v>
      </c>
    </row>
    <row r="620">
      <c r="A620" s="5" t="s">
        <v>42</v>
      </c>
      <c r="B620" s="27" t="s">
        <v>638</v>
      </c>
      <c r="C620" s="7" t="s">
        <v>59</v>
      </c>
      <c r="D620" s="8" t="s">
        <v>657</v>
      </c>
      <c r="E620" s="18">
        <v>45616.0</v>
      </c>
      <c r="F620" s="6">
        <v>9.0</v>
      </c>
      <c r="G620" s="6">
        <v>9.0</v>
      </c>
      <c r="H620" s="6">
        <v>3.0</v>
      </c>
      <c r="I620" s="6">
        <v>3.0</v>
      </c>
      <c r="J620" s="6">
        <v>6.0</v>
      </c>
      <c r="K620" s="10">
        <v>0.601329684257507</v>
      </c>
      <c r="L620" s="10">
        <v>0.19242313504219</v>
      </c>
      <c r="M620" s="10">
        <v>-0.0510110035538673</v>
      </c>
      <c r="N620" s="11">
        <v>-0.051010817</v>
      </c>
      <c r="O620" s="6">
        <f t="shared" si="1"/>
        <v>-0.0000001865538673</v>
      </c>
      <c r="P620" s="6">
        <v>0.022471910112359</v>
      </c>
      <c r="Q620" s="6">
        <v>0.05813953488372</v>
      </c>
      <c r="R620" s="6">
        <v>0.9688</v>
      </c>
      <c r="S620" s="6">
        <v>0.9688</v>
      </c>
      <c r="T620" s="6">
        <v>18.3559550561798</v>
      </c>
    </row>
    <row r="621">
      <c r="A621" s="5" t="s">
        <v>42</v>
      </c>
      <c r="B621" s="27" t="s">
        <v>638</v>
      </c>
      <c r="C621" s="7" t="s">
        <v>61</v>
      </c>
      <c r="D621" s="8" t="s">
        <v>658</v>
      </c>
      <c r="E621" s="18">
        <v>45616.0</v>
      </c>
      <c r="F621" s="6">
        <v>7.0</v>
      </c>
      <c r="G621" s="6">
        <v>9.0</v>
      </c>
      <c r="H621" s="6">
        <v>3.0</v>
      </c>
      <c r="I621" s="6">
        <v>3.0</v>
      </c>
      <c r="J621" s="6">
        <v>6.0</v>
      </c>
      <c r="K621" s="10">
        <v>0.605784237384796</v>
      </c>
      <c r="L621" s="10">
        <v>0.156513184309005</v>
      </c>
      <c r="M621" s="10">
        <v>0.136213451623916</v>
      </c>
      <c r="N621" s="11">
        <v>0.13621357</v>
      </c>
      <c r="O621" s="6">
        <f t="shared" si="1"/>
        <v>-0.000000118376084</v>
      </c>
      <c r="P621" s="6">
        <v>0.0</v>
      </c>
      <c r="Q621" s="6">
        <v>0.066666666666666</v>
      </c>
      <c r="R621" s="6">
        <v>0.9665</v>
      </c>
      <c r="S621" s="6">
        <v>0.9665</v>
      </c>
      <c r="T621" s="6">
        <v>11.4</v>
      </c>
    </row>
    <row r="622">
      <c r="A622" s="5" t="s">
        <v>63</v>
      </c>
      <c r="B622" s="27" t="s">
        <v>638</v>
      </c>
      <c r="C622" s="7" t="s">
        <v>64</v>
      </c>
      <c r="D622" s="8" t="s">
        <v>659</v>
      </c>
      <c r="E622" s="18">
        <v>45616.0</v>
      </c>
      <c r="F622" s="6">
        <v>9.0</v>
      </c>
      <c r="G622" s="6">
        <v>7.0</v>
      </c>
      <c r="H622" s="6">
        <v>8.0</v>
      </c>
      <c r="I622" s="6">
        <v>7.0</v>
      </c>
      <c r="J622" s="6">
        <v>6.0</v>
      </c>
      <c r="K622" s="10">
        <v>0.627599537372589</v>
      </c>
      <c r="L622" s="10">
        <v>0.170274943113327</v>
      </c>
      <c r="M622" s="10">
        <v>0.153794661164283</v>
      </c>
      <c r="N622" s="11">
        <v>0.15379465</v>
      </c>
      <c r="O622" s="6">
        <f t="shared" si="1"/>
        <v>0.000000011164283</v>
      </c>
      <c r="P622" s="6">
        <v>0.083769633507853</v>
      </c>
      <c r="Q622" s="6">
        <v>0.028089887640449</v>
      </c>
      <c r="R622" s="6">
        <v>0.9291</v>
      </c>
      <c r="S622" s="6">
        <v>-0.9291</v>
      </c>
      <c r="T622" s="6">
        <v>16.2035402642733</v>
      </c>
    </row>
    <row r="623">
      <c r="A623" s="5" t="s">
        <v>63</v>
      </c>
      <c r="B623" s="27" t="s">
        <v>638</v>
      </c>
      <c r="C623" s="7" t="s">
        <v>66</v>
      </c>
      <c r="D623" s="8" t="s">
        <v>660</v>
      </c>
      <c r="E623" s="18">
        <v>45616.0</v>
      </c>
      <c r="F623" s="6">
        <v>7.0</v>
      </c>
      <c r="G623" s="6">
        <v>7.0</v>
      </c>
      <c r="H623" s="6">
        <v>8.0</v>
      </c>
      <c r="I623" s="6">
        <v>3.0</v>
      </c>
      <c r="J623" s="6">
        <v>6.0</v>
      </c>
      <c r="K623" s="10">
        <v>0.609720528125762</v>
      </c>
      <c r="L623" s="10">
        <v>0.14199973642826</v>
      </c>
      <c r="M623" s="10">
        <v>0.185782730579376</v>
      </c>
      <c r="N623" s="11">
        <v>0.18578263</v>
      </c>
      <c r="O623" s="6">
        <f t="shared" si="1"/>
        <v>0.000000100579376</v>
      </c>
      <c r="P623" s="6">
        <v>0.065573770491803</v>
      </c>
      <c r="Q623" s="6">
        <v>0.041666666666666</v>
      </c>
      <c r="R623" s="6">
        <v>0.7734</v>
      </c>
      <c r="S623" s="6">
        <v>0.7734</v>
      </c>
      <c r="T623" s="6">
        <v>19.7583138173302</v>
      </c>
    </row>
    <row r="624">
      <c r="A624" s="5" t="s">
        <v>63</v>
      </c>
      <c r="B624" s="27" t="s">
        <v>638</v>
      </c>
      <c r="C624" s="7" t="s">
        <v>68</v>
      </c>
      <c r="D624" s="8" t="s">
        <v>661</v>
      </c>
      <c r="E624" s="18">
        <v>45616.0</v>
      </c>
      <c r="F624" s="6">
        <v>7.0</v>
      </c>
      <c r="G624" s="6">
        <v>4.0</v>
      </c>
      <c r="H624" s="6">
        <v>8.0</v>
      </c>
      <c r="I624" s="6">
        <v>7.0</v>
      </c>
      <c r="J624" s="6">
        <v>6.0</v>
      </c>
      <c r="K624" s="10">
        <v>0.615580558776855</v>
      </c>
      <c r="L624" s="10">
        <v>0.196405887603759</v>
      </c>
      <c r="M624" s="10">
        <v>-0.143260985612869</v>
      </c>
      <c r="N624" s="11">
        <v>-0.14326134</v>
      </c>
      <c r="O624" s="6">
        <f t="shared" si="1"/>
        <v>0.000000354387131</v>
      </c>
      <c r="P624" s="6">
        <v>0.053571428571428</v>
      </c>
      <c r="Q624" s="6">
        <v>0.113207547169811</v>
      </c>
      <c r="R624" s="6">
        <v>0.9445</v>
      </c>
      <c r="S624" s="6">
        <v>0.9445</v>
      </c>
      <c r="T624" s="6">
        <v>20.4857142857143</v>
      </c>
    </row>
    <row r="625">
      <c r="A625" s="5" t="s">
        <v>63</v>
      </c>
      <c r="B625" s="27" t="s">
        <v>638</v>
      </c>
      <c r="C625" s="7" t="s">
        <v>70</v>
      </c>
      <c r="D625" s="8" t="s">
        <v>662</v>
      </c>
      <c r="E625" s="18">
        <v>45616.0</v>
      </c>
      <c r="F625" s="6">
        <v>5.0</v>
      </c>
      <c r="G625" s="6">
        <v>9.0</v>
      </c>
      <c r="H625" s="6">
        <v>3.0</v>
      </c>
      <c r="I625" s="6">
        <v>7.0</v>
      </c>
      <c r="J625" s="6">
        <v>6.0</v>
      </c>
      <c r="K625" s="10">
        <v>0.609190344810485</v>
      </c>
      <c r="L625" s="10">
        <v>0.174135938286781</v>
      </c>
      <c r="M625" s="10">
        <v>0.0940613150596618</v>
      </c>
      <c r="N625" s="11">
        <v>0.09406097</v>
      </c>
      <c r="O625" s="6">
        <f t="shared" si="1"/>
        <v>0.0000003450596618</v>
      </c>
      <c r="P625" s="6">
        <v>0.02</v>
      </c>
      <c r="Q625" s="6">
        <v>0.082474226804123</v>
      </c>
      <c r="R625" s="6">
        <v>0.9929</v>
      </c>
      <c r="S625" s="6">
        <v>0.9929</v>
      </c>
      <c r="T625" s="6">
        <v>21.4666666666667</v>
      </c>
    </row>
    <row r="626">
      <c r="A626" s="5" t="s">
        <v>63</v>
      </c>
      <c r="B626" s="27" t="s">
        <v>638</v>
      </c>
      <c r="C626" s="7" t="s">
        <v>72</v>
      </c>
      <c r="D626" s="8" t="s">
        <v>663</v>
      </c>
      <c r="E626" s="18">
        <v>45616.0</v>
      </c>
      <c r="F626" s="6">
        <v>7.0</v>
      </c>
      <c r="G626" s="6">
        <v>4.0</v>
      </c>
      <c r="H626" s="6">
        <v>8.0</v>
      </c>
      <c r="I626" s="6">
        <v>3.0</v>
      </c>
      <c r="J626" s="6">
        <v>6.0</v>
      </c>
      <c r="K626" s="10">
        <v>0.621280014514923</v>
      </c>
      <c r="L626" s="10">
        <v>0.150790825486183</v>
      </c>
      <c r="M626" s="10">
        <v>0.117464341223239</v>
      </c>
      <c r="N626" s="11">
        <v>0.11746401</v>
      </c>
      <c r="O626" s="6">
        <f t="shared" si="1"/>
        <v>0.000000331223239</v>
      </c>
      <c r="P626" s="6">
        <v>0.047619047619047</v>
      </c>
      <c r="Q626" s="6">
        <v>0.063291139240506</v>
      </c>
      <c r="R626" s="6">
        <v>0.8442</v>
      </c>
      <c r="S626" s="6">
        <v>0.8442</v>
      </c>
      <c r="T626" s="6">
        <v>21.2571428571429</v>
      </c>
    </row>
    <row r="627">
      <c r="A627" s="5" t="s">
        <v>63</v>
      </c>
      <c r="B627" s="27" t="s">
        <v>638</v>
      </c>
      <c r="C627" s="7" t="s">
        <v>74</v>
      </c>
      <c r="D627" s="8" t="s">
        <v>664</v>
      </c>
      <c r="E627" s="18">
        <v>45616.0</v>
      </c>
      <c r="F627" s="6">
        <v>7.0</v>
      </c>
      <c r="G627" s="6">
        <v>4.0</v>
      </c>
      <c r="H627" s="6">
        <v>8.0</v>
      </c>
      <c r="I627" s="6">
        <v>3.0</v>
      </c>
      <c r="J627" s="6">
        <v>6.0</v>
      </c>
      <c r="K627" s="10">
        <v>0.62788051366806</v>
      </c>
      <c r="L627" s="10">
        <v>0.177146077156066</v>
      </c>
      <c r="M627" s="10">
        <v>0.00968116521835327</v>
      </c>
      <c r="N627" s="11">
        <v>0.009680882</v>
      </c>
      <c r="O627" s="6">
        <f t="shared" si="1"/>
        <v>0.0000002832183533</v>
      </c>
      <c r="P627" s="6">
        <v>0.049504950495049</v>
      </c>
      <c r="Q627" s="6">
        <v>0.085106382978723</v>
      </c>
      <c r="R627" s="6">
        <v>0.9883</v>
      </c>
      <c r="S627" s="6">
        <v>0.9883</v>
      </c>
      <c r="T627" s="6">
        <v>21.9811881188119</v>
      </c>
    </row>
    <row r="628">
      <c r="A628" s="5" t="s">
        <v>63</v>
      </c>
      <c r="B628" s="27" t="s">
        <v>638</v>
      </c>
      <c r="C628" s="7" t="s">
        <v>76</v>
      </c>
      <c r="D628" s="8" t="s">
        <v>665</v>
      </c>
      <c r="E628" s="18">
        <v>45616.0</v>
      </c>
      <c r="F628" s="6">
        <v>5.0</v>
      </c>
      <c r="G628" s="6">
        <v>4.0</v>
      </c>
      <c r="H628" s="6">
        <v>8.0</v>
      </c>
      <c r="I628" s="6">
        <v>7.0</v>
      </c>
      <c r="J628" s="6">
        <v>6.0</v>
      </c>
      <c r="K628" s="10">
        <v>0.614768743515014</v>
      </c>
      <c r="L628" s="10">
        <v>0.15039487183094</v>
      </c>
      <c r="M628" s="10">
        <v>0.069387674331665</v>
      </c>
      <c r="N628" s="11">
        <v>0.06938774</v>
      </c>
      <c r="O628" s="6">
        <f t="shared" si="1"/>
        <v>-0.00000006566833501</v>
      </c>
      <c r="P628" s="6">
        <v>0.016064257028112</v>
      </c>
      <c r="Q628" s="6">
        <v>0.02928870292887</v>
      </c>
      <c r="R628" s="6">
        <v>0.9942</v>
      </c>
      <c r="S628" s="6">
        <v>0.9942</v>
      </c>
      <c r="T628" s="6">
        <v>19.3063891931362</v>
      </c>
    </row>
    <row r="629">
      <c r="A629" s="5" t="s">
        <v>63</v>
      </c>
      <c r="B629" s="27" t="s">
        <v>638</v>
      </c>
      <c r="C629" s="7" t="s">
        <v>78</v>
      </c>
      <c r="D629" s="8" t="s">
        <v>666</v>
      </c>
      <c r="E629" s="18">
        <v>45616.0</v>
      </c>
      <c r="F629" s="6">
        <v>9.0</v>
      </c>
      <c r="G629" s="6">
        <v>4.0</v>
      </c>
      <c r="H629" s="6">
        <v>8.0</v>
      </c>
      <c r="I629" s="6">
        <v>7.0</v>
      </c>
      <c r="J629" s="6">
        <v>6.0</v>
      </c>
      <c r="K629" s="10">
        <v>0.612502813339233</v>
      </c>
      <c r="L629" s="10">
        <v>0.160165026783943</v>
      </c>
      <c r="M629" s="10">
        <v>-0.0416169762611389</v>
      </c>
      <c r="N629" s="11">
        <v>-0.041616976</v>
      </c>
      <c r="O629" s="6">
        <f t="shared" si="1"/>
        <v>-0.0000000002611389022</v>
      </c>
      <c r="P629" s="6">
        <v>0.026819923371647</v>
      </c>
      <c r="Q629" s="6">
        <v>0.08267716535433</v>
      </c>
      <c r="R629" s="6">
        <v>0.9978</v>
      </c>
      <c r="S629" s="6">
        <v>0.9978</v>
      </c>
      <c r="T629" s="6">
        <v>18.2150433555152</v>
      </c>
    </row>
    <row r="630">
      <c r="A630" s="5" t="s">
        <v>63</v>
      </c>
      <c r="B630" s="27" t="s">
        <v>638</v>
      </c>
      <c r="C630" s="7" t="s">
        <v>80</v>
      </c>
      <c r="D630" s="8" t="s">
        <v>667</v>
      </c>
      <c r="E630" s="18">
        <v>45616.0</v>
      </c>
      <c r="F630" s="6">
        <v>5.0</v>
      </c>
      <c r="G630" s="6">
        <v>9.0</v>
      </c>
      <c r="H630" s="6">
        <v>8.0</v>
      </c>
      <c r="I630" s="6">
        <v>7.0</v>
      </c>
      <c r="J630" s="6">
        <v>6.0</v>
      </c>
      <c r="K630" s="10">
        <v>0.623322069644928</v>
      </c>
      <c r="L630" s="10">
        <v>0.17888194322586</v>
      </c>
      <c r="M630" s="10">
        <v>0.0998017415404319</v>
      </c>
      <c r="N630" s="11">
        <v>0.099801704</v>
      </c>
      <c r="O630" s="6">
        <f t="shared" si="1"/>
        <v>0.0000000375404319</v>
      </c>
      <c r="P630" s="6">
        <v>0.048128342245989</v>
      </c>
      <c r="Q630" s="6">
        <v>0.057803468208092</v>
      </c>
      <c r="R630" s="6">
        <v>0.965</v>
      </c>
      <c r="S630" s="6">
        <v>0.965</v>
      </c>
      <c r="T630" s="6">
        <v>17.5353705118411</v>
      </c>
    </row>
    <row r="631">
      <c r="A631" s="5" t="s">
        <v>63</v>
      </c>
      <c r="B631" s="27" t="s">
        <v>638</v>
      </c>
      <c r="C631" s="7" t="s">
        <v>82</v>
      </c>
      <c r="D631" s="8" t="s">
        <v>668</v>
      </c>
      <c r="E631" s="18">
        <v>45616.0</v>
      </c>
      <c r="F631" s="6">
        <v>7.0</v>
      </c>
      <c r="G631" s="6">
        <v>7.0</v>
      </c>
      <c r="H631" s="6">
        <v>3.0</v>
      </c>
      <c r="I631" s="6">
        <v>3.0</v>
      </c>
      <c r="J631" s="6">
        <v>6.0</v>
      </c>
      <c r="K631" s="10">
        <v>0.612771987915039</v>
      </c>
      <c r="L631" s="10">
        <v>0.158222466707229</v>
      </c>
      <c r="M631" s="10">
        <v>0.0299081429839134</v>
      </c>
      <c r="N631" s="11">
        <v>0.029908042</v>
      </c>
      <c r="O631" s="6">
        <f t="shared" si="1"/>
        <v>0.0000001009839134</v>
      </c>
      <c r="P631" s="6">
        <v>0.037974683544303</v>
      </c>
      <c r="Q631" s="6">
        <v>0.072847682119205</v>
      </c>
      <c r="R631" s="6">
        <v>0.9413</v>
      </c>
      <c r="S631" s="6">
        <v>0.9413</v>
      </c>
      <c r="T631" s="6">
        <v>16.3893108298172</v>
      </c>
    </row>
    <row r="632">
      <c r="A632" s="5" t="s">
        <v>84</v>
      </c>
      <c r="B632" s="27" t="s">
        <v>638</v>
      </c>
      <c r="C632" s="7" t="s">
        <v>85</v>
      </c>
      <c r="D632" s="8" t="s">
        <v>669</v>
      </c>
      <c r="E632" s="18">
        <v>45616.0</v>
      </c>
      <c r="F632" s="6">
        <v>7.0</v>
      </c>
      <c r="G632" s="6">
        <v>4.0</v>
      </c>
      <c r="H632" s="6">
        <v>8.0</v>
      </c>
      <c r="I632" s="6">
        <v>3.0</v>
      </c>
      <c r="J632" s="6">
        <v>6.0</v>
      </c>
      <c r="K632" s="10">
        <v>0.613762259483337</v>
      </c>
      <c r="L632" s="10">
        <v>0.160895630717277</v>
      </c>
      <c r="M632" s="10">
        <v>0.140889525413513</v>
      </c>
      <c r="N632" s="11">
        <v>0.14088933</v>
      </c>
      <c r="O632" s="6">
        <f t="shared" si="1"/>
        <v>0.000000195413513</v>
      </c>
      <c r="P632" s="6">
        <v>0.043478260869565</v>
      </c>
      <c r="Q632" s="6">
        <v>0.032</v>
      </c>
      <c r="R632" s="6">
        <v>0.9967</v>
      </c>
      <c r="S632" s="6">
        <v>0.9967</v>
      </c>
      <c r="T632" s="6">
        <v>21.9072463768116</v>
      </c>
    </row>
    <row r="633">
      <c r="A633" s="5" t="s">
        <v>84</v>
      </c>
      <c r="B633" s="27" t="s">
        <v>638</v>
      </c>
      <c r="C633" s="7" t="s">
        <v>87</v>
      </c>
      <c r="D633" s="8" t="s">
        <v>670</v>
      </c>
      <c r="E633" s="18">
        <v>45616.0</v>
      </c>
      <c r="F633" s="6">
        <v>9.0</v>
      </c>
      <c r="G633" s="6">
        <v>4.0</v>
      </c>
      <c r="H633" s="6">
        <v>8.0</v>
      </c>
      <c r="I633" s="6">
        <v>9.0</v>
      </c>
      <c r="J633" s="6">
        <v>6.0</v>
      </c>
      <c r="K633" s="10">
        <v>0.607108414173126</v>
      </c>
      <c r="L633" s="10">
        <v>0.162480860948562</v>
      </c>
      <c r="M633" s="10">
        <v>0.129550874233245</v>
      </c>
      <c r="N633" s="11">
        <v>0.12955062</v>
      </c>
      <c r="O633" s="6">
        <f t="shared" si="1"/>
        <v>0.000000254233245</v>
      </c>
      <c r="P633" s="6">
        <v>0.038461538461538</v>
      </c>
      <c r="Q633" s="6">
        <v>0.10655737704918</v>
      </c>
      <c r="R633" s="6">
        <v>0.9782</v>
      </c>
      <c r="S633" s="6">
        <v>0.9782</v>
      </c>
      <c r="T633" s="6">
        <v>19.4358974358974</v>
      </c>
    </row>
    <row r="634">
      <c r="A634" s="5" t="s">
        <v>84</v>
      </c>
      <c r="B634" s="27" t="s">
        <v>638</v>
      </c>
      <c r="C634" s="7" t="s">
        <v>89</v>
      </c>
      <c r="D634" s="8" t="s">
        <v>671</v>
      </c>
      <c r="E634" s="18">
        <v>45616.0</v>
      </c>
      <c r="F634" s="6">
        <v>9.0</v>
      </c>
      <c r="G634" s="6">
        <v>9.0</v>
      </c>
      <c r="H634" s="6">
        <v>8.0</v>
      </c>
      <c r="I634" s="6">
        <v>3.0</v>
      </c>
      <c r="J634" s="6">
        <v>6.0</v>
      </c>
      <c r="K634" s="10">
        <v>0.620106399059295</v>
      </c>
      <c r="L634" s="10">
        <v>0.170006513595581</v>
      </c>
      <c r="M634" s="10">
        <v>0.04904505610466</v>
      </c>
      <c r="N634" s="11">
        <v>0.049045</v>
      </c>
      <c r="O634" s="6">
        <f t="shared" si="1"/>
        <v>0.00000005610466</v>
      </c>
      <c r="P634" s="6">
        <v>0.014018691588785</v>
      </c>
      <c r="Q634" s="6">
        <v>0.020304568527918</v>
      </c>
      <c r="R634" s="6">
        <v>0.9917</v>
      </c>
      <c r="S634" s="6">
        <v>0.9917</v>
      </c>
      <c r="T634" s="6">
        <v>20.1678504672897</v>
      </c>
    </row>
    <row r="635">
      <c r="A635" s="5" t="s">
        <v>84</v>
      </c>
      <c r="B635" s="27" t="s">
        <v>638</v>
      </c>
      <c r="C635" s="7" t="s">
        <v>91</v>
      </c>
      <c r="D635" s="8" t="s">
        <v>672</v>
      </c>
      <c r="E635" s="18">
        <v>45616.0</v>
      </c>
      <c r="F635" s="6">
        <v>7.0</v>
      </c>
      <c r="G635" s="6">
        <v>4.0</v>
      </c>
      <c r="H635" s="6">
        <v>8.0</v>
      </c>
      <c r="I635" s="6">
        <v>3.0</v>
      </c>
      <c r="J635" s="6">
        <v>6.0</v>
      </c>
      <c r="K635" s="10">
        <v>0.607239603996276</v>
      </c>
      <c r="L635" s="10">
        <v>0.169663771986961</v>
      </c>
      <c r="M635" s="10">
        <v>0.150703236460685</v>
      </c>
      <c r="N635" s="11">
        <v>0.15070337</v>
      </c>
      <c r="O635" s="6">
        <f t="shared" si="1"/>
        <v>-0.000000133539315</v>
      </c>
      <c r="P635" s="6">
        <v>0.047169811320754</v>
      </c>
      <c r="Q635" s="6">
        <v>0.07</v>
      </c>
      <c r="R635" s="6">
        <v>0.9776</v>
      </c>
      <c r="S635" s="6">
        <v>0.9776</v>
      </c>
      <c r="T635" s="6">
        <v>22.4422641509434</v>
      </c>
    </row>
    <row r="636">
      <c r="A636" s="5" t="s">
        <v>84</v>
      </c>
      <c r="B636" s="27" t="s">
        <v>638</v>
      </c>
      <c r="C636" s="7" t="s">
        <v>93</v>
      </c>
      <c r="D636" s="8" t="s">
        <v>673</v>
      </c>
      <c r="E636" s="18">
        <v>45616.0</v>
      </c>
      <c r="F636" s="6">
        <v>9.0</v>
      </c>
      <c r="G636" s="6">
        <v>4.0</v>
      </c>
      <c r="H636" s="6">
        <v>8.0</v>
      </c>
      <c r="I636" s="6">
        <v>7.0</v>
      </c>
      <c r="J636" s="6">
        <v>6.0</v>
      </c>
      <c r="K636" s="10">
        <v>0.61229008436203</v>
      </c>
      <c r="L636" s="10">
        <v>0.15216340124607</v>
      </c>
      <c r="M636" s="10">
        <v>0.0762736350297927</v>
      </c>
      <c r="N636" s="11">
        <v>0.07627394</v>
      </c>
      <c r="O636" s="6">
        <f t="shared" si="1"/>
        <v>-0.0000003049702073</v>
      </c>
      <c r="P636" s="6">
        <v>0.020100502512562</v>
      </c>
      <c r="Q636" s="6">
        <v>0.026881720430107</v>
      </c>
      <c r="R636" s="6">
        <v>0.9905</v>
      </c>
      <c r="S636" s="6">
        <v>0.9905</v>
      </c>
      <c r="T636" s="6">
        <v>18.8443467336683</v>
      </c>
    </row>
    <row r="637">
      <c r="A637" s="5" t="s">
        <v>84</v>
      </c>
      <c r="B637" s="27" t="s">
        <v>638</v>
      </c>
      <c r="C637" s="7" t="s">
        <v>95</v>
      </c>
      <c r="D637" s="8" t="s">
        <v>674</v>
      </c>
      <c r="E637" s="18">
        <v>45616.0</v>
      </c>
      <c r="F637" s="6">
        <v>7.0</v>
      </c>
      <c r="G637" s="6">
        <v>9.0</v>
      </c>
      <c r="H637" s="6">
        <v>8.0</v>
      </c>
      <c r="I637" s="6">
        <v>3.0</v>
      </c>
      <c r="J637" s="6">
        <v>6.0</v>
      </c>
      <c r="K637" s="10">
        <v>0.623476028442382</v>
      </c>
      <c r="L637" s="10">
        <v>0.173608124256134</v>
      </c>
      <c r="M637" s="10">
        <v>0.0482679530978202</v>
      </c>
      <c r="N637" s="11">
        <v>0.04826793</v>
      </c>
      <c r="O637" s="6">
        <f t="shared" si="1"/>
        <v>0.0000000230978202</v>
      </c>
      <c r="P637" s="6">
        <v>0.036458333333333</v>
      </c>
      <c r="Q637" s="6">
        <v>0.0625</v>
      </c>
      <c r="R637" s="6">
        <v>0.9718</v>
      </c>
      <c r="S637" s="6">
        <v>0.9718</v>
      </c>
      <c r="T637" s="6">
        <v>16.7357142857143</v>
      </c>
    </row>
    <row r="638">
      <c r="A638" s="5" t="s">
        <v>84</v>
      </c>
      <c r="B638" s="27" t="s">
        <v>638</v>
      </c>
      <c r="C638" s="7" t="s">
        <v>97</v>
      </c>
      <c r="D638" s="8" t="s">
        <v>675</v>
      </c>
      <c r="E638" s="18">
        <v>45616.0</v>
      </c>
      <c r="F638" s="6">
        <v>9.0</v>
      </c>
      <c r="G638" s="6">
        <v>4.0</v>
      </c>
      <c r="H638" s="6">
        <v>8.0</v>
      </c>
      <c r="I638" s="6">
        <v>3.0</v>
      </c>
      <c r="J638" s="6">
        <v>6.0</v>
      </c>
      <c r="K638" s="10">
        <v>0.612371623516082</v>
      </c>
      <c r="L638" s="10">
        <v>0.150959581136703</v>
      </c>
      <c r="M638" s="10">
        <v>0.134587809443473</v>
      </c>
      <c r="N638" s="11">
        <v>0.13458797</v>
      </c>
      <c r="O638" s="6">
        <f t="shared" si="1"/>
        <v>-0.000000160556527</v>
      </c>
      <c r="P638" s="6">
        <v>0.031746031746031</v>
      </c>
      <c r="Q638" s="6">
        <v>0.08169014084507</v>
      </c>
      <c r="R638" s="6">
        <v>0.9947</v>
      </c>
      <c r="S638" s="6">
        <v>0.9947</v>
      </c>
      <c r="T638" s="6">
        <v>18.9449735449735</v>
      </c>
    </row>
    <row r="639">
      <c r="A639" s="5" t="s">
        <v>84</v>
      </c>
      <c r="B639" s="27" t="s">
        <v>638</v>
      </c>
      <c r="C639" s="7" t="s">
        <v>99</v>
      </c>
      <c r="D639" s="8" t="s">
        <v>676</v>
      </c>
      <c r="E639" s="18">
        <v>45616.0</v>
      </c>
      <c r="F639" s="6">
        <v>9.0</v>
      </c>
      <c r="G639" s="6">
        <v>9.0</v>
      </c>
      <c r="H639" s="6">
        <v>8.0</v>
      </c>
      <c r="I639" s="6">
        <v>7.0</v>
      </c>
      <c r="J639" s="6">
        <v>6.0</v>
      </c>
      <c r="K639" s="10">
        <v>0.610366940498352</v>
      </c>
      <c r="L639" s="10">
        <v>0.132872745394706</v>
      </c>
      <c r="M639" s="10">
        <v>0.0103658586740493</v>
      </c>
      <c r="N639" s="11">
        <v>0.010365777</v>
      </c>
      <c r="O639" s="6">
        <f t="shared" si="1"/>
        <v>0.0000000816740493</v>
      </c>
      <c r="P639" s="6">
        <v>0.03095238095238</v>
      </c>
      <c r="Q639" s="6">
        <v>0.031941031941031</v>
      </c>
      <c r="R639" s="6">
        <v>0.9981</v>
      </c>
      <c r="S639" s="6">
        <v>0.9981</v>
      </c>
      <c r="T639" s="6">
        <v>20.9431643625192</v>
      </c>
    </row>
    <row r="640">
      <c r="A640" s="5" t="s">
        <v>84</v>
      </c>
      <c r="B640" s="27" t="s">
        <v>638</v>
      </c>
      <c r="C640" s="7" t="s">
        <v>101</v>
      </c>
      <c r="D640" s="8" t="s">
        <v>677</v>
      </c>
      <c r="E640" s="18">
        <v>45616.0</v>
      </c>
      <c r="F640" s="6">
        <v>7.0</v>
      </c>
      <c r="G640" s="6">
        <v>9.0</v>
      </c>
      <c r="H640" s="6">
        <v>8.0</v>
      </c>
      <c r="I640" s="6">
        <v>9.0</v>
      </c>
      <c r="J640" s="6">
        <v>6.0</v>
      </c>
      <c r="K640" s="10">
        <v>0.595847725868225</v>
      </c>
      <c r="L640" s="10">
        <v>0.124821215867996</v>
      </c>
      <c r="M640" s="10">
        <v>0.239509999752044</v>
      </c>
      <c r="N640" s="11">
        <v>0.23950996</v>
      </c>
      <c r="O640" s="6">
        <f t="shared" si="1"/>
        <v>0.00000003975204402</v>
      </c>
      <c r="P640" s="6">
        <v>0.041322314049586</v>
      </c>
      <c r="Q640" s="6">
        <v>0.032051282051282</v>
      </c>
      <c r="R640" s="6">
        <v>0.998</v>
      </c>
      <c r="S640" s="6">
        <v>-0.998</v>
      </c>
      <c r="T640" s="6">
        <v>20.418648018648</v>
      </c>
    </row>
    <row r="641">
      <c r="A641" s="5" t="s">
        <v>84</v>
      </c>
      <c r="B641" s="27" t="s">
        <v>638</v>
      </c>
      <c r="C641" s="7" t="s">
        <v>103</v>
      </c>
      <c r="D641" s="8" t="s">
        <v>678</v>
      </c>
      <c r="E641" s="18">
        <v>45616.0</v>
      </c>
      <c r="F641" s="6">
        <v>9.0</v>
      </c>
      <c r="G641" s="6">
        <v>4.0</v>
      </c>
      <c r="H641" s="6">
        <v>8.0</v>
      </c>
      <c r="I641" s="6">
        <v>9.0</v>
      </c>
      <c r="J641" s="6">
        <v>6.0</v>
      </c>
      <c r="K641" s="10">
        <v>0.603097915649414</v>
      </c>
      <c r="L641" s="10">
        <v>0.175331234931945</v>
      </c>
      <c r="M641" s="10">
        <v>0.0917144045233726</v>
      </c>
      <c r="N641" s="11">
        <v>0.09171424</v>
      </c>
      <c r="O641" s="6">
        <f t="shared" si="1"/>
        <v>0.0000001645233726</v>
      </c>
      <c r="P641" s="6">
        <v>0.031872509960159</v>
      </c>
      <c r="Q641" s="6">
        <v>0.081761006289308</v>
      </c>
      <c r="R641" s="6">
        <v>0.9968</v>
      </c>
      <c r="S641" s="6">
        <v>0.9968</v>
      </c>
      <c r="T641" s="6">
        <v>18.5744373855928</v>
      </c>
    </row>
    <row r="642">
      <c r="A642" s="5" t="s">
        <v>20</v>
      </c>
      <c r="B642" s="32" t="s">
        <v>679</v>
      </c>
      <c r="C642" s="12" t="s">
        <v>22</v>
      </c>
      <c r="D642" s="12" t="s">
        <v>680</v>
      </c>
      <c r="E642" s="18">
        <v>45631.0</v>
      </c>
      <c r="F642" s="33">
        <v>3.0</v>
      </c>
      <c r="G642" s="33">
        <v>2.0</v>
      </c>
      <c r="H642" s="33">
        <v>1.0</v>
      </c>
      <c r="I642" s="33">
        <v>1.0</v>
      </c>
      <c r="J642" s="34">
        <v>1.01</v>
      </c>
      <c r="M642" s="33">
        <v>-0.133880138397216</v>
      </c>
      <c r="N642" s="35">
        <v>0.014804058</v>
      </c>
      <c r="O642" s="6">
        <f t="shared" si="1"/>
        <v>-0.1486841964</v>
      </c>
      <c r="P642" s="33">
        <v>0.03846153846</v>
      </c>
      <c r="Q642" s="33">
        <v>0.08</v>
      </c>
      <c r="R642" s="33">
        <v>0.8765</v>
      </c>
      <c r="S642" s="36">
        <v>0.8765</v>
      </c>
      <c r="T642" s="36">
        <v>14.90769231</v>
      </c>
      <c r="U642" s="37"/>
    </row>
    <row r="643">
      <c r="A643" s="5" t="s">
        <v>20</v>
      </c>
      <c r="B643" s="15" t="s">
        <v>679</v>
      </c>
      <c r="C643" s="12" t="s">
        <v>24</v>
      </c>
      <c r="D643" s="12" t="s">
        <v>681</v>
      </c>
      <c r="E643" s="18">
        <v>45631.0</v>
      </c>
      <c r="F643" s="38">
        <v>2.0</v>
      </c>
      <c r="G643" s="38">
        <v>6.0</v>
      </c>
      <c r="H643" s="38">
        <v>1.0</v>
      </c>
      <c r="I643" s="38">
        <v>1.0</v>
      </c>
      <c r="J643" s="38">
        <v>1.0</v>
      </c>
      <c r="M643" s="38">
        <v>0.0148041937500238</v>
      </c>
      <c r="N643" s="35">
        <v>0.031984437</v>
      </c>
      <c r="O643" s="6">
        <f t="shared" si="1"/>
        <v>-0.01718024325</v>
      </c>
      <c r="P643" s="38">
        <v>0.0625</v>
      </c>
      <c r="Q643" s="38">
        <v>0.06779661017</v>
      </c>
      <c r="R643" s="38">
        <v>0.9419</v>
      </c>
      <c r="S643" s="38">
        <v>0.9419</v>
      </c>
      <c r="T643" s="38">
        <v>16.4</v>
      </c>
    </row>
    <row r="644">
      <c r="A644" s="5" t="s">
        <v>20</v>
      </c>
      <c r="B644" s="15" t="s">
        <v>679</v>
      </c>
      <c r="C644" s="12" t="s">
        <v>26</v>
      </c>
      <c r="D644" s="12" t="s">
        <v>682</v>
      </c>
      <c r="E644" s="18">
        <v>45631.0</v>
      </c>
      <c r="F644" s="38">
        <v>1.0</v>
      </c>
      <c r="G644" s="38">
        <v>5.0</v>
      </c>
      <c r="H644" s="38">
        <v>1.0</v>
      </c>
      <c r="I644" s="38">
        <v>1.0</v>
      </c>
      <c r="J644" s="38">
        <v>1.0</v>
      </c>
      <c r="M644" s="38">
        <v>0.0319844149053096</v>
      </c>
      <c r="N644" s="35">
        <v>0.09487596</v>
      </c>
      <c r="O644" s="6">
        <f t="shared" si="1"/>
        <v>-0.06289154509</v>
      </c>
      <c r="P644" s="38">
        <v>0.06153846154</v>
      </c>
      <c r="Q644" s="38">
        <v>0.1186440678</v>
      </c>
      <c r="R644" s="38">
        <v>0.9337</v>
      </c>
      <c r="S644" s="38">
        <v>0.9337</v>
      </c>
      <c r="T644" s="38">
        <v>14.5</v>
      </c>
    </row>
    <row r="645">
      <c r="A645" s="5" t="s">
        <v>20</v>
      </c>
      <c r="B645" s="15" t="s">
        <v>679</v>
      </c>
      <c r="C645" s="12" t="s">
        <v>28</v>
      </c>
      <c r="D645" s="12" t="s">
        <v>683</v>
      </c>
      <c r="E645" s="18">
        <v>45631.0</v>
      </c>
      <c r="F645" s="38">
        <v>1.0</v>
      </c>
      <c r="G645" s="38">
        <v>2.0</v>
      </c>
      <c r="H645" s="38">
        <v>1.0</v>
      </c>
      <c r="I645" s="38">
        <v>1.0</v>
      </c>
      <c r="J645" s="38">
        <v>1.0</v>
      </c>
      <c r="M645" s="38">
        <v>0.0948760583996772</v>
      </c>
      <c r="N645" s="35">
        <v>-0.16089176</v>
      </c>
      <c r="O645" s="6">
        <f t="shared" si="1"/>
        <v>0.2557678184</v>
      </c>
      <c r="P645" s="38">
        <v>0.0</v>
      </c>
      <c r="Q645" s="38">
        <v>0.09090909091</v>
      </c>
      <c r="R645" s="38">
        <v>0.9447</v>
      </c>
      <c r="S645" s="38">
        <v>0.9447</v>
      </c>
      <c r="T645" s="38">
        <v>13.97276596</v>
      </c>
    </row>
    <row r="646">
      <c r="A646" s="5" t="s">
        <v>20</v>
      </c>
      <c r="B646" s="15" t="s">
        <v>679</v>
      </c>
      <c r="C646" s="12" t="s">
        <v>30</v>
      </c>
      <c r="D646" s="12" t="s">
        <v>684</v>
      </c>
      <c r="E646" s="18">
        <v>45631.0</v>
      </c>
      <c r="F646" s="38">
        <v>3.0</v>
      </c>
      <c r="G646" s="38">
        <v>2.0</v>
      </c>
      <c r="H646" s="38">
        <v>1.0</v>
      </c>
      <c r="I646" s="38">
        <v>1.0</v>
      </c>
      <c r="J646" s="38">
        <v>1.0</v>
      </c>
      <c r="M646" s="38">
        <v>-0.160891771316528</v>
      </c>
      <c r="N646" s="35">
        <v>-0.22034101</v>
      </c>
      <c r="O646" s="6">
        <f t="shared" si="1"/>
        <v>0.05944923868</v>
      </c>
      <c r="P646" s="38">
        <v>0.02564102564</v>
      </c>
      <c r="Q646" s="38">
        <v>0.05405405405</v>
      </c>
      <c r="R646" s="38">
        <v>0.9387</v>
      </c>
      <c r="S646" s="38">
        <v>0.9387</v>
      </c>
      <c r="T646" s="38">
        <v>16.45333333</v>
      </c>
    </row>
    <row r="647">
      <c r="A647" s="5" t="s">
        <v>20</v>
      </c>
      <c r="B647" s="15" t="s">
        <v>679</v>
      </c>
      <c r="C647" s="12" t="s">
        <v>32</v>
      </c>
      <c r="D647" s="12" t="s">
        <v>685</v>
      </c>
      <c r="E647" s="18">
        <v>45631.0</v>
      </c>
      <c r="F647" s="38">
        <v>3.0</v>
      </c>
      <c r="G647" s="38">
        <v>2.0</v>
      </c>
      <c r="H647" s="38">
        <v>1.0</v>
      </c>
      <c r="I647" s="38">
        <v>1.0</v>
      </c>
      <c r="J647" s="38">
        <v>1.0</v>
      </c>
      <c r="M647" s="38">
        <v>-0.220341205596923</v>
      </c>
      <c r="N647" s="35">
        <v>-0.3101648</v>
      </c>
      <c r="O647" s="6">
        <f t="shared" si="1"/>
        <v>0.0898235944</v>
      </c>
      <c r="P647" s="38">
        <v>0.03174603175</v>
      </c>
      <c r="Q647" s="38">
        <v>0.1475409836</v>
      </c>
      <c r="R647" s="38">
        <v>0.7682</v>
      </c>
      <c r="S647" s="38">
        <v>0.7682</v>
      </c>
      <c r="T647" s="38">
        <v>17.28888889</v>
      </c>
    </row>
    <row r="648">
      <c r="A648" s="5" t="s">
        <v>20</v>
      </c>
      <c r="B648" s="15" t="s">
        <v>679</v>
      </c>
      <c r="C648" s="12" t="s">
        <v>34</v>
      </c>
      <c r="D648" s="12" t="s">
        <v>686</v>
      </c>
      <c r="E648" s="18">
        <v>45631.0</v>
      </c>
      <c r="F648" s="38">
        <v>1.0</v>
      </c>
      <c r="G648" s="38">
        <v>2.0</v>
      </c>
      <c r="H648" s="38">
        <v>1.0</v>
      </c>
      <c r="I648" s="38">
        <v>1.0</v>
      </c>
      <c r="J648" s="38">
        <v>1.0</v>
      </c>
      <c r="M648" s="38">
        <v>-0.310164868831634</v>
      </c>
      <c r="N648" s="35">
        <v>0.112212785</v>
      </c>
      <c r="O648" s="6">
        <f t="shared" si="1"/>
        <v>-0.4223776538</v>
      </c>
      <c r="P648" s="38">
        <v>0.04081632653</v>
      </c>
      <c r="Q648" s="38">
        <v>0.06382978723</v>
      </c>
      <c r="R648" s="38">
        <v>0.9598</v>
      </c>
      <c r="S648" s="38">
        <v>0.9598</v>
      </c>
      <c r="T648" s="38">
        <v>15.5122449</v>
      </c>
    </row>
    <row r="649">
      <c r="A649" s="5" t="s">
        <v>20</v>
      </c>
      <c r="B649" s="15" t="s">
        <v>679</v>
      </c>
      <c r="C649" s="12" t="s">
        <v>36</v>
      </c>
      <c r="D649" s="12" t="s">
        <v>686</v>
      </c>
      <c r="E649" s="18">
        <v>45631.0</v>
      </c>
      <c r="F649" s="38">
        <v>1.0</v>
      </c>
      <c r="G649" s="38">
        <v>2.0</v>
      </c>
      <c r="H649" s="38">
        <v>1.0</v>
      </c>
      <c r="I649" s="38">
        <v>1.0</v>
      </c>
      <c r="J649" s="38">
        <v>1.0</v>
      </c>
      <c r="M649" s="38">
        <v>0.112212821841239</v>
      </c>
      <c r="N649" s="35">
        <v>0.112212785</v>
      </c>
      <c r="O649" s="6">
        <f t="shared" si="1"/>
        <v>0.000000036841239</v>
      </c>
      <c r="P649" s="38">
        <v>0.05172413793</v>
      </c>
      <c r="Q649" s="38">
        <v>0.09090909091</v>
      </c>
      <c r="R649" s="38">
        <v>0.4314</v>
      </c>
      <c r="S649" s="38">
        <v>0.4314</v>
      </c>
      <c r="T649" s="38">
        <v>19.59310345</v>
      </c>
    </row>
    <row r="650">
      <c r="A650" s="5" t="s">
        <v>20</v>
      </c>
      <c r="B650" s="15" t="s">
        <v>679</v>
      </c>
      <c r="C650" s="12" t="s">
        <v>38</v>
      </c>
      <c r="D650" s="12" t="s">
        <v>687</v>
      </c>
      <c r="E650" s="18">
        <v>45631.0</v>
      </c>
      <c r="F650" s="38">
        <v>3.0</v>
      </c>
      <c r="G650" s="38">
        <v>2.0</v>
      </c>
      <c r="H650" s="38">
        <v>1.0</v>
      </c>
      <c r="I650" s="38">
        <v>1.0</v>
      </c>
      <c r="J650" s="38">
        <v>1.0</v>
      </c>
      <c r="M650" s="38">
        <v>0.112212799489498</v>
      </c>
      <c r="N650" s="35">
        <v>-0.38815022</v>
      </c>
      <c r="O650" s="6">
        <f t="shared" si="1"/>
        <v>0.5003630195</v>
      </c>
      <c r="P650" s="38">
        <v>0.01666666667</v>
      </c>
      <c r="Q650" s="38">
        <v>0.08771929825</v>
      </c>
      <c r="R650" s="38">
        <v>0.8971</v>
      </c>
      <c r="S650" s="38">
        <v>0.8971</v>
      </c>
      <c r="T650" s="38">
        <v>15.33333333</v>
      </c>
    </row>
    <row r="651">
      <c r="A651" s="5" t="s">
        <v>20</v>
      </c>
      <c r="B651" s="15" t="s">
        <v>679</v>
      </c>
      <c r="C651" s="12" t="s">
        <v>40</v>
      </c>
      <c r="D651" s="12" t="s">
        <v>688</v>
      </c>
      <c r="E651" s="18">
        <v>45631.0</v>
      </c>
      <c r="F651" s="38">
        <v>2.0</v>
      </c>
      <c r="G651" s="38">
        <v>2.0</v>
      </c>
      <c r="H651" s="38">
        <v>1.0</v>
      </c>
      <c r="I651" s="38">
        <v>1.0</v>
      </c>
      <c r="J651" s="38">
        <v>1.0</v>
      </c>
      <c r="M651" s="38">
        <v>-0.388150036334991</v>
      </c>
      <c r="N651" s="35">
        <v>-0.12226278</v>
      </c>
      <c r="O651" s="6">
        <f t="shared" si="1"/>
        <v>-0.2658872563</v>
      </c>
      <c r="P651" s="38">
        <v>0.03571428571</v>
      </c>
      <c r="Q651" s="38">
        <v>0.1320754717</v>
      </c>
      <c r="R651" s="38">
        <v>0.4023</v>
      </c>
      <c r="S651" s="38">
        <v>-0.4023</v>
      </c>
      <c r="T651" s="38">
        <v>13.45714286</v>
      </c>
    </row>
    <row r="652">
      <c r="A652" s="5" t="s">
        <v>42</v>
      </c>
      <c r="B652" s="15" t="s">
        <v>679</v>
      </c>
      <c r="C652" s="12" t="s">
        <v>43</v>
      </c>
      <c r="D652" s="12" t="s">
        <v>689</v>
      </c>
      <c r="E652" s="18">
        <v>45631.0</v>
      </c>
      <c r="F652" s="38">
        <v>3.0</v>
      </c>
      <c r="G652" s="38">
        <v>6.0</v>
      </c>
      <c r="H652" s="38">
        <v>1.0</v>
      </c>
      <c r="I652" s="38">
        <v>1.0</v>
      </c>
      <c r="J652" s="38">
        <v>1.0</v>
      </c>
      <c r="M652" s="38">
        <v>-0.122262969613075</v>
      </c>
      <c r="N652" s="35">
        <v>-0.021753766</v>
      </c>
      <c r="O652" s="6">
        <f t="shared" si="1"/>
        <v>-0.1005092036</v>
      </c>
      <c r="P652" s="38">
        <v>0.04081632653</v>
      </c>
      <c r="Q652" s="38">
        <v>0.04255319149</v>
      </c>
      <c r="R652" s="38">
        <v>0.7906</v>
      </c>
      <c r="S652" s="38">
        <v>0.7906</v>
      </c>
      <c r="T652" s="38">
        <v>18.77959184</v>
      </c>
    </row>
    <row r="653">
      <c r="A653" s="5" t="s">
        <v>42</v>
      </c>
      <c r="B653" s="15" t="s">
        <v>679</v>
      </c>
      <c r="C653" s="12" t="s">
        <v>45</v>
      </c>
      <c r="D653" s="12" t="s">
        <v>690</v>
      </c>
      <c r="E653" s="18">
        <v>45631.0</v>
      </c>
      <c r="F653" s="38">
        <v>3.0</v>
      </c>
      <c r="G653" s="38">
        <v>2.0</v>
      </c>
      <c r="H653" s="38">
        <v>1.0</v>
      </c>
      <c r="I653" s="38">
        <v>1.0</v>
      </c>
      <c r="J653" s="38">
        <v>1.0</v>
      </c>
      <c r="M653" s="38">
        <v>-0.0217538177967071</v>
      </c>
      <c r="N653" s="35">
        <v>-0.09008891</v>
      </c>
      <c r="O653" s="6">
        <f t="shared" si="1"/>
        <v>0.0683350922</v>
      </c>
      <c r="P653" s="38">
        <v>0.02564102564</v>
      </c>
      <c r="Q653" s="38">
        <v>0.05555555556</v>
      </c>
      <c r="R653" s="38">
        <v>0.7745</v>
      </c>
      <c r="S653" s="38">
        <v>0.7745</v>
      </c>
      <c r="T653" s="38">
        <v>12.10512821</v>
      </c>
    </row>
    <row r="654">
      <c r="A654" s="5" t="s">
        <v>42</v>
      </c>
      <c r="B654" s="32" t="s">
        <v>679</v>
      </c>
      <c r="C654" s="12" t="s">
        <v>47</v>
      </c>
      <c r="D654" s="12" t="s">
        <v>691</v>
      </c>
      <c r="E654" s="18">
        <v>45631.0</v>
      </c>
      <c r="F654" s="39">
        <v>3.0</v>
      </c>
      <c r="G654" s="39">
        <v>6.0</v>
      </c>
      <c r="H654" s="39">
        <v>1.0</v>
      </c>
      <c r="I654" s="39">
        <v>1.0</v>
      </c>
      <c r="J654" s="39">
        <v>1.0</v>
      </c>
      <c r="M654" s="39">
        <v>-0.0900889188051223</v>
      </c>
      <c r="N654" s="35">
        <v>-0.11426252</v>
      </c>
      <c r="O654" s="6">
        <f t="shared" si="1"/>
        <v>0.02417360119</v>
      </c>
      <c r="P654" s="39">
        <v>0.03846153846</v>
      </c>
      <c r="Q654" s="39">
        <v>0.02173913043</v>
      </c>
      <c r="R654" s="39">
        <v>0.91</v>
      </c>
      <c r="S654" s="38">
        <v>0.91</v>
      </c>
      <c r="T654" s="38">
        <v>18.09230769</v>
      </c>
    </row>
    <row r="655">
      <c r="A655" s="5" t="s">
        <v>42</v>
      </c>
      <c r="B655" s="40" t="s">
        <v>679</v>
      </c>
      <c r="C655" s="7" t="s">
        <v>49</v>
      </c>
      <c r="D655" s="7" t="s">
        <v>692</v>
      </c>
      <c r="E655" s="18">
        <v>45631.0</v>
      </c>
      <c r="F655" s="38">
        <v>1.0</v>
      </c>
      <c r="G655" s="38">
        <v>2.0</v>
      </c>
      <c r="H655" s="38">
        <v>1.0</v>
      </c>
      <c r="I655" s="38">
        <v>1.0</v>
      </c>
      <c r="J655" s="38">
        <v>1.0</v>
      </c>
      <c r="M655" s="38">
        <v>-0.114262528717517</v>
      </c>
      <c r="N655" s="35">
        <v>-0.014880098</v>
      </c>
      <c r="O655" s="6">
        <f t="shared" si="1"/>
        <v>-0.09938243072</v>
      </c>
      <c r="P655" s="38">
        <v>0.0350877193</v>
      </c>
      <c r="Q655" s="38">
        <v>0.07547169811</v>
      </c>
      <c r="R655" s="38">
        <v>0.6908</v>
      </c>
      <c r="S655" s="38">
        <v>0.6908</v>
      </c>
      <c r="T655" s="38">
        <v>16.02105263</v>
      </c>
    </row>
    <row r="656">
      <c r="A656" s="5" t="s">
        <v>42</v>
      </c>
      <c r="B656" s="40" t="s">
        <v>679</v>
      </c>
      <c r="C656" s="7" t="s">
        <v>51</v>
      </c>
      <c r="D656" s="7" t="s">
        <v>693</v>
      </c>
      <c r="E656" s="18">
        <v>45631.0</v>
      </c>
      <c r="F656" s="38">
        <v>1.0</v>
      </c>
      <c r="G656" s="38">
        <v>6.0</v>
      </c>
      <c r="H656" s="38">
        <v>5.0</v>
      </c>
      <c r="I656" s="38">
        <v>6.0</v>
      </c>
      <c r="J656" s="38">
        <v>1.0</v>
      </c>
      <c r="M656" s="38">
        <v>-0.0148801989853382</v>
      </c>
      <c r="N656" s="35">
        <v>-0.10143724</v>
      </c>
      <c r="O656" s="6">
        <f t="shared" si="1"/>
        <v>0.08655704101</v>
      </c>
      <c r="P656" s="38">
        <v>0.0</v>
      </c>
      <c r="Q656" s="38">
        <v>0.03125</v>
      </c>
      <c r="R656" s="38">
        <v>0.6124</v>
      </c>
      <c r="S656" s="38">
        <v>0.6124</v>
      </c>
      <c r="T656" s="38">
        <v>18.42857143</v>
      </c>
    </row>
    <row r="657">
      <c r="A657" s="5" t="s">
        <v>42</v>
      </c>
      <c r="B657" s="40" t="s">
        <v>679</v>
      </c>
      <c r="C657" s="7" t="s">
        <v>53</v>
      </c>
      <c r="D657" s="7" t="s">
        <v>694</v>
      </c>
      <c r="E657" s="18">
        <v>45631.0</v>
      </c>
      <c r="F657" s="38">
        <v>1.0</v>
      </c>
      <c r="G657" s="38">
        <v>2.0</v>
      </c>
      <c r="H657" s="38">
        <v>1.0</v>
      </c>
      <c r="I657" s="38">
        <v>1.0</v>
      </c>
      <c r="J657" s="38">
        <v>1.0</v>
      </c>
      <c r="M657" s="38">
        <v>-0.101437367498874</v>
      </c>
      <c r="N657" s="35">
        <v>-0.05927786</v>
      </c>
      <c r="O657" s="6">
        <f t="shared" si="1"/>
        <v>-0.0421595075</v>
      </c>
      <c r="P657" s="38">
        <v>0.03703703704</v>
      </c>
      <c r="Q657" s="38">
        <v>0.07692307692</v>
      </c>
      <c r="R657" s="38">
        <v>0.8899</v>
      </c>
      <c r="S657" s="38">
        <v>0.8899</v>
      </c>
      <c r="T657" s="38">
        <v>19.68888889</v>
      </c>
    </row>
    <row r="658">
      <c r="A658" s="5" t="s">
        <v>42</v>
      </c>
      <c r="B658" s="40" t="s">
        <v>679</v>
      </c>
      <c r="C658" s="7" t="s">
        <v>55</v>
      </c>
      <c r="D658" s="7" t="s">
        <v>695</v>
      </c>
      <c r="E658" s="18">
        <v>45631.0</v>
      </c>
      <c r="F658" s="38">
        <v>3.0</v>
      </c>
      <c r="G658" s="38">
        <v>2.0</v>
      </c>
      <c r="H658" s="38">
        <v>5.0</v>
      </c>
      <c r="I658" s="38">
        <v>6.0</v>
      </c>
      <c r="J658" s="38">
        <v>1.0</v>
      </c>
      <c r="M658" s="38">
        <v>-0.0592779889702796</v>
      </c>
      <c r="N658" s="35">
        <v>-0.055029985</v>
      </c>
      <c r="O658" s="6">
        <f t="shared" si="1"/>
        <v>-0.00424800397</v>
      </c>
      <c r="P658" s="38">
        <v>0.0</v>
      </c>
      <c r="Q658" s="38">
        <v>0.0625</v>
      </c>
      <c r="R658" s="38">
        <v>0.6652</v>
      </c>
      <c r="S658" s="38">
        <v>-0.6652</v>
      </c>
      <c r="T658" s="38">
        <v>19.74117647</v>
      </c>
    </row>
    <row r="659">
      <c r="A659" s="5" t="s">
        <v>42</v>
      </c>
      <c r="B659" s="40" t="s">
        <v>679</v>
      </c>
      <c r="C659" s="7" t="s">
        <v>57</v>
      </c>
      <c r="D659" s="7" t="s">
        <v>696</v>
      </c>
      <c r="E659" s="18">
        <v>45631.0</v>
      </c>
      <c r="F659" s="38">
        <v>1.0</v>
      </c>
      <c r="G659" s="38">
        <v>6.0</v>
      </c>
      <c r="H659" s="38">
        <v>1.0</v>
      </c>
      <c r="I659" s="38">
        <v>6.0</v>
      </c>
      <c r="J659" s="38">
        <v>1.0</v>
      </c>
      <c r="M659" s="38">
        <v>-0.0550300553441047</v>
      </c>
      <c r="N659" s="35">
        <v>-0.06526726</v>
      </c>
      <c r="O659" s="6">
        <f t="shared" si="1"/>
        <v>0.01023720466</v>
      </c>
      <c r="P659" s="38">
        <v>0.09090909091</v>
      </c>
      <c r="Q659" s="38">
        <v>0.03333333333</v>
      </c>
      <c r="R659" s="38">
        <v>0.7259</v>
      </c>
      <c r="S659" s="38">
        <v>0.7259</v>
      </c>
      <c r="T659" s="38">
        <v>15.08484848</v>
      </c>
    </row>
    <row r="660">
      <c r="A660" s="5" t="s">
        <v>42</v>
      </c>
      <c r="B660" s="40" t="s">
        <v>679</v>
      </c>
      <c r="C660" s="7" t="s">
        <v>59</v>
      </c>
      <c r="D660" s="7" t="s">
        <v>696</v>
      </c>
      <c r="E660" s="18">
        <v>45631.0</v>
      </c>
      <c r="F660" s="38">
        <v>1.0</v>
      </c>
      <c r="G660" s="38">
        <v>6.0</v>
      </c>
      <c r="H660" s="38">
        <v>1.0</v>
      </c>
      <c r="I660" s="38">
        <v>6.0</v>
      </c>
      <c r="J660" s="38">
        <v>1.0</v>
      </c>
      <c r="M660" s="38">
        <v>-0.0652672052383422</v>
      </c>
      <c r="N660" s="35">
        <v>-0.06526726</v>
      </c>
      <c r="O660" s="6">
        <f t="shared" si="1"/>
        <v>0.00000005476165779</v>
      </c>
      <c r="P660" s="38">
        <v>0.02380952381</v>
      </c>
      <c r="Q660" s="38">
        <v>0.05263157895</v>
      </c>
      <c r="R660" s="38">
        <v>0.0772</v>
      </c>
      <c r="S660" s="38">
        <v>0.0772</v>
      </c>
      <c r="T660" s="38">
        <v>24.41904762</v>
      </c>
    </row>
    <row r="661">
      <c r="A661" s="5" t="s">
        <v>42</v>
      </c>
      <c r="B661" s="40" t="s">
        <v>679</v>
      </c>
      <c r="C661" s="7" t="s">
        <v>61</v>
      </c>
      <c r="D661" s="7" t="s">
        <v>697</v>
      </c>
      <c r="E661" s="18">
        <v>45631.0</v>
      </c>
      <c r="F661" s="38">
        <v>1.0</v>
      </c>
      <c r="G661" s="38">
        <v>6.0</v>
      </c>
      <c r="H661" s="38">
        <v>1.0</v>
      </c>
      <c r="I661" s="38">
        <v>1.0</v>
      </c>
      <c r="J661" s="38">
        <v>1.0</v>
      </c>
      <c r="M661" s="38">
        <v>-0.0652672052383422</v>
      </c>
      <c r="N661" s="35">
        <v>0.032716986</v>
      </c>
      <c r="O661" s="6">
        <f t="shared" si="1"/>
        <v>-0.09798419124</v>
      </c>
      <c r="P661" s="38">
        <v>0.03333333333</v>
      </c>
      <c r="Q661" s="38">
        <v>0.05454545455</v>
      </c>
      <c r="R661" s="38">
        <v>0.7312</v>
      </c>
      <c r="S661" s="38">
        <v>0.7312</v>
      </c>
      <c r="T661" s="38">
        <v>13.33333333</v>
      </c>
    </row>
    <row r="662">
      <c r="A662" s="5" t="s">
        <v>63</v>
      </c>
      <c r="B662" s="40" t="s">
        <v>679</v>
      </c>
      <c r="C662" s="7" t="s">
        <v>64</v>
      </c>
      <c r="D662" s="7" t="s">
        <v>698</v>
      </c>
      <c r="E662" s="18">
        <v>45631.0</v>
      </c>
      <c r="F662" s="38">
        <v>2.0</v>
      </c>
      <c r="G662" s="38">
        <v>5.0</v>
      </c>
      <c r="H662" s="38">
        <v>5.0</v>
      </c>
      <c r="I662" s="38">
        <v>6.0</v>
      </c>
      <c r="J662" s="38">
        <v>1.0</v>
      </c>
      <c r="M662" s="38">
        <v>0.0327169634401798</v>
      </c>
      <c r="N662" s="35">
        <v>-0.009683687</v>
      </c>
      <c r="O662" s="6">
        <f t="shared" si="1"/>
        <v>0.04240065044</v>
      </c>
      <c r="P662" s="38">
        <v>0.05785123967</v>
      </c>
      <c r="Q662" s="38">
        <v>0.1008403361</v>
      </c>
      <c r="R662" s="38">
        <v>0.8312</v>
      </c>
      <c r="S662" s="38">
        <v>-0.8312</v>
      </c>
      <c r="T662" s="38">
        <v>13.31166208</v>
      </c>
    </row>
    <row r="663">
      <c r="A663" s="5" t="s">
        <v>63</v>
      </c>
      <c r="B663" s="40" t="s">
        <v>679</v>
      </c>
      <c r="C663" s="7" t="s">
        <v>66</v>
      </c>
      <c r="D663" s="7" t="s">
        <v>699</v>
      </c>
      <c r="E663" s="18">
        <v>45631.0</v>
      </c>
      <c r="F663" s="38">
        <v>1.0</v>
      </c>
      <c r="G663" s="38">
        <v>6.0</v>
      </c>
      <c r="H663" s="38">
        <v>5.0</v>
      </c>
      <c r="I663" s="38">
        <v>6.0</v>
      </c>
      <c r="J663" s="38">
        <v>1.0</v>
      </c>
      <c r="M663" s="38">
        <v>-0.00968357734382152</v>
      </c>
      <c r="N663" s="35">
        <v>0.07931783</v>
      </c>
      <c r="O663" s="6">
        <f t="shared" si="1"/>
        <v>-0.08900140734</v>
      </c>
      <c r="P663" s="38">
        <v>0.01851851852</v>
      </c>
      <c r="Q663" s="38">
        <v>0.09615384615</v>
      </c>
      <c r="R663" s="38">
        <v>0.9155</v>
      </c>
      <c r="S663" s="38">
        <v>0.9155</v>
      </c>
      <c r="T663" s="38">
        <v>18.68148148</v>
      </c>
    </row>
    <row r="664">
      <c r="A664" s="5" t="s">
        <v>63</v>
      </c>
      <c r="B664" s="40" t="s">
        <v>679</v>
      </c>
      <c r="C664" s="7" t="s">
        <v>68</v>
      </c>
      <c r="D664" s="7" t="s">
        <v>700</v>
      </c>
      <c r="E664" s="18">
        <v>45631.0</v>
      </c>
      <c r="F664" s="38">
        <v>1.0</v>
      </c>
      <c r="G664" s="38">
        <v>2.0</v>
      </c>
      <c r="H664" s="38">
        <v>1.0</v>
      </c>
      <c r="I664" s="38">
        <v>1.0</v>
      </c>
      <c r="J664" s="38">
        <v>1.0</v>
      </c>
      <c r="M664" s="38">
        <v>0.0793176740407943</v>
      </c>
      <c r="N664" s="35">
        <v>-0.005144756</v>
      </c>
      <c r="O664" s="6">
        <f t="shared" si="1"/>
        <v>0.08446243004</v>
      </c>
      <c r="P664" s="38">
        <v>0.03</v>
      </c>
      <c r="Q664" s="38">
        <v>0.09278350515</v>
      </c>
      <c r="R664" s="38">
        <v>0.9818</v>
      </c>
      <c r="S664" s="38">
        <v>0.9818</v>
      </c>
      <c r="T664" s="38">
        <v>19.46666667</v>
      </c>
    </row>
    <row r="665">
      <c r="A665" s="5" t="s">
        <v>63</v>
      </c>
      <c r="B665" s="40" t="s">
        <v>679</v>
      </c>
      <c r="C665" s="7" t="s">
        <v>70</v>
      </c>
      <c r="D665" s="7" t="s">
        <v>701</v>
      </c>
      <c r="E665" s="18">
        <v>45631.0</v>
      </c>
      <c r="F665" s="38">
        <v>1.0</v>
      </c>
      <c r="G665" s="38">
        <v>2.0</v>
      </c>
      <c r="H665" s="38">
        <v>1.0</v>
      </c>
      <c r="I665" s="38">
        <v>1.0</v>
      </c>
      <c r="J665" s="38">
        <v>1.0</v>
      </c>
      <c r="M665" s="38">
        <v>-0.00514499843120574</v>
      </c>
      <c r="N665" s="35">
        <v>0.03302342</v>
      </c>
      <c r="O665" s="6">
        <f t="shared" si="1"/>
        <v>-0.03816841843</v>
      </c>
      <c r="P665" s="38">
        <v>0.0462962963</v>
      </c>
      <c r="Q665" s="38">
        <v>0.1153846154</v>
      </c>
      <c r="R665" s="38">
        <v>0.9193</v>
      </c>
      <c r="S665" s="38">
        <v>0.9193</v>
      </c>
      <c r="T665" s="38">
        <v>19.01037037</v>
      </c>
    </row>
    <row r="666">
      <c r="A666" s="5" t="s">
        <v>63</v>
      </c>
      <c r="B666" s="40" t="s">
        <v>679</v>
      </c>
      <c r="C666" s="7" t="s">
        <v>72</v>
      </c>
      <c r="D666" s="7" t="s">
        <v>702</v>
      </c>
      <c r="E666" s="18">
        <v>45631.0</v>
      </c>
      <c r="F666" s="38">
        <v>1.0</v>
      </c>
      <c r="G666" s="38">
        <v>6.0</v>
      </c>
      <c r="H666" s="38">
        <v>1.0</v>
      </c>
      <c r="I666" s="38">
        <v>1.0</v>
      </c>
      <c r="J666" s="38">
        <v>1.0</v>
      </c>
      <c r="M666" s="38">
        <v>0.0330235660076141</v>
      </c>
      <c r="N666" s="35">
        <v>0.1554965</v>
      </c>
      <c r="O666" s="6">
        <f t="shared" si="1"/>
        <v>-0.122472934</v>
      </c>
      <c r="P666" s="38">
        <v>0.04166666667</v>
      </c>
      <c r="Q666" s="38">
        <v>0.05494505495</v>
      </c>
      <c r="R666" s="38">
        <v>0.9907</v>
      </c>
      <c r="S666" s="38">
        <v>0.9907</v>
      </c>
      <c r="T666" s="38">
        <v>18.51333333</v>
      </c>
    </row>
    <row r="667">
      <c r="A667" s="5" t="s">
        <v>63</v>
      </c>
      <c r="B667" s="40" t="s">
        <v>679</v>
      </c>
      <c r="C667" s="7" t="s">
        <v>74</v>
      </c>
      <c r="D667" s="7" t="s">
        <v>703</v>
      </c>
      <c r="E667" s="18">
        <v>45631.0</v>
      </c>
      <c r="F667" s="38">
        <v>1.0</v>
      </c>
      <c r="G667" s="38">
        <v>2.0</v>
      </c>
      <c r="H667" s="38">
        <v>5.0</v>
      </c>
      <c r="I667" s="38">
        <v>1.0</v>
      </c>
      <c r="J667" s="38">
        <v>1.0</v>
      </c>
      <c r="M667" s="38">
        <v>0.155496358871459</v>
      </c>
      <c r="N667" s="35">
        <v>0.21485284</v>
      </c>
      <c r="O667" s="6">
        <f t="shared" si="1"/>
        <v>-0.05935648113</v>
      </c>
      <c r="P667" s="38">
        <v>0.01282051282</v>
      </c>
      <c r="Q667" s="38">
        <v>0.04697986577</v>
      </c>
      <c r="R667" s="38">
        <v>0.9778</v>
      </c>
      <c r="S667" s="38">
        <v>0.9778</v>
      </c>
      <c r="T667" s="38">
        <v>17.74974359</v>
      </c>
    </row>
    <row r="668">
      <c r="A668" s="5" t="s">
        <v>63</v>
      </c>
      <c r="B668" s="40" t="s">
        <v>679</v>
      </c>
      <c r="C668" s="7" t="s">
        <v>76</v>
      </c>
      <c r="D668" s="7" t="s">
        <v>704</v>
      </c>
      <c r="E668" s="18">
        <v>45631.0</v>
      </c>
      <c r="F668" s="38">
        <v>3.0</v>
      </c>
      <c r="G668" s="38">
        <v>6.0</v>
      </c>
      <c r="H668" s="38">
        <v>1.0</v>
      </c>
      <c r="I668" s="38">
        <v>6.0</v>
      </c>
      <c r="J668" s="38">
        <v>1.0</v>
      </c>
      <c r="M668" s="38">
        <v>0.214852765202522</v>
      </c>
      <c r="N668" s="35">
        <v>0.17227913</v>
      </c>
      <c r="O668" s="6">
        <f t="shared" si="1"/>
        <v>0.0425736352</v>
      </c>
      <c r="P668" s="38">
        <v>0.0</v>
      </c>
      <c r="Q668" s="38">
        <v>0.08411214953</v>
      </c>
      <c r="R668" s="38">
        <v>0.9774</v>
      </c>
      <c r="S668" s="38">
        <v>0.9774</v>
      </c>
      <c r="T668" s="38">
        <v>19.96666667</v>
      </c>
    </row>
    <row r="669">
      <c r="A669" s="5" t="s">
        <v>63</v>
      </c>
      <c r="B669" s="40" t="s">
        <v>679</v>
      </c>
      <c r="C669" s="7" t="s">
        <v>78</v>
      </c>
      <c r="D669" s="7" t="s">
        <v>705</v>
      </c>
      <c r="E669" s="18">
        <v>45631.0</v>
      </c>
      <c r="F669" s="38">
        <v>1.0</v>
      </c>
      <c r="G669" s="38">
        <v>5.0</v>
      </c>
      <c r="H669" s="38">
        <v>5.0</v>
      </c>
      <c r="I669" s="38">
        <v>6.0</v>
      </c>
      <c r="J669" s="38">
        <v>1.0</v>
      </c>
      <c r="M669" s="38">
        <v>0.172279119491577</v>
      </c>
      <c r="N669" s="35">
        <v>0.014804058</v>
      </c>
      <c r="O669" s="6">
        <f t="shared" si="1"/>
        <v>0.1574750615</v>
      </c>
      <c r="P669" s="38">
        <v>0.05797101449</v>
      </c>
      <c r="Q669" s="38">
        <v>0.1641791045</v>
      </c>
      <c r="R669" s="38">
        <v>0.8933</v>
      </c>
      <c r="S669" s="38">
        <v>0.8933</v>
      </c>
      <c r="T669" s="38">
        <v>15.59565217</v>
      </c>
    </row>
    <row r="670">
      <c r="A670" s="5" t="s">
        <v>63</v>
      </c>
      <c r="B670" s="40" t="s">
        <v>679</v>
      </c>
      <c r="C670" s="7" t="s">
        <v>80</v>
      </c>
      <c r="D670" s="7" t="s">
        <v>706</v>
      </c>
      <c r="E670" s="18">
        <v>45631.0</v>
      </c>
      <c r="F670" s="38">
        <v>1.0</v>
      </c>
      <c r="G670" s="38">
        <v>6.0</v>
      </c>
      <c r="H670" s="38">
        <v>1.0</v>
      </c>
      <c r="I670" s="38">
        <v>1.0</v>
      </c>
      <c r="J670" s="38">
        <v>1.0</v>
      </c>
      <c r="M670" s="38">
        <v>0.0148041937500238</v>
      </c>
      <c r="N670" s="35">
        <v>0.050972987</v>
      </c>
      <c r="O670" s="6">
        <f t="shared" si="1"/>
        <v>-0.03616879325</v>
      </c>
      <c r="P670" s="38">
        <v>0.04545454545</v>
      </c>
      <c r="Q670" s="38">
        <v>0.1162790698</v>
      </c>
      <c r="R670" s="38">
        <v>0.1803</v>
      </c>
      <c r="S670" s="38">
        <v>-0.1803</v>
      </c>
      <c r="T670" s="38">
        <v>14.04848485</v>
      </c>
    </row>
    <row r="671">
      <c r="A671" s="5" t="s">
        <v>63</v>
      </c>
      <c r="B671" s="40" t="s">
        <v>679</v>
      </c>
      <c r="C671" s="7" t="s">
        <v>82</v>
      </c>
      <c r="D671" s="7" t="s">
        <v>707</v>
      </c>
      <c r="E671" s="18">
        <v>45631.0</v>
      </c>
      <c r="F671" s="38">
        <v>1.0</v>
      </c>
      <c r="G671" s="38">
        <v>6.0</v>
      </c>
      <c r="H671" s="38">
        <v>1.0</v>
      </c>
      <c r="I671" s="38">
        <v>6.0</v>
      </c>
      <c r="J671" s="38">
        <v>1.0</v>
      </c>
      <c r="M671" s="38">
        <v>0.0509733110666275</v>
      </c>
      <c r="N671" s="35">
        <v>0.10415936</v>
      </c>
      <c r="O671" s="6">
        <f t="shared" si="1"/>
        <v>-0.05318604893</v>
      </c>
      <c r="P671" s="38">
        <v>0.04545454545</v>
      </c>
      <c r="Q671" s="38">
        <v>0.1162790698</v>
      </c>
      <c r="R671" s="38">
        <v>0.1803</v>
      </c>
      <c r="S671" s="38">
        <v>-0.1803</v>
      </c>
      <c r="T671" s="38">
        <v>12.58181818</v>
      </c>
    </row>
    <row r="672">
      <c r="A672" s="5" t="s">
        <v>84</v>
      </c>
      <c r="B672" s="40" t="s">
        <v>679</v>
      </c>
      <c r="C672" s="7" t="s">
        <v>85</v>
      </c>
      <c r="D672" s="7" t="s">
        <v>135</v>
      </c>
      <c r="E672" s="18">
        <v>45631.0</v>
      </c>
      <c r="F672" s="38">
        <v>1.0</v>
      </c>
      <c r="G672" s="38">
        <v>6.0</v>
      </c>
      <c r="H672" s="38">
        <v>5.0</v>
      </c>
      <c r="I672" s="38">
        <v>6.0</v>
      </c>
      <c r="J672" s="38">
        <v>1.0</v>
      </c>
      <c r="M672" s="38">
        <v>0.104159414768219</v>
      </c>
      <c r="N672" s="35">
        <v>0.20054306</v>
      </c>
      <c r="O672" s="6">
        <f t="shared" si="1"/>
        <v>-0.09638364523</v>
      </c>
      <c r="P672" s="38">
        <v>0.01973684211</v>
      </c>
      <c r="Q672" s="38">
        <v>0.01374570447</v>
      </c>
      <c r="R672" s="38">
        <v>0.999</v>
      </c>
      <c r="S672" s="38">
        <v>0.999</v>
      </c>
      <c r="T672" s="38">
        <v>19.89221968</v>
      </c>
    </row>
    <row r="673">
      <c r="A673" s="5" t="s">
        <v>84</v>
      </c>
      <c r="B673" s="40" t="s">
        <v>679</v>
      </c>
      <c r="C673" s="7" t="s">
        <v>87</v>
      </c>
      <c r="D673" s="7" t="s">
        <v>136</v>
      </c>
      <c r="E673" s="18">
        <v>45631.0</v>
      </c>
      <c r="F673" s="38">
        <v>3.0</v>
      </c>
      <c r="G673" s="38">
        <v>6.0</v>
      </c>
      <c r="H673" s="38">
        <v>1.0</v>
      </c>
      <c r="I673" s="38">
        <v>6.0</v>
      </c>
      <c r="J673" s="38">
        <v>1.0</v>
      </c>
      <c r="M673" s="38">
        <v>0.200543344020843</v>
      </c>
      <c r="N673" s="35">
        <v>0.009640764</v>
      </c>
      <c r="O673" s="6">
        <f t="shared" si="1"/>
        <v>0.19090258</v>
      </c>
      <c r="P673" s="38">
        <v>0.05128205128</v>
      </c>
      <c r="Q673" s="38">
        <v>0.1</v>
      </c>
      <c r="R673" s="38">
        <v>0.128</v>
      </c>
      <c r="S673" s="38">
        <v>0.128</v>
      </c>
      <c r="T673" s="38">
        <v>23.37709402</v>
      </c>
    </row>
    <row r="674">
      <c r="A674" s="5" t="s">
        <v>84</v>
      </c>
      <c r="B674" s="40" t="s">
        <v>679</v>
      </c>
      <c r="C674" s="7" t="s">
        <v>89</v>
      </c>
      <c r="D674" s="7" t="s">
        <v>137</v>
      </c>
      <c r="E674" s="18">
        <v>45631.0</v>
      </c>
      <c r="F674" s="38">
        <v>3.0</v>
      </c>
      <c r="G674" s="38">
        <v>2.0</v>
      </c>
      <c r="H674" s="38">
        <v>1.0</v>
      </c>
      <c r="I674" s="38">
        <v>1.0</v>
      </c>
      <c r="J674" s="38">
        <v>1.0</v>
      </c>
      <c r="M674" s="38">
        <v>0.00964085571467876</v>
      </c>
      <c r="N674" s="35">
        <v>-0.010846999</v>
      </c>
      <c r="O674" s="6">
        <f t="shared" si="1"/>
        <v>0.02048785471</v>
      </c>
      <c r="P674" s="38">
        <v>0.01418439716</v>
      </c>
      <c r="Q674" s="38">
        <v>0.007462686567</v>
      </c>
      <c r="R674" s="38">
        <v>0.9803</v>
      </c>
      <c r="S674" s="38">
        <v>-0.9803</v>
      </c>
      <c r="T674" s="38">
        <v>19.20417188</v>
      </c>
    </row>
    <row r="675">
      <c r="A675" s="5" t="s">
        <v>84</v>
      </c>
      <c r="B675" s="40" t="s">
        <v>679</v>
      </c>
      <c r="C675" s="7" t="s">
        <v>91</v>
      </c>
      <c r="D675" s="7" t="s">
        <v>138</v>
      </c>
      <c r="E675" s="18">
        <v>45631.0</v>
      </c>
      <c r="F675" s="38">
        <v>1.0</v>
      </c>
      <c r="G675" s="38">
        <v>2.0</v>
      </c>
      <c r="H675" s="38">
        <v>1.0</v>
      </c>
      <c r="I675" s="38">
        <v>1.0</v>
      </c>
      <c r="J675" s="38">
        <v>1.0</v>
      </c>
      <c r="M675" s="38">
        <v>-0.0108470730483531</v>
      </c>
      <c r="N675" s="35">
        <v>0.011071209</v>
      </c>
      <c r="O675" s="6">
        <f t="shared" si="1"/>
        <v>-0.02191828205</v>
      </c>
      <c r="P675" s="38">
        <v>0.01369863014</v>
      </c>
      <c r="Q675" s="38">
        <v>0.01408450704</v>
      </c>
      <c r="R675" s="38">
        <v>0.8934</v>
      </c>
      <c r="S675" s="38">
        <v>0.8934</v>
      </c>
      <c r="T675" s="38">
        <v>26.7196347</v>
      </c>
    </row>
    <row r="676">
      <c r="A676" s="5" t="s">
        <v>84</v>
      </c>
      <c r="B676" s="40" t="s">
        <v>679</v>
      </c>
      <c r="C676" s="7" t="s">
        <v>93</v>
      </c>
      <c r="D676" s="7" t="s">
        <v>139</v>
      </c>
      <c r="E676" s="18">
        <v>45631.0</v>
      </c>
      <c r="F676" s="38">
        <v>3.0</v>
      </c>
      <c r="G676" s="38">
        <v>2.0</v>
      </c>
      <c r="H676" s="38">
        <v>5.0</v>
      </c>
      <c r="I676" s="38">
        <v>1.0</v>
      </c>
      <c r="J676" s="38">
        <v>1.0</v>
      </c>
      <c r="M676" s="38">
        <v>0.0110712088644504</v>
      </c>
      <c r="N676" s="35">
        <v>0.104521975</v>
      </c>
      <c r="O676" s="6">
        <f t="shared" si="1"/>
        <v>-0.09345076614</v>
      </c>
      <c r="P676" s="38">
        <v>0.01869158879</v>
      </c>
      <c r="Q676" s="38">
        <v>0.02</v>
      </c>
      <c r="R676" s="38">
        <v>0.9313</v>
      </c>
      <c r="S676" s="38">
        <v>0.9313</v>
      </c>
      <c r="T676" s="38">
        <v>19.87126168</v>
      </c>
    </row>
    <row r="677">
      <c r="A677" s="5" t="s">
        <v>84</v>
      </c>
      <c r="B677" s="40" t="s">
        <v>679</v>
      </c>
      <c r="C677" s="7" t="s">
        <v>95</v>
      </c>
      <c r="D677" s="7" t="s">
        <v>140</v>
      </c>
      <c r="E677" s="18">
        <v>45631.0</v>
      </c>
      <c r="F677" s="38">
        <v>3.0</v>
      </c>
      <c r="G677" s="38">
        <v>2.0</v>
      </c>
      <c r="H677" s="38">
        <v>1.0</v>
      </c>
      <c r="I677" s="38">
        <v>1.0</v>
      </c>
      <c r="J677" s="38">
        <v>1.0</v>
      </c>
      <c r="M677" s="38">
        <v>0.104522094130516</v>
      </c>
      <c r="N677" s="35">
        <v>-0.104060814</v>
      </c>
      <c r="O677" s="6">
        <f t="shared" si="1"/>
        <v>0.2085829081</v>
      </c>
      <c r="P677" s="38">
        <v>0.01333333333</v>
      </c>
      <c r="Q677" s="38">
        <v>0.04225352113</v>
      </c>
      <c r="R677" s="38">
        <v>0.8473</v>
      </c>
      <c r="S677" s="38">
        <v>0.8473</v>
      </c>
      <c r="T677" s="38">
        <v>27.76666667</v>
      </c>
    </row>
    <row r="678">
      <c r="A678" s="5" t="s">
        <v>84</v>
      </c>
      <c r="B678" s="40" t="s">
        <v>679</v>
      </c>
      <c r="C678" s="7" t="s">
        <v>97</v>
      </c>
      <c r="D678" s="7" t="s">
        <v>141</v>
      </c>
      <c r="E678" s="18">
        <v>45631.0</v>
      </c>
      <c r="F678" s="38">
        <v>3.0</v>
      </c>
      <c r="G678" s="38">
        <v>2.0</v>
      </c>
      <c r="H678" s="38">
        <v>1.0</v>
      </c>
      <c r="I678" s="38">
        <v>1.0</v>
      </c>
      <c r="J678" s="38">
        <v>1.0</v>
      </c>
      <c r="M678" s="38">
        <v>-0.104060694575309</v>
      </c>
      <c r="N678" s="35">
        <v>-0.009770207</v>
      </c>
      <c r="O678" s="6">
        <f t="shared" si="1"/>
        <v>-0.09429048758</v>
      </c>
      <c r="P678" s="38">
        <v>0.0253164557</v>
      </c>
      <c r="Q678" s="38">
        <v>0.0</v>
      </c>
      <c r="R678" s="38">
        <v>0.9761</v>
      </c>
      <c r="S678" s="38">
        <v>0.9761</v>
      </c>
      <c r="T678" s="38">
        <v>26.1278481</v>
      </c>
    </row>
    <row r="679">
      <c r="A679" s="5" t="s">
        <v>84</v>
      </c>
      <c r="B679" s="40" t="s">
        <v>679</v>
      </c>
      <c r="C679" s="7" t="s">
        <v>99</v>
      </c>
      <c r="D679" s="7" t="s">
        <v>142</v>
      </c>
      <c r="E679" s="18">
        <v>45631.0</v>
      </c>
      <c r="F679" s="38">
        <v>1.0</v>
      </c>
      <c r="G679" s="38">
        <v>2.0</v>
      </c>
      <c r="H679" s="38">
        <v>1.0</v>
      </c>
      <c r="I679" s="38">
        <v>1.0</v>
      </c>
      <c r="J679" s="38">
        <v>1.0</v>
      </c>
      <c r="M679" s="38">
        <v>-0.00977017730474472</v>
      </c>
      <c r="N679" s="35">
        <v>-0.10939348</v>
      </c>
      <c r="O679" s="6">
        <f t="shared" si="1"/>
        <v>0.0996233027</v>
      </c>
      <c r="P679" s="38">
        <v>0.01470588235</v>
      </c>
      <c r="Q679" s="38">
        <v>0.01612903226</v>
      </c>
      <c r="R679" s="38">
        <v>0.9337</v>
      </c>
      <c r="S679" s="38">
        <v>0.9337</v>
      </c>
      <c r="T679" s="38">
        <v>29.65490196</v>
      </c>
    </row>
    <row r="680">
      <c r="A680" s="5" t="s">
        <v>84</v>
      </c>
      <c r="B680" s="40" t="s">
        <v>679</v>
      </c>
      <c r="C680" s="7" t="s">
        <v>101</v>
      </c>
      <c r="D680" s="7" t="s">
        <v>143</v>
      </c>
      <c r="E680" s="18">
        <v>45631.0</v>
      </c>
      <c r="F680" s="38">
        <v>3.0</v>
      </c>
      <c r="G680" s="38">
        <v>2.0</v>
      </c>
      <c r="H680" s="38">
        <v>1.0</v>
      </c>
      <c r="I680" s="38">
        <v>6.0</v>
      </c>
      <c r="J680" s="38">
        <v>1.0</v>
      </c>
      <c r="M680" s="38">
        <v>-0.109393492341041</v>
      </c>
      <c r="N680" s="35">
        <v>0.107038364</v>
      </c>
      <c r="O680" s="6">
        <f t="shared" si="1"/>
        <v>-0.2164318563</v>
      </c>
      <c r="P680" s="38">
        <v>0.02857142857</v>
      </c>
      <c r="Q680" s="38">
        <v>0.0</v>
      </c>
      <c r="R680" s="38">
        <v>0.6486</v>
      </c>
      <c r="S680" s="38">
        <v>-0.6486</v>
      </c>
      <c r="T680" s="38">
        <v>25.85714286</v>
      </c>
    </row>
    <row r="681">
      <c r="A681" s="5" t="s">
        <v>84</v>
      </c>
      <c r="B681" s="40" t="s">
        <v>679</v>
      </c>
      <c r="C681" s="7" t="s">
        <v>103</v>
      </c>
      <c r="D681" s="7" t="s">
        <v>144</v>
      </c>
      <c r="E681" s="18">
        <v>45631.0</v>
      </c>
      <c r="F681" s="38">
        <v>2.0</v>
      </c>
      <c r="G681" s="38">
        <v>2.0</v>
      </c>
      <c r="H681" s="38">
        <v>1.0</v>
      </c>
      <c r="I681" s="38">
        <v>1.0</v>
      </c>
      <c r="J681" s="38">
        <v>1.0</v>
      </c>
      <c r="M681" s="38">
        <v>0.107038401067256</v>
      </c>
      <c r="N681" s="35">
        <v>-0.13388015</v>
      </c>
      <c r="O681" s="6">
        <f t="shared" si="1"/>
        <v>0.2409185511</v>
      </c>
      <c r="P681" s="38">
        <v>0.02631578947</v>
      </c>
      <c r="Q681" s="38">
        <v>0.02898550725</v>
      </c>
      <c r="R681" s="38">
        <v>0.9169</v>
      </c>
      <c r="S681" s="38">
        <v>0.9169</v>
      </c>
      <c r="T681" s="38">
        <v>25.92280702</v>
      </c>
    </row>
    <row r="682">
      <c r="A682" s="41"/>
      <c r="C682" s="7"/>
      <c r="D682" s="7"/>
      <c r="E682" s="18"/>
      <c r="F682" s="38"/>
      <c r="G682" s="38"/>
      <c r="H682" s="38"/>
      <c r="I682" s="38"/>
      <c r="J682" s="38"/>
      <c r="K682" s="38"/>
      <c r="L682" s="38"/>
      <c r="M682" s="38"/>
      <c r="N682" s="41"/>
      <c r="O682" s="38"/>
      <c r="P682" s="38"/>
      <c r="Q682" s="38"/>
      <c r="R682" s="38"/>
      <c r="S682" s="38"/>
      <c r="T682" s="38"/>
    </row>
    <row r="683">
      <c r="A683" s="41"/>
      <c r="C683" s="7"/>
      <c r="D683" s="7"/>
      <c r="E683" s="18"/>
      <c r="F683" s="38"/>
      <c r="G683" s="38"/>
      <c r="H683" s="38"/>
      <c r="I683" s="38"/>
      <c r="J683" s="38"/>
      <c r="K683" s="38"/>
      <c r="L683" s="38"/>
      <c r="M683" s="38"/>
      <c r="N683" s="41"/>
      <c r="O683" s="38"/>
      <c r="P683" s="38"/>
      <c r="Q683" s="38"/>
      <c r="R683" s="38"/>
      <c r="S683" s="38"/>
      <c r="T683" s="38"/>
    </row>
    <row r="684">
      <c r="A684" s="41"/>
      <c r="C684" s="7"/>
      <c r="D684" s="7"/>
      <c r="E684" s="18"/>
      <c r="F684" s="38"/>
      <c r="G684" s="38"/>
      <c r="H684" s="38"/>
      <c r="I684" s="38"/>
      <c r="J684" s="38"/>
      <c r="K684" s="38"/>
      <c r="L684" s="38"/>
      <c r="M684" s="38"/>
      <c r="N684" s="41"/>
      <c r="O684" s="38"/>
      <c r="P684" s="38"/>
      <c r="Q684" s="38"/>
      <c r="R684" s="38"/>
      <c r="S684" s="38"/>
      <c r="T684" s="38"/>
    </row>
    <row r="685">
      <c r="A685" s="41"/>
      <c r="C685" s="7"/>
      <c r="D685" s="7"/>
      <c r="E685" s="18"/>
      <c r="F685" s="38"/>
      <c r="G685" s="38"/>
      <c r="H685" s="38"/>
      <c r="I685" s="38"/>
      <c r="J685" s="38"/>
      <c r="K685" s="38"/>
      <c r="L685" s="38"/>
      <c r="M685" s="38"/>
      <c r="N685" s="41"/>
      <c r="O685" s="38"/>
      <c r="P685" s="38"/>
      <c r="Q685" s="38"/>
      <c r="R685" s="38"/>
      <c r="S685" s="38"/>
      <c r="T685" s="38"/>
    </row>
    <row r="686">
      <c r="A686" s="41"/>
      <c r="C686" s="7"/>
      <c r="D686" s="7"/>
      <c r="E686" s="18"/>
      <c r="F686" s="38"/>
      <c r="G686" s="38"/>
      <c r="H686" s="38"/>
      <c r="I686" s="38"/>
      <c r="J686" s="38"/>
      <c r="K686" s="38"/>
      <c r="L686" s="38"/>
      <c r="M686" s="38"/>
      <c r="N686" s="41"/>
      <c r="O686" s="38"/>
      <c r="P686" s="38"/>
      <c r="Q686" s="38"/>
      <c r="R686" s="38"/>
      <c r="S686" s="38"/>
      <c r="T686" s="38"/>
    </row>
    <row r="687">
      <c r="A687" s="41"/>
      <c r="C687" s="7"/>
      <c r="D687" s="7"/>
      <c r="E687" s="18"/>
      <c r="F687" s="38"/>
      <c r="G687" s="38"/>
      <c r="H687" s="38"/>
      <c r="I687" s="38"/>
      <c r="J687" s="38"/>
      <c r="K687" s="38"/>
      <c r="L687" s="38"/>
      <c r="M687" s="38"/>
      <c r="N687" s="41"/>
      <c r="O687" s="38"/>
      <c r="P687" s="38"/>
      <c r="Q687" s="38"/>
      <c r="R687" s="38"/>
      <c r="S687" s="38"/>
      <c r="T687" s="38"/>
    </row>
    <row r="688">
      <c r="A688" s="41"/>
      <c r="C688" s="7"/>
      <c r="D688" s="7"/>
      <c r="E688" s="18"/>
      <c r="F688" s="38"/>
      <c r="G688" s="38"/>
      <c r="H688" s="38"/>
      <c r="I688" s="38"/>
      <c r="J688" s="38"/>
      <c r="K688" s="38"/>
      <c r="L688" s="38"/>
      <c r="M688" s="38"/>
      <c r="N688" s="41"/>
      <c r="O688" s="38"/>
      <c r="P688" s="38"/>
      <c r="Q688" s="38"/>
      <c r="R688" s="38"/>
      <c r="S688" s="38"/>
      <c r="T688" s="38"/>
    </row>
    <row r="689">
      <c r="A689" s="41"/>
      <c r="C689" s="7"/>
      <c r="D689" s="7"/>
      <c r="E689" s="18"/>
      <c r="F689" s="38"/>
      <c r="G689" s="38"/>
      <c r="H689" s="38"/>
      <c r="I689" s="38"/>
      <c r="J689" s="38"/>
      <c r="K689" s="38"/>
      <c r="L689" s="38"/>
      <c r="M689" s="38"/>
      <c r="N689" s="41"/>
      <c r="O689" s="38"/>
      <c r="P689" s="38"/>
      <c r="Q689" s="38"/>
      <c r="R689" s="38"/>
      <c r="S689" s="38"/>
      <c r="T689" s="38"/>
    </row>
    <row r="690">
      <c r="A690" s="41"/>
      <c r="C690" s="7"/>
      <c r="D690" s="7"/>
      <c r="E690" s="18"/>
      <c r="F690" s="38"/>
      <c r="G690" s="38"/>
      <c r="H690" s="38"/>
      <c r="I690" s="38"/>
      <c r="J690" s="38"/>
      <c r="K690" s="38"/>
      <c r="L690" s="38"/>
      <c r="M690" s="38"/>
      <c r="N690" s="41"/>
      <c r="O690" s="38"/>
      <c r="P690" s="38"/>
      <c r="Q690" s="38"/>
      <c r="R690" s="38"/>
      <c r="S690" s="38"/>
      <c r="T690" s="38"/>
    </row>
    <row r="691">
      <c r="A691" s="41"/>
      <c r="C691" s="7"/>
      <c r="D691" s="7"/>
      <c r="E691" s="18"/>
      <c r="F691" s="38"/>
      <c r="G691" s="38"/>
      <c r="H691" s="38"/>
      <c r="I691" s="38"/>
      <c r="J691" s="38"/>
      <c r="K691" s="38"/>
      <c r="L691" s="38"/>
      <c r="M691" s="38"/>
      <c r="N691" s="41"/>
      <c r="O691" s="38"/>
      <c r="P691" s="38"/>
      <c r="Q691" s="38"/>
      <c r="R691" s="38"/>
      <c r="S691" s="38"/>
      <c r="T691" s="38"/>
    </row>
    <row r="692">
      <c r="A692" s="41"/>
      <c r="C692" s="7"/>
      <c r="D692" s="7"/>
      <c r="E692" s="18"/>
      <c r="F692" s="38"/>
      <c r="G692" s="38"/>
      <c r="H692" s="38"/>
      <c r="I692" s="38"/>
      <c r="J692" s="38"/>
      <c r="K692" s="38"/>
      <c r="L692" s="38"/>
      <c r="M692" s="38"/>
      <c r="N692" s="41"/>
      <c r="O692" s="38"/>
      <c r="P692" s="38"/>
      <c r="Q692" s="38"/>
      <c r="R692" s="38"/>
      <c r="S692" s="38"/>
      <c r="T692" s="38"/>
    </row>
    <row r="693">
      <c r="A693" s="41"/>
      <c r="C693" s="7"/>
      <c r="D693" s="7"/>
      <c r="E693" s="18"/>
      <c r="F693" s="38"/>
      <c r="G693" s="38"/>
      <c r="H693" s="38"/>
      <c r="I693" s="38"/>
      <c r="J693" s="38"/>
      <c r="K693" s="38"/>
      <c r="L693" s="38"/>
      <c r="M693" s="38"/>
      <c r="N693" s="41"/>
      <c r="O693" s="38"/>
      <c r="P693" s="38"/>
      <c r="Q693" s="38"/>
      <c r="R693" s="38"/>
      <c r="S693" s="38"/>
      <c r="T693" s="38"/>
    </row>
    <row r="694">
      <c r="A694" s="41"/>
      <c r="C694" s="7"/>
      <c r="D694" s="7"/>
      <c r="E694" s="18"/>
      <c r="F694" s="38"/>
      <c r="G694" s="38"/>
      <c r="H694" s="38"/>
      <c r="I694" s="38"/>
      <c r="J694" s="38"/>
      <c r="K694" s="38"/>
      <c r="L694" s="38"/>
      <c r="M694" s="38"/>
      <c r="N694" s="41"/>
      <c r="O694" s="38"/>
      <c r="P694" s="38"/>
      <c r="Q694" s="38"/>
      <c r="R694" s="38"/>
      <c r="S694" s="38"/>
      <c r="T694" s="38"/>
    </row>
    <row r="695">
      <c r="A695" s="19"/>
      <c r="B695" s="19"/>
      <c r="C695" s="42"/>
      <c r="D695" s="42"/>
      <c r="E695" s="19"/>
      <c r="F695" s="39"/>
      <c r="G695" s="39"/>
      <c r="H695" s="39"/>
      <c r="I695" s="39"/>
      <c r="J695" s="39"/>
      <c r="K695" s="19"/>
      <c r="L695" s="19"/>
      <c r="M695" s="19"/>
      <c r="N695" s="43"/>
      <c r="O695" s="19"/>
      <c r="P695" s="19"/>
      <c r="Q695" s="38"/>
      <c r="R695" s="38"/>
      <c r="S695" s="38"/>
      <c r="T695" s="38"/>
    </row>
    <row r="696">
      <c r="A696" s="41"/>
      <c r="C696" s="7"/>
      <c r="D696" s="7"/>
      <c r="E696" s="18"/>
      <c r="F696" s="38"/>
      <c r="G696" s="38"/>
      <c r="H696" s="38"/>
      <c r="I696" s="38"/>
      <c r="J696" s="38"/>
      <c r="K696" s="38"/>
      <c r="L696" s="38"/>
      <c r="M696" s="38"/>
      <c r="N696" s="41"/>
      <c r="O696" s="38"/>
      <c r="P696" s="38"/>
      <c r="Q696" s="38"/>
      <c r="R696" s="38"/>
      <c r="S696" s="38"/>
      <c r="T696" s="38"/>
    </row>
    <row r="697">
      <c r="A697" s="41"/>
      <c r="C697" s="7"/>
      <c r="D697" s="7"/>
      <c r="E697" s="18"/>
      <c r="F697" s="38"/>
      <c r="G697" s="38"/>
      <c r="H697" s="38"/>
      <c r="I697" s="38"/>
      <c r="J697" s="38"/>
      <c r="K697" s="38"/>
      <c r="L697" s="38"/>
      <c r="M697" s="38"/>
      <c r="N697" s="41"/>
      <c r="O697" s="38"/>
      <c r="P697" s="38"/>
      <c r="Q697" s="38"/>
      <c r="R697" s="38"/>
      <c r="S697" s="38"/>
      <c r="T697" s="38"/>
    </row>
    <row r="698">
      <c r="A698" s="41"/>
      <c r="C698" s="7"/>
      <c r="D698" s="7"/>
      <c r="E698" s="18"/>
      <c r="F698" s="38"/>
      <c r="G698" s="38"/>
      <c r="H698" s="38"/>
      <c r="I698" s="38"/>
      <c r="J698" s="38"/>
      <c r="K698" s="38"/>
      <c r="L698" s="38"/>
      <c r="M698" s="38"/>
      <c r="N698" s="41"/>
      <c r="O698" s="38"/>
      <c r="P698" s="38"/>
      <c r="Q698" s="38"/>
      <c r="R698" s="38"/>
      <c r="S698" s="38"/>
      <c r="T698" s="38"/>
    </row>
    <row r="699">
      <c r="A699" s="41"/>
      <c r="C699" s="7"/>
      <c r="D699" s="7"/>
      <c r="E699" s="18"/>
      <c r="F699" s="38"/>
      <c r="G699" s="38"/>
      <c r="H699" s="38"/>
      <c r="I699" s="38"/>
      <c r="J699" s="38"/>
      <c r="K699" s="38"/>
      <c r="L699" s="38"/>
      <c r="M699" s="38"/>
      <c r="N699" s="41"/>
      <c r="O699" s="38"/>
      <c r="P699" s="38"/>
      <c r="Q699" s="38"/>
      <c r="R699" s="38"/>
      <c r="S699" s="38"/>
      <c r="T699" s="38"/>
    </row>
    <row r="700">
      <c r="A700" s="41"/>
      <c r="C700" s="7"/>
      <c r="D700" s="7"/>
      <c r="E700" s="18"/>
      <c r="F700" s="38"/>
      <c r="G700" s="38"/>
      <c r="H700" s="38"/>
      <c r="I700" s="38"/>
      <c r="J700" s="38"/>
      <c r="K700" s="38"/>
      <c r="L700" s="38"/>
      <c r="M700" s="38"/>
      <c r="N700" s="41"/>
      <c r="O700" s="38"/>
      <c r="P700" s="38"/>
      <c r="Q700" s="38"/>
      <c r="R700" s="38"/>
      <c r="S700" s="38"/>
      <c r="T700" s="38"/>
    </row>
    <row r="701">
      <c r="A701" s="41"/>
      <c r="C701" s="7"/>
      <c r="D701" s="7"/>
      <c r="E701" s="18"/>
      <c r="F701" s="38"/>
      <c r="G701" s="38"/>
      <c r="H701" s="38"/>
      <c r="I701" s="38"/>
      <c r="J701" s="38"/>
      <c r="K701" s="38"/>
      <c r="L701" s="38"/>
      <c r="M701" s="38"/>
      <c r="N701" s="41"/>
      <c r="O701" s="38"/>
      <c r="P701" s="38"/>
      <c r="Q701" s="38"/>
      <c r="R701" s="38"/>
      <c r="S701" s="38"/>
      <c r="T701" s="38"/>
    </row>
    <row r="702">
      <c r="A702" s="41"/>
      <c r="C702" s="7"/>
      <c r="D702" s="7"/>
      <c r="E702" s="18"/>
      <c r="F702" s="38"/>
      <c r="G702" s="38"/>
      <c r="H702" s="38"/>
      <c r="I702" s="38"/>
      <c r="J702" s="38"/>
      <c r="K702" s="38"/>
      <c r="L702" s="38"/>
      <c r="M702" s="38"/>
      <c r="N702" s="41"/>
      <c r="O702" s="38"/>
      <c r="P702" s="38"/>
      <c r="Q702" s="38"/>
      <c r="R702" s="38"/>
      <c r="S702" s="38"/>
      <c r="T702" s="38"/>
    </row>
    <row r="703">
      <c r="A703" s="41"/>
      <c r="C703" s="7"/>
      <c r="D703" s="7"/>
      <c r="E703" s="18"/>
      <c r="F703" s="38"/>
      <c r="G703" s="38"/>
      <c r="H703" s="38"/>
      <c r="I703" s="38"/>
      <c r="J703" s="38"/>
      <c r="K703" s="38"/>
      <c r="L703" s="38"/>
      <c r="M703" s="38"/>
      <c r="N703" s="41"/>
      <c r="O703" s="38"/>
      <c r="P703" s="38"/>
      <c r="Q703" s="38"/>
      <c r="R703" s="38"/>
      <c r="S703" s="38"/>
      <c r="T703" s="38"/>
    </row>
    <row r="704">
      <c r="A704" s="41"/>
      <c r="C704" s="7"/>
      <c r="D704" s="7"/>
      <c r="E704" s="18"/>
      <c r="F704" s="38"/>
      <c r="G704" s="38"/>
      <c r="H704" s="38"/>
      <c r="I704" s="38"/>
      <c r="J704" s="38"/>
      <c r="K704" s="38"/>
      <c r="L704" s="38"/>
      <c r="M704" s="38"/>
      <c r="N704" s="41"/>
      <c r="O704" s="38"/>
      <c r="P704" s="38"/>
      <c r="Q704" s="38"/>
      <c r="R704" s="38"/>
      <c r="S704" s="38"/>
      <c r="T704" s="38"/>
    </row>
    <row r="705">
      <c r="A705" s="41"/>
      <c r="C705" s="7"/>
      <c r="D705" s="7"/>
      <c r="E705" s="18"/>
      <c r="F705" s="38"/>
      <c r="G705" s="38"/>
      <c r="H705" s="38"/>
      <c r="I705" s="38"/>
      <c r="J705" s="38"/>
      <c r="K705" s="38"/>
      <c r="L705" s="38"/>
      <c r="M705" s="38"/>
      <c r="N705" s="41"/>
      <c r="O705" s="38"/>
      <c r="P705" s="38"/>
      <c r="Q705" s="38"/>
      <c r="R705" s="38"/>
      <c r="S705" s="38"/>
      <c r="T705" s="38"/>
    </row>
    <row r="706">
      <c r="A706" s="41"/>
      <c r="C706" s="7"/>
      <c r="D706" s="7"/>
      <c r="E706" s="18"/>
      <c r="F706" s="38"/>
      <c r="G706" s="38"/>
      <c r="H706" s="38"/>
      <c r="I706" s="38"/>
      <c r="J706" s="38"/>
      <c r="K706" s="38"/>
      <c r="L706" s="38"/>
      <c r="M706" s="38"/>
      <c r="N706" s="41"/>
      <c r="O706" s="38"/>
      <c r="P706" s="38"/>
      <c r="Q706" s="38"/>
      <c r="R706" s="38"/>
      <c r="S706" s="38"/>
      <c r="T706" s="38"/>
    </row>
    <row r="707">
      <c r="A707" s="41"/>
      <c r="C707" s="7"/>
      <c r="D707" s="7"/>
      <c r="E707" s="18"/>
      <c r="F707" s="38"/>
      <c r="G707" s="38"/>
      <c r="H707" s="38"/>
      <c r="I707" s="38"/>
      <c r="J707" s="38"/>
      <c r="K707" s="38"/>
      <c r="L707" s="38"/>
      <c r="M707" s="38"/>
      <c r="N707" s="41"/>
      <c r="O707" s="38"/>
      <c r="P707" s="38"/>
      <c r="Q707" s="38"/>
      <c r="R707" s="38"/>
      <c r="S707" s="38"/>
      <c r="T707" s="38"/>
    </row>
    <row r="708">
      <c r="A708" s="41"/>
      <c r="C708" s="7"/>
      <c r="D708" s="7"/>
      <c r="E708" s="18"/>
      <c r="F708" s="38"/>
      <c r="G708" s="38"/>
      <c r="H708" s="38"/>
      <c r="I708" s="38"/>
      <c r="J708" s="38"/>
      <c r="K708" s="38"/>
      <c r="L708" s="38"/>
      <c r="M708" s="38"/>
      <c r="N708" s="41"/>
      <c r="O708" s="38"/>
      <c r="P708" s="38"/>
      <c r="Q708" s="38"/>
      <c r="R708" s="38"/>
      <c r="S708" s="38"/>
      <c r="T708" s="38"/>
    </row>
    <row r="709">
      <c r="A709" s="41"/>
      <c r="C709" s="7"/>
      <c r="D709" s="7"/>
      <c r="E709" s="18"/>
      <c r="F709" s="38"/>
      <c r="G709" s="38"/>
      <c r="H709" s="38"/>
      <c r="I709" s="38"/>
      <c r="J709" s="38"/>
      <c r="K709" s="38"/>
      <c r="L709" s="38"/>
      <c r="M709" s="38"/>
      <c r="N709" s="41"/>
      <c r="O709" s="38"/>
      <c r="P709" s="38"/>
      <c r="Q709" s="38"/>
      <c r="R709" s="38"/>
      <c r="S709" s="38"/>
      <c r="T709" s="38"/>
    </row>
    <row r="710">
      <c r="A710" s="41"/>
      <c r="C710" s="7"/>
      <c r="D710" s="7"/>
      <c r="E710" s="18"/>
      <c r="F710" s="38"/>
      <c r="G710" s="38"/>
      <c r="H710" s="38"/>
      <c r="I710" s="38"/>
      <c r="J710" s="38"/>
      <c r="K710" s="38"/>
      <c r="L710" s="38"/>
      <c r="M710" s="38"/>
      <c r="N710" s="41"/>
      <c r="O710" s="38"/>
      <c r="P710" s="38"/>
      <c r="Q710" s="38"/>
      <c r="R710" s="38"/>
      <c r="S710" s="38"/>
      <c r="T710" s="38"/>
    </row>
    <row r="711">
      <c r="A711" s="41"/>
      <c r="C711" s="7"/>
      <c r="D711" s="7"/>
      <c r="E711" s="18"/>
      <c r="F711" s="38"/>
      <c r="G711" s="38"/>
      <c r="H711" s="38"/>
      <c r="I711" s="38"/>
      <c r="J711" s="38"/>
      <c r="K711" s="38"/>
      <c r="L711" s="38"/>
      <c r="M711" s="38"/>
      <c r="N711" s="41"/>
      <c r="O711" s="38"/>
      <c r="P711" s="38"/>
      <c r="Q711" s="38"/>
      <c r="R711" s="38"/>
      <c r="S711" s="38"/>
      <c r="T711" s="38"/>
    </row>
    <row r="712">
      <c r="A712" s="41"/>
      <c r="C712" s="7"/>
      <c r="D712" s="7"/>
      <c r="E712" s="18"/>
      <c r="F712" s="38"/>
      <c r="G712" s="38"/>
      <c r="H712" s="38"/>
      <c r="I712" s="38"/>
      <c r="J712" s="38"/>
      <c r="K712" s="38"/>
      <c r="L712" s="38"/>
      <c r="M712" s="38"/>
      <c r="N712" s="41"/>
      <c r="O712" s="38"/>
      <c r="P712" s="38"/>
      <c r="Q712" s="38"/>
      <c r="R712" s="38"/>
      <c r="S712" s="38"/>
      <c r="T712" s="38"/>
    </row>
    <row r="713">
      <c r="A713" s="41"/>
      <c r="C713" s="7"/>
      <c r="D713" s="7"/>
      <c r="E713" s="18"/>
      <c r="F713" s="38"/>
      <c r="G713" s="38"/>
      <c r="H713" s="38"/>
      <c r="I713" s="38"/>
      <c r="J713" s="38"/>
      <c r="K713" s="38"/>
      <c r="L713" s="38"/>
      <c r="M713" s="38"/>
      <c r="N713" s="41"/>
      <c r="O713" s="38"/>
      <c r="P713" s="38"/>
      <c r="Q713" s="38"/>
      <c r="R713" s="38"/>
      <c r="S713" s="38"/>
      <c r="T713" s="38"/>
    </row>
    <row r="714">
      <c r="A714" s="41"/>
      <c r="C714" s="7"/>
      <c r="D714" s="7"/>
      <c r="E714" s="18"/>
      <c r="F714" s="38"/>
      <c r="G714" s="38"/>
      <c r="H714" s="38"/>
      <c r="I714" s="38"/>
      <c r="J714" s="38"/>
      <c r="K714" s="38"/>
      <c r="L714" s="38"/>
      <c r="M714" s="38"/>
      <c r="N714" s="41"/>
      <c r="O714" s="38"/>
      <c r="P714" s="38"/>
      <c r="Q714" s="38"/>
      <c r="R714" s="38"/>
      <c r="S714" s="38"/>
      <c r="T714" s="38"/>
    </row>
    <row r="715">
      <c r="A715" s="41"/>
      <c r="C715" s="7"/>
      <c r="D715" s="7"/>
      <c r="E715" s="18"/>
      <c r="F715" s="38"/>
      <c r="G715" s="38"/>
      <c r="H715" s="38"/>
      <c r="I715" s="38"/>
      <c r="J715" s="38"/>
      <c r="K715" s="38"/>
      <c r="L715" s="38"/>
      <c r="M715" s="38"/>
      <c r="N715" s="41"/>
      <c r="O715" s="38"/>
      <c r="P715" s="38"/>
      <c r="Q715" s="38"/>
      <c r="R715" s="38"/>
      <c r="S715" s="38"/>
      <c r="T715" s="38"/>
    </row>
    <row r="716">
      <c r="A716" s="41"/>
      <c r="C716" s="7"/>
      <c r="D716" s="7"/>
      <c r="E716" s="18"/>
      <c r="F716" s="38"/>
      <c r="G716" s="38"/>
      <c r="H716" s="38"/>
      <c r="I716" s="38"/>
      <c r="J716" s="38"/>
      <c r="K716" s="38"/>
      <c r="L716" s="38"/>
      <c r="M716" s="38"/>
      <c r="N716" s="41"/>
      <c r="O716" s="38"/>
      <c r="P716" s="38"/>
      <c r="Q716" s="38"/>
      <c r="R716" s="38"/>
      <c r="S716" s="38"/>
      <c r="T716" s="38"/>
    </row>
    <row r="717">
      <c r="A717" s="41"/>
      <c r="C717" s="7"/>
      <c r="D717" s="7"/>
      <c r="E717" s="18"/>
      <c r="F717" s="38"/>
      <c r="G717" s="38"/>
      <c r="H717" s="38"/>
      <c r="I717" s="38"/>
      <c r="J717" s="38"/>
      <c r="K717" s="38"/>
      <c r="L717" s="38"/>
      <c r="M717" s="38"/>
      <c r="N717" s="41"/>
      <c r="O717" s="38"/>
      <c r="P717" s="38"/>
      <c r="Q717" s="38"/>
      <c r="R717" s="38"/>
      <c r="S717" s="38"/>
      <c r="T717" s="38"/>
    </row>
    <row r="718">
      <c r="A718" s="41"/>
      <c r="C718" s="7"/>
      <c r="D718" s="7"/>
      <c r="E718" s="18"/>
      <c r="F718" s="38"/>
      <c r="G718" s="38"/>
      <c r="H718" s="38"/>
      <c r="I718" s="38"/>
      <c r="J718" s="38"/>
      <c r="K718" s="38"/>
      <c r="L718" s="38"/>
      <c r="M718" s="38"/>
      <c r="N718" s="41"/>
      <c r="O718" s="38"/>
      <c r="P718" s="38"/>
      <c r="Q718" s="38"/>
      <c r="R718" s="38"/>
      <c r="S718" s="38"/>
      <c r="T718" s="38"/>
    </row>
    <row r="719">
      <c r="A719" s="41"/>
      <c r="C719" s="7"/>
      <c r="D719" s="7"/>
      <c r="E719" s="18"/>
      <c r="F719" s="38"/>
      <c r="G719" s="38"/>
      <c r="H719" s="38"/>
      <c r="I719" s="38"/>
      <c r="J719" s="38"/>
      <c r="K719" s="38"/>
      <c r="L719" s="38"/>
      <c r="M719" s="38"/>
      <c r="N719" s="41"/>
      <c r="O719" s="38"/>
      <c r="P719" s="38"/>
      <c r="Q719" s="38"/>
      <c r="R719" s="38"/>
      <c r="S719" s="38"/>
      <c r="T719" s="38"/>
    </row>
    <row r="720">
      <c r="A720" s="41"/>
      <c r="C720" s="7"/>
      <c r="D720" s="7"/>
      <c r="E720" s="18"/>
      <c r="F720" s="38"/>
      <c r="G720" s="38"/>
      <c r="H720" s="38"/>
      <c r="I720" s="38"/>
      <c r="J720" s="38"/>
      <c r="K720" s="38"/>
      <c r="L720" s="38"/>
      <c r="M720" s="38"/>
      <c r="N720" s="41"/>
      <c r="O720" s="38"/>
      <c r="P720" s="38"/>
      <c r="Q720" s="38"/>
      <c r="R720" s="38"/>
      <c r="S720" s="38"/>
      <c r="T720" s="38"/>
    </row>
    <row r="721">
      <c r="A721" s="41"/>
      <c r="C721" s="7"/>
      <c r="D721" s="7"/>
      <c r="E721" s="18"/>
      <c r="F721" s="38"/>
      <c r="G721" s="38"/>
      <c r="H721" s="38"/>
      <c r="I721" s="38"/>
      <c r="J721" s="38"/>
      <c r="K721" s="38"/>
      <c r="L721" s="38"/>
      <c r="M721" s="38"/>
      <c r="N721" s="41"/>
      <c r="O721" s="38"/>
      <c r="P721" s="38"/>
      <c r="Q721" s="38"/>
      <c r="R721" s="38"/>
      <c r="S721" s="38"/>
      <c r="T721" s="38"/>
    </row>
    <row r="722">
      <c r="A722" s="41"/>
      <c r="C722" s="7"/>
      <c r="D722" s="7"/>
      <c r="E722" s="18"/>
      <c r="F722" s="38"/>
      <c r="G722" s="38"/>
      <c r="H722" s="38"/>
      <c r="I722" s="38"/>
      <c r="J722" s="38"/>
      <c r="K722" s="38"/>
      <c r="L722" s="38"/>
      <c r="M722" s="38"/>
      <c r="N722" s="41"/>
      <c r="O722" s="38"/>
      <c r="P722" s="38"/>
      <c r="Q722" s="38"/>
      <c r="R722" s="38"/>
      <c r="S722" s="38"/>
      <c r="T722" s="38"/>
    </row>
    <row r="723">
      <c r="A723" s="41"/>
      <c r="C723" s="7"/>
      <c r="D723" s="7"/>
      <c r="E723" s="18"/>
      <c r="F723" s="38"/>
      <c r="G723" s="38"/>
      <c r="H723" s="38"/>
      <c r="I723" s="38"/>
      <c r="J723" s="38"/>
      <c r="K723" s="38"/>
      <c r="L723" s="38"/>
      <c r="M723" s="38"/>
      <c r="N723" s="41"/>
      <c r="O723" s="38"/>
      <c r="P723" s="38"/>
      <c r="Q723" s="38"/>
      <c r="R723" s="38"/>
      <c r="S723" s="38"/>
      <c r="T723" s="38"/>
    </row>
    <row r="724">
      <c r="A724" s="41"/>
      <c r="C724" s="7"/>
      <c r="D724" s="7"/>
      <c r="E724" s="18"/>
      <c r="F724" s="38"/>
      <c r="G724" s="38"/>
      <c r="H724" s="38"/>
      <c r="I724" s="38"/>
      <c r="J724" s="38"/>
      <c r="K724" s="38"/>
      <c r="L724" s="38"/>
      <c r="M724" s="38"/>
      <c r="N724" s="41"/>
      <c r="O724" s="38"/>
      <c r="P724" s="38"/>
      <c r="Q724" s="38"/>
      <c r="R724" s="38"/>
      <c r="S724" s="38"/>
      <c r="T724" s="38"/>
    </row>
    <row r="725">
      <c r="A725" s="41"/>
      <c r="C725" s="7"/>
      <c r="D725" s="7"/>
      <c r="E725" s="18"/>
      <c r="F725" s="38"/>
      <c r="G725" s="38"/>
      <c r="H725" s="38"/>
      <c r="I725" s="38"/>
      <c r="J725" s="38"/>
      <c r="K725" s="38"/>
      <c r="L725" s="38"/>
      <c r="M725" s="38"/>
      <c r="N725" s="41"/>
      <c r="O725" s="38"/>
      <c r="P725" s="38"/>
      <c r="Q725" s="38"/>
      <c r="R725" s="38"/>
      <c r="S725" s="38"/>
      <c r="T725" s="38"/>
    </row>
    <row r="726">
      <c r="A726" s="41"/>
      <c r="C726" s="7"/>
      <c r="D726" s="7"/>
      <c r="E726" s="18"/>
      <c r="F726" s="38"/>
      <c r="G726" s="38"/>
      <c r="H726" s="38"/>
      <c r="I726" s="38"/>
      <c r="J726" s="38"/>
      <c r="K726" s="38"/>
      <c r="L726" s="38"/>
      <c r="M726" s="38"/>
      <c r="N726" s="41"/>
      <c r="O726" s="38"/>
      <c r="P726" s="38"/>
      <c r="Q726" s="38"/>
      <c r="R726" s="38"/>
      <c r="S726" s="38"/>
      <c r="T726" s="38"/>
    </row>
    <row r="727">
      <c r="A727" s="41"/>
      <c r="C727" s="7"/>
      <c r="D727" s="7"/>
      <c r="E727" s="18"/>
      <c r="F727" s="38"/>
      <c r="G727" s="38"/>
      <c r="H727" s="38"/>
      <c r="I727" s="38"/>
      <c r="J727" s="38"/>
      <c r="K727" s="38"/>
      <c r="L727" s="38"/>
      <c r="M727" s="38"/>
      <c r="N727" s="41"/>
      <c r="O727" s="38"/>
      <c r="P727" s="38"/>
      <c r="Q727" s="38"/>
      <c r="R727" s="38"/>
      <c r="S727" s="38"/>
      <c r="T727" s="38"/>
    </row>
    <row r="728">
      <c r="A728" s="41"/>
      <c r="C728" s="7"/>
      <c r="D728" s="7"/>
      <c r="E728" s="18"/>
      <c r="F728" s="38"/>
      <c r="G728" s="38"/>
      <c r="H728" s="38"/>
      <c r="I728" s="38"/>
      <c r="J728" s="38"/>
      <c r="K728" s="38"/>
      <c r="L728" s="38"/>
      <c r="M728" s="38"/>
      <c r="N728" s="41"/>
      <c r="O728" s="38"/>
      <c r="P728" s="38"/>
      <c r="Q728" s="38"/>
      <c r="R728" s="38"/>
      <c r="S728" s="38"/>
      <c r="T728" s="38"/>
    </row>
    <row r="729">
      <c r="A729" s="41"/>
      <c r="C729" s="7"/>
      <c r="D729" s="7"/>
      <c r="E729" s="18"/>
      <c r="F729" s="38"/>
      <c r="G729" s="38"/>
      <c r="H729" s="38"/>
      <c r="I729" s="38"/>
      <c r="J729" s="38"/>
      <c r="K729" s="38"/>
      <c r="L729" s="38"/>
      <c r="M729" s="38"/>
      <c r="N729" s="41"/>
      <c r="O729" s="38"/>
      <c r="P729" s="38"/>
      <c r="Q729" s="38"/>
      <c r="R729" s="38"/>
      <c r="S729" s="38"/>
      <c r="T729" s="38"/>
    </row>
    <row r="730">
      <c r="A730" s="41"/>
      <c r="C730" s="7"/>
      <c r="D730" s="7"/>
      <c r="E730" s="18"/>
      <c r="F730" s="38"/>
      <c r="G730" s="38"/>
      <c r="H730" s="38"/>
      <c r="I730" s="38"/>
      <c r="J730" s="38"/>
      <c r="K730" s="38"/>
      <c r="L730" s="38"/>
      <c r="M730" s="38"/>
      <c r="N730" s="41"/>
      <c r="O730" s="38"/>
      <c r="P730" s="38"/>
      <c r="Q730" s="38"/>
      <c r="R730" s="38"/>
      <c r="S730" s="38"/>
      <c r="T730" s="38"/>
    </row>
    <row r="731">
      <c r="A731" s="41"/>
      <c r="C731" s="7"/>
      <c r="D731" s="7"/>
      <c r="E731" s="18"/>
      <c r="F731" s="38"/>
      <c r="G731" s="38"/>
      <c r="H731" s="38"/>
      <c r="I731" s="38"/>
      <c r="J731" s="38"/>
      <c r="K731" s="38"/>
      <c r="L731" s="38"/>
      <c r="M731" s="38"/>
      <c r="N731" s="41"/>
      <c r="O731" s="38"/>
      <c r="P731" s="38"/>
      <c r="Q731" s="38"/>
      <c r="R731" s="38"/>
      <c r="S731" s="38"/>
      <c r="T731" s="38"/>
    </row>
    <row r="732">
      <c r="A732" s="41"/>
      <c r="C732" s="7"/>
      <c r="D732" s="7"/>
      <c r="E732" s="18"/>
      <c r="F732" s="38"/>
      <c r="G732" s="38"/>
      <c r="H732" s="38"/>
      <c r="I732" s="38"/>
      <c r="J732" s="38"/>
      <c r="K732" s="38"/>
      <c r="L732" s="38"/>
      <c r="M732" s="38"/>
      <c r="N732" s="41"/>
      <c r="O732" s="38"/>
      <c r="P732" s="38"/>
      <c r="Q732" s="38"/>
      <c r="R732" s="38"/>
      <c r="S732" s="38"/>
      <c r="T732" s="38"/>
    </row>
    <row r="733">
      <c r="A733" s="41"/>
      <c r="C733" s="7"/>
      <c r="D733" s="7"/>
      <c r="E733" s="18"/>
      <c r="F733" s="38"/>
      <c r="G733" s="38"/>
      <c r="H733" s="38"/>
      <c r="I733" s="38"/>
      <c r="J733" s="38"/>
      <c r="K733" s="38"/>
      <c r="L733" s="38"/>
      <c r="M733" s="38"/>
      <c r="N733" s="41"/>
      <c r="O733" s="38"/>
      <c r="P733" s="38"/>
      <c r="Q733" s="38"/>
      <c r="R733" s="38"/>
      <c r="S733" s="38"/>
      <c r="T733" s="38"/>
    </row>
    <row r="734">
      <c r="A734" s="41"/>
      <c r="C734" s="7"/>
      <c r="D734" s="7"/>
      <c r="E734" s="18"/>
      <c r="F734" s="38"/>
      <c r="G734" s="38"/>
      <c r="H734" s="38"/>
      <c r="I734" s="38"/>
      <c r="J734" s="38"/>
      <c r="K734" s="38"/>
      <c r="L734" s="38"/>
      <c r="M734" s="38"/>
      <c r="N734" s="41"/>
      <c r="O734" s="38"/>
      <c r="P734" s="38"/>
      <c r="Q734" s="38"/>
      <c r="R734" s="38"/>
      <c r="S734" s="38"/>
      <c r="T734" s="38"/>
    </row>
    <row r="735">
      <c r="A735" s="41"/>
      <c r="C735" s="7"/>
      <c r="D735" s="7"/>
      <c r="E735" s="18"/>
      <c r="F735" s="38"/>
      <c r="G735" s="38"/>
      <c r="H735" s="38"/>
      <c r="I735" s="38"/>
      <c r="J735" s="38"/>
      <c r="K735" s="38"/>
      <c r="L735" s="38"/>
      <c r="M735" s="38"/>
      <c r="N735" s="41"/>
      <c r="O735" s="38"/>
      <c r="P735" s="38"/>
      <c r="Q735" s="38"/>
      <c r="R735" s="38"/>
      <c r="S735" s="38"/>
      <c r="T735" s="38"/>
    </row>
    <row r="736">
      <c r="A736" s="19"/>
      <c r="B736" s="19"/>
      <c r="C736" s="42"/>
      <c r="D736" s="42"/>
      <c r="E736" s="19"/>
      <c r="F736" s="39"/>
      <c r="G736" s="39"/>
      <c r="H736" s="39"/>
      <c r="I736" s="39"/>
      <c r="J736" s="39"/>
      <c r="K736" s="19"/>
      <c r="L736" s="19"/>
      <c r="M736" s="19"/>
      <c r="N736" s="43"/>
      <c r="O736" s="19"/>
      <c r="P736" s="19"/>
      <c r="Q736" s="38"/>
      <c r="R736" s="38"/>
      <c r="S736" s="38"/>
      <c r="T736" s="38"/>
    </row>
    <row r="737">
      <c r="A737" s="41"/>
      <c r="C737" s="7"/>
      <c r="D737" s="7"/>
      <c r="E737" s="18"/>
      <c r="F737" s="38"/>
      <c r="G737" s="38"/>
      <c r="H737" s="38"/>
      <c r="I737" s="38"/>
      <c r="J737" s="38"/>
      <c r="K737" s="38"/>
      <c r="L737" s="38"/>
      <c r="M737" s="38"/>
      <c r="N737" s="41"/>
      <c r="O737" s="38"/>
      <c r="P737" s="38"/>
      <c r="Q737" s="38"/>
      <c r="R737" s="38"/>
      <c r="S737" s="38"/>
      <c r="T737" s="38"/>
    </row>
    <row r="738">
      <c r="A738" s="41"/>
      <c r="C738" s="7"/>
      <c r="D738" s="7"/>
      <c r="E738" s="18"/>
      <c r="F738" s="38"/>
      <c r="G738" s="38"/>
      <c r="H738" s="38"/>
      <c r="I738" s="38"/>
      <c r="J738" s="38"/>
      <c r="K738" s="38"/>
      <c r="L738" s="38"/>
      <c r="M738" s="38"/>
      <c r="N738" s="41"/>
      <c r="O738" s="38"/>
      <c r="P738" s="38"/>
      <c r="Q738" s="38"/>
      <c r="R738" s="38"/>
      <c r="S738" s="38"/>
      <c r="T738" s="38"/>
    </row>
    <row r="739">
      <c r="A739" s="41"/>
      <c r="C739" s="7"/>
      <c r="D739" s="7"/>
      <c r="E739" s="18"/>
      <c r="F739" s="38"/>
      <c r="G739" s="38"/>
      <c r="H739" s="38"/>
      <c r="I739" s="38"/>
      <c r="J739" s="38"/>
      <c r="K739" s="38"/>
      <c r="L739" s="38"/>
      <c r="M739" s="38"/>
      <c r="N739" s="41"/>
      <c r="O739" s="38"/>
      <c r="P739" s="38"/>
      <c r="Q739" s="38"/>
      <c r="R739" s="38"/>
      <c r="S739" s="38"/>
      <c r="T739" s="38"/>
    </row>
    <row r="740">
      <c r="A740" s="41"/>
      <c r="C740" s="7"/>
      <c r="D740" s="7"/>
      <c r="E740" s="18"/>
      <c r="F740" s="38"/>
      <c r="G740" s="38"/>
      <c r="H740" s="38"/>
      <c r="I740" s="38"/>
      <c r="J740" s="38"/>
      <c r="K740" s="38"/>
      <c r="L740" s="38"/>
      <c r="M740" s="38"/>
      <c r="N740" s="41"/>
      <c r="O740" s="38"/>
      <c r="P740" s="38"/>
      <c r="Q740" s="38"/>
      <c r="R740" s="38"/>
      <c r="S740" s="38"/>
      <c r="T740" s="38"/>
    </row>
    <row r="741">
      <c r="A741" s="41"/>
      <c r="C741" s="7"/>
      <c r="D741" s="7"/>
      <c r="E741" s="18"/>
      <c r="F741" s="38"/>
      <c r="G741" s="38"/>
      <c r="H741" s="38"/>
      <c r="I741" s="38"/>
      <c r="J741" s="38"/>
      <c r="K741" s="38"/>
      <c r="L741" s="38"/>
      <c r="M741" s="38"/>
      <c r="N741" s="41"/>
      <c r="O741" s="38"/>
      <c r="P741" s="38"/>
      <c r="Q741" s="38"/>
      <c r="R741" s="38"/>
      <c r="S741" s="38"/>
      <c r="T741" s="38"/>
    </row>
    <row r="742">
      <c r="A742" s="41"/>
      <c r="C742" s="7"/>
      <c r="D742" s="7"/>
      <c r="E742" s="18"/>
      <c r="F742" s="38"/>
      <c r="G742" s="38"/>
      <c r="H742" s="38"/>
      <c r="I742" s="38"/>
      <c r="J742" s="38"/>
      <c r="K742" s="38"/>
      <c r="L742" s="38"/>
      <c r="M742" s="38"/>
      <c r="N742" s="41"/>
      <c r="O742" s="38"/>
      <c r="P742" s="38"/>
      <c r="Q742" s="38"/>
      <c r="R742" s="38"/>
      <c r="S742" s="38"/>
      <c r="T742" s="38"/>
    </row>
    <row r="743">
      <c r="A743" s="41"/>
      <c r="C743" s="7"/>
      <c r="D743" s="7"/>
      <c r="E743" s="18"/>
      <c r="F743" s="38"/>
      <c r="G743" s="38"/>
      <c r="H743" s="38"/>
      <c r="I743" s="38"/>
      <c r="J743" s="38"/>
      <c r="K743" s="38"/>
      <c r="L743" s="38"/>
      <c r="M743" s="38"/>
      <c r="N743" s="41"/>
      <c r="O743" s="38"/>
      <c r="P743" s="38"/>
      <c r="Q743" s="38"/>
      <c r="R743" s="38"/>
      <c r="S743" s="38"/>
      <c r="T743" s="38"/>
    </row>
    <row r="744">
      <c r="A744" s="41"/>
      <c r="C744" s="7"/>
      <c r="D744" s="7"/>
      <c r="E744" s="18"/>
      <c r="F744" s="38"/>
      <c r="G744" s="38"/>
      <c r="H744" s="38"/>
      <c r="I744" s="38"/>
      <c r="J744" s="38"/>
      <c r="K744" s="38"/>
      <c r="L744" s="38"/>
      <c r="M744" s="38"/>
      <c r="N744" s="41"/>
      <c r="O744" s="38"/>
      <c r="P744" s="38"/>
      <c r="Q744" s="38"/>
      <c r="R744" s="38"/>
      <c r="S744" s="38"/>
      <c r="T744" s="38"/>
    </row>
    <row r="745">
      <c r="A745" s="41"/>
      <c r="C745" s="7"/>
      <c r="D745" s="7"/>
      <c r="E745" s="18"/>
      <c r="F745" s="38"/>
      <c r="G745" s="38"/>
      <c r="H745" s="38"/>
      <c r="I745" s="38"/>
      <c r="J745" s="38"/>
      <c r="K745" s="38"/>
      <c r="L745" s="38"/>
      <c r="M745" s="38"/>
      <c r="N745" s="41"/>
      <c r="O745" s="38"/>
      <c r="P745" s="38"/>
      <c r="Q745" s="38"/>
      <c r="R745" s="38"/>
      <c r="S745" s="38"/>
      <c r="T745" s="38"/>
    </row>
    <row r="746">
      <c r="A746" s="41"/>
      <c r="C746" s="7"/>
      <c r="D746" s="7"/>
      <c r="E746" s="18"/>
      <c r="F746" s="38"/>
      <c r="G746" s="38"/>
      <c r="H746" s="38"/>
      <c r="I746" s="38"/>
      <c r="J746" s="38"/>
      <c r="K746" s="38"/>
      <c r="L746" s="38"/>
      <c r="M746" s="38"/>
      <c r="N746" s="41"/>
      <c r="O746" s="38"/>
      <c r="P746" s="38"/>
      <c r="Q746" s="38"/>
      <c r="R746" s="38"/>
      <c r="S746" s="38"/>
      <c r="T746" s="38"/>
    </row>
    <row r="747">
      <c r="A747" s="41"/>
      <c r="C747" s="7"/>
      <c r="D747" s="7"/>
      <c r="E747" s="18"/>
      <c r="F747" s="38"/>
      <c r="G747" s="38"/>
      <c r="H747" s="38"/>
      <c r="I747" s="38"/>
      <c r="J747" s="38"/>
      <c r="K747" s="38"/>
      <c r="L747" s="38"/>
      <c r="M747" s="38"/>
      <c r="N747" s="41"/>
      <c r="O747" s="38"/>
      <c r="P747" s="38"/>
      <c r="Q747" s="38"/>
      <c r="R747" s="38"/>
      <c r="S747" s="38"/>
      <c r="T747" s="38"/>
    </row>
    <row r="748">
      <c r="A748" s="41"/>
      <c r="C748" s="7"/>
      <c r="D748" s="7"/>
      <c r="E748" s="18"/>
      <c r="F748" s="38"/>
      <c r="G748" s="38"/>
      <c r="H748" s="38"/>
      <c r="I748" s="38"/>
      <c r="J748" s="38"/>
      <c r="K748" s="38"/>
      <c r="L748" s="38"/>
      <c r="M748" s="38"/>
      <c r="N748" s="41"/>
      <c r="O748" s="38"/>
      <c r="P748" s="38"/>
      <c r="Q748" s="38"/>
      <c r="R748" s="38"/>
      <c r="S748" s="38"/>
      <c r="T748" s="38"/>
    </row>
    <row r="749">
      <c r="A749" s="41"/>
      <c r="C749" s="7"/>
      <c r="D749" s="7"/>
      <c r="E749" s="18"/>
      <c r="F749" s="38"/>
      <c r="G749" s="38"/>
      <c r="H749" s="38"/>
      <c r="I749" s="38"/>
      <c r="J749" s="38"/>
      <c r="K749" s="38"/>
      <c r="L749" s="38"/>
      <c r="M749" s="38"/>
      <c r="N749" s="41"/>
      <c r="O749" s="38"/>
      <c r="P749" s="38"/>
      <c r="Q749" s="38"/>
      <c r="R749" s="38"/>
      <c r="S749" s="38"/>
      <c r="T749" s="38"/>
    </row>
    <row r="750">
      <c r="A750" s="41"/>
      <c r="C750" s="7"/>
      <c r="D750" s="7"/>
      <c r="E750" s="18"/>
      <c r="F750" s="38"/>
      <c r="G750" s="38"/>
      <c r="H750" s="38"/>
      <c r="I750" s="38"/>
      <c r="J750" s="38"/>
      <c r="K750" s="38"/>
      <c r="L750" s="38"/>
      <c r="M750" s="38"/>
      <c r="N750" s="41"/>
      <c r="O750" s="38"/>
      <c r="P750" s="38"/>
      <c r="Q750" s="38"/>
      <c r="R750" s="38"/>
      <c r="S750" s="38"/>
      <c r="T750" s="38"/>
    </row>
    <row r="751">
      <c r="A751" s="41"/>
      <c r="C751" s="7"/>
      <c r="D751" s="7"/>
      <c r="E751" s="18"/>
      <c r="F751" s="38"/>
      <c r="G751" s="38"/>
      <c r="H751" s="38"/>
      <c r="I751" s="38"/>
      <c r="J751" s="38"/>
      <c r="K751" s="38"/>
      <c r="L751" s="38"/>
      <c r="M751" s="38"/>
      <c r="N751" s="41"/>
      <c r="O751" s="38"/>
      <c r="P751" s="38"/>
      <c r="Q751" s="38"/>
      <c r="R751" s="38"/>
      <c r="S751" s="38"/>
      <c r="T751" s="38"/>
    </row>
    <row r="752">
      <c r="A752" s="41"/>
      <c r="C752" s="7"/>
      <c r="D752" s="7"/>
      <c r="E752" s="18"/>
      <c r="F752" s="38"/>
      <c r="G752" s="38"/>
      <c r="H752" s="38"/>
      <c r="I752" s="38"/>
      <c r="J752" s="38"/>
      <c r="K752" s="38"/>
      <c r="L752" s="38"/>
      <c r="M752" s="38"/>
      <c r="N752" s="41"/>
      <c r="O752" s="38"/>
      <c r="P752" s="38"/>
      <c r="Q752" s="38"/>
      <c r="R752" s="38"/>
      <c r="S752" s="38"/>
      <c r="T752" s="38"/>
    </row>
    <row r="753">
      <c r="A753" s="41"/>
      <c r="C753" s="7"/>
      <c r="D753" s="7"/>
      <c r="E753" s="18"/>
      <c r="F753" s="38"/>
      <c r="G753" s="38"/>
      <c r="H753" s="38"/>
      <c r="I753" s="38"/>
      <c r="J753" s="38"/>
      <c r="K753" s="38"/>
      <c r="L753" s="38"/>
      <c r="M753" s="38"/>
      <c r="N753" s="41"/>
      <c r="O753" s="38"/>
      <c r="P753" s="38"/>
      <c r="Q753" s="38"/>
      <c r="R753" s="38"/>
      <c r="S753" s="38"/>
      <c r="T753" s="38"/>
    </row>
    <row r="754">
      <c r="A754" s="41"/>
      <c r="C754" s="7"/>
      <c r="D754" s="7"/>
      <c r="E754" s="18"/>
      <c r="F754" s="38"/>
      <c r="G754" s="38"/>
      <c r="H754" s="38"/>
      <c r="I754" s="38"/>
      <c r="J754" s="38"/>
      <c r="K754" s="38"/>
      <c r="L754" s="38"/>
      <c r="M754" s="38"/>
      <c r="N754" s="41"/>
      <c r="O754" s="38"/>
      <c r="P754" s="38"/>
      <c r="Q754" s="38"/>
      <c r="R754" s="38"/>
      <c r="S754" s="38"/>
      <c r="T754" s="38"/>
    </row>
    <row r="755">
      <c r="A755" s="41"/>
      <c r="C755" s="7"/>
      <c r="D755" s="7"/>
      <c r="E755" s="18"/>
      <c r="F755" s="38"/>
      <c r="G755" s="38"/>
      <c r="H755" s="38"/>
      <c r="I755" s="38"/>
      <c r="J755" s="38"/>
      <c r="K755" s="38"/>
      <c r="L755" s="38"/>
      <c r="M755" s="38"/>
      <c r="N755" s="41"/>
      <c r="O755" s="38"/>
      <c r="P755" s="38"/>
      <c r="Q755" s="38"/>
      <c r="R755" s="38"/>
      <c r="S755" s="38"/>
      <c r="T755" s="38"/>
    </row>
    <row r="756">
      <c r="A756" s="41"/>
      <c r="C756" s="7"/>
      <c r="D756" s="7"/>
      <c r="E756" s="18"/>
      <c r="F756" s="38"/>
      <c r="G756" s="38"/>
      <c r="H756" s="38"/>
      <c r="I756" s="38"/>
      <c r="J756" s="38"/>
      <c r="K756" s="38"/>
      <c r="L756" s="38"/>
      <c r="M756" s="38"/>
      <c r="N756" s="41"/>
      <c r="O756" s="38"/>
      <c r="P756" s="38"/>
      <c r="Q756" s="38"/>
      <c r="R756" s="38"/>
      <c r="S756" s="38"/>
      <c r="T756" s="38"/>
    </row>
    <row r="757">
      <c r="A757" s="41"/>
      <c r="C757" s="7"/>
      <c r="D757" s="7"/>
      <c r="E757" s="18"/>
      <c r="F757" s="38"/>
      <c r="G757" s="38"/>
      <c r="H757" s="38"/>
      <c r="I757" s="38"/>
      <c r="J757" s="38"/>
      <c r="K757" s="38"/>
      <c r="L757" s="38"/>
      <c r="M757" s="38"/>
      <c r="N757" s="41"/>
      <c r="O757" s="38"/>
      <c r="P757" s="38"/>
      <c r="Q757" s="38"/>
      <c r="R757" s="38"/>
      <c r="S757" s="38"/>
      <c r="T757" s="38"/>
    </row>
    <row r="758">
      <c r="A758" s="41"/>
      <c r="C758" s="7"/>
      <c r="D758" s="7"/>
      <c r="E758" s="18"/>
      <c r="F758" s="38"/>
      <c r="G758" s="38"/>
      <c r="H758" s="38"/>
      <c r="I758" s="38"/>
      <c r="J758" s="38"/>
      <c r="K758" s="38"/>
      <c r="L758" s="38"/>
      <c r="M758" s="38"/>
      <c r="N758" s="41"/>
      <c r="O758" s="38"/>
      <c r="P758" s="38"/>
      <c r="Q758" s="38"/>
      <c r="R758" s="38"/>
      <c r="S758" s="38"/>
      <c r="T758" s="38"/>
    </row>
    <row r="759">
      <c r="A759" s="41"/>
      <c r="C759" s="7"/>
      <c r="D759" s="7"/>
      <c r="E759" s="18"/>
      <c r="F759" s="38"/>
      <c r="G759" s="38"/>
      <c r="H759" s="38"/>
      <c r="I759" s="38"/>
      <c r="J759" s="38"/>
      <c r="K759" s="38"/>
      <c r="L759" s="38"/>
      <c r="M759" s="38"/>
      <c r="N759" s="41"/>
      <c r="O759" s="38"/>
      <c r="P759" s="38"/>
      <c r="Q759" s="38"/>
      <c r="R759" s="38"/>
      <c r="S759" s="38"/>
      <c r="T759" s="38"/>
    </row>
    <row r="760">
      <c r="A760" s="41"/>
      <c r="C760" s="7"/>
      <c r="D760" s="7"/>
      <c r="E760" s="18"/>
      <c r="F760" s="38"/>
      <c r="G760" s="38"/>
      <c r="H760" s="38"/>
      <c r="I760" s="38"/>
      <c r="J760" s="38"/>
      <c r="K760" s="38"/>
      <c r="L760" s="38"/>
      <c r="M760" s="38"/>
      <c r="N760" s="41"/>
      <c r="O760" s="38"/>
      <c r="P760" s="38"/>
      <c r="Q760" s="38"/>
      <c r="R760" s="38"/>
      <c r="S760" s="38"/>
      <c r="T760" s="38"/>
    </row>
    <row r="761">
      <c r="A761" s="41"/>
      <c r="C761" s="7"/>
      <c r="D761" s="7"/>
      <c r="E761" s="18"/>
      <c r="F761" s="38"/>
      <c r="G761" s="38"/>
      <c r="H761" s="38"/>
      <c r="I761" s="38"/>
      <c r="J761" s="38"/>
      <c r="K761" s="38"/>
      <c r="L761" s="38"/>
      <c r="M761" s="38"/>
      <c r="N761" s="41"/>
      <c r="O761" s="38"/>
      <c r="P761" s="38"/>
      <c r="Q761" s="38"/>
      <c r="R761" s="38"/>
      <c r="S761" s="38"/>
      <c r="T761" s="38"/>
    </row>
    <row r="762">
      <c r="A762" s="41"/>
      <c r="C762" s="7"/>
      <c r="D762" s="7"/>
      <c r="E762" s="18"/>
      <c r="F762" s="38"/>
      <c r="G762" s="38"/>
      <c r="H762" s="38"/>
      <c r="I762" s="38"/>
      <c r="J762" s="38"/>
      <c r="K762" s="38"/>
      <c r="L762" s="38"/>
      <c r="M762" s="38"/>
      <c r="N762" s="41"/>
      <c r="O762" s="38"/>
      <c r="P762" s="38"/>
      <c r="Q762" s="38"/>
      <c r="R762" s="38"/>
      <c r="S762" s="38"/>
      <c r="T762" s="38"/>
    </row>
    <row r="763">
      <c r="A763" s="41"/>
      <c r="C763" s="7"/>
      <c r="D763" s="7"/>
      <c r="E763" s="18"/>
      <c r="F763" s="38"/>
      <c r="G763" s="38"/>
      <c r="H763" s="38"/>
      <c r="I763" s="38"/>
      <c r="J763" s="38"/>
      <c r="K763" s="38"/>
      <c r="L763" s="38"/>
      <c r="M763" s="38"/>
      <c r="N763" s="41"/>
      <c r="O763" s="38"/>
      <c r="P763" s="38"/>
      <c r="Q763" s="38"/>
      <c r="R763" s="38"/>
      <c r="S763" s="38"/>
      <c r="T763" s="38"/>
    </row>
    <row r="764">
      <c r="A764" s="41"/>
      <c r="C764" s="7"/>
      <c r="D764" s="7"/>
      <c r="E764" s="18"/>
      <c r="F764" s="38"/>
      <c r="G764" s="38"/>
      <c r="H764" s="38"/>
      <c r="I764" s="38"/>
      <c r="J764" s="38"/>
      <c r="K764" s="38"/>
      <c r="L764" s="38"/>
      <c r="M764" s="38"/>
      <c r="N764" s="41"/>
      <c r="O764" s="38"/>
      <c r="P764" s="38"/>
      <c r="Q764" s="38"/>
      <c r="R764" s="38"/>
      <c r="S764" s="38"/>
      <c r="T764" s="38"/>
    </row>
    <row r="765">
      <c r="A765" s="41"/>
      <c r="C765" s="7"/>
      <c r="D765" s="7"/>
      <c r="E765" s="18"/>
      <c r="F765" s="38"/>
      <c r="G765" s="38"/>
      <c r="H765" s="38"/>
      <c r="I765" s="38"/>
      <c r="J765" s="38"/>
      <c r="K765" s="38"/>
      <c r="L765" s="38"/>
      <c r="M765" s="38"/>
      <c r="N765" s="41"/>
      <c r="O765" s="38"/>
      <c r="P765" s="38"/>
      <c r="Q765" s="38"/>
      <c r="R765" s="38"/>
      <c r="S765" s="38"/>
      <c r="T765" s="38"/>
    </row>
    <row r="766">
      <c r="A766" s="41"/>
      <c r="C766" s="7"/>
      <c r="D766" s="7"/>
      <c r="E766" s="18"/>
      <c r="F766" s="38"/>
      <c r="G766" s="38"/>
      <c r="H766" s="38"/>
      <c r="I766" s="38"/>
      <c r="J766" s="38"/>
      <c r="K766" s="38"/>
      <c r="L766" s="38"/>
      <c r="M766" s="38"/>
      <c r="N766" s="41"/>
      <c r="O766" s="38"/>
      <c r="P766" s="38"/>
      <c r="Q766" s="38"/>
      <c r="R766" s="38"/>
      <c r="S766" s="38"/>
      <c r="T766" s="38"/>
    </row>
    <row r="767">
      <c r="A767" s="41"/>
      <c r="C767" s="7"/>
      <c r="D767" s="7"/>
      <c r="E767" s="18"/>
      <c r="F767" s="38"/>
      <c r="G767" s="38"/>
      <c r="H767" s="38"/>
      <c r="I767" s="38"/>
      <c r="J767" s="38"/>
      <c r="K767" s="38"/>
      <c r="L767" s="38"/>
      <c r="M767" s="38"/>
      <c r="N767" s="41"/>
      <c r="O767" s="38"/>
      <c r="P767" s="38"/>
      <c r="Q767" s="38"/>
      <c r="R767" s="38"/>
      <c r="S767" s="38"/>
      <c r="T767" s="38"/>
    </row>
    <row r="768">
      <c r="A768" s="41"/>
      <c r="C768" s="7"/>
      <c r="D768" s="7"/>
      <c r="E768" s="18"/>
      <c r="F768" s="38"/>
      <c r="G768" s="38"/>
      <c r="H768" s="38"/>
      <c r="I768" s="38"/>
      <c r="J768" s="38"/>
      <c r="K768" s="38"/>
      <c r="L768" s="38"/>
      <c r="M768" s="38"/>
      <c r="N768" s="41"/>
      <c r="O768" s="38"/>
      <c r="P768" s="38"/>
      <c r="Q768" s="38"/>
      <c r="R768" s="38"/>
      <c r="S768" s="38"/>
      <c r="T768" s="38"/>
    </row>
    <row r="769">
      <c r="A769" s="41"/>
      <c r="C769" s="7"/>
      <c r="D769" s="7"/>
      <c r="E769" s="18"/>
      <c r="F769" s="38"/>
      <c r="G769" s="38"/>
      <c r="H769" s="38"/>
      <c r="I769" s="38"/>
      <c r="J769" s="38"/>
      <c r="K769" s="38"/>
      <c r="L769" s="38"/>
      <c r="M769" s="38"/>
      <c r="N769" s="41"/>
      <c r="O769" s="38"/>
      <c r="P769" s="38"/>
      <c r="Q769" s="38"/>
      <c r="R769" s="38"/>
      <c r="S769" s="38"/>
      <c r="T769" s="38"/>
    </row>
    <row r="770">
      <c r="A770" s="41"/>
      <c r="C770" s="7"/>
      <c r="D770" s="7"/>
      <c r="E770" s="18"/>
      <c r="F770" s="38"/>
      <c r="G770" s="38"/>
      <c r="H770" s="38"/>
      <c r="I770" s="38"/>
      <c r="J770" s="38"/>
      <c r="K770" s="38"/>
      <c r="L770" s="38"/>
      <c r="M770" s="38"/>
      <c r="N770" s="41"/>
      <c r="O770" s="38"/>
      <c r="P770" s="38"/>
      <c r="Q770" s="38"/>
      <c r="R770" s="38"/>
      <c r="S770" s="38"/>
      <c r="T770" s="38"/>
    </row>
    <row r="771">
      <c r="A771" s="41"/>
      <c r="C771" s="7"/>
      <c r="D771" s="7"/>
      <c r="E771" s="18"/>
      <c r="F771" s="38"/>
      <c r="G771" s="38"/>
      <c r="H771" s="38"/>
      <c r="I771" s="38"/>
      <c r="J771" s="38"/>
      <c r="K771" s="38"/>
      <c r="L771" s="38"/>
      <c r="M771" s="38"/>
      <c r="N771" s="41"/>
      <c r="O771" s="38"/>
      <c r="P771" s="38"/>
      <c r="Q771" s="38"/>
      <c r="R771" s="38"/>
      <c r="S771" s="38"/>
      <c r="T771" s="38"/>
    </row>
    <row r="772">
      <c r="A772" s="41"/>
      <c r="C772" s="7"/>
      <c r="D772" s="7"/>
      <c r="E772" s="18"/>
      <c r="F772" s="38"/>
      <c r="G772" s="38"/>
      <c r="H772" s="38"/>
      <c r="I772" s="38"/>
      <c r="J772" s="38"/>
      <c r="K772" s="38"/>
      <c r="L772" s="38"/>
      <c r="M772" s="38"/>
      <c r="N772" s="41"/>
      <c r="O772" s="38"/>
      <c r="P772" s="38"/>
      <c r="Q772" s="38"/>
      <c r="R772" s="38"/>
      <c r="S772" s="38"/>
      <c r="T772" s="38"/>
    </row>
    <row r="773">
      <c r="A773" s="41"/>
      <c r="C773" s="7"/>
      <c r="D773" s="7"/>
      <c r="E773" s="18"/>
      <c r="F773" s="38"/>
      <c r="G773" s="38"/>
      <c r="H773" s="38"/>
      <c r="I773" s="38"/>
      <c r="J773" s="38"/>
      <c r="K773" s="38"/>
      <c r="L773" s="38"/>
      <c r="M773" s="38"/>
      <c r="N773" s="41"/>
      <c r="O773" s="38"/>
      <c r="P773" s="38"/>
      <c r="Q773" s="38"/>
      <c r="R773" s="38"/>
      <c r="S773" s="38"/>
      <c r="T773" s="38"/>
    </row>
    <row r="774">
      <c r="A774" s="41"/>
      <c r="C774" s="7"/>
      <c r="D774" s="7"/>
      <c r="E774" s="18"/>
      <c r="F774" s="38"/>
      <c r="G774" s="38"/>
      <c r="H774" s="38"/>
      <c r="I774" s="38"/>
      <c r="J774" s="38"/>
      <c r="K774" s="38"/>
      <c r="L774" s="38"/>
      <c r="M774" s="38"/>
      <c r="N774" s="41"/>
      <c r="O774" s="38"/>
      <c r="P774" s="38"/>
      <c r="Q774" s="38"/>
      <c r="R774" s="38"/>
      <c r="S774" s="38"/>
      <c r="T774" s="38"/>
    </row>
    <row r="775">
      <c r="A775" s="41"/>
      <c r="C775" s="7"/>
      <c r="D775" s="7"/>
      <c r="E775" s="18"/>
      <c r="F775" s="38"/>
      <c r="G775" s="38"/>
      <c r="H775" s="38"/>
      <c r="I775" s="38"/>
      <c r="J775" s="38"/>
      <c r="K775" s="38"/>
      <c r="L775" s="38"/>
      <c r="M775" s="38"/>
      <c r="N775" s="41"/>
      <c r="O775" s="38"/>
      <c r="P775" s="38"/>
      <c r="Q775" s="38"/>
      <c r="R775" s="38"/>
      <c r="S775" s="38"/>
      <c r="T775" s="38"/>
    </row>
    <row r="776">
      <c r="A776" s="41"/>
      <c r="C776" s="7"/>
      <c r="D776" s="7"/>
      <c r="E776" s="18"/>
      <c r="F776" s="38"/>
      <c r="G776" s="38"/>
      <c r="H776" s="38"/>
      <c r="I776" s="38"/>
      <c r="J776" s="38"/>
      <c r="K776" s="38"/>
      <c r="L776" s="38"/>
      <c r="M776" s="38"/>
      <c r="N776" s="41"/>
      <c r="O776" s="38"/>
      <c r="P776" s="38"/>
      <c r="Q776" s="38"/>
      <c r="R776" s="38"/>
      <c r="S776" s="38"/>
      <c r="T776" s="38"/>
    </row>
    <row r="777">
      <c r="A777" s="19"/>
      <c r="B777" s="19"/>
      <c r="C777" s="42"/>
      <c r="D777" s="42"/>
      <c r="E777" s="19"/>
      <c r="F777" s="39"/>
      <c r="G777" s="39"/>
      <c r="H777" s="39"/>
      <c r="I777" s="39"/>
      <c r="J777" s="39"/>
      <c r="K777" s="19"/>
      <c r="L777" s="19"/>
      <c r="M777" s="19"/>
      <c r="N777" s="43"/>
      <c r="O777" s="19"/>
      <c r="P777" s="19"/>
      <c r="Q777" s="38"/>
      <c r="R777" s="38"/>
      <c r="S777" s="38"/>
      <c r="T777" s="38"/>
    </row>
    <row r="778">
      <c r="A778" s="41"/>
      <c r="C778" s="7"/>
      <c r="D778" s="7"/>
      <c r="E778" s="18"/>
      <c r="F778" s="38"/>
      <c r="G778" s="38"/>
      <c r="H778" s="38"/>
      <c r="I778" s="38"/>
      <c r="J778" s="38"/>
      <c r="K778" s="38"/>
      <c r="L778" s="38"/>
      <c r="M778" s="38"/>
      <c r="N778" s="41"/>
      <c r="O778" s="38"/>
      <c r="P778" s="38"/>
      <c r="Q778" s="38"/>
      <c r="R778" s="38"/>
      <c r="S778" s="38"/>
      <c r="T778" s="38"/>
    </row>
    <row r="779">
      <c r="A779" s="41"/>
      <c r="C779" s="7"/>
      <c r="D779" s="7"/>
      <c r="E779" s="18"/>
      <c r="F779" s="38"/>
      <c r="G779" s="38"/>
      <c r="H779" s="38"/>
      <c r="I779" s="38"/>
      <c r="J779" s="38"/>
      <c r="K779" s="38"/>
      <c r="L779" s="38"/>
      <c r="M779" s="38"/>
      <c r="N779" s="41"/>
      <c r="O779" s="38"/>
      <c r="P779" s="38"/>
      <c r="Q779" s="38"/>
      <c r="R779" s="38"/>
      <c r="S779" s="38"/>
      <c r="T779" s="38"/>
    </row>
    <row r="780">
      <c r="A780" s="41"/>
      <c r="C780" s="7"/>
      <c r="D780" s="7"/>
      <c r="E780" s="18"/>
      <c r="F780" s="38"/>
      <c r="G780" s="38"/>
      <c r="H780" s="38"/>
      <c r="I780" s="38"/>
      <c r="J780" s="38"/>
      <c r="K780" s="38"/>
      <c r="L780" s="38"/>
      <c r="M780" s="38"/>
      <c r="N780" s="41"/>
      <c r="O780" s="38"/>
      <c r="P780" s="38"/>
      <c r="Q780" s="38"/>
      <c r="R780" s="38"/>
      <c r="S780" s="38"/>
      <c r="T780" s="38"/>
    </row>
    <row r="781">
      <c r="A781" s="41"/>
      <c r="C781" s="7"/>
      <c r="D781" s="7"/>
      <c r="E781" s="18"/>
      <c r="F781" s="38"/>
      <c r="G781" s="38"/>
      <c r="H781" s="38"/>
      <c r="I781" s="38"/>
      <c r="J781" s="38"/>
      <c r="K781" s="38"/>
      <c r="L781" s="38"/>
      <c r="M781" s="38"/>
      <c r="N781" s="41"/>
      <c r="O781" s="38"/>
      <c r="P781" s="38"/>
      <c r="Q781" s="38"/>
      <c r="R781" s="38"/>
      <c r="S781" s="38"/>
      <c r="T781" s="38"/>
    </row>
    <row r="782">
      <c r="A782" s="41"/>
      <c r="C782" s="7"/>
      <c r="D782" s="7"/>
      <c r="E782" s="18"/>
      <c r="F782" s="38"/>
      <c r="G782" s="38"/>
      <c r="H782" s="38"/>
      <c r="I782" s="38"/>
      <c r="J782" s="38"/>
      <c r="K782" s="38"/>
      <c r="L782" s="38"/>
      <c r="M782" s="38"/>
      <c r="N782" s="41"/>
      <c r="O782" s="38"/>
      <c r="P782" s="38"/>
      <c r="Q782" s="38"/>
      <c r="R782" s="38"/>
      <c r="S782" s="38"/>
      <c r="T782" s="38"/>
    </row>
    <row r="783">
      <c r="A783" s="41"/>
      <c r="C783" s="7"/>
      <c r="D783" s="7"/>
      <c r="E783" s="18"/>
      <c r="F783" s="38"/>
      <c r="G783" s="38"/>
      <c r="H783" s="38"/>
      <c r="I783" s="38"/>
      <c r="J783" s="38"/>
      <c r="K783" s="38"/>
      <c r="L783" s="38"/>
      <c r="M783" s="38"/>
      <c r="N783" s="41"/>
      <c r="O783" s="38"/>
      <c r="P783" s="38"/>
      <c r="Q783" s="38"/>
      <c r="R783" s="38"/>
      <c r="S783" s="38"/>
      <c r="T783" s="38"/>
    </row>
    <row r="784">
      <c r="A784" s="41"/>
      <c r="C784" s="7"/>
      <c r="D784" s="7"/>
      <c r="E784" s="18"/>
      <c r="F784" s="38"/>
      <c r="G784" s="38"/>
      <c r="H784" s="38"/>
      <c r="I784" s="38"/>
      <c r="J784" s="38"/>
      <c r="K784" s="38"/>
      <c r="L784" s="38"/>
      <c r="M784" s="38"/>
      <c r="N784" s="41"/>
      <c r="O784" s="38"/>
      <c r="P784" s="38"/>
      <c r="Q784" s="38"/>
      <c r="R784" s="38"/>
      <c r="S784" s="38"/>
      <c r="T784" s="38"/>
    </row>
    <row r="785">
      <c r="A785" s="41"/>
      <c r="C785" s="7"/>
      <c r="D785" s="7"/>
      <c r="E785" s="18"/>
      <c r="F785" s="38"/>
      <c r="G785" s="38"/>
      <c r="H785" s="38"/>
      <c r="I785" s="38"/>
      <c r="J785" s="38"/>
      <c r="K785" s="38"/>
      <c r="L785" s="38"/>
      <c r="M785" s="38"/>
      <c r="N785" s="41"/>
      <c r="O785" s="38"/>
      <c r="P785" s="38"/>
      <c r="Q785" s="38"/>
      <c r="R785" s="38"/>
      <c r="S785" s="38"/>
      <c r="T785" s="38"/>
    </row>
    <row r="786">
      <c r="A786" s="41"/>
      <c r="C786" s="7"/>
      <c r="D786" s="7"/>
      <c r="E786" s="18"/>
      <c r="F786" s="38"/>
      <c r="G786" s="38"/>
      <c r="H786" s="38"/>
      <c r="I786" s="38"/>
      <c r="J786" s="38"/>
      <c r="K786" s="38"/>
      <c r="L786" s="38"/>
      <c r="M786" s="38"/>
      <c r="N786" s="41"/>
      <c r="O786" s="38"/>
      <c r="P786" s="38"/>
      <c r="Q786" s="38"/>
      <c r="R786" s="38"/>
      <c r="S786" s="38"/>
      <c r="T786" s="38"/>
    </row>
    <row r="787">
      <c r="A787" s="41"/>
      <c r="C787" s="7"/>
      <c r="D787" s="7"/>
      <c r="E787" s="18"/>
      <c r="F787" s="38"/>
      <c r="G787" s="38"/>
      <c r="H787" s="38"/>
      <c r="I787" s="38"/>
      <c r="J787" s="38"/>
      <c r="K787" s="38"/>
      <c r="L787" s="38"/>
      <c r="M787" s="38"/>
      <c r="N787" s="41"/>
      <c r="O787" s="38"/>
      <c r="P787" s="38"/>
      <c r="Q787" s="38"/>
      <c r="R787" s="38"/>
      <c r="S787" s="38"/>
      <c r="T787" s="38"/>
    </row>
    <row r="788">
      <c r="A788" s="41"/>
      <c r="C788" s="7"/>
      <c r="D788" s="7"/>
      <c r="E788" s="18"/>
      <c r="F788" s="38"/>
      <c r="G788" s="38"/>
      <c r="H788" s="38"/>
      <c r="I788" s="38"/>
      <c r="J788" s="38"/>
      <c r="K788" s="38"/>
      <c r="L788" s="38"/>
      <c r="M788" s="38"/>
      <c r="N788" s="41"/>
      <c r="O788" s="38"/>
      <c r="P788" s="38"/>
      <c r="Q788" s="38"/>
      <c r="R788" s="38"/>
      <c r="S788" s="38"/>
      <c r="T788" s="38"/>
    </row>
    <row r="789">
      <c r="A789" s="41"/>
      <c r="C789" s="7"/>
      <c r="D789" s="7"/>
      <c r="E789" s="18"/>
      <c r="F789" s="38"/>
      <c r="G789" s="38"/>
      <c r="H789" s="38"/>
      <c r="I789" s="38"/>
      <c r="J789" s="38"/>
      <c r="K789" s="38"/>
      <c r="L789" s="38"/>
      <c r="M789" s="38"/>
      <c r="N789" s="41"/>
      <c r="O789" s="38"/>
      <c r="P789" s="38"/>
      <c r="Q789" s="38"/>
      <c r="R789" s="38"/>
      <c r="S789" s="38"/>
      <c r="T789" s="38"/>
    </row>
    <row r="790">
      <c r="A790" s="41"/>
      <c r="C790" s="7"/>
      <c r="D790" s="7"/>
      <c r="E790" s="18"/>
      <c r="F790" s="38"/>
      <c r="G790" s="38"/>
      <c r="H790" s="38"/>
      <c r="I790" s="38"/>
      <c r="J790" s="38"/>
      <c r="K790" s="38"/>
      <c r="L790" s="38"/>
      <c r="M790" s="38"/>
      <c r="N790" s="41"/>
      <c r="O790" s="38"/>
      <c r="P790" s="38"/>
      <c r="Q790" s="38"/>
      <c r="R790" s="38"/>
      <c r="S790" s="38"/>
      <c r="T790" s="38"/>
    </row>
    <row r="791">
      <c r="A791" s="41"/>
      <c r="C791" s="7"/>
      <c r="D791" s="7"/>
      <c r="E791" s="18"/>
      <c r="F791" s="38"/>
      <c r="G791" s="38"/>
      <c r="H791" s="38"/>
      <c r="I791" s="38"/>
      <c r="J791" s="38"/>
      <c r="K791" s="38"/>
      <c r="L791" s="38"/>
      <c r="M791" s="38"/>
      <c r="N791" s="41"/>
      <c r="O791" s="38"/>
      <c r="P791" s="38"/>
      <c r="Q791" s="38"/>
      <c r="R791" s="38"/>
      <c r="S791" s="38"/>
      <c r="T791" s="38"/>
    </row>
    <row r="792">
      <c r="A792" s="41"/>
      <c r="C792" s="7"/>
      <c r="D792" s="7"/>
      <c r="E792" s="18"/>
      <c r="F792" s="38"/>
      <c r="G792" s="38"/>
      <c r="H792" s="38"/>
      <c r="I792" s="38"/>
      <c r="J792" s="38"/>
      <c r="K792" s="38"/>
      <c r="L792" s="38"/>
      <c r="M792" s="38"/>
      <c r="N792" s="41"/>
      <c r="O792" s="38"/>
      <c r="P792" s="38"/>
      <c r="Q792" s="38"/>
      <c r="R792" s="38"/>
      <c r="S792" s="38"/>
      <c r="T792" s="38"/>
    </row>
    <row r="793">
      <c r="A793" s="41"/>
      <c r="C793" s="7"/>
      <c r="D793" s="7"/>
      <c r="E793" s="18"/>
      <c r="F793" s="38"/>
      <c r="G793" s="38"/>
      <c r="H793" s="38"/>
      <c r="I793" s="38"/>
      <c r="J793" s="38"/>
      <c r="K793" s="38"/>
      <c r="L793" s="38"/>
      <c r="M793" s="38"/>
      <c r="N793" s="41"/>
      <c r="O793" s="38"/>
      <c r="P793" s="38"/>
      <c r="Q793" s="38"/>
      <c r="R793" s="38"/>
      <c r="S793" s="38"/>
      <c r="T793" s="38"/>
    </row>
    <row r="794">
      <c r="A794" s="41"/>
      <c r="C794" s="7"/>
      <c r="D794" s="7"/>
      <c r="E794" s="18"/>
      <c r="F794" s="38"/>
      <c r="G794" s="38"/>
      <c r="H794" s="38"/>
      <c r="I794" s="38"/>
      <c r="J794" s="38"/>
      <c r="K794" s="38"/>
      <c r="L794" s="38"/>
      <c r="M794" s="38"/>
      <c r="N794" s="41"/>
      <c r="O794" s="38"/>
      <c r="P794" s="38"/>
      <c r="Q794" s="38"/>
      <c r="R794" s="38"/>
      <c r="S794" s="38"/>
      <c r="T794" s="38"/>
    </row>
    <row r="795">
      <c r="A795" s="41"/>
      <c r="C795" s="7"/>
      <c r="D795" s="7"/>
      <c r="E795" s="18"/>
      <c r="F795" s="38"/>
      <c r="G795" s="38"/>
      <c r="H795" s="38"/>
      <c r="I795" s="38"/>
      <c r="J795" s="38"/>
      <c r="K795" s="38"/>
      <c r="L795" s="38"/>
      <c r="M795" s="38"/>
      <c r="N795" s="41"/>
      <c r="O795" s="38"/>
      <c r="P795" s="38"/>
      <c r="Q795" s="38"/>
      <c r="R795" s="38"/>
      <c r="S795" s="38"/>
      <c r="T795" s="38"/>
    </row>
    <row r="796">
      <c r="A796" s="41"/>
      <c r="C796" s="7"/>
      <c r="D796" s="7"/>
      <c r="E796" s="18"/>
      <c r="F796" s="38"/>
      <c r="G796" s="38"/>
      <c r="H796" s="38"/>
      <c r="I796" s="38"/>
      <c r="J796" s="38"/>
      <c r="K796" s="38"/>
      <c r="L796" s="38"/>
      <c r="M796" s="38"/>
      <c r="N796" s="41"/>
      <c r="O796" s="38"/>
      <c r="P796" s="38"/>
      <c r="Q796" s="38"/>
      <c r="R796" s="38"/>
      <c r="S796" s="38"/>
      <c r="T796" s="38"/>
    </row>
    <row r="797">
      <c r="A797" s="41"/>
      <c r="C797" s="7"/>
      <c r="D797" s="7"/>
      <c r="E797" s="18"/>
      <c r="F797" s="38"/>
      <c r="G797" s="38"/>
      <c r="H797" s="38"/>
      <c r="I797" s="38"/>
      <c r="J797" s="38"/>
      <c r="K797" s="38"/>
      <c r="L797" s="38"/>
      <c r="M797" s="38"/>
      <c r="N797" s="41"/>
      <c r="O797" s="38"/>
      <c r="P797" s="38"/>
      <c r="Q797" s="38"/>
      <c r="R797" s="38"/>
      <c r="S797" s="38"/>
      <c r="T797" s="38"/>
    </row>
    <row r="798">
      <c r="A798" s="41"/>
      <c r="C798" s="7"/>
      <c r="D798" s="7"/>
      <c r="E798" s="18"/>
      <c r="F798" s="38"/>
      <c r="G798" s="38"/>
      <c r="H798" s="38"/>
      <c r="I798" s="38"/>
      <c r="J798" s="38"/>
      <c r="K798" s="38"/>
      <c r="L798" s="38"/>
      <c r="M798" s="38"/>
      <c r="N798" s="41"/>
      <c r="O798" s="38"/>
      <c r="P798" s="38"/>
      <c r="Q798" s="38"/>
      <c r="R798" s="38"/>
      <c r="S798" s="38"/>
      <c r="T798" s="38"/>
    </row>
    <row r="799">
      <c r="A799" s="41"/>
      <c r="C799" s="7"/>
      <c r="D799" s="7"/>
      <c r="E799" s="18"/>
      <c r="F799" s="38"/>
      <c r="G799" s="38"/>
      <c r="H799" s="38"/>
      <c r="I799" s="38"/>
      <c r="J799" s="38"/>
      <c r="K799" s="38"/>
      <c r="L799" s="38"/>
      <c r="M799" s="38"/>
      <c r="N799" s="41"/>
      <c r="O799" s="38"/>
      <c r="P799" s="38"/>
      <c r="Q799" s="38"/>
      <c r="R799" s="38"/>
      <c r="S799" s="38"/>
      <c r="T799" s="38"/>
    </row>
    <row r="800">
      <c r="A800" s="41"/>
      <c r="C800" s="7"/>
      <c r="D800" s="7"/>
      <c r="E800" s="18"/>
      <c r="F800" s="38"/>
      <c r="G800" s="38"/>
      <c r="H800" s="38"/>
      <c r="I800" s="38"/>
      <c r="J800" s="38"/>
      <c r="K800" s="38"/>
      <c r="L800" s="38"/>
      <c r="M800" s="38"/>
      <c r="N800" s="41"/>
      <c r="O800" s="38"/>
      <c r="P800" s="38"/>
      <c r="Q800" s="38"/>
      <c r="R800" s="38"/>
      <c r="S800" s="38"/>
      <c r="T800" s="38"/>
    </row>
    <row r="801">
      <c r="A801" s="41"/>
      <c r="C801" s="7"/>
      <c r="D801" s="7"/>
      <c r="E801" s="18"/>
      <c r="F801" s="38"/>
      <c r="G801" s="38"/>
      <c r="H801" s="38"/>
      <c r="I801" s="38"/>
      <c r="J801" s="38"/>
      <c r="K801" s="38"/>
      <c r="L801" s="38"/>
      <c r="M801" s="38"/>
      <c r="N801" s="41"/>
      <c r="O801" s="38"/>
      <c r="P801" s="38"/>
      <c r="Q801" s="38"/>
      <c r="R801" s="38"/>
      <c r="S801" s="38"/>
      <c r="T801" s="38"/>
    </row>
    <row r="802">
      <c r="A802" s="41"/>
      <c r="C802" s="7"/>
      <c r="D802" s="7"/>
      <c r="E802" s="18"/>
      <c r="F802" s="38"/>
      <c r="G802" s="38"/>
      <c r="H802" s="38"/>
      <c r="I802" s="38"/>
      <c r="J802" s="38"/>
      <c r="K802" s="38"/>
      <c r="L802" s="38"/>
      <c r="M802" s="38"/>
      <c r="N802" s="41"/>
      <c r="O802" s="38"/>
      <c r="P802" s="38"/>
      <c r="Q802" s="38"/>
      <c r="R802" s="38"/>
      <c r="S802" s="38"/>
      <c r="T802" s="38"/>
    </row>
    <row r="803">
      <c r="A803" s="41"/>
      <c r="C803" s="7"/>
      <c r="D803" s="7"/>
      <c r="E803" s="18"/>
      <c r="F803" s="38"/>
      <c r="G803" s="38"/>
      <c r="H803" s="38"/>
      <c r="I803" s="38"/>
      <c r="J803" s="38"/>
      <c r="K803" s="38"/>
      <c r="L803" s="38"/>
      <c r="M803" s="38"/>
      <c r="N803" s="41"/>
      <c r="O803" s="38"/>
      <c r="P803" s="38"/>
      <c r="Q803" s="38"/>
      <c r="R803" s="38"/>
      <c r="S803" s="38"/>
      <c r="T803" s="38"/>
    </row>
    <row r="804">
      <c r="A804" s="41"/>
      <c r="C804" s="7"/>
      <c r="D804" s="7"/>
      <c r="E804" s="18"/>
      <c r="F804" s="38"/>
      <c r="G804" s="38"/>
      <c r="H804" s="38"/>
      <c r="I804" s="38"/>
      <c r="J804" s="38"/>
      <c r="K804" s="38"/>
      <c r="L804" s="38"/>
      <c r="M804" s="38"/>
      <c r="N804" s="41"/>
      <c r="O804" s="38"/>
      <c r="P804" s="38"/>
      <c r="Q804" s="38"/>
      <c r="R804" s="38"/>
      <c r="S804" s="38"/>
      <c r="T804" s="38"/>
    </row>
    <row r="805">
      <c r="A805" s="41"/>
      <c r="C805" s="7"/>
      <c r="D805" s="7"/>
      <c r="E805" s="18"/>
      <c r="F805" s="38"/>
      <c r="G805" s="38"/>
      <c r="H805" s="38"/>
      <c r="I805" s="38"/>
      <c r="J805" s="38"/>
      <c r="K805" s="38"/>
      <c r="L805" s="38"/>
      <c r="M805" s="38"/>
      <c r="N805" s="41"/>
      <c r="O805" s="38"/>
      <c r="P805" s="38"/>
      <c r="Q805" s="38"/>
      <c r="R805" s="38"/>
      <c r="S805" s="38"/>
      <c r="T805" s="38"/>
    </row>
    <row r="806">
      <c r="A806" s="41"/>
      <c r="C806" s="7"/>
      <c r="D806" s="7"/>
      <c r="E806" s="18"/>
      <c r="F806" s="38"/>
      <c r="G806" s="38"/>
      <c r="H806" s="38"/>
      <c r="I806" s="38"/>
      <c r="J806" s="38"/>
      <c r="K806" s="38"/>
      <c r="L806" s="38"/>
      <c r="M806" s="38"/>
      <c r="N806" s="41"/>
      <c r="O806" s="38"/>
      <c r="P806" s="38"/>
      <c r="Q806" s="38"/>
      <c r="R806" s="38"/>
      <c r="S806" s="38"/>
      <c r="T806" s="38"/>
    </row>
    <row r="807">
      <c r="A807" s="41"/>
      <c r="C807" s="7"/>
      <c r="D807" s="7"/>
      <c r="E807" s="18"/>
      <c r="F807" s="38"/>
      <c r="G807" s="38"/>
      <c r="H807" s="38"/>
      <c r="I807" s="38"/>
      <c r="J807" s="38"/>
      <c r="K807" s="38"/>
      <c r="L807" s="38"/>
      <c r="M807" s="38"/>
      <c r="N807" s="41"/>
      <c r="O807" s="38"/>
      <c r="P807" s="38"/>
      <c r="Q807" s="38"/>
      <c r="R807" s="38"/>
      <c r="S807" s="38"/>
      <c r="T807" s="38"/>
    </row>
    <row r="808">
      <c r="A808" s="41"/>
      <c r="C808" s="7"/>
      <c r="D808" s="7"/>
      <c r="E808" s="18"/>
      <c r="F808" s="38"/>
      <c r="G808" s="38"/>
      <c r="H808" s="38"/>
      <c r="I808" s="38"/>
      <c r="J808" s="38"/>
      <c r="K808" s="38"/>
      <c r="L808" s="38"/>
      <c r="M808" s="38"/>
      <c r="N808" s="41"/>
      <c r="O808" s="38"/>
      <c r="P808" s="38"/>
      <c r="Q808" s="38"/>
      <c r="R808" s="38"/>
      <c r="S808" s="38"/>
      <c r="T808" s="38"/>
    </row>
    <row r="809">
      <c r="A809" s="41"/>
      <c r="C809" s="7"/>
      <c r="D809" s="7"/>
      <c r="E809" s="18"/>
      <c r="F809" s="38"/>
      <c r="G809" s="38"/>
      <c r="H809" s="38"/>
      <c r="I809" s="38"/>
      <c r="J809" s="38"/>
      <c r="K809" s="38"/>
      <c r="L809" s="38"/>
      <c r="M809" s="38"/>
      <c r="N809" s="41"/>
      <c r="O809" s="38"/>
      <c r="P809" s="38"/>
      <c r="Q809" s="38"/>
      <c r="R809" s="38"/>
      <c r="S809" s="38"/>
      <c r="T809" s="38"/>
    </row>
    <row r="810">
      <c r="A810" s="41"/>
      <c r="C810" s="7"/>
      <c r="D810" s="7"/>
      <c r="E810" s="18"/>
      <c r="F810" s="38"/>
      <c r="G810" s="38"/>
      <c r="H810" s="38"/>
      <c r="I810" s="38"/>
      <c r="J810" s="38"/>
      <c r="K810" s="38"/>
      <c r="L810" s="38"/>
      <c r="M810" s="38"/>
      <c r="N810" s="41"/>
      <c r="O810" s="38"/>
      <c r="P810" s="38"/>
      <c r="Q810" s="38"/>
      <c r="R810" s="38"/>
      <c r="S810" s="38"/>
      <c r="T810" s="38"/>
    </row>
    <row r="811">
      <c r="A811" s="41"/>
      <c r="C811" s="7"/>
      <c r="D811" s="7"/>
      <c r="E811" s="18"/>
      <c r="F811" s="38"/>
      <c r="G811" s="38"/>
      <c r="H811" s="38"/>
      <c r="I811" s="38"/>
      <c r="J811" s="38"/>
      <c r="K811" s="38"/>
      <c r="L811" s="38"/>
      <c r="M811" s="38"/>
      <c r="N811" s="41"/>
      <c r="O811" s="38"/>
      <c r="P811" s="38"/>
      <c r="Q811" s="38"/>
      <c r="R811" s="38"/>
      <c r="S811" s="38"/>
      <c r="T811" s="38"/>
    </row>
    <row r="812">
      <c r="A812" s="41"/>
      <c r="C812" s="7"/>
      <c r="D812" s="7"/>
      <c r="E812" s="18"/>
      <c r="F812" s="38"/>
      <c r="G812" s="38"/>
      <c r="H812" s="38"/>
      <c r="I812" s="38"/>
      <c r="J812" s="38"/>
      <c r="K812" s="38"/>
      <c r="L812" s="38"/>
      <c r="M812" s="38"/>
      <c r="N812" s="41"/>
      <c r="O812" s="38"/>
      <c r="P812" s="38"/>
      <c r="Q812" s="38"/>
      <c r="R812" s="38"/>
      <c r="S812" s="38"/>
      <c r="T812" s="38"/>
    </row>
    <row r="813">
      <c r="A813" s="41"/>
      <c r="C813" s="7"/>
      <c r="D813" s="7"/>
      <c r="E813" s="18"/>
      <c r="F813" s="38"/>
      <c r="G813" s="38"/>
      <c r="H813" s="38"/>
      <c r="I813" s="38"/>
      <c r="J813" s="38"/>
      <c r="K813" s="38"/>
      <c r="L813" s="38"/>
      <c r="M813" s="38"/>
      <c r="N813" s="41"/>
      <c r="O813" s="38"/>
      <c r="P813" s="38"/>
      <c r="Q813" s="38"/>
      <c r="R813" s="38"/>
      <c r="S813" s="38"/>
      <c r="T813" s="38"/>
    </row>
    <row r="814">
      <c r="A814" s="41"/>
      <c r="C814" s="7"/>
      <c r="D814" s="7"/>
      <c r="E814" s="18"/>
      <c r="F814" s="38"/>
      <c r="G814" s="38"/>
      <c r="H814" s="38"/>
      <c r="I814" s="38"/>
      <c r="J814" s="38"/>
      <c r="K814" s="38"/>
      <c r="L814" s="38"/>
      <c r="M814" s="38"/>
      <c r="N814" s="41"/>
      <c r="O814" s="38"/>
      <c r="P814" s="38"/>
      <c r="Q814" s="38"/>
      <c r="R814" s="38"/>
      <c r="S814" s="38"/>
      <c r="T814" s="38"/>
    </row>
    <row r="815">
      <c r="A815" s="41"/>
      <c r="C815" s="7"/>
      <c r="D815" s="7"/>
      <c r="E815" s="18"/>
      <c r="F815" s="38"/>
      <c r="G815" s="38"/>
      <c r="H815" s="38"/>
      <c r="I815" s="38"/>
      <c r="J815" s="38"/>
      <c r="K815" s="38"/>
      <c r="L815" s="38"/>
      <c r="M815" s="38"/>
      <c r="N815" s="41"/>
      <c r="O815" s="38"/>
      <c r="P815" s="38"/>
      <c r="Q815" s="38"/>
      <c r="R815" s="38"/>
      <c r="S815" s="38"/>
      <c r="T815" s="38"/>
    </row>
    <row r="816">
      <c r="A816" s="41"/>
      <c r="C816" s="7"/>
      <c r="D816" s="7"/>
      <c r="E816" s="18"/>
      <c r="F816" s="38"/>
      <c r="G816" s="38"/>
      <c r="H816" s="38"/>
      <c r="I816" s="38"/>
      <c r="J816" s="38"/>
      <c r="K816" s="38"/>
      <c r="L816" s="38"/>
      <c r="M816" s="38"/>
      <c r="N816" s="41"/>
      <c r="O816" s="38"/>
      <c r="P816" s="38"/>
      <c r="Q816" s="38"/>
      <c r="R816" s="38"/>
      <c r="S816" s="38"/>
      <c r="T816" s="38"/>
    </row>
    <row r="817">
      <c r="A817" s="41"/>
      <c r="C817" s="7"/>
      <c r="D817" s="7"/>
      <c r="E817" s="18"/>
      <c r="F817" s="38"/>
      <c r="G817" s="38"/>
      <c r="H817" s="38"/>
      <c r="I817" s="38"/>
      <c r="J817" s="38"/>
      <c r="K817" s="38"/>
      <c r="L817" s="38"/>
      <c r="M817" s="38"/>
      <c r="N817" s="41"/>
      <c r="O817" s="38"/>
      <c r="P817" s="38"/>
      <c r="Q817" s="38"/>
      <c r="R817" s="38"/>
      <c r="S817" s="38"/>
      <c r="T817" s="38"/>
    </row>
    <row r="818">
      <c r="A818" s="19"/>
      <c r="B818" s="19"/>
      <c r="C818" s="42"/>
      <c r="D818" s="42"/>
      <c r="E818" s="19"/>
      <c r="F818" s="39"/>
      <c r="G818" s="39"/>
      <c r="H818" s="39"/>
      <c r="I818" s="39"/>
      <c r="J818" s="39"/>
      <c r="K818" s="19"/>
      <c r="L818" s="19"/>
      <c r="M818" s="19"/>
      <c r="N818" s="43"/>
      <c r="O818" s="19"/>
      <c r="P818" s="19"/>
      <c r="Q818" s="38"/>
      <c r="R818" s="38"/>
      <c r="S818" s="38"/>
      <c r="T818" s="38"/>
    </row>
    <row r="819">
      <c r="A819" s="41"/>
      <c r="C819" s="7"/>
      <c r="D819" s="7"/>
      <c r="E819" s="18"/>
      <c r="F819" s="38"/>
      <c r="G819" s="38"/>
      <c r="H819" s="38"/>
      <c r="I819" s="38"/>
      <c r="J819" s="38"/>
      <c r="K819" s="38"/>
      <c r="L819" s="38"/>
      <c r="M819" s="38"/>
      <c r="N819" s="41"/>
      <c r="O819" s="38"/>
      <c r="P819" s="38"/>
      <c r="Q819" s="38"/>
      <c r="R819" s="38"/>
      <c r="S819" s="38"/>
      <c r="T819" s="38"/>
    </row>
    <row r="820">
      <c r="A820" s="41"/>
      <c r="C820" s="7"/>
      <c r="D820" s="7"/>
      <c r="E820" s="18"/>
      <c r="F820" s="38"/>
      <c r="G820" s="38"/>
      <c r="H820" s="38"/>
      <c r="I820" s="38"/>
      <c r="J820" s="38"/>
      <c r="K820" s="38"/>
      <c r="L820" s="38"/>
      <c r="M820" s="38"/>
      <c r="N820" s="41"/>
      <c r="O820" s="38"/>
      <c r="P820" s="38"/>
      <c r="Q820" s="38"/>
      <c r="R820" s="38"/>
      <c r="S820" s="38"/>
      <c r="T820" s="38"/>
    </row>
    <row r="821">
      <c r="A821" s="41"/>
      <c r="C821" s="7"/>
      <c r="D821" s="7"/>
      <c r="E821" s="18"/>
      <c r="F821" s="38"/>
      <c r="G821" s="38"/>
      <c r="H821" s="38"/>
      <c r="I821" s="38"/>
      <c r="J821" s="38"/>
      <c r="K821" s="38"/>
      <c r="L821" s="38"/>
      <c r="M821" s="38"/>
      <c r="N821" s="41"/>
      <c r="O821" s="38"/>
      <c r="P821" s="38"/>
      <c r="Q821" s="38"/>
      <c r="R821" s="38"/>
      <c r="S821" s="38"/>
      <c r="T821" s="38"/>
    </row>
    <row r="822">
      <c r="A822" s="41"/>
      <c r="C822" s="7"/>
      <c r="D822" s="7"/>
      <c r="E822" s="18"/>
      <c r="F822" s="38"/>
      <c r="G822" s="38"/>
      <c r="H822" s="38"/>
      <c r="I822" s="38"/>
      <c r="J822" s="38"/>
      <c r="K822" s="38"/>
      <c r="L822" s="38"/>
      <c r="M822" s="38"/>
      <c r="N822" s="41"/>
      <c r="O822" s="38"/>
      <c r="P822" s="38"/>
      <c r="Q822" s="38"/>
      <c r="R822" s="38"/>
      <c r="S822" s="38"/>
      <c r="T822" s="38"/>
    </row>
    <row r="823">
      <c r="A823" s="41"/>
      <c r="C823" s="7"/>
      <c r="D823" s="7"/>
      <c r="E823" s="18"/>
      <c r="F823" s="38"/>
      <c r="G823" s="38"/>
      <c r="H823" s="38"/>
      <c r="I823" s="38"/>
      <c r="J823" s="38"/>
      <c r="K823" s="38"/>
      <c r="L823" s="38"/>
      <c r="M823" s="38"/>
      <c r="N823" s="41"/>
      <c r="O823" s="38"/>
      <c r="P823" s="38"/>
      <c r="Q823" s="38"/>
      <c r="R823" s="38"/>
      <c r="S823" s="38"/>
      <c r="T823" s="38"/>
    </row>
    <row r="824">
      <c r="A824" s="41"/>
      <c r="C824" s="7"/>
      <c r="D824" s="7"/>
      <c r="E824" s="18"/>
      <c r="F824" s="38"/>
      <c r="G824" s="38"/>
      <c r="H824" s="38"/>
      <c r="I824" s="38"/>
      <c r="J824" s="38"/>
      <c r="K824" s="38"/>
      <c r="L824" s="38"/>
      <c r="M824" s="38"/>
      <c r="N824" s="41"/>
      <c r="O824" s="38"/>
      <c r="P824" s="38"/>
      <c r="Q824" s="38"/>
      <c r="R824" s="38"/>
      <c r="S824" s="38"/>
      <c r="T824" s="38"/>
    </row>
    <row r="825">
      <c r="A825" s="41"/>
      <c r="C825" s="7"/>
      <c r="D825" s="7"/>
      <c r="E825" s="18"/>
      <c r="F825" s="38"/>
      <c r="G825" s="38"/>
      <c r="H825" s="38"/>
      <c r="I825" s="38"/>
      <c r="J825" s="38"/>
      <c r="K825" s="38"/>
      <c r="L825" s="38"/>
      <c r="M825" s="38"/>
      <c r="N825" s="41"/>
      <c r="O825" s="38"/>
      <c r="P825" s="38"/>
      <c r="Q825" s="38"/>
      <c r="R825" s="38"/>
      <c r="S825" s="38"/>
      <c r="T825" s="38"/>
    </row>
    <row r="826">
      <c r="A826" s="41"/>
      <c r="C826" s="7"/>
      <c r="D826" s="7"/>
      <c r="E826" s="18"/>
      <c r="F826" s="38"/>
      <c r="G826" s="38"/>
      <c r="H826" s="38"/>
      <c r="I826" s="38"/>
      <c r="J826" s="38"/>
      <c r="K826" s="38"/>
      <c r="L826" s="38"/>
      <c r="M826" s="38"/>
      <c r="N826" s="41"/>
      <c r="O826" s="38"/>
      <c r="P826" s="38"/>
      <c r="Q826" s="38"/>
      <c r="R826" s="38"/>
      <c r="S826" s="38"/>
      <c r="T826" s="38"/>
    </row>
    <row r="827">
      <c r="A827" s="41"/>
      <c r="C827" s="7"/>
      <c r="D827" s="7"/>
      <c r="E827" s="18"/>
      <c r="F827" s="38"/>
      <c r="G827" s="38"/>
      <c r="H827" s="38"/>
      <c r="I827" s="38"/>
      <c r="J827" s="38"/>
      <c r="K827" s="38"/>
      <c r="L827" s="38"/>
      <c r="M827" s="38"/>
      <c r="N827" s="41"/>
      <c r="O827" s="38"/>
      <c r="P827" s="38"/>
      <c r="Q827" s="38"/>
      <c r="R827" s="38"/>
      <c r="S827" s="38"/>
      <c r="T827" s="38"/>
    </row>
    <row r="828">
      <c r="A828" s="41"/>
      <c r="C828" s="7"/>
      <c r="D828" s="7"/>
      <c r="E828" s="18"/>
      <c r="F828" s="38"/>
      <c r="G828" s="38"/>
      <c r="H828" s="38"/>
      <c r="I828" s="38"/>
      <c r="J828" s="38"/>
      <c r="K828" s="38"/>
      <c r="L828" s="38"/>
      <c r="M828" s="38"/>
      <c r="N828" s="41"/>
      <c r="O828" s="38"/>
      <c r="P828" s="38"/>
      <c r="Q828" s="38"/>
      <c r="R828" s="38"/>
      <c r="S828" s="38"/>
      <c r="T828" s="38"/>
    </row>
    <row r="829">
      <c r="A829" s="41"/>
      <c r="C829" s="7"/>
      <c r="D829" s="7"/>
      <c r="E829" s="18"/>
      <c r="F829" s="38"/>
      <c r="G829" s="38"/>
      <c r="H829" s="38"/>
      <c r="I829" s="38"/>
      <c r="J829" s="38"/>
      <c r="K829" s="38"/>
      <c r="L829" s="38"/>
      <c r="M829" s="38"/>
      <c r="N829" s="41"/>
      <c r="O829" s="38"/>
      <c r="P829" s="38"/>
      <c r="Q829" s="38"/>
      <c r="R829" s="38"/>
      <c r="S829" s="38"/>
      <c r="T829" s="38"/>
    </row>
    <row r="830">
      <c r="A830" s="41"/>
      <c r="C830" s="7"/>
      <c r="D830" s="7"/>
      <c r="E830" s="18"/>
      <c r="F830" s="38"/>
      <c r="G830" s="38"/>
      <c r="H830" s="38"/>
      <c r="I830" s="38"/>
      <c r="J830" s="38"/>
      <c r="K830" s="38"/>
      <c r="L830" s="38"/>
      <c r="M830" s="38"/>
      <c r="N830" s="41"/>
      <c r="O830" s="38"/>
      <c r="P830" s="38"/>
      <c r="Q830" s="38"/>
      <c r="R830" s="38"/>
      <c r="S830" s="38"/>
      <c r="T830" s="38"/>
    </row>
    <row r="831">
      <c r="A831" s="41"/>
      <c r="C831" s="7"/>
      <c r="D831" s="7"/>
      <c r="E831" s="18"/>
      <c r="F831" s="38"/>
      <c r="G831" s="38"/>
      <c r="H831" s="38"/>
      <c r="I831" s="38"/>
      <c r="J831" s="38"/>
      <c r="K831" s="38"/>
      <c r="L831" s="38"/>
      <c r="M831" s="38"/>
      <c r="N831" s="41"/>
      <c r="O831" s="38"/>
      <c r="P831" s="38"/>
      <c r="Q831" s="38"/>
      <c r="R831" s="38"/>
      <c r="S831" s="38"/>
      <c r="T831" s="38"/>
    </row>
    <row r="832">
      <c r="A832" s="41"/>
      <c r="C832" s="7"/>
      <c r="D832" s="7"/>
      <c r="E832" s="18"/>
      <c r="F832" s="38"/>
      <c r="G832" s="38"/>
      <c r="H832" s="38"/>
      <c r="I832" s="38"/>
      <c r="J832" s="38"/>
      <c r="K832" s="38"/>
      <c r="L832" s="38"/>
      <c r="M832" s="38"/>
      <c r="N832" s="41"/>
      <c r="O832" s="38"/>
      <c r="P832" s="38"/>
      <c r="Q832" s="38"/>
      <c r="R832" s="38"/>
      <c r="S832" s="38"/>
      <c r="T832" s="38"/>
    </row>
    <row r="833">
      <c r="A833" s="41"/>
      <c r="C833" s="7"/>
      <c r="D833" s="7"/>
      <c r="E833" s="18"/>
      <c r="F833" s="38"/>
      <c r="G833" s="38"/>
      <c r="H833" s="38"/>
      <c r="I833" s="38"/>
      <c r="J833" s="38"/>
      <c r="K833" s="38"/>
      <c r="L833" s="38"/>
      <c r="M833" s="38"/>
      <c r="N833" s="41"/>
      <c r="O833" s="38"/>
      <c r="P833" s="38"/>
      <c r="Q833" s="38"/>
      <c r="R833" s="38"/>
      <c r="S833" s="38"/>
      <c r="T833" s="38"/>
    </row>
    <row r="834">
      <c r="A834" s="41"/>
      <c r="C834" s="7"/>
      <c r="D834" s="7"/>
      <c r="E834" s="18"/>
      <c r="F834" s="38"/>
      <c r="G834" s="38"/>
      <c r="H834" s="38"/>
      <c r="I834" s="38"/>
      <c r="J834" s="38"/>
      <c r="K834" s="38"/>
      <c r="L834" s="38"/>
      <c r="M834" s="38"/>
      <c r="N834" s="41"/>
      <c r="O834" s="38"/>
      <c r="P834" s="38"/>
      <c r="Q834" s="38"/>
      <c r="R834" s="38"/>
      <c r="S834" s="38"/>
      <c r="T834" s="38"/>
    </row>
    <row r="835">
      <c r="A835" s="41"/>
      <c r="C835" s="7"/>
      <c r="D835" s="7"/>
      <c r="E835" s="18"/>
      <c r="F835" s="38"/>
      <c r="G835" s="38"/>
      <c r="H835" s="38"/>
      <c r="I835" s="38"/>
      <c r="J835" s="38"/>
      <c r="K835" s="38"/>
      <c r="L835" s="38"/>
      <c r="M835" s="38"/>
      <c r="N835" s="41"/>
      <c r="O835" s="38"/>
      <c r="P835" s="38"/>
      <c r="Q835" s="38"/>
      <c r="R835" s="38"/>
      <c r="S835" s="38"/>
      <c r="T835" s="38"/>
    </row>
    <row r="836">
      <c r="A836" s="41"/>
      <c r="C836" s="7"/>
      <c r="D836" s="7"/>
      <c r="E836" s="18"/>
      <c r="F836" s="38"/>
      <c r="G836" s="38"/>
      <c r="H836" s="38"/>
      <c r="I836" s="38"/>
      <c r="J836" s="38"/>
      <c r="K836" s="38"/>
      <c r="L836" s="38"/>
      <c r="M836" s="38"/>
      <c r="N836" s="41"/>
      <c r="O836" s="38"/>
      <c r="P836" s="38"/>
      <c r="Q836" s="38"/>
      <c r="R836" s="38"/>
      <c r="S836" s="38"/>
      <c r="T836" s="38"/>
    </row>
    <row r="837">
      <c r="A837" s="41"/>
      <c r="C837" s="7"/>
      <c r="D837" s="7"/>
      <c r="E837" s="18"/>
      <c r="F837" s="38"/>
      <c r="G837" s="38"/>
      <c r="H837" s="38"/>
      <c r="I837" s="38"/>
      <c r="J837" s="38"/>
      <c r="K837" s="38"/>
      <c r="L837" s="38"/>
      <c r="M837" s="38"/>
      <c r="N837" s="41"/>
      <c r="O837" s="38"/>
      <c r="P837" s="38"/>
      <c r="Q837" s="38"/>
      <c r="R837" s="38"/>
      <c r="S837" s="38"/>
      <c r="T837" s="38"/>
    </row>
    <row r="838">
      <c r="A838" s="41"/>
      <c r="C838" s="7"/>
      <c r="D838" s="7"/>
      <c r="E838" s="18"/>
      <c r="F838" s="38"/>
      <c r="G838" s="38"/>
      <c r="H838" s="38"/>
      <c r="I838" s="38"/>
      <c r="J838" s="38"/>
      <c r="K838" s="38"/>
      <c r="L838" s="38"/>
      <c r="M838" s="38"/>
      <c r="N838" s="41"/>
      <c r="O838" s="38"/>
      <c r="P838" s="38"/>
      <c r="Q838" s="38"/>
      <c r="R838" s="38"/>
      <c r="S838" s="38"/>
      <c r="T838" s="38"/>
    </row>
    <row r="839">
      <c r="A839" s="41"/>
      <c r="C839" s="7"/>
      <c r="D839" s="7"/>
      <c r="E839" s="18"/>
      <c r="F839" s="38"/>
      <c r="G839" s="38"/>
      <c r="H839" s="38"/>
      <c r="I839" s="38"/>
      <c r="J839" s="38"/>
      <c r="K839" s="38"/>
      <c r="L839" s="38"/>
      <c r="M839" s="38"/>
      <c r="N839" s="41"/>
      <c r="O839" s="38"/>
      <c r="P839" s="38"/>
      <c r="Q839" s="38"/>
      <c r="R839" s="38"/>
      <c r="S839" s="38"/>
      <c r="T839" s="38"/>
    </row>
    <row r="840">
      <c r="A840" s="41"/>
      <c r="C840" s="7"/>
      <c r="D840" s="7"/>
      <c r="E840" s="18"/>
      <c r="F840" s="38"/>
      <c r="G840" s="38"/>
      <c r="H840" s="38"/>
      <c r="I840" s="38"/>
      <c r="J840" s="38"/>
      <c r="K840" s="38"/>
      <c r="L840" s="38"/>
      <c r="M840" s="38"/>
      <c r="N840" s="41"/>
      <c r="O840" s="38"/>
      <c r="P840" s="38"/>
      <c r="Q840" s="38"/>
      <c r="R840" s="38"/>
      <c r="S840" s="38"/>
      <c r="T840" s="38"/>
    </row>
    <row r="841">
      <c r="A841" s="41"/>
      <c r="C841" s="7"/>
      <c r="D841" s="7"/>
      <c r="E841" s="18"/>
      <c r="F841" s="38"/>
      <c r="G841" s="38"/>
      <c r="H841" s="38"/>
      <c r="I841" s="38"/>
      <c r="J841" s="38"/>
      <c r="K841" s="38"/>
      <c r="L841" s="38"/>
      <c r="M841" s="38"/>
      <c r="N841" s="41"/>
      <c r="O841" s="38"/>
      <c r="P841" s="38"/>
      <c r="Q841" s="38"/>
      <c r="R841" s="38"/>
      <c r="S841" s="38"/>
      <c r="T841" s="38"/>
    </row>
    <row r="842">
      <c r="A842" s="41"/>
      <c r="C842" s="7"/>
      <c r="D842" s="7"/>
      <c r="E842" s="18"/>
      <c r="F842" s="38"/>
      <c r="G842" s="38"/>
      <c r="H842" s="38"/>
      <c r="I842" s="38"/>
      <c r="J842" s="38"/>
      <c r="K842" s="38"/>
      <c r="L842" s="38"/>
      <c r="M842" s="38"/>
      <c r="N842" s="41"/>
      <c r="O842" s="38"/>
      <c r="P842" s="38"/>
      <c r="Q842" s="38"/>
      <c r="R842" s="38"/>
      <c r="S842" s="38"/>
      <c r="T842" s="38"/>
    </row>
    <row r="843">
      <c r="A843" s="41"/>
      <c r="C843" s="7"/>
      <c r="D843" s="7"/>
      <c r="E843" s="18"/>
      <c r="F843" s="38"/>
      <c r="G843" s="38"/>
      <c r="H843" s="38"/>
      <c r="I843" s="38"/>
      <c r="J843" s="38"/>
      <c r="K843" s="38"/>
      <c r="L843" s="38"/>
      <c r="M843" s="38"/>
      <c r="N843" s="41"/>
      <c r="O843" s="38"/>
      <c r="P843" s="38"/>
      <c r="Q843" s="38"/>
      <c r="R843" s="38"/>
      <c r="S843" s="38"/>
      <c r="T843" s="38"/>
    </row>
    <row r="844">
      <c r="A844" s="41"/>
      <c r="C844" s="7"/>
      <c r="D844" s="7"/>
      <c r="E844" s="18"/>
      <c r="F844" s="38"/>
      <c r="G844" s="38"/>
      <c r="H844" s="38"/>
      <c r="I844" s="38"/>
      <c r="J844" s="38"/>
      <c r="K844" s="38"/>
      <c r="L844" s="38"/>
      <c r="M844" s="38"/>
      <c r="N844" s="41"/>
      <c r="O844" s="38"/>
      <c r="P844" s="38"/>
      <c r="Q844" s="38"/>
      <c r="R844" s="38"/>
      <c r="S844" s="38"/>
      <c r="T844" s="38"/>
    </row>
    <row r="845">
      <c r="A845" s="41"/>
      <c r="C845" s="7"/>
      <c r="D845" s="7"/>
      <c r="E845" s="18"/>
      <c r="F845" s="38"/>
      <c r="G845" s="38"/>
      <c r="H845" s="38"/>
      <c r="I845" s="38"/>
      <c r="J845" s="38"/>
      <c r="K845" s="38"/>
      <c r="L845" s="38"/>
      <c r="M845" s="38"/>
      <c r="N845" s="41"/>
      <c r="O845" s="38"/>
      <c r="P845" s="38"/>
      <c r="Q845" s="38"/>
      <c r="R845" s="38"/>
      <c r="S845" s="38"/>
      <c r="T845" s="38"/>
    </row>
    <row r="846">
      <c r="A846" s="41"/>
      <c r="C846" s="7"/>
      <c r="D846" s="7"/>
      <c r="E846" s="18"/>
      <c r="F846" s="38"/>
      <c r="G846" s="38"/>
      <c r="H846" s="38"/>
      <c r="I846" s="38"/>
      <c r="J846" s="38"/>
      <c r="K846" s="38"/>
      <c r="L846" s="38"/>
      <c r="M846" s="38"/>
      <c r="N846" s="41"/>
      <c r="O846" s="38"/>
      <c r="P846" s="38"/>
      <c r="Q846" s="38"/>
      <c r="R846" s="38"/>
      <c r="S846" s="38"/>
      <c r="T846" s="38"/>
    </row>
    <row r="847">
      <c r="A847" s="41"/>
      <c r="C847" s="7"/>
      <c r="D847" s="7"/>
      <c r="E847" s="18"/>
      <c r="F847" s="38"/>
      <c r="G847" s="38"/>
      <c r="H847" s="38"/>
      <c r="I847" s="38"/>
      <c r="J847" s="38"/>
      <c r="K847" s="38"/>
      <c r="L847" s="38"/>
      <c r="M847" s="38"/>
      <c r="N847" s="41"/>
      <c r="O847" s="38"/>
      <c r="P847" s="38"/>
      <c r="Q847" s="38"/>
      <c r="R847" s="38"/>
      <c r="S847" s="38"/>
      <c r="T847" s="38"/>
    </row>
    <row r="848">
      <c r="A848" s="41"/>
      <c r="C848" s="7"/>
      <c r="D848" s="7"/>
      <c r="E848" s="18"/>
      <c r="F848" s="38"/>
      <c r="G848" s="38"/>
      <c r="H848" s="38"/>
      <c r="I848" s="38"/>
      <c r="J848" s="38"/>
      <c r="K848" s="38"/>
      <c r="L848" s="38"/>
      <c r="M848" s="38"/>
      <c r="N848" s="41"/>
      <c r="O848" s="38"/>
      <c r="P848" s="38"/>
      <c r="Q848" s="38"/>
      <c r="R848" s="38"/>
      <c r="S848" s="38"/>
      <c r="T848" s="38"/>
    </row>
    <row r="849">
      <c r="A849" s="41"/>
      <c r="C849" s="7"/>
      <c r="D849" s="7"/>
      <c r="E849" s="18"/>
      <c r="F849" s="38"/>
      <c r="G849" s="38"/>
      <c r="H849" s="38"/>
      <c r="I849" s="38"/>
      <c r="J849" s="38"/>
      <c r="K849" s="38"/>
      <c r="L849" s="38"/>
      <c r="M849" s="38"/>
      <c r="N849" s="41"/>
      <c r="O849" s="38"/>
      <c r="P849" s="38"/>
      <c r="Q849" s="38"/>
      <c r="R849" s="38"/>
      <c r="S849" s="38"/>
      <c r="T849" s="38"/>
    </row>
    <row r="850">
      <c r="A850" s="41"/>
      <c r="C850" s="7"/>
      <c r="D850" s="7"/>
      <c r="E850" s="18"/>
      <c r="F850" s="38"/>
      <c r="G850" s="38"/>
      <c r="H850" s="38"/>
      <c r="I850" s="38"/>
      <c r="J850" s="38"/>
      <c r="K850" s="38"/>
      <c r="L850" s="38"/>
      <c r="M850" s="38"/>
      <c r="N850" s="41"/>
      <c r="O850" s="38"/>
      <c r="P850" s="38"/>
      <c r="Q850" s="38"/>
      <c r="R850" s="38"/>
      <c r="S850" s="38"/>
      <c r="T850" s="38"/>
    </row>
    <row r="851">
      <c r="A851" s="41"/>
      <c r="C851" s="7"/>
      <c r="D851" s="7"/>
      <c r="E851" s="18"/>
      <c r="F851" s="38"/>
      <c r="G851" s="38"/>
      <c r="H851" s="38"/>
      <c r="I851" s="38"/>
      <c r="J851" s="38"/>
      <c r="K851" s="38"/>
      <c r="L851" s="38"/>
      <c r="M851" s="38"/>
      <c r="N851" s="41"/>
      <c r="O851" s="38"/>
      <c r="P851" s="38"/>
      <c r="Q851" s="38"/>
      <c r="R851" s="38"/>
      <c r="S851" s="38"/>
      <c r="T851" s="38"/>
    </row>
    <row r="852">
      <c r="A852" s="41"/>
      <c r="C852" s="7"/>
      <c r="D852" s="7"/>
      <c r="E852" s="18"/>
      <c r="F852" s="38"/>
      <c r="G852" s="38"/>
      <c r="H852" s="38"/>
      <c r="I852" s="38"/>
      <c r="J852" s="38"/>
      <c r="K852" s="38"/>
      <c r="L852" s="38"/>
      <c r="M852" s="38"/>
      <c r="N852" s="41"/>
      <c r="O852" s="38"/>
      <c r="P852" s="38"/>
      <c r="Q852" s="38"/>
      <c r="R852" s="38"/>
      <c r="S852" s="38"/>
      <c r="T852" s="38"/>
    </row>
    <row r="853">
      <c r="A853" s="41"/>
      <c r="C853" s="7"/>
      <c r="D853" s="7"/>
      <c r="E853" s="18"/>
      <c r="F853" s="38"/>
      <c r="G853" s="38"/>
      <c r="H853" s="38"/>
      <c r="I853" s="38"/>
      <c r="J853" s="38"/>
      <c r="K853" s="38"/>
      <c r="L853" s="38"/>
      <c r="M853" s="38"/>
      <c r="N853" s="41"/>
      <c r="O853" s="38"/>
      <c r="P853" s="38"/>
      <c r="Q853" s="38"/>
      <c r="R853" s="38"/>
      <c r="S853" s="38"/>
      <c r="T853" s="38"/>
    </row>
    <row r="854">
      <c r="A854" s="41"/>
      <c r="C854" s="7"/>
      <c r="D854" s="7"/>
      <c r="E854" s="18"/>
      <c r="F854" s="38"/>
      <c r="G854" s="38"/>
      <c r="H854" s="38"/>
      <c r="I854" s="38"/>
      <c r="J854" s="38"/>
      <c r="K854" s="38"/>
      <c r="L854" s="38"/>
      <c r="M854" s="38"/>
      <c r="N854" s="41"/>
      <c r="O854" s="38"/>
      <c r="P854" s="38"/>
      <c r="Q854" s="38"/>
      <c r="R854" s="38"/>
      <c r="S854" s="38"/>
      <c r="T854" s="38"/>
    </row>
    <row r="855">
      <c r="A855" s="41"/>
      <c r="C855" s="7"/>
      <c r="D855" s="7"/>
      <c r="E855" s="18"/>
      <c r="F855" s="38"/>
      <c r="G855" s="38"/>
      <c r="H855" s="38"/>
      <c r="I855" s="38"/>
      <c r="J855" s="38"/>
      <c r="K855" s="38"/>
      <c r="L855" s="38"/>
      <c r="M855" s="38"/>
      <c r="N855" s="41"/>
      <c r="O855" s="38"/>
      <c r="P855" s="38"/>
      <c r="Q855" s="38"/>
      <c r="R855" s="38"/>
      <c r="S855" s="38"/>
      <c r="T855" s="38"/>
    </row>
    <row r="856">
      <c r="A856" s="41"/>
      <c r="C856" s="7"/>
      <c r="D856" s="7"/>
      <c r="E856" s="18"/>
      <c r="F856" s="38"/>
      <c r="G856" s="38"/>
      <c r="H856" s="38"/>
      <c r="I856" s="38"/>
      <c r="J856" s="38"/>
      <c r="K856" s="38"/>
      <c r="L856" s="38"/>
      <c r="M856" s="38"/>
      <c r="N856" s="41"/>
      <c r="O856" s="38"/>
      <c r="P856" s="38"/>
      <c r="Q856" s="38"/>
      <c r="R856" s="38"/>
      <c r="S856" s="38"/>
      <c r="T856" s="38"/>
    </row>
    <row r="857">
      <c r="A857" s="41"/>
      <c r="C857" s="7"/>
      <c r="D857" s="7"/>
      <c r="E857" s="18"/>
      <c r="F857" s="38"/>
      <c r="G857" s="38"/>
      <c r="H857" s="38"/>
      <c r="I857" s="38"/>
      <c r="J857" s="38"/>
      <c r="K857" s="38"/>
      <c r="L857" s="38"/>
      <c r="M857" s="38"/>
      <c r="N857" s="41"/>
      <c r="O857" s="38"/>
      <c r="P857" s="38"/>
      <c r="Q857" s="38"/>
      <c r="R857" s="38"/>
      <c r="S857" s="38"/>
      <c r="T857" s="38"/>
    </row>
    <row r="858">
      <c r="A858" s="41"/>
      <c r="C858" s="7"/>
      <c r="D858" s="7"/>
      <c r="E858" s="18"/>
      <c r="F858" s="38"/>
      <c r="G858" s="38"/>
      <c r="H858" s="38"/>
      <c r="I858" s="38"/>
      <c r="J858" s="38"/>
      <c r="K858" s="38"/>
      <c r="L858" s="38"/>
      <c r="M858" s="38"/>
      <c r="N858" s="41"/>
      <c r="O858" s="38"/>
      <c r="P858" s="38"/>
      <c r="Q858" s="38"/>
      <c r="R858" s="38"/>
      <c r="S858" s="38"/>
      <c r="T858" s="38"/>
    </row>
    <row r="859">
      <c r="A859" s="19"/>
      <c r="B859" s="19"/>
      <c r="C859" s="42"/>
      <c r="D859" s="42"/>
      <c r="E859" s="19"/>
      <c r="F859" s="39"/>
      <c r="G859" s="39"/>
      <c r="H859" s="39"/>
      <c r="I859" s="39"/>
      <c r="J859" s="39"/>
      <c r="K859" s="19"/>
      <c r="L859" s="19"/>
      <c r="M859" s="19"/>
      <c r="N859" s="43"/>
      <c r="O859" s="19"/>
      <c r="P859" s="19"/>
      <c r="Q859" s="38"/>
      <c r="R859" s="38"/>
      <c r="S859" s="38"/>
      <c r="T859" s="38"/>
    </row>
    <row r="860">
      <c r="A860" s="41"/>
      <c r="C860" s="7"/>
      <c r="D860" s="7"/>
      <c r="E860" s="18"/>
      <c r="F860" s="38"/>
      <c r="G860" s="38"/>
      <c r="H860" s="38"/>
      <c r="I860" s="38"/>
      <c r="J860" s="38"/>
      <c r="K860" s="38"/>
      <c r="L860" s="38"/>
      <c r="M860" s="38"/>
      <c r="N860" s="41"/>
      <c r="O860" s="38"/>
      <c r="P860" s="38"/>
      <c r="Q860" s="38"/>
      <c r="R860" s="38"/>
      <c r="S860" s="38"/>
      <c r="T860" s="38"/>
    </row>
    <row r="861">
      <c r="A861" s="41"/>
      <c r="C861" s="7"/>
      <c r="D861" s="7"/>
      <c r="E861" s="18"/>
      <c r="F861" s="38"/>
      <c r="G861" s="38"/>
      <c r="H861" s="38"/>
      <c r="I861" s="38"/>
      <c r="J861" s="38"/>
      <c r="K861" s="38"/>
      <c r="L861" s="38"/>
      <c r="M861" s="38"/>
      <c r="N861" s="41"/>
      <c r="O861" s="38"/>
      <c r="P861" s="38"/>
      <c r="Q861" s="38"/>
      <c r="R861" s="38"/>
      <c r="S861" s="38"/>
      <c r="T861" s="38"/>
    </row>
    <row r="862">
      <c r="A862" s="41"/>
      <c r="C862" s="7"/>
      <c r="D862" s="7"/>
      <c r="E862" s="18"/>
      <c r="F862" s="38"/>
      <c r="G862" s="38"/>
      <c r="H862" s="38"/>
      <c r="I862" s="38"/>
      <c r="J862" s="38"/>
      <c r="K862" s="38"/>
      <c r="L862" s="38"/>
      <c r="M862" s="38"/>
      <c r="N862" s="41"/>
      <c r="O862" s="38"/>
      <c r="P862" s="38"/>
      <c r="Q862" s="38"/>
      <c r="R862" s="38"/>
      <c r="S862" s="38"/>
      <c r="T862" s="38"/>
    </row>
    <row r="863">
      <c r="A863" s="41"/>
      <c r="C863" s="7"/>
      <c r="D863" s="7"/>
      <c r="E863" s="18"/>
      <c r="F863" s="38"/>
      <c r="G863" s="38"/>
      <c r="H863" s="38"/>
      <c r="I863" s="38"/>
      <c r="J863" s="38"/>
      <c r="K863" s="38"/>
      <c r="L863" s="38"/>
      <c r="M863" s="38"/>
      <c r="N863" s="41"/>
      <c r="O863" s="38"/>
      <c r="P863" s="38"/>
      <c r="Q863" s="38"/>
      <c r="R863" s="38"/>
      <c r="S863" s="38"/>
      <c r="T863" s="38"/>
    </row>
    <row r="864">
      <c r="A864" s="41"/>
      <c r="C864" s="7"/>
      <c r="D864" s="7"/>
      <c r="E864" s="18"/>
      <c r="F864" s="38"/>
      <c r="G864" s="38"/>
      <c r="H864" s="38"/>
      <c r="I864" s="38"/>
      <c r="J864" s="38"/>
      <c r="K864" s="38"/>
      <c r="L864" s="38"/>
      <c r="M864" s="38"/>
      <c r="N864" s="41"/>
      <c r="O864" s="38"/>
      <c r="P864" s="38"/>
      <c r="Q864" s="38"/>
      <c r="R864" s="38"/>
      <c r="S864" s="38"/>
      <c r="T864" s="38"/>
    </row>
    <row r="865">
      <c r="A865" s="41"/>
      <c r="C865" s="7"/>
      <c r="D865" s="7"/>
      <c r="E865" s="18"/>
      <c r="F865" s="38"/>
      <c r="G865" s="38"/>
      <c r="H865" s="38"/>
      <c r="I865" s="38"/>
      <c r="J865" s="38"/>
      <c r="K865" s="38"/>
      <c r="L865" s="38"/>
      <c r="M865" s="38"/>
      <c r="N865" s="41"/>
      <c r="O865" s="38"/>
      <c r="P865" s="38"/>
      <c r="Q865" s="38"/>
      <c r="R865" s="38"/>
      <c r="S865" s="38"/>
      <c r="T865" s="38"/>
    </row>
    <row r="866">
      <c r="A866" s="41"/>
      <c r="C866" s="7"/>
      <c r="D866" s="7"/>
      <c r="E866" s="18"/>
      <c r="F866" s="38"/>
      <c r="G866" s="38"/>
      <c r="H866" s="38"/>
      <c r="I866" s="38"/>
      <c r="J866" s="38"/>
      <c r="K866" s="38"/>
      <c r="L866" s="38"/>
      <c r="M866" s="38"/>
      <c r="N866" s="41"/>
      <c r="O866" s="38"/>
      <c r="P866" s="38"/>
      <c r="Q866" s="38"/>
      <c r="R866" s="38"/>
      <c r="S866" s="38"/>
      <c r="T866" s="38"/>
    </row>
    <row r="867">
      <c r="A867" s="41"/>
      <c r="C867" s="7"/>
      <c r="D867" s="7"/>
      <c r="E867" s="18"/>
      <c r="F867" s="38"/>
      <c r="G867" s="38"/>
      <c r="H867" s="38"/>
      <c r="I867" s="38"/>
      <c r="J867" s="38"/>
      <c r="K867" s="38"/>
      <c r="L867" s="38"/>
      <c r="M867" s="38"/>
      <c r="N867" s="41"/>
      <c r="O867" s="38"/>
      <c r="P867" s="38"/>
      <c r="Q867" s="38"/>
      <c r="R867" s="38"/>
      <c r="S867" s="38"/>
      <c r="T867" s="38"/>
    </row>
    <row r="868">
      <c r="A868" s="41"/>
      <c r="C868" s="7"/>
      <c r="D868" s="7"/>
      <c r="E868" s="18"/>
      <c r="F868" s="38"/>
      <c r="G868" s="38"/>
      <c r="H868" s="38"/>
      <c r="I868" s="38"/>
      <c r="J868" s="38"/>
      <c r="K868" s="38"/>
      <c r="L868" s="38"/>
      <c r="M868" s="38"/>
      <c r="N868" s="41"/>
      <c r="O868" s="38"/>
      <c r="P868" s="38"/>
      <c r="Q868" s="38"/>
      <c r="R868" s="38"/>
      <c r="S868" s="38"/>
      <c r="T868" s="38"/>
    </row>
    <row r="869">
      <c r="A869" s="41"/>
      <c r="C869" s="7"/>
      <c r="D869" s="7"/>
      <c r="E869" s="18"/>
      <c r="F869" s="38"/>
      <c r="G869" s="38"/>
      <c r="H869" s="38"/>
      <c r="I869" s="38"/>
      <c r="J869" s="38"/>
      <c r="K869" s="38"/>
      <c r="L869" s="38"/>
      <c r="M869" s="38"/>
      <c r="N869" s="41"/>
      <c r="O869" s="38"/>
      <c r="P869" s="38"/>
      <c r="Q869" s="38"/>
      <c r="R869" s="38"/>
      <c r="S869" s="38"/>
      <c r="T869" s="38"/>
    </row>
    <row r="870">
      <c r="A870" s="41"/>
      <c r="C870" s="7"/>
      <c r="D870" s="7"/>
      <c r="E870" s="18"/>
      <c r="F870" s="38"/>
      <c r="G870" s="38"/>
      <c r="H870" s="38"/>
      <c r="I870" s="38"/>
      <c r="J870" s="38"/>
      <c r="K870" s="38"/>
      <c r="L870" s="38"/>
      <c r="M870" s="38"/>
      <c r="N870" s="41"/>
      <c r="O870" s="38"/>
      <c r="P870" s="38"/>
      <c r="Q870" s="38"/>
      <c r="R870" s="38"/>
      <c r="S870" s="38"/>
      <c r="T870" s="38"/>
    </row>
    <row r="871">
      <c r="A871" s="41"/>
      <c r="C871" s="7"/>
      <c r="D871" s="7"/>
      <c r="E871" s="18"/>
      <c r="F871" s="38"/>
      <c r="G871" s="38"/>
      <c r="H871" s="38"/>
      <c r="I871" s="38"/>
      <c r="J871" s="38"/>
      <c r="K871" s="38"/>
      <c r="L871" s="38"/>
      <c r="M871" s="38"/>
      <c r="N871" s="41"/>
      <c r="O871" s="38"/>
      <c r="P871" s="38"/>
      <c r="Q871" s="38"/>
      <c r="R871" s="38"/>
      <c r="S871" s="38"/>
      <c r="T871" s="38"/>
    </row>
    <row r="872">
      <c r="A872" s="41"/>
      <c r="C872" s="7"/>
      <c r="D872" s="7"/>
      <c r="E872" s="18"/>
      <c r="F872" s="38"/>
      <c r="G872" s="38"/>
      <c r="H872" s="38"/>
      <c r="I872" s="38"/>
      <c r="J872" s="38"/>
      <c r="K872" s="38"/>
      <c r="L872" s="38"/>
      <c r="M872" s="38"/>
      <c r="N872" s="41"/>
      <c r="O872" s="38"/>
      <c r="P872" s="38"/>
      <c r="Q872" s="38"/>
      <c r="R872" s="38"/>
      <c r="S872" s="38"/>
      <c r="T872" s="38"/>
    </row>
    <row r="873">
      <c r="A873" s="41"/>
      <c r="C873" s="7"/>
      <c r="D873" s="7"/>
      <c r="E873" s="18"/>
      <c r="F873" s="38"/>
      <c r="G873" s="38"/>
      <c r="H873" s="38"/>
      <c r="I873" s="38"/>
      <c r="J873" s="38"/>
      <c r="K873" s="38"/>
      <c r="L873" s="38"/>
      <c r="M873" s="38"/>
      <c r="N873" s="41"/>
      <c r="O873" s="38"/>
      <c r="P873" s="38"/>
      <c r="Q873" s="38"/>
      <c r="R873" s="38"/>
      <c r="S873" s="38"/>
      <c r="T873" s="38"/>
    </row>
    <row r="874">
      <c r="A874" s="41"/>
      <c r="C874" s="7"/>
      <c r="D874" s="7"/>
      <c r="E874" s="18"/>
      <c r="F874" s="38"/>
      <c r="G874" s="38"/>
      <c r="H874" s="38"/>
      <c r="I874" s="38"/>
      <c r="J874" s="38"/>
      <c r="K874" s="38"/>
      <c r="L874" s="38"/>
      <c r="M874" s="38"/>
      <c r="N874" s="41"/>
      <c r="O874" s="38"/>
      <c r="P874" s="38"/>
      <c r="Q874" s="38"/>
      <c r="R874" s="38"/>
      <c r="S874" s="38"/>
      <c r="T874" s="38"/>
    </row>
    <row r="875">
      <c r="A875" s="41"/>
      <c r="C875" s="7"/>
      <c r="D875" s="7"/>
      <c r="E875" s="18"/>
      <c r="F875" s="38"/>
      <c r="G875" s="38"/>
      <c r="H875" s="38"/>
      <c r="I875" s="38"/>
      <c r="J875" s="38"/>
      <c r="K875" s="38"/>
      <c r="L875" s="38"/>
      <c r="M875" s="38"/>
      <c r="N875" s="41"/>
      <c r="O875" s="38"/>
      <c r="P875" s="38"/>
      <c r="Q875" s="38"/>
      <c r="R875" s="38"/>
      <c r="S875" s="38"/>
      <c r="T875" s="38"/>
    </row>
    <row r="876">
      <c r="A876" s="41"/>
      <c r="C876" s="7"/>
      <c r="D876" s="7"/>
      <c r="E876" s="18"/>
      <c r="F876" s="38"/>
      <c r="G876" s="38"/>
      <c r="H876" s="38"/>
      <c r="I876" s="38"/>
      <c r="J876" s="38"/>
      <c r="K876" s="38"/>
      <c r="L876" s="38"/>
      <c r="M876" s="38"/>
      <c r="N876" s="41"/>
      <c r="O876" s="38"/>
      <c r="P876" s="38"/>
      <c r="Q876" s="38"/>
      <c r="R876" s="38"/>
      <c r="S876" s="38"/>
      <c r="T876" s="38"/>
    </row>
    <row r="877">
      <c r="A877" s="41"/>
      <c r="C877" s="7"/>
      <c r="D877" s="7"/>
      <c r="E877" s="18"/>
      <c r="F877" s="38"/>
      <c r="G877" s="38"/>
      <c r="H877" s="38"/>
      <c r="I877" s="38"/>
      <c r="J877" s="38"/>
      <c r="K877" s="38"/>
      <c r="L877" s="38"/>
      <c r="M877" s="38"/>
      <c r="N877" s="41"/>
      <c r="O877" s="38"/>
      <c r="P877" s="38"/>
      <c r="Q877" s="38"/>
      <c r="R877" s="38"/>
      <c r="S877" s="38"/>
      <c r="T877" s="38"/>
    </row>
    <row r="878">
      <c r="A878" s="41"/>
      <c r="C878" s="7"/>
      <c r="D878" s="7"/>
      <c r="E878" s="18"/>
      <c r="F878" s="38"/>
      <c r="G878" s="38"/>
      <c r="H878" s="38"/>
      <c r="I878" s="38"/>
      <c r="J878" s="38"/>
      <c r="K878" s="38"/>
      <c r="L878" s="38"/>
      <c r="M878" s="38"/>
      <c r="N878" s="41"/>
      <c r="O878" s="38"/>
      <c r="P878" s="38"/>
      <c r="Q878" s="38"/>
      <c r="R878" s="38"/>
      <c r="S878" s="38"/>
      <c r="T878" s="38"/>
    </row>
    <row r="879">
      <c r="A879" s="41"/>
      <c r="C879" s="7"/>
      <c r="D879" s="7"/>
      <c r="E879" s="18"/>
      <c r="F879" s="38"/>
      <c r="G879" s="38"/>
      <c r="H879" s="38"/>
      <c r="I879" s="38"/>
      <c r="J879" s="38"/>
      <c r="K879" s="38"/>
      <c r="L879" s="38"/>
      <c r="M879" s="38"/>
      <c r="N879" s="41"/>
      <c r="O879" s="38"/>
      <c r="P879" s="38"/>
      <c r="Q879" s="38"/>
      <c r="R879" s="38"/>
      <c r="S879" s="38"/>
      <c r="T879" s="38"/>
    </row>
    <row r="880">
      <c r="A880" s="41"/>
      <c r="C880" s="7"/>
      <c r="D880" s="7"/>
      <c r="E880" s="18"/>
      <c r="F880" s="38"/>
      <c r="G880" s="38"/>
      <c r="H880" s="38"/>
      <c r="I880" s="38"/>
      <c r="J880" s="38"/>
      <c r="K880" s="38"/>
      <c r="L880" s="38"/>
      <c r="M880" s="38"/>
      <c r="N880" s="41"/>
      <c r="O880" s="38"/>
      <c r="P880" s="38"/>
      <c r="Q880" s="38"/>
      <c r="R880" s="38"/>
      <c r="S880" s="38"/>
      <c r="T880" s="38"/>
    </row>
    <row r="881">
      <c r="A881" s="41"/>
      <c r="C881" s="7"/>
      <c r="D881" s="7"/>
      <c r="E881" s="18"/>
      <c r="F881" s="38"/>
      <c r="G881" s="38"/>
      <c r="H881" s="38"/>
      <c r="I881" s="38"/>
      <c r="J881" s="38"/>
      <c r="K881" s="38"/>
      <c r="L881" s="38"/>
      <c r="M881" s="38"/>
      <c r="N881" s="41"/>
      <c r="O881" s="38"/>
      <c r="P881" s="38"/>
      <c r="Q881" s="38"/>
      <c r="R881" s="38"/>
      <c r="S881" s="38"/>
      <c r="T881" s="38"/>
    </row>
    <row r="882">
      <c r="A882" s="41"/>
      <c r="C882" s="7"/>
      <c r="D882" s="7"/>
      <c r="E882" s="18"/>
      <c r="F882" s="38"/>
      <c r="G882" s="38"/>
      <c r="H882" s="38"/>
      <c r="I882" s="38"/>
      <c r="J882" s="38"/>
      <c r="K882" s="38"/>
      <c r="L882" s="38"/>
      <c r="M882" s="38"/>
      <c r="N882" s="41"/>
      <c r="O882" s="38"/>
      <c r="P882" s="38"/>
      <c r="Q882" s="38"/>
      <c r="R882" s="38"/>
      <c r="S882" s="38"/>
      <c r="T882" s="38"/>
    </row>
    <row r="883">
      <c r="A883" s="41"/>
      <c r="C883" s="7"/>
      <c r="D883" s="7"/>
      <c r="E883" s="18"/>
      <c r="F883" s="38"/>
      <c r="G883" s="38"/>
      <c r="H883" s="38"/>
      <c r="I883" s="38"/>
      <c r="J883" s="38"/>
      <c r="K883" s="38"/>
      <c r="L883" s="38"/>
      <c r="M883" s="38"/>
      <c r="N883" s="41"/>
      <c r="O883" s="38"/>
      <c r="P883" s="38"/>
      <c r="Q883" s="38"/>
      <c r="R883" s="38"/>
      <c r="S883" s="38"/>
      <c r="T883" s="38"/>
    </row>
    <row r="884">
      <c r="A884" s="41"/>
      <c r="C884" s="7"/>
      <c r="D884" s="7"/>
      <c r="E884" s="18"/>
      <c r="F884" s="38"/>
      <c r="G884" s="38"/>
      <c r="H884" s="38"/>
      <c r="I884" s="38"/>
      <c r="J884" s="38"/>
      <c r="K884" s="38"/>
      <c r="L884" s="38"/>
      <c r="M884" s="38"/>
      <c r="N884" s="41"/>
      <c r="O884" s="38"/>
      <c r="P884" s="38"/>
      <c r="Q884" s="38"/>
      <c r="R884" s="38"/>
      <c r="S884" s="38"/>
      <c r="T884" s="38"/>
    </row>
    <row r="885">
      <c r="A885" s="41"/>
      <c r="C885" s="7"/>
      <c r="D885" s="7"/>
      <c r="E885" s="18"/>
      <c r="F885" s="38"/>
      <c r="G885" s="38"/>
      <c r="H885" s="38"/>
      <c r="I885" s="38"/>
      <c r="J885" s="38"/>
      <c r="K885" s="38"/>
      <c r="L885" s="38"/>
      <c r="M885" s="38"/>
      <c r="N885" s="41"/>
      <c r="O885" s="38"/>
      <c r="P885" s="38"/>
      <c r="Q885" s="38"/>
      <c r="R885" s="38"/>
      <c r="S885" s="38"/>
      <c r="T885" s="38"/>
    </row>
    <row r="886">
      <c r="A886" s="41"/>
      <c r="C886" s="7"/>
      <c r="D886" s="7"/>
      <c r="E886" s="18"/>
      <c r="F886" s="38"/>
      <c r="G886" s="38"/>
      <c r="H886" s="38"/>
      <c r="I886" s="38"/>
      <c r="J886" s="38"/>
      <c r="K886" s="38"/>
      <c r="L886" s="38"/>
      <c r="M886" s="38"/>
      <c r="N886" s="41"/>
      <c r="O886" s="38"/>
      <c r="P886" s="38"/>
      <c r="Q886" s="38"/>
      <c r="R886" s="38"/>
      <c r="S886" s="38"/>
      <c r="T886" s="38"/>
    </row>
    <row r="887">
      <c r="A887" s="41"/>
      <c r="C887" s="7"/>
      <c r="D887" s="7"/>
      <c r="E887" s="18"/>
      <c r="F887" s="38"/>
      <c r="G887" s="38"/>
      <c r="H887" s="38"/>
      <c r="I887" s="38"/>
      <c r="J887" s="38"/>
      <c r="K887" s="38"/>
      <c r="L887" s="38"/>
      <c r="M887" s="38"/>
      <c r="N887" s="41"/>
      <c r="O887" s="38"/>
      <c r="P887" s="38"/>
      <c r="Q887" s="38"/>
      <c r="R887" s="38"/>
      <c r="S887" s="38"/>
      <c r="T887" s="38"/>
    </row>
    <row r="888">
      <c r="A888" s="41"/>
      <c r="C888" s="7"/>
      <c r="D888" s="7"/>
      <c r="E888" s="18"/>
      <c r="F888" s="38"/>
      <c r="G888" s="38"/>
      <c r="H888" s="38"/>
      <c r="I888" s="38"/>
      <c r="J888" s="38"/>
      <c r="K888" s="38"/>
      <c r="L888" s="38"/>
      <c r="M888" s="38"/>
      <c r="N888" s="41"/>
      <c r="O888" s="38"/>
      <c r="P888" s="38"/>
      <c r="Q888" s="38"/>
      <c r="R888" s="38"/>
      <c r="S888" s="38"/>
      <c r="T888" s="38"/>
    </row>
    <row r="889">
      <c r="A889" s="41"/>
      <c r="C889" s="7"/>
      <c r="D889" s="7"/>
      <c r="E889" s="18"/>
      <c r="F889" s="38"/>
      <c r="G889" s="38"/>
      <c r="H889" s="38"/>
      <c r="I889" s="38"/>
      <c r="J889" s="38"/>
      <c r="K889" s="38"/>
      <c r="L889" s="38"/>
      <c r="M889" s="38"/>
      <c r="N889" s="41"/>
      <c r="O889" s="38"/>
      <c r="P889" s="38"/>
      <c r="Q889" s="38"/>
      <c r="R889" s="38"/>
      <c r="S889" s="38"/>
      <c r="T889" s="38"/>
    </row>
    <row r="890">
      <c r="A890" s="41"/>
      <c r="C890" s="7"/>
      <c r="D890" s="7"/>
      <c r="E890" s="18"/>
      <c r="F890" s="38"/>
      <c r="G890" s="38"/>
      <c r="H890" s="38"/>
      <c r="I890" s="38"/>
      <c r="J890" s="38"/>
      <c r="K890" s="38"/>
      <c r="L890" s="38"/>
      <c r="M890" s="38"/>
      <c r="N890" s="41"/>
      <c r="O890" s="38"/>
      <c r="P890" s="38"/>
      <c r="Q890" s="38"/>
      <c r="R890" s="38"/>
      <c r="S890" s="38"/>
      <c r="T890" s="38"/>
    </row>
    <row r="891">
      <c r="A891" s="41"/>
      <c r="C891" s="7"/>
      <c r="D891" s="7"/>
      <c r="E891" s="18"/>
      <c r="F891" s="38"/>
      <c r="G891" s="38"/>
      <c r="H891" s="38"/>
      <c r="I891" s="38"/>
      <c r="J891" s="38"/>
      <c r="K891" s="38"/>
      <c r="L891" s="38"/>
      <c r="M891" s="38"/>
      <c r="N891" s="41"/>
      <c r="O891" s="38"/>
      <c r="P891" s="38"/>
      <c r="Q891" s="38"/>
      <c r="R891" s="38"/>
      <c r="S891" s="38"/>
      <c r="T891" s="38"/>
    </row>
    <row r="892">
      <c r="A892" s="41"/>
      <c r="C892" s="7"/>
      <c r="D892" s="7"/>
      <c r="E892" s="18"/>
      <c r="F892" s="38"/>
      <c r="G892" s="38"/>
      <c r="H892" s="38"/>
      <c r="I892" s="38"/>
      <c r="J892" s="38"/>
      <c r="K892" s="38"/>
      <c r="L892" s="38"/>
      <c r="M892" s="38"/>
      <c r="N892" s="41"/>
      <c r="O892" s="38"/>
      <c r="P892" s="38"/>
      <c r="Q892" s="38"/>
      <c r="R892" s="38"/>
      <c r="S892" s="38"/>
      <c r="T892" s="38"/>
    </row>
    <row r="893">
      <c r="A893" s="41"/>
      <c r="C893" s="7"/>
      <c r="D893" s="7"/>
      <c r="E893" s="18"/>
      <c r="F893" s="38"/>
      <c r="G893" s="38"/>
      <c r="H893" s="38"/>
      <c r="I893" s="38"/>
      <c r="J893" s="38"/>
      <c r="K893" s="38"/>
      <c r="L893" s="38"/>
      <c r="M893" s="38"/>
      <c r="N893" s="41"/>
      <c r="O893" s="38"/>
      <c r="P893" s="38"/>
      <c r="Q893" s="38"/>
      <c r="R893" s="38"/>
      <c r="S893" s="38"/>
      <c r="T893" s="38"/>
    </row>
    <row r="894">
      <c r="A894" s="41"/>
      <c r="C894" s="7"/>
      <c r="D894" s="7"/>
      <c r="E894" s="18"/>
      <c r="F894" s="38"/>
      <c r="G894" s="38"/>
      <c r="H894" s="38"/>
      <c r="I894" s="38"/>
      <c r="J894" s="38"/>
      <c r="K894" s="38"/>
      <c r="L894" s="38"/>
      <c r="M894" s="38"/>
      <c r="N894" s="41"/>
      <c r="O894" s="38"/>
      <c r="P894" s="38"/>
      <c r="Q894" s="38"/>
      <c r="R894" s="38"/>
      <c r="S894" s="38"/>
      <c r="T894" s="38"/>
    </row>
    <row r="895">
      <c r="A895" s="41"/>
      <c r="C895" s="7"/>
      <c r="D895" s="7"/>
      <c r="E895" s="18"/>
      <c r="F895" s="38"/>
      <c r="G895" s="38"/>
      <c r="H895" s="38"/>
      <c r="I895" s="38"/>
      <c r="J895" s="38"/>
      <c r="K895" s="38"/>
      <c r="L895" s="38"/>
      <c r="M895" s="38"/>
      <c r="N895" s="41"/>
      <c r="O895" s="38"/>
      <c r="P895" s="38"/>
      <c r="Q895" s="38"/>
      <c r="R895" s="38"/>
      <c r="S895" s="38"/>
      <c r="T895" s="38"/>
    </row>
    <row r="896">
      <c r="A896" s="41"/>
      <c r="C896" s="7"/>
      <c r="D896" s="7"/>
      <c r="E896" s="18"/>
      <c r="F896" s="38"/>
      <c r="G896" s="38"/>
      <c r="H896" s="38"/>
      <c r="I896" s="38"/>
      <c r="J896" s="38"/>
      <c r="K896" s="38"/>
      <c r="L896" s="38"/>
      <c r="M896" s="38"/>
      <c r="N896" s="41"/>
      <c r="O896" s="38"/>
      <c r="P896" s="38"/>
      <c r="Q896" s="38"/>
      <c r="R896" s="38"/>
      <c r="S896" s="38"/>
      <c r="T896" s="38"/>
    </row>
    <row r="897">
      <c r="A897" s="41"/>
      <c r="C897" s="7"/>
      <c r="D897" s="7"/>
      <c r="E897" s="18"/>
      <c r="F897" s="38"/>
      <c r="G897" s="38"/>
      <c r="H897" s="38"/>
      <c r="I897" s="38"/>
      <c r="J897" s="38"/>
      <c r="K897" s="38"/>
      <c r="L897" s="38"/>
      <c r="M897" s="38"/>
      <c r="N897" s="41"/>
      <c r="O897" s="38"/>
      <c r="P897" s="38"/>
      <c r="Q897" s="38"/>
      <c r="R897" s="38"/>
      <c r="S897" s="38"/>
      <c r="T897" s="38"/>
    </row>
    <row r="898">
      <c r="A898" s="41"/>
      <c r="C898" s="7"/>
      <c r="D898" s="7"/>
      <c r="E898" s="18"/>
      <c r="F898" s="38"/>
      <c r="G898" s="38"/>
      <c r="H898" s="38"/>
      <c r="I898" s="38"/>
      <c r="J898" s="38"/>
      <c r="K898" s="38"/>
      <c r="L898" s="38"/>
      <c r="M898" s="38"/>
      <c r="N898" s="41"/>
      <c r="O898" s="38"/>
      <c r="P898" s="38"/>
      <c r="Q898" s="38"/>
      <c r="R898" s="38"/>
      <c r="S898" s="38"/>
      <c r="T898" s="38"/>
    </row>
    <row r="899">
      <c r="A899" s="41"/>
      <c r="C899" s="7"/>
      <c r="D899" s="7"/>
      <c r="E899" s="18"/>
      <c r="F899" s="38"/>
      <c r="G899" s="38"/>
      <c r="H899" s="38"/>
      <c r="I899" s="38"/>
      <c r="J899" s="38"/>
      <c r="K899" s="38"/>
      <c r="L899" s="38"/>
      <c r="M899" s="38"/>
      <c r="N899" s="41"/>
      <c r="O899" s="38"/>
      <c r="P899" s="38"/>
      <c r="Q899" s="38"/>
      <c r="R899" s="38"/>
      <c r="S899" s="38"/>
      <c r="T899" s="38"/>
    </row>
    <row r="900">
      <c r="A900" s="19"/>
      <c r="B900" s="19"/>
      <c r="C900" s="42"/>
      <c r="D900" s="42"/>
      <c r="E900" s="19"/>
      <c r="F900" s="39"/>
      <c r="G900" s="39"/>
      <c r="H900" s="39"/>
      <c r="I900" s="39"/>
      <c r="J900" s="39"/>
      <c r="K900" s="19"/>
      <c r="L900" s="19"/>
      <c r="M900" s="19"/>
      <c r="N900" s="43"/>
      <c r="O900" s="19"/>
      <c r="P900" s="19"/>
      <c r="Q900" s="38"/>
      <c r="R900" s="38"/>
      <c r="S900" s="38"/>
      <c r="T900" s="38"/>
    </row>
    <row r="901">
      <c r="A901" s="41"/>
      <c r="C901" s="7"/>
      <c r="D901" s="7"/>
      <c r="E901" s="18"/>
      <c r="F901" s="38"/>
      <c r="G901" s="38"/>
      <c r="H901" s="38"/>
      <c r="I901" s="38"/>
      <c r="J901" s="38"/>
      <c r="K901" s="38"/>
      <c r="L901" s="38"/>
      <c r="M901" s="38"/>
      <c r="N901" s="41"/>
      <c r="O901" s="38"/>
      <c r="P901" s="38"/>
      <c r="Q901" s="38"/>
      <c r="R901" s="38"/>
      <c r="S901" s="38"/>
      <c r="T901" s="38"/>
    </row>
    <row r="902">
      <c r="A902" s="41"/>
      <c r="C902" s="7"/>
      <c r="D902" s="7"/>
      <c r="E902" s="18"/>
      <c r="F902" s="38"/>
      <c r="G902" s="38"/>
      <c r="H902" s="38"/>
      <c r="I902" s="38"/>
      <c r="J902" s="38"/>
      <c r="K902" s="38"/>
      <c r="L902" s="38"/>
      <c r="M902" s="38"/>
      <c r="N902" s="41"/>
      <c r="O902" s="38"/>
      <c r="P902" s="38"/>
      <c r="Q902" s="38"/>
      <c r="R902" s="38"/>
      <c r="S902" s="38"/>
      <c r="T902" s="38"/>
    </row>
    <row r="903">
      <c r="A903" s="41"/>
      <c r="C903" s="7"/>
      <c r="D903" s="7"/>
      <c r="E903" s="18"/>
      <c r="F903" s="38"/>
      <c r="G903" s="38"/>
      <c r="H903" s="38"/>
      <c r="I903" s="38"/>
      <c r="J903" s="38"/>
      <c r="K903" s="38"/>
      <c r="L903" s="38"/>
      <c r="M903" s="38"/>
      <c r="N903" s="41"/>
      <c r="O903" s="38"/>
      <c r="P903" s="38"/>
      <c r="Q903" s="38"/>
      <c r="R903" s="38"/>
      <c r="S903" s="38"/>
      <c r="T903" s="38"/>
    </row>
    <row r="904">
      <c r="A904" s="41"/>
      <c r="C904" s="7"/>
      <c r="D904" s="7"/>
      <c r="E904" s="18"/>
      <c r="F904" s="38"/>
      <c r="G904" s="38"/>
      <c r="H904" s="38"/>
      <c r="I904" s="38"/>
      <c r="J904" s="38"/>
      <c r="K904" s="38"/>
      <c r="L904" s="38"/>
      <c r="M904" s="38"/>
      <c r="N904" s="41"/>
      <c r="O904" s="38"/>
      <c r="P904" s="38"/>
      <c r="Q904" s="38"/>
      <c r="R904" s="38"/>
      <c r="S904" s="38"/>
      <c r="T904" s="38"/>
    </row>
    <row r="905">
      <c r="A905" s="41"/>
      <c r="C905" s="7"/>
      <c r="D905" s="7"/>
      <c r="E905" s="18"/>
      <c r="F905" s="38"/>
      <c r="G905" s="38"/>
      <c r="H905" s="38"/>
      <c r="I905" s="38"/>
      <c r="J905" s="38"/>
      <c r="K905" s="38"/>
      <c r="L905" s="38"/>
      <c r="M905" s="38"/>
      <c r="N905" s="41"/>
      <c r="O905" s="38"/>
      <c r="P905" s="38"/>
      <c r="Q905" s="38"/>
      <c r="R905" s="38"/>
      <c r="S905" s="38"/>
      <c r="T905" s="38"/>
    </row>
    <row r="906">
      <c r="A906" s="41"/>
      <c r="C906" s="7"/>
      <c r="D906" s="7"/>
      <c r="E906" s="18"/>
      <c r="F906" s="38"/>
      <c r="G906" s="38"/>
      <c r="H906" s="38"/>
      <c r="I906" s="38"/>
      <c r="J906" s="38"/>
      <c r="K906" s="38"/>
      <c r="L906" s="38"/>
      <c r="M906" s="38"/>
      <c r="N906" s="41"/>
      <c r="O906" s="38"/>
      <c r="P906" s="38"/>
      <c r="Q906" s="38"/>
      <c r="R906" s="38"/>
      <c r="S906" s="38"/>
      <c r="T906" s="38"/>
    </row>
    <row r="907">
      <c r="A907" s="41"/>
      <c r="C907" s="7"/>
      <c r="D907" s="7"/>
      <c r="E907" s="18"/>
      <c r="F907" s="38"/>
      <c r="G907" s="38"/>
      <c r="H907" s="38"/>
      <c r="I907" s="38"/>
      <c r="J907" s="38"/>
      <c r="K907" s="38"/>
      <c r="L907" s="38"/>
      <c r="M907" s="38"/>
      <c r="N907" s="41"/>
      <c r="O907" s="38"/>
      <c r="P907" s="38"/>
      <c r="Q907" s="38"/>
      <c r="R907" s="38"/>
      <c r="S907" s="38"/>
      <c r="T907" s="38"/>
    </row>
    <row r="908">
      <c r="A908" s="41"/>
      <c r="C908" s="7"/>
      <c r="D908" s="7"/>
      <c r="E908" s="18"/>
      <c r="F908" s="38"/>
      <c r="G908" s="38"/>
      <c r="H908" s="38"/>
      <c r="I908" s="38"/>
      <c r="J908" s="38"/>
      <c r="K908" s="38"/>
      <c r="L908" s="38"/>
      <c r="M908" s="38"/>
      <c r="N908" s="41"/>
      <c r="O908" s="38"/>
      <c r="P908" s="38"/>
      <c r="Q908" s="38"/>
      <c r="R908" s="38"/>
      <c r="S908" s="38"/>
      <c r="T908" s="38"/>
    </row>
    <row r="909">
      <c r="A909" s="41"/>
      <c r="C909" s="7"/>
      <c r="D909" s="7"/>
      <c r="E909" s="18"/>
      <c r="F909" s="38"/>
      <c r="G909" s="38"/>
      <c r="H909" s="38"/>
      <c r="I909" s="38"/>
      <c r="J909" s="38"/>
      <c r="K909" s="38"/>
      <c r="L909" s="38"/>
      <c r="M909" s="38"/>
      <c r="N909" s="41"/>
      <c r="O909" s="38"/>
      <c r="P909" s="38"/>
      <c r="Q909" s="38"/>
      <c r="R909" s="38"/>
      <c r="S909" s="38"/>
      <c r="T909" s="38"/>
    </row>
    <row r="910">
      <c r="A910" s="41"/>
      <c r="C910" s="7"/>
      <c r="D910" s="7"/>
      <c r="E910" s="18"/>
      <c r="F910" s="38"/>
      <c r="G910" s="38"/>
      <c r="H910" s="38"/>
      <c r="I910" s="38"/>
      <c r="J910" s="38"/>
      <c r="K910" s="38"/>
      <c r="L910" s="38"/>
      <c r="M910" s="38"/>
      <c r="N910" s="41"/>
      <c r="O910" s="38"/>
      <c r="P910" s="38"/>
      <c r="Q910" s="38"/>
      <c r="R910" s="38"/>
      <c r="S910" s="38"/>
      <c r="T910" s="38"/>
    </row>
    <row r="911">
      <c r="A911" s="41"/>
      <c r="C911" s="7"/>
      <c r="D911" s="7"/>
      <c r="E911" s="18"/>
      <c r="F911" s="38"/>
      <c r="G911" s="38"/>
      <c r="H911" s="38"/>
      <c r="I911" s="38"/>
      <c r="J911" s="38"/>
      <c r="K911" s="38"/>
      <c r="L911" s="38"/>
      <c r="M911" s="38"/>
      <c r="N911" s="41"/>
      <c r="O911" s="38"/>
      <c r="P911" s="38"/>
      <c r="Q911" s="38"/>
      <c r="R911" s="38"/>
      <c r="S911" s="38"/>
      <c r="T911" s="38"/>
    </row>
    <row r="912">
      <c r="A912" s="41"/>
      <c r="C912" s="7"/>
      <c r="D912" s="7"/>
      <c r="E912" s="18"/>
      <c r="F912" s="38"/>
      <c r="G912" s="38"/>
      <c r="H912" s="38"/>
      <c r="I912" s="38"/>
      <c r="J912" s="38"/>
      <c r="K912" s="38"/>
      <c r="L912" s="38"/>
      <c r="M912" s="38"/>
      <c r="N912" s="41"/>
      <c r="O912" s="38"/>
      <c r="P912" s="38"/>
      <c r="Q912" s="38"/>
      <c r="R912" s="38"/>
      <c r="S912" s="38"/>
      <c r="T912" s="38"/>
    </row>
    <row r="913">
      <c r="A913" s="41"/>
      <c r="C913" s="7"/>
      <c r="D913" s="7"/>
      <c r="E913" s="18"/>
      <c r="F913" s="38"/>
      <c r="G913" s="38"/>
      <c r="H913" s="38"/>
      <c r="I913" s="38"/>
      <c r="J913" s="38"/>
      <c r="K913" s="38"/>
      <c r="L913" s="38"/>
      <c r="M913" s="38"/>
      <c r="N913" s="41"/>
      <c r="O913" s="38"/>
      <c r="P913" s="38"/>
      <c r="Q913" s="38"/>
      <c r="R913" s="38"/>
      <c r="S913" s="38"/>
      <c r="T913" s="38"/>
    </row>
    <row r="914">
      <c r="A914" s="41"/>
      <c r="C914" s="7"/>
      <c r="D914" s="7"/>
      <c r="E914" s="18"/>
      <c r="F914" s="38"/>
      <c r="G914" s="38"/>
      <c r="H914" s="38"/>
      <c r="I914" s="38"/>
      <c r="J914" s="38"/>
      <c r="K914" s="38"/>
      <c r="L914" s="38"/>
      <c r="M914" s="38"/>
      <c r="N914" s="41"/>
      <c r="O914" s="38"/>
      <c r="P914" s="38"/>
      <c r="Q914" s="38"/>
      <c r="R914" s="38"/>
      <c r="S914" s="38"/>
      <c r="T914" s="38"/>
    </row>
    <row r="915">
      <c r="A915" s="41"/>
      <c r="C915" s="7"/>
      <c r="D915" s="7"/>
      <c r="E915" s="18"/>
      <c r="F915" s="38"/>
      <c r="G915" s="38"/>
      <c r="H915" s="38"/>
      <c r="I915" s="38"/>
      <c r="J915" s="38"/>
      <c r="K915" s="38"/>
      <c r="L915" s="38"/>
      <c r="M915" s="38"/>
      <c r="N915" s="41"/>
      <c r="O915" s="38"/>
      <c r="P915" s="38"/>
      <c r="Q915" s="38"/>
      <c r="R915" s="38"/>
      <c r="S915" s="38"/>
      <c r="T915" s="38"/>
    </row>
    <row r="916">
      <c r="A916" s="41"/>
      <c r="C916" s="7"/>
      <c r="D916" s="7"/>
      <c r="E916" s="18"/>
      <c r="F916" s="38"/>
      <c r="G916" s="38"/>
      <c r="H916" s="38"/>
      <c r="I916" s="38"/>
      <c r="J916" s="38"/>
      <c r="K916" s="38"/>
      <c r="L916" s="38"/>
      <c r="M916" s="38"/>
      <c r="N916" s="41"/>
      <c r="O916" s="38"/>
      <c r="P916" s="38"/>
      <c r="Q916" s="38"/>
      <c r="R916" s="38"/>
      <c r="S916" s="38"/>
      <c r="T916" s="38"/>
    </row>
    <row r="917">
      <c r="A917" s="41"/>
      <c r="C917" s="7"/>
      <c r="D917" s="7"/>
      <c r="E917" s="18"/>
      <c r="F917" s="38"/>
      <c r="G917" s="38"/>
      <c r="H917" s="38"/>
      <c r="I917" s="38"/>
      <c r="J917" s="38"/>
      <c r="K917" s="38"/>
      <c r="L917" s="38"/>
      <c r="M917" s="38"/>
      <c r="N917" s="41"/>
      <c r="O917" s="38"/>
      <c r="P917" s="38"/>
      <c r="Q917" s="38"/>
      <c r="R917" s="38"/>
      <c r="S917" s="38"/>
      <c r="T917" s="38"/>
    </row>
    <row r="918">
      <c r="A918" s="41"/>
      <c r="C918" s="7"/>
      <c r="D918" s="7"/>
      <c r="E918" s="18"/>
      <c r="F918" s="38"/>
      <c r="G918" s="38"/>
      <c r="H918" s="38"/>
      <c r="I918" s="38"/>
      <c r="J918" s="38"/>
      <c r="K918" s="38"/>
      <c r="L918" s="38"/>
      <c r="M918" s="38"/>
      <c r="N918" s="41"/>
      <c r="O918" s="38"/>
      <c r="P918" s="38"/>
      <c r="Q918" s="38"/>
      <c r="R918" s="38"/>
      <c r="S918" s="38"/>
      <c r="T918" s="38"/>
    </row>
    <row r="919">
      <c r="A919" s="41"/>
      <c r="C919" s="7"/>
      <c r="D919" s="7"/>
      <c r="E919" s="18"/>
      <c r="F919" s="38"/>
      <c r="G919" s="38"/>
      <c r="H919" s="38"/>
      <c r="I919" s="38"/>
      <c r="J919" s="38"/>
      <c r="K919" s="38"/>
      <c r="L919" s="38"/>
      <c r="M919" s="38"/>
      <c r="N919" s="41"/>
      <c r="O919" s="38"/>
      <c r="P919" s="38"/>
      <c r="Q919" s="38"/>
      <c r="R919" s="38"/>
      <c r="S919" s="38"/>
      <c r="T919" s="38"/>
    </row>
    <row r="920">
      <c r="A920" s="41"/>
      <c r="C920" s="7"/>
      <c r="D920" s="7"/>
      <c r="E920" s="18"/>
      <c r="F920" s="38"/>
      <c r="G920" s="38"/>
      <c r="H920" s="38"/>
      <c r="I920" s="38"/>
      <c r="J920" s="38"/>
      <c r="K920" s="38"/>
      <c r="L920" s="38"/>
      <c r="M920" s="38"/>
      <c r="N920" s="41"/>
      <c r="O920" s="38"/>
      <c r="P920" s="38"/>
      <c r="Q920" s="38"/>
      <c r="R920" s="38"/>
      <c r="S920" s="38"/>
      <c r="T920" s="38"/>
    </row>
    <row r="921">
      <c r="A921" s="41"/>
      <c r="C921" s="7"/>
      <c r="D921" s="7"/>
      <c r="E921" s="18"/>
      <c r="F921" s="38"/>
      <c r="G921" s="38"/>
      <c r="H921" s="38"/>
      <c r="I921" s="38"/>
      <c r="J921" s="38"/>
      <c r="K921" s="38"/>
      <c r="L921" s="38"/>
      <c r="M921" s="38"/>
      <c r="N921" s="41"/>
      <c r="O921" s="38"/>
      <c r="P921" s="38"/>
      <c r="Q921" s="38"/>
      <c r="R921" s="38"/>
      <c r="S921" s="38"/>
      <c r="T921" s="38"/>
    </row>
    <row r="922">
      <c r="A922" s="41"/>
      <c r="C922" s="7"/>
      <c r="D922" s="7"/>
      <c r="E922" s="18"/>
      <c r="F922" s="38"/>
      <c r="G922" s="38"/>
      <c r="H922" s="38"/>
      <c r="I922" s="38"/>
      <c r="J922" s="38"/>
      <c r="K922" s="38"/>
      <c r="L922" s="38"/>
      <c r="M922" s="38"/>
      <c r="N922" s="41"/>
      <c r="O922" s="38"/>
      <c r="P922" s="38"/>
      <c r="Q922" s="38"/>
      <c r="R922" s="38"/>
      <c r="S922" s="38"/>
      <c r="T922" s="38"/>
    </row>
    <row r="923">
      <c r="A923" s="41"/>
      <c r="C923" s="7"/>
      <c r="D923" s="7"/>
      <c r="E923" s="18"/>
      <c r="F923" s="38"/>
      <c r="G923" s="38"/>
      <c r="H923" s="38"/>
      <c r="I923" s="38"/>
      <c r="J923" s="38"/>
      <c r="K923" s="38"/>
      <c r="L923" s="38"/>
      <c r="M923" s="38"/>
      <c r="N923" s="41"/>
      <c r="O923" s="38"/>
      <c r="P923" s="38"/>
      <c r="Q923" s="38"/>
      <c r="R923" s="38"/>
      <c r="S923" s="38"/>
      <c r="T923" s="38"/>
    </row>
    <row r="924">
      <c r="A924" s="41"/>
      <c r="C924" s="7"/>
      <c r="D924" s="7"/>
      <c r="E924" s="18"/>
      <c r="F924" s="38"/>
      <c r="G924" s="38"/>
      <c r="H924" s="38"/>
      <c r="I924" s="38"/>
      <c r="J924" s="38"/>
      <c r="K924" s="38"/>
      <c r="L924" s="38"/>
      <c r="M924" s="38"/>
      <c r="N924" s="41"/>
      <c r="O924" s="38"/>
      <c r="P924" s="38"/>
      <c r="Q924" s="38"/>
      <c r="R924" s="38"/>
      <c r="S924" s="38"/>
      <c r="T924" s="38"/>
    </row>
    <row r="925">
      <c r="A925" s="41"/>
      <c r="C925" s="7"/>
      <c r="D925" s="7"/>
      <c r="E925" s="18"/>
      <c r="F925" s="38"/>
      <c r="G925" s="38"/>
      <c r="H925" s="38"/>
      <c r="I925" s="38"/>
      <c r="J925" s="38"/>
      <c r="K925" s="38"/>
      <c r="L925" s="38"/>
      <c r="M925" s="38"/>
      <c r="N925" s="41"/>
      <c r="O925" s="38"/>
      <c r="P925" s="38"/>
      <c r="Q925" s="38"/>
      <c r="R925" s="38"/>
      <c r="S925" s="38"/>
      <c r="T925" s="38"/>
    </row>
    <row r="926">
      <c r="A926" s="41"/>
      <c r="C926" s="7"/>
      <c r="D926" s="7"/>
      <c r="E926" s="18"/>
      <c r="F926" s="38"/>
      <c r="G926" s="38"/>
      <c r="H926" s="38"/>
      <c r="I926" s="38"/>
      <c r="J926" s="38"/>
      <c r="K926" s="38"/>
      <c r="L926" s="38"/>
      <c r="M926" s="38"/>
      <c r="N926" s="41"/>
      <c r="O926" s="38"/>
      <c r="P926" s="38"/>
      <c r="Q926" s="38"/>
      <c r="R926" s="38"/>
      <c r="S926" s="38"/>
      <c r="T926" s="38"/>
    </row>
    <row r="927">
      <c r="A927" s="41"/>
      <c r="C927" s="7"/>
      <c r="D927" s="7"/>
      <c r="E927" s="18"/>
      <c r="F927" s="38"/>
      <c r="G927" s="38"/>
      <c r="H927" s="38"/>
      <c r="I927" s="38"/>
      <c r="J927" s="38"/>
      <c r="K927" s="38"/>
      <c r="L927" s="38"/>
      <c r="M927" s="38"/>
      <c r="N927" s="41"/>
      <c r="O927" s="38"/>
      <c r="P927" s="38"/>
      <c r="Q927" s="38"/>
      <c r="R927" s="38"/>
      <c r="S927" s="38"/>
      <c r="T927" s="38"/>
    </row>
    <row r="928">
      <c r="A928" s="41"/>
      <c r="C928" s="7"/>
      <c r="D928" s="7"/>
      <c r="E928" s="18"/>
      <c r="F928" s="38"/>
      <c r="G928" s="38"/>
      <c r="H928" s="38"/>
      <c r="I928" s="38"/>
      <c r="J928" s="38"/>
      <c r="K928" s="38"/>
      <c r="L928" s="38"/>
      <c r="M928" s="38"/>
      <c r="N928" s="41"/>
      <c r="O928" s="38"/>
      <c r="P928" s="38"/>
      <c r="Q928" s="38"/>
      <c r="R928" s="38"/>
      <c r="S928" s="38"/>
      <c r="T928" s="38"/>
    </row>
    <row r="929">
      <c r="A929" s="41"/>
      <c r="C929" s="7"/>
      <c r="D929" s="7"/>
      <c r="E929" s="18"/>
      <c r="F929" s="38"/>
      <c r="G929" s="38"/>
      <c r="H929" s="38"/>
      <c r="I929" s="38"/>
      <c r="J929" s="38"/>
      <c r="K929" s="38"/>
      <c r="L929" s="38"/>
      <c r="M929" s="38"/>
      <c r="N929" s="41"/>
      <c r="O929" s="38"/>
      <c r="P929" s="38"/>
      <c r="Q929" s="38"/>
      <c r="R929" s="38"/>
      <c r="S929" s="38"/>
      <c r="T929" s="38"/>
    </row>
    <row r="930">
      <c r="A930" s="41"/>
      <c r="C930" s="7"/>
      <c r="D930" s="7"/>
      <c r="E930" s="18"/>
      <c r="F930" s="38"/>
      <c r="G930" s="38"/>
      <c r="H930" s="38"/>
      <c r="I930" s="38"/>
      <c r="J930" s="38"/>
      <c r="K930" s="38"/>
      <c r="L930" s="38"/>
      <c r="M930" s="38"/>
      <c r="N930" s="41"/>
      <c r="O930" s="38"/>
      <c r="P930" s="38"/>
      <c r="Q930" s="38"/>
      <c r="R930" s="38"/>
      <c r="S930" s="38"/>
      <c r="T930" s="38"/>
    </row>
    <row r="931">
      <c r="A931" s="41"/>
      <c r="C931" s="7"/>
      <c r="D931" s="7"/>
      <c r="E931" s="18"/>
      <c r="F931" s="38"/>
      <c r="G931" s="38"/>
      <c r="H931" s="38"/>
      <c r="I931" s="38"/>
      <c r="J931" s="38"/>
      <c r="K931" s="38"/>
      <c r="L931" s="38"/>
      <c r="M931" s="38"/>
      <c r="N931" s="41"/>
      <c r="O931" s="38"/>
      <c r="P931" s="38"/>
      <c r="Q931" s="38"/>
      <c r="R931" s="38"/>
      <c r="S931" s="38"/>
      <c r="T931" s="38"/>
    </row>
    <row r="932">
      <c r="A932" s="41"/>
      <c r="C932" s="7"/>
      <c r="D932" s="7"/>
      <c r="E932" s="18"/>
      <c r="F932" s="38"/>
      <c r="G932" s="38"/>
      <c r="H932" s="38"/>
      <c r="I932" s="38"/>
      <c r="J932" s="38"/>
      <c r="K932" s="38"/>
      <c r="L932" s="38"/>
      <c r="M932" s="38"/>
      <c r="N932" s="41"/>
      <c r="O932" s="38"/>
      <c r="P932" s="38"/>
      <c r="Q932" s="38"/>
      <c r="R932" s="38"/>
      <c r="S932" s="38"/>
      <c r="T932" s="38"/>
    </row>
    <row r="933">
      <c r="A933" s="41"/>
      <c r="C933" s="7"/>
      <c r="D933" s="7"/>
      <c r="E933" s="18"/>
      <c r="F933" s="38"/>
      <c r="G933" s="38"/>
      <c r="H933" s="38"/>
      <c r="I933" s="38"/>
      <c r="J933" s="38"/>
      <c r="K933" s="38"/>
      <c r="L933" s="38"/>
      <c r="M933" s="38"/>
      <c r="N933" s="41"/>
      <c r="O933" s="38"/>
      <c r="P933" s="38"/>
      <c r="Q933" s="38"/>
      <c r="R933" s="38"/>
      <c r="S933" s="38"/>
      <c r="T933" s="38"/>
    </row>
    <row r="934">
      <c r="A934" s="41"/>
      <c r="C934" s="7"/>
      <c r="D934" s="7"/>
      <c r="E934" s="18"/>
      <c r="F934" s="38"/>
      <c r="G934" s="38"/>
      <c r="H934" s="38"/>
      <c r="I934" s="38"/>
      <c r="J934" s="38"/>
      <c r="K934" s="38"/>
      <c r="L934" s="38"/>
      <c r="M934" s="38"/>
      <c r="N934" s="41"/>
      <c r="O934" s="38"/>
      <c r="P934" s="38"/>
      <c r="Q934" s="38"/>
      <c r="R934" s="38"/>
      <c r="S934" s="38"/>
      <c r="T934" s="38"/>
    </row>
    <row r="935">
      <c r="A935" s="41"/>
      <c r="C935" s="7"/>
      <c r="D935" s="7"/>
      <c r="E935" s="18"/>
      <c r="F935" s="38"/>
      <c r="G935" s="38"/>
      <c r="H935" s="38"/>
      <c r="I935" s="38"/>
      <c r="J935" s="38"/>
      <c r="K935" s="38"/>
      <c r="L935" s="38"/>
      <c r="M935" s="38"/>
      <c r="N935" s="41"/>
      <c r="O935" s="38"/>
      <c r="P935" s="38"/>
      <c r="Q935" s="38"/>
      <c r="R935" s="38"/>
      <c r="S935" s="38"/>
      <c r="T935" s="38"/>
    </row>
    <row r="936">
      <c r="A936" s="41"/>
      <c r="C936" s="7"/>
      <c r="D936" s="7"/>
      <c r="E936" s="18"/>
      <c r="F936" s="38"/>
      <c r="G936" s="38"/>
      <c r="H936" s="38"/>
      <c r="I936" s="38"/>
      <c r="J936" s="38"/>
      <c r="K936" s="38"/>
      <c r="L936" s="38"/>
      <c r="M936" s="38"/>
      <c r="N936" s="41"/>
      <c r="O936" s="38"/>
      <c r="P936" s="38"/>
      <c r="Q936" s="38"/>
      <c r="R936" s="38"/>
      <c r="S936" s="38"/>
      <c r="T936" s="38"/>
    </row>
    <row r="937">
      <c r="A937" s="41"/>
      <c r="C937" s="7"/>
      <c r="D937" s="7"/>
      <c r="E937" s="18"/>
      <c r="F937" s="38"/>
      <c r="G937" s="38"/>
      <c r="H937" s="38"/>
      <c r="I937" s="38"/>
      <c r="J937" s="38"/>
      <c r="K937" s="38"/>
      <c r="L937" s="38"/>
      <c r="M937" s="38"/>
      <c r="N937" s="41"/>
      <c r="O937" s="38"/>
      <c r="P937" s="38"/>
      <c r="Q937" s="38"/>
      <c r="R937" s="38"/>
      <c r="S937" s="38"/>
      <c r="T937" s="38"/>
    </row>
    <row r="938">
      <c r="A938" s="41"/>
      <c r="C938" s="7"/>
      <c r="D938" s="7"/>
      <c r="E938" s="18"/>
      <c r="F938" s="38"/>
      <c r="G938" s="38"/>
      <c r="H938" s="38"/>
      <c r="I938" s="38"/>
      <c r="J938" s="38"/>
      <c r="K938" s="38"/>
      <c r="L938" s="38"/>
      <c r="M938" s="38"/>
      <c r="N938" s="41"/>
      <c r="O938" s="38"/>
      <c r="P938" s="38"/>
      <c r="Q938" s="38"/>
      <c r="R938" s="38"/>
      <c r="S938" s="38"/>
      <c r="T938" s="38"/>
    </row>
    <row r="939">
      <c r="A939" s="41"/>
      <c r="C939" s="7"/>
      <c r="D939" s="7"/>
      <c r="E939" s="18"/>
      <c r="F939" s="38"/>
      <c r="G939" s="38"/>
      <c r="H939" s="38"/>
      <c r="I939" s="38"/>
      <c r="J939" s="38"/>
      <c r="K939" s="38"/>
      <c r="L939" s="38"/>
      <c r="M939" s="38"/>
      <c r="N939" s="41"/>
      <c r="O939" s="38"/>
      <c r="P939" s="38"/>
      <c r="Q939" s="38"/>
      <c r="R939" s="38"/>
      <c r="S939" s="38"/>
      <c r="T939" s="38"/>
    </row>
    <row r="940">
      <c r="A940" s="41"/>
      <c r="C940" s="7"/>
      <c r="D940" s="7"/>
      <c r="E940" s="18"/>
      <c r="F940" s="38"/>
      <c r="G940" s="38"/>
      <c r="H940" s="38"/>
      <c r="I940" s="38"/>
      <c r="J940" s="38"/>
      <c r="K940" s="38"/>
      <c r="L940" s="38"/>
      <c r="M940" s="38"/>
      <c r="N940" s="41"/>
      <c r="O940" s="38"/>
      <c r="P940" s="38"/>
      <c r="Q940" s="38"/>
      <c r="R940" s="38"/>
      <c r="S940" s="38"/>
      <c r="T940" s="38"/>
    </row>
    <row r="941">
      <c r="A941" s="19"/>
      <c r="B941" s="19"/>
      <c r="C941" s="42"/>
      <c r="D941" s="42"/>
      <c r="E941" s="19"/>
      <c r="F941" s="39"/>
      <c r="G941" s="39"/>
      <c r="H941" s="39"/>
      <c r="I941" s="39"/>
      <c r="J941" s="39"/>
      <c r="K941" s="19"/>
      <c r="L941" s="19"/>
      <c r="M941" s="19"/>
      <c r="N941" s="43"/>
      <c r="O941" s="19"/>
      <c r="P941" s="19"/>
      <c r="Q941" s="38"/>
      <c r="R941" s="38"/>
      <c r="S941" s="38"/>
      <c r="T941" s="38"/>
    </row>
    <row r="942">
      <c r="A942" s="41"/>
      <c r="C942" s="7"/>
      <c r="D942" s="7"/>
      <c r="E942" s="18"/>
      <c r="F942" s="38"/>
      <c r="G942" s="38"/>
      <c r="H942" s="38"/>
      <c r="I942" s="38"/>
      <c r="J942" s="38"/>
      <c r="K942" s="38"/>
      <c r="L942" s="38"/>
      <c r="M942" s="38"/>
      <c r="N942" s="41"/>
      <c r="O942" s="38"/>
      <c r="P942" s="38"/>
      <c r="Q942" s="38"/>
      <c r="R942" s="38"/>
      <c r="S942" s="38"/>
      <c r="T942" s="38"/>
    </row>
    <row r="943">
      <c r="A943" s="41"/>
      <c r="C943" s="7"/>
      <c r="D943" s="7"/>
      <c r="E943" s="18"/>
      <c r="F943" s="38"/>
      <c r="G943" s="38"/>
      <c r="H943" s="38"/>
      <c r="I943" s="38"/>
      <c r="J943" s="38"/>
      <c r="K943" s="38"/>
      <c r="L943" s="38"/>
      <c r="M943" s="38"/>
      <c r="N943" s="41"/>
      <c r="O943" s="38"/>
      <c r="P943" s="38"/>
      <c r="Q943" s="38"/>
      <c r="R943" s="38"/>
      <c r="S943" s="38"/>
      <c r="T943" s="38"/>
    </row>
    <row r="944">
      <c r="A944" s="41"/>
      <c r="C944" s="7"/>
      <c r="D944" s="7"/>
      <c r="E944" s="18"/>
      <c r="F944" s="38"/>
      <c r="G944" s="38"/>
      <c r="H944" s="38"/>
      <c r="I944" s="38"/>
      <c r="J944" s="38"/>
      <c r="K944" s="38"/>
      <c r="L944" s="38"/>
      <c r="M944" s="38"/>
      <c r="N944" s="41"/>
      <c r="O944" s="38"/>
      <c r="P944" s="38"/>
      <c r="Q944" s="38"/>
      <c r="R944" s="38"/>
      <c r="S944" s="38"/>
      <c r="T944" s="38"/>
    </row>
    <row r="945">
      <c r="A945" s="41"/>
      <c r="C945" s="7"/>
      <c r="D945" s="7"/>
      <c r="E945" s="18"/>
      <c r="F945" s="38"/>
      <c r="G945" s="38"/>
      <c r="H945" s="38"/>
      <c r="I945" s="38"/>
      <c r="J945" s="38"/>
      <c r="K945" s="38"/>
      <c r="L945" s="38"/>
      <c r="M945" s="38"/>
      <c r="N945" s="41"/>
      <c r="O945" s="38"/>
      <c r="P945" s="38"/>
      <c r="Q945" s="38"/>
      <c r="R945" s="38"/>
      <c r="S945" s="38"/>
      <c r="T945" s="38"/>
    </row>
    <row r="946">
      <c r="A946" s="41"/>
      <c r="C946" s="7"/>
      <c r="D946" s="7"/>
      <c r="E946" s="18"/>
      <c r="F946" s="38"/>
      <c r="G946" s="38"/>
      <c r="H946" s="38"/>
      <c r="I946" s="38"/>
      <c r="J946" s="38"/>
      <c r="K946" s="38"/>
      <c r="L946" s="38"/>
      <c r="M946" s="38"/>
      <c r="N946" s="41"/>
      <c r="O946" s="38"/>
      <c r="P946" s="38"/>
      <c r="Q946" s="38"/>
      <c r="R946" s="38"/>
      <c r="S946" s="38"/>
      <c r="T946" s="38"/>
    </row>
    <row r="947">
      <c r="A947" s="41"/>
      <c r="C947" s="7"/>
      <c r="D947" s="7"/>
      <c r="E947" s="18"/>
      <c r="F947" s="38"/>
      <c r="G947" s="38"/>
      <c r="H947" s="38"/>
      <c r="I947" s="38"/>
      <c r="J947" s="38"/>
      <c r="K947" s="38"/>
      <c r="L947" s="38"/>
      <c r="M947" s="38"/>
      <c r="N947" s="41"/>
      <c r="O947" s="38"/>
      <c r="P947" s="38"/>
      <c r="Q947" s="38"/>
      <c r="R947" s="38"/>
      <c r="S947" s="38"/>
      <c r="T947" s="38"/>
    </row>
    <row r="948">
      <c r="A948" s="41"/>
      <c r="C948" s="7"/>
      <c r="D948" s="7"/>
      <c r="E948" s="18"/>
      <c r="F948" s="38"/>
      <c r="G948" s="38"/>
      <c r="H948" s="38"/>
      <c r="I948" s="38"/>
      <c r="J948" s="38"/>
      <c r="K948" s="38"/>
      <c r="L948" s="38"/>
      <c r="M948" s="38"/>
      <c r="N948" s="41"/>
      <c r="O948" s="38"/>
      <c r="P948" s="38"/>
      <c r="Q948" s="38"/>
      <c r="R948" s="38"/>
      <c r="S948" s="38"/>
      <c r="T948" s="38"/>
    </row>
    <row r="949">
      <c r="A949" s="41"/>
      <c r="C949" s="7"/>
      <c r="D949" s="7"/>
      <c r="E949" s="18"/>
      <c r="F949" s="38"/>
      <c r="G949" s="38"/>
      <c r="H949" s="38"/>
      <c r="I949" s="38"/>
      <c r="J949" s="38"/>
      <c r="K949" s="38"/>
      <c r="L949" s="38"/>
      <c r="M949" s="38"/>
      <c r="N949" s="41"/>
      <c r="O949" s="38"/>
      <c r="P949" s="38"/>
      <c r="Q949" s="38"/>
      <c r="R949" s="38"/>
      <c r="S949" s="38"/>
      <c r="T949" s="38"/>
    </row>
    <row r="950">
      <c r="A950" s="41"/>
      <c r="C950" s="7"/>
      <c r="D950" s="7"/>
      <c r="E950" s="18"/>
      <c r="F950" s="38"/>
      <c r="G950" s="38"/>
      <c r="H950" s="38"/>
      <c r="I950" s="38"/>
      <c r="J950" s="38"/>
      <c r="K950" s="38"/>
      <c r="L950" s="38"/>
      <c r="M950" s="38"/>
      <c r="N950" s="41"/>
      <c r="O950" s="38"/>
      <c r="P950" s="38"/>
      <c r="Q950" s="38"/>
      <c r="R950" s="38"/>
      <c r="S950" s="38"/>
      <c r="T950" s="38"/>
    </row>
    <row r="951">
      <c r="A951" s="41"/>
      <c r="C951" s="7"/>
      <c r="D951" s="7"/>
      <c r="E951" s="18"/>
      <c r="F951" s="38"/>
      <c r="G951" s="38"/>
      <c r="H951" s="38"/>
      <c r="I951" s="38"/>
      <c r="J951" s="38"/>
      <c r="K951" s="38"/>
      <c r="L951" s="38"/>
      <c r="M951" s="38"/>
      <c r="N951" s="41"/>
      <c r="O951" s="38"/>
      <c r="P951" s="38"/>
      <c r="Q951" s="38"/>
      <c r="R951" s="38"/>
      <c r="S951" s="38"/>
      <c r="T951" s="38"/>
    </row>
    <row r="952">
      <c r="A952" s="41"/>
      <c r="C952" s="7"/>
      <c r="D952" s="7"/>
      <c r="E952" s="18"/>
      <c r="F952" s="38"/>
      <c r="G952" s="38"/>
      <c r="H952" s="38"/>
      <c r="I952" s="38"/>
      <c r="J952" s="38"/>
      <c r="K952" s="38"/>
      <c r="L952" s="38"/>
      <c r="M952" s="38"/>
      <c r="N952" s="41"/>
      <c r="O952" s="38"/>
      <c r="P952" s="38"/>
      <c r="Q952" s="38"/>
      <c r="R952" s="38"/>
      <c r="S952" s="38"/>
      <c r="T952" s="38"/>
    </row>
    <row r="953">
      <c r="A953" s="41"/>
      <c r="C953" s="7"/>
      <c r="D953" s="7"/>
      <c r="E953" s="18"/>
      <c r="F953" s="38"/>
      <c r="G953" s="38"/>
      <c r="H953" s="38"/>
      <c r="I953" s="38"/>
      <c r="J953" s="38"/>
      <c r="K953" s="38"/>
      <c r="L953" s="38"/>
      <c r="M953" s="38"/>
      <c r="N953" s="41"/>
      <c r="O953" s="38"/>
      <c r="P953" s="38"/>
      <c r="Q953" s="38"/>
      <c r="R953" s="38"/>
      <c r="S953" s="38"/>
      <c r="T953" s="38"/>
    </row>
    <row r="954">
      <c r="A954" s="41"/>
      <c r="C954" s="7"/>
      <c r="D954" s="7"/>
      <c r="E954" s="18"/>
      <c r="F954" s="38"/>
      <c r="G954" s="38"/>
      <c r="H954" s="38"/>
      <c r="I954" s="38"/>
      <c r="J954" s="38"/>
      <c r="K954" s="38"/>
      <c r="L954" s="38"/>
      <c r="M954" s="38"/>
      <c r="N954" s="41"/>
      <c r="O954" s="38"/>
      <c r="P954" s="38"/>
      <c r="Q954" s="38"/>
      <c r="R954" s="38"/>
      <c r="S954" s="38"/>
      <c r="T954" s="38"/>
    </row>
    <row r="955">
      <c r="A955" s="41"/>
      <c r="C955" s="7"/>
      <c r="D955" s="7"/>
      <c r="E955" s="18"/>
      <c r="F955" s="38"/>
      <c r="G955" s="38"/>
      <c r="H955" s="38"/>
      <c r="I955" s="38"/>
      <c r="J955" s="38"/>
      <c r="K955" s="38"/>
      <c r="L955" s="38"/>
      <c r="M955" s="38"/>
      <c r="N955" s="41"/>
      <c r="O955" s="38"/>
      <c r="P955" s="38"/>
      <c r="Q955" s="38"/>
      <c r="R955" s="38"/>
      <c r="S955" s="38"/>
      <c r="T955" s="38"/>
    </row>
    <row r="956">
      <c r="A956" s="41"/>
      <c r="C956" s="7"/>
      <c r="D956" s="7"/>
      <c r="E956" s="18"/>
      <c r="F956" s="38"/>
      <c r="G956" s="38"/>
      <c r="H956" s="38"/>
      <c r="I956" s="38"/>
      <c r="J956" s="38"/>
      <c r="K956" s="38"/>
      <c r="L956" s="38"/>
      <c r="M956" s="38"/>
      <c r="N956" s="41"/>
      <c r="O956" s="38"/>
      <c r="P956" s="38"/>
      <c r="Q956" s="38"/>
      <c r="R956" s="38"/>
      <c r="S956" s="38"/>
      <c r="T956" s="38"/>
    </row>
    <row r="957">
      <c r="A957" s="41"/>
      <c r="C957" s="7"/>
      <c r="D957" s="7"/>
      <c r="E957" s="18"/>
      <c r="F957" s="38"/>
      <c r="G957" s="38"/>
      <c r="H957" s="38"/>
      <c r="I957" s="38"/>
      <c r="J957" s="38"/>
      <c r="K957" s="38"/>
      <c r="L957" s="38"/>
      <c r="M957" s="38"/>
      <c r="N957" s="41"/>
      <c r="O957" s="38"/>
      <c r="P957" s="38"/>
      <c r="Q957" s="38"/>
      <c r="R957" s="38"/>
      <c r="S957" s="38"/>
      <c r="T957" s="38"/>
    </row>
    <row r="958">
      <c r="A958" s="41"/>
      <c r="C958" s="7"/>
      <c r="D958" s="7"/>
      <c r="E958" s="18"/>
      <c r="F958" s="38"/>
      <c r="G958" s="38"/>
      <c r="H958" s="38"/>
      <c r="I958" s="38"/>
      <c r="J958" s="38"/>
      <c r="K958" s="38"/>
      <c r="L958" s="38"/>
      <c r="M958" s="38"/>
      <c r="N958" s="41"/>
      <c r="O958" s="38"/>
      <c r="P958" s="38"/>
      <c r="Q958" s="38"/>
      <c r="R958" s="38"/>
      <c r="S958" s="38"/>
      <c r="T958" s="38"/>
    </row>
    <row r="959">
      <c r="A959" s="41"/>
      <c r="C959" s="7"/>
      <c r="D959" s="7"/>
      <c r="E959" s="18"/>
      <c r="F959" s="38"/>
      <c r="G959" s="38"/>
      <c r="H959" s="38"/>
      <c r="I959" s="38"/>
      <c r="J959" s="38"/>
      <c r="K959" s="38"/>
      <c r="L959" s="38"/>
      <c r="M959" s="38"/>
      <c r="N959" s="41"/>
      <c r="O959" s="38"/>
      <c r="P959" s="38"/>
      <c r="Q959" s="38"/>
      <c r="R959" s="38"/>
      <c r="S959" s="38"/>
      <c r="T959" s="38"/>
    </row>
    <row r="960">
      <c r="A960" s="41"/>
      <c r="C960" s="7"/>
      <c r="D960" s="7"/>
      <c r="E960" s="18"/>
      <c r="F960" s="38"/>
      <c r="G960" s="38"/>
      <c r="H960" s="38"/>
      <c r="I960" s="38"/>
      <c r="J960" s="38"/>
      <c r="K960" s="38"/>
      <c r="L960" s="38"/>
      <c r="M960" s="38"/>
      <c r="N960" s="41"/>
      <c r="O960" s="38"/>
      <c r="P960" s="38"/>
      <c r="Q960" s="38"/>
      <c r="R960" s="38"/>
      <c r="S960" s="38"/>
      <c r="T960" s="38"/>
    </row>
    <row r="961">
      <c r="A961" s="41"/>
      <c r="C961" s="7"/>
      <c r="D961" s="7"/>
      <c r="E961" s="18"/>
      <c r="F961" s="38"/>
      <c r="G961" s="38"/>
      <c r="H961" s="38"/>
      <c r="I961" s="38"/>
      <c r="J961" s="38"/>
      <c r="K961" s="38"/>
      <c r="L961" s="38"/>
      <c r="M961" s="38"/>
      <c r="N961" s="41"/>
      <c r="O961" s="38"/>
      <c r="P961" s="38"/>
      <c r="Q961" s="38"/>
      <c r="R961" s="38"/>
      <c r="S961" s="38"/>
      <c r="T961" s="38"/>
    </row>
    <row r="962">
      <c r="A962" s="41"/>
      <c r="C962" s="7"/>
      <c r="D962" s="7"/>
      <c r="E962" s="18"/>
      <c r="F962" s="38"/>
      <c r="G962" s="38"/>
      <c r="H962" s="38"/>
      <c r="I962" s="38"/>
      <c r="J962" s="38"/>
      <c r="K962" s="38"/>
      <c r="L962" s="38"/>
      <c r="M962" s="38"/>
      <c r="N962" s="41"/>
      <c r="O962" s="38"/>
      <c r="P962" s="38"/>
      <c r="Q962" s="38"/>
      <c r="R962" s="38"/>
      <c r="S962" s="38"/>
      <c r="T962" s="38"/>
    </row>
    <row r="963">
      <c r="A963" s="41"/>
      <c r="C963" s="7"/>
      <c r="D963" s="7"/>
      <c r="E963" s="18"/>
      <c r="F963" s="38"/>
      <c r="G963" s="38"/>
      <c r="H963" s="38"/>
      <c r="I963" s="38"/>
      <c r="J963" s="38"/>
      <c r="K963" s="38"/>
      <c r="L963" s="38"/>
      <c r="M963" s="38"/>
      <c r="N963" s="41"/>
      <c r="O963" s="38"/>
      <c r="P963" s="38"/>
      <c r="Q963" s="38"/>
      <c r="R963" s="38"/>
      <c r="S963" s="38"/>
      <c r="T963" s="38"/>
    </row>
    <row r="964">
      <c r="A964" s="41"/>
      <c r="C964" s="7"/>
      <c r="D964" s="7"/>
      <c r="E964" s="18"/>
      <c r="F964" s="38"/>
      <c r="G964" s="38"/>
      <c r="H964" s="38"/>
      <c r="I964" s="38"/>
      <c r="J964" s="38"/>
      <c r="K964" s="38"/>
      <c r="L964" s="38"/>
      <c r="M964" s="38"/>
      <c r="N964" s="41"/>
      <c r="O964" s="38"/>
      <c r="P964" s="38"/>
      <c r="Q964" s="38"/>
      <c r="R964" s="38"/>
      <c r="S964" s="38"/>
      <c r="T964" s="38"/>
    </row>
    <row r="965">
      <c r="A965" s="41"/>
      <c r="C965" s="7"/>
      <c r="D965" s="7"/>
      <c r="E965" s="18"/>
      <c r="F965" s="38"/>
      <c r="G965" s="38"/>
      <c r="H965" s="38"/>
      <c r="I965" s="38"/>
      <c r="J965" s="38"/>
      <c r="K965" s="38"/>
      <c r="L965" s="38"/>
      <c r="M965" s="38"/>
      <c r="N965" s="41"/>
      <c r="O965" s="38"/>
      <c r="P965" s="38"/>
      <c r="Q965" s="38"/>
      <c r="R965" s="38"/>
      <c r="S965" s="38"/>
      <c r="T965" s="38"/>
    </row>
    <row r="966">
      <c r="A966" s="41"/>
      <c r="C966" s="7"/>
      <c r="D966" s="7"/>
      <c r="E966" s="18"/>
      <c r="F966" s="38"/>
      <c r="G966" s="38"/>
      <c r="H966" s="38"/>
      <c r="I966" s="38"/>
      <c r="J966" s="38"/>
      <c r="K966" s="38"/>
      <c r="L966" s="38"/>
      <c r="M966" s="38"/>
      <c r="N966" s="41"/>
      <c r="O966" s="38"/>
      <c r="P966" s="38"/>
      <c r="Q966" s="38"/>
      <c r="R966" s="38"/>
      <c r="S966" s="38"/>
      <c r="T966" s="38"/>
    </row>
    <row r="967">
      <c r="A967" s="41"/>
      <c r="C967" s="7"/>
      <c r="D967" s="7"/>
      <c r="E967" s="18"/>
      <c r="F967" s="38"/>
      <c r="G967" s="38"/>
      <c r="H967" s="38"/>
      <c r="I967" s="38"/>
      <c r="J967" s="38"/>
      <c r="K967" s="38"/>
      <c r="L967" s="38"/>
      <c r="M967" s="38"/>
      <c r="N967" s="41"/>
      <c r="O967" s="38"/>
      <c r="P967" s="38"/>
      <c r="Q967" s="38"/>
      <c r="R967" s="38"/>
      <c r="S967" s="38"/>
      <c r="T967" s="38"/>
    </row>
    <row r="968">
      <c r="A968" s="41"/>
      <c r="C968" s="7"/>
      <c r="D968" s="7"/>
      <c r="E968" s="18"/>
      <c r="F968" s="38"/>
      <c r="G968" s="38"/>
      <c r="H968" s="38"/>
      <c r="I968" s="38"/>
      <c r="J968" s="38"/>
      <c r="K968" s="38"/>
      <c r="L968" s="38"/>
      <c r="M968" s="38"/>
      <c r="N968" s="41"/>
      <c r="O968" s="38"/>
      <c r="P968" s="38"/>
      <c r="Q968" s="38"/>
      <c r="R968" s="38"/>
      <c r="S968" s="38"/>
      <c r="T968" s="38"/>
    </row>
    <row r="969">
      <c r="A969" s="41"/>
      <c r="C969" s="7"/>
      <c r="D969" s="7"/>
      <c r="E969" s="18"/>
      <c r="F969" s="38"/>
      <c r="G969" s="38"/>
      <c r="H969" s="38"/>
      <c r="I969" s="38"/>
      <c r="J969" s="38"/>
      <c r="K969" s="38"/>
      <c r="L969" s="38"/>
      <c r="M969" s="38"/>
      <c r="N969" s="41"/>
      <c r="O969" s="38"/>
      <c r="P969" s="38"/>
      <c r="Q969" s="38"/>
      <c r="R969" s="38"/>
      <c r="S969" s="38"/>
      <c r="T969" s="38"/>
    </row>
    <row r="970">
      <c r="A970" s="41"/>
      <c r="C970" s="7"/>
      <c r="D970" s="7"/>
      <c r="E970" s="18"/>
      <c r="F970" s="38"/>
      <c r="G970" s="38"/>
      <c r="H970" s="38"/>
      <c r="I970" s="38"/>
      <c r="J970" s="38"/>
      <c r="K970" s="38"/>
      <c r="L970" s="38"/>
      <c r="M970" s="38"/>
      <c r="N970" s="41"/>
      <c r="O970" s="38"/>
      <c r="P970" s="38"/>
      <c r="Q970" s="38"/>
      <c r="R970" s="38"/>
      <c r="S970" s="38"/>
      <c r="T970" s="38"/>
    </row>
    <row r="971">
      <c r="A971" s="41"/>
      <c r="C971" s="7"/>
      <c r="D971" s="7"/>
      <c r="E971" s="18"/>
      <c r="F971" s="38"/>
      <c r="G971" s="38"/>
      <c r="H971" s="38"/>
      <c r="I971" s="38"/>
      <c r="J971" s="38"/>
      <c r="K971" s="38"/>
      <c r="L971" s="38"/>
      <c r="M971" s="38"/>
      <c r="N971" s="41"/>
      <c r="O971" s="38"/>
      <c r="P971" s="38"/>
      <c r="Q971" s="38"/>
      <c r="R971" s="38"/>
      <c r="S971" s="38"/>
      <c r="T971" s="38"/>
    </row>
    <row r="972">
      <c r="A972" s="41"/>
      <c r="C972" s="7"/>
      <c r="D972" s="7"/>
      <c r="E972" s="18"/>
      <c r="F972" s="38"/>
      <c r="G972" s="38"/>
      <c r="H972" s="38"/>
      <c r="I972" s="38"/>
      <c r="J972" s="38"/>
      <c r="K972" s="38"/>
      <c r="L972" s="38"/>
      <c r="M972" s="38"/>
      <c r="N972" s="41"/>
      <c r="O972" s="38"/>
      <c r="P972" s="38"/>
      <c r="Q972" s="38"/>
      <c r="R972" s="38"/>
      <c r="S972" s="38"/>
      <c r="T972" s="38"/>
    </row>
    <row r="973">
      <c r="A973" s="41"/>
      <c r="C973" s="7"/>
      <c r="D973" s="7"/>
      <c r="E973" s="18"/>
      <c r="F973" s="38"/>
      <c r="G973" s="38"/>
      <c r="H973" s="38"/>
      <c r="I973" s="38"/>
      <c r="J973" s="38"/>
      <c r="K973" s="38"/>
      <c r="L973" s="38"/>
      <c r="M973" s="38"/>
      <c r="N973" s="41"/>
      <c r="O973" s="38"/>
      <c r="P973" s="38"/>
      <c r="Q973" s="38"/>
      <c r="R973" s="38"/>
      <c r="S973" s="38"/>
      <c r="T973" s="38"/>
    </row>
    <row r="974">
      <c r="A974" s="41"/>
      <c r="C974" s="7"/>
      <c r="D974" s="7"/>
      <c r="E974" s="18"/>
      <c r="F974" s="38"/>
      <c r="G974" s="38"/>
      <c r="H974" s="38"/>
      <c r="I974" s="38"/>
      <c r="J974" s="38"/>
      <c r="K974" s="38"/>
      <c r="L974" s="38"/>
      <c r="M974" s="38"/>
      <c r="N974" s="41"/>
      <c r="O974" s="38"/>
      <c r="P974" s="38"/>
      <c r="Q974" s="38"/>
      <c r="R974" s="38"/>
      <c r="S974" s="38"/>
      <c r="T974" s="38"/>
    </row>
    <row r="975">
      <c r="A975" s="41"/>
      <c r="C975" s="7"/>
      <c r="D975" s="7"/>
      <c r="E975" s="18"/>
      <c r="F975" s="38"/>
      <c r="G975" s="38"/>
      <c r="H975" s="38"/>
      <c r="I975" s="38"/>
      <c r="J975" s="38"/>
      <c r="K975" s="38"/>
      <c r="L975" s="38"/>
      <c r="M975" s="38"/>
      <c r="N975" s="41"/>
      <c r="O975" s="38"/>
      <c r="P975" s="38"/>
      <c r="Q975" s="38"/>
      <c r="R975" s="38"/>
      <c r="S975" s="38"/>
      <c r="T975" s="38"/>
    </row>
    <row r="976">
      <c r="A976" s="41"/>
      <c r="C976" s="7"/>
      <c r="D976" s="7"/>
      <c r="E976" s="18"/>
      <c r="F976" s="38"/>
      <c r="G976" s="38"/>
      <c r="H976" s="38"/>
      <c r="I976" s="38"/>
      <c r="J976" s="38"/>
      <c r="K976" s="38"/>
      <c r="L976" s="38"/>
      <c r="M976" s="38"/>
      <c r="N976" s="41"/>
      <c r="O976" s="38"/>
      <c r="P976" s="38"/>
      <c r="Q976" s="38"/>
      <c r="R976" s="38"/>
      <c r="S976" s="38"/>
      <c r="T976" s="38"/>
    </row>
    <row r="977">
      <c r="A977" s="41"/>
      <c r="C977" s="7"/>
      <c r="D977" s="7"/>
      <c r="E977" s="18"/>
      <c r="F977" s="38"/>
      <c r="G977" s="38"/>
      <c r="H977" s="38"/>
      <c r="I977" s="38"/>
      <c r="J977" s="38"/>
      <c r="K977" s="38"/>
      <c r="L977" s="38"/>
      <c r="M977" s="38"/>
      <c r="N977" s="41"/>
      <c r="O977" s="38"/>
      <c r="P977" s="38"/>
      <c r="Q977" s="38"/>
      <c r="R977" s="38"/>
      <c r="S977" s="38"/>
      <c r="T977" s="38"/>
    </row>
    <row r="978">
      <c r="A978" s="41"/>
      <c r="C978" s="7"/>
      <c r="D978" s="7"/>
      <c r="E978" s="18"/>
      <c r="F978" s="38"/>
      <c r="G978" s="38"/>
      <c r="H978" s="38"/>
      <c r="I978" s="38"/>
      <c r="J978" s="38"/>
      <c r="K978" s="38"/>
      <c r="L978" s="38"/>
      <c r="M978" s="38"/>
      <c r="N978" s="41"/>
      <c r="O978" s="38"/>
      <c r="P978" s="38"/>
      <c r="Q978" s="38"/>
      <c r="R978" s="38"/>
      <c r="S978" s="38"/>
      <c r="T978" s="38"/>
    </row>
    <row r="979">
      <c r="A979" s="41"/>
      <c r="C979" s="7"/>
      <c r="D979" s="7"/>
      <c r="E979" s="18"/>
      <c r="F979" s="38"/>
      <c r="G979" s="38"/>
      <c r="H979" s="38"/>
      <c r="I979" s="38"/>
      <c r="J979" s="38"/>
      <c r="K979" s="38"/>
      <c r="L979" s="38"/>
      <c r="M979" s="38"/>
      <c r="N979" s="41"/>
      <c r="O979" s="38"/>
      <c r="P979" s="38"/>
      <c r="Q979" s="38"/>
      <c r="R979" s="38"/>
      <c r="S979" s="38"/>
      <c r="T979" s="38"/>
    </row>
    <row r="980">
      <c r="A980" s="41"/>
      <c r="C980" s="7"/>
      <c r="D980" s="7"/>
      <c r="E980" s="18"/>
      <c r="F980" s="38"/>
      <c r="G980" s="38"/>
      <c r="H980" s="38"/>
      <c r="I980" s="38"/>
      <c r="J980" s="38"/>
      <c r="K980" s="38"/>
      <c r="L980" s="38"/>
      <c r="M980" s="38"/>
      <c r="N980" s="41"/>
      <c r="O980" s="38"/>
      <c r="P980" s="38"/>
      <c r="Q980" s="38"/>
      <c r="R980" s="38"/>
      <c r="S980" s="38"/>
      <c r="T980" s="38"/>
    </row>
    <row r="981">
      <c r="A981" s="41"/>
      <c r="C981" s="7"/>
      <c r="D981" s="7"/>
      <c r="E981" s="18"/>
      <c r="F981" s="38"/>
      <c r="G981" s="38"/>
      <c r="H981" s="38"/>
      <c r="I981" s="38"/>
      <c r="J981" s="38"/>
      <c r="K981" s="38"/>
      <c r="L981" s="38"/>
      <c r="M981" s="38"/>
      <c r="N981" s="41"/>
      <c r="O981" s="38"/>
      <c r="P981" s="38"/>
      <c r="Q981" s="38"/>
      <c r="R981" s="38"/>
      <c r="S981" s="38"/>
      <c r="T981" s="38"/>
    </row>
    <row r="982">
      <c r="A982" s="19"/>
      <c r="B982" s="19"/>
      <c r="C982" s="42"/>
      <c r="D982" s="42"/>
      <c r="E982" s="19"/>
      <c r="F982" s="39"/>
      <c r="G982" s="39"/>
      <c r="H982" s="39"/>
      <c r="I982" s="39"/>
      <c r="J982" s="39"/>
      <c r="K982" s="19"/>
      <c r="L982" s="19"/>
      <c r="M982" s="19"/>
      <c r="N982" s="43"/>
      <c r="O982" s="19"/>
      <c r="P982" s="19"/>
      <c r="Q982" s="38"/>
      <c r="R982" s="38"/>
      <c r="S982" s="38"/>
      <c r="T982" s="38"/>
    </row>
    <row r="983">
      <c r="A983" s="41"/>
      <c r="C983" s="7"/>
      <c r="D983" s="7"/>
      <c r="E983" s="18"/>
      <c r="F983" s="38"/>
      <c r="G983" s="38"/>
      <c r="H983" s="38"/>
      <c r="I983" s="38"/>
      <c r="J983" s="38"/>
      <c r="K983" s="38"/>
      <c r="L983" s="38"/>
      <c r="M983" s="38"/>
      <c r="N983" s="41"/>
      <c r="O983" s="38"/>
      <c r="P983" s="38"/>
      <c r="Q983" s="38"/>
      <c r="R983" s="38"/>
      <c r="S983" s="38"/>
      <c r="T983" s="38"/>
    </row>
    <row r="984">
      <c r="A984" s="41"/>
      <c r="C984" s="7"/>
      <c r="D984" s="7"/>
      <c r="E984" s="18"/>
      <c r="F984" s="38"/>
      <c r="G984" s="38"/>
      <c r="H984" s="38"/>
      <c r="I984" s="38"/>
      <c r="J984" s="38"/>
      <c r="K984" s="38"/>
      <c r="L984" s="38"/>
      <c r="M984" s="38"/>
      <c r="N984" s="41"/>
      <c r="O984" s="38"/>
      <c r="P984" s="38"/>
      <c r="Q984" s="38"/>
      <c r="R984" s="38"/>
      <c r="S984" s="38"/>
      <c r="T984" s="38"/>
    </row>
    <row r="985">
      <c r="A985" s="41"/>
      <c r="C985" s="7"/>
      <c r="D985" s="7"/>
      <c r="E985" s="18"/>
      <c r="F985" s="38"/>
      <c r="G985" s="38"/>
      <c r="H985" s="38"/>
      <c r="I985" s="38"/>
      <c r="J985" s="38"/>
      <c r="K985" s="38"/>
      <c r="L985" s="38"/>
      <c r="M985" s="38"/>
      <c r="N985" s="41"/>
      <c r="O985" s="38"/>
      <c r="P985" s="38"/>
      <c r="Q985" s="38"/>
      <c r="R985" s="38"/>
      <c r="S985" s="38"/>
      <c r="T985" s="38"/>
    </row>
    <row r="986">
      <c r="A986" s="41"/>
      <c r="C986" s="7"/>
      <c r="D986" s="7"/>
      <c r="E986" s="18"/>
      <c r="F986" s="38"/>
      <c r="G986" s="38"/>
      <c r="H986" s="38"/>
      <c r="I986" s="38"/>
      <c r="J986" s="38"/>
      <c r="K986" s="38"/>
      <c r="L986" s="38"/>
      <c r="M986" s="38"/>
      <c r="N986" s="41"/>
      <c r="O986" s="38"/>
      <c r="P986" s="38"/>
      <c r="Q986" s="38"/>
      <c r="R986" s="38"/>
      <c r="S986" s="38"/>
      <c r="T986" s="38"/>
    </row>
    <row r="987">
      <c r="A987" s="41"/>
      <c r="C987" s="7"/>
      <c r="D987" s="7"/>
      <c r="E987" s="18"/>
      <c r="F987" s="38"/>
      <c r="G987" s="38"/>
      <c r="H987" s="38"/>
      <c r="I987" s="38"/>
      <c r="J987" s="38"/>
      <c r="K987" s="38"/>
      <c r="L987" s="38"/>
      <c r="M987" s="38"/>
      <c r="N987" s="41"/>
      <c r="O987" s="38"/>
      <c r="P987" s="38"/>
      <c r="Q987" s="38"/>
      <c r="R987" s="38"/>
      <c r="S987" s="38"/>
      <c r="T987" s="38"/>
    </row>
    <row r="988">
      <c r="A988" s="41"/>
      <c r="C988" s="7"/>
      <c r="D988" s="7"/>
      <c r="E988" s="18"/>
      <c r="F988" s="38"/>
      <c r="G988" s="38"/>
      <c r="H988" s="38"/>
      <c r="I988" s="38"/>
      <c r="J988" s="38"/>
      <c r="K988" s="38"/>
      <c r="L988" s="38"/>
      <c r="M988" s="38"/>
      <c r="N988" s="41"/>
      <c r="O988" s="38"/>
      <c r="P988" s="38"/>
      <c r="Q988" s="38"/>
      <c r="R988" s="38"/>
      <c r="S988" s="38"/>
      <c r="T988" s="38"/>
    </row>
    <row r="989">
      <c r="A989" s="41"/>
      <c r="C989" s="7"/>
      <c r="D989" s="7"/>
      <c r="E989" s="18"/>
      <c r="F989" s="38"/>
      <c r="G989" s="38"/>
      <c r="H989" s="38"/>
      <c r="I989" s="38"/>
      <c r="J989" s="38"/>
      <c r="K989" s="38"/>
      <c r="L989" s="38"/>
      <c r="M989" s="38"/>
      <c r="N989" s="41"/>
      <c r="O989" s="38"/>
      <c r="P989" s="38"/>
      <c r="Q989" s="38"/>
      <c r="R989" s="38"/>
      <c r="S989" s="38"/>
      <c r="T989" s="38"/>
    </row>
    <row r="990">
      <c r="A990" s="41"/>
      <c r="C990" s="7"/>
      <c r="D990" s="7"/>
      <c r="E990" s="18"/>
      <c r="F990" s="38"/>
      <c r="G990" s="38"/>
      <c r="H990" s="38"/>
      <c r="I990" s="38"/>
      <c r="J990" s="38"/>
      <c r="K990" s="38"/>
      <c r="L990" s="38"/>
      <c r="M990" s="38"/>
      <c r="N990" s="41"/>
      <c r="O990" s="38"/>
      <c r="P990" s="38"/>
      <c r="Q990" s="38"/>
      <c r="R990" s="38"/>
      <c r="S990" s="38"/>
      <c r="T990" s="38"/>
    </row>
    <row r="991">
      <c r="A991" s="41"/>
      <c r="C991" s="7"/>
      <c r="D991" s="7"/>
      <c r="E991" s="18"/>
      <c r="F991" s="38"/>
      <c r="G991" s="38"/>
      <c r="H991" s="38"/>
      <c r="I991" s="38"/>
      <c r="J991" s="38"/>
      <c r="K991" s="38"/>
      <c r="L991" s="38"/>
      <c r="M991" s="38"/>
      <c r="N991" s="41"/>
      <c r="O991" s="38"/>
      <c r="P991" s="38"/>
      <c r="Q991" s="38"/>
      <c r="R991" s="38"/>
      <c r="S991" s="38"/>
      <c r="T991" s="38"/>
    </row>
    <row r="992">
      <c r="A992" s="41"/>
      <c r="C992" s="7"/>
      <c r="D992" s="7"/>
      <c r="E992" s="18"/>
      <c r="F992" s="38"/>
      <c r="G992" s="38"/>
      <c r="H992" s="38"/>
      <c r="I992" s="38"/>
      <c r="J992" s="38"/>
      <c r="K992" s="38"/>
      <c r="L992" s="38"/>
      <c r="M992" s="38"/>
      <c r="N992" s="41"/>
      <c r="O992" s="38"/>
      <c r="P992" s="38"/>
      <c r="Q992" s="38"/>
      <c r="R992" s="38"/>
      <c r="S992" s="38"/>
      <c r="T992" s="38"/>
    </row>
    <row r="993">
      <c r="A993" s="41"/>
      <c r="C993" s="7"/>
      <c r="D993" s="7"/>
      <c r="E993" s="18"/>
      <c r="F993" s="38"/>
      <c r="G993" s="38"/>
      <c r="H993" s="38"/>
      <c r="I993" s="38"/>
      <c r="J993" s="38"/>
      <c r="K993" s="38"/>
      <c r="L993" s="38"/>
      <c r="M993" s="38"/>
      <c r="N993" s="41"/>
      <c r="O993" s="38"/>
      <c r="P993" s="38"/>
      <c r="Q993" s="38"/>
      <c r="R993" s="38"/>
      <c r="S993" s="38"/>
      <c r="T993" s="38"/>
    </row>
    <row r="994">
      <c r="A994" s="41"/>
      <c r="C994" s="7"/>
      <c r="D994" s="7"/>
      <c r="E994" s="18"/>
      <c r="F994" s="38"/>
      <c r="G994" s="38"/>
      <c r="H994" s="38"/>
      <c r="I994" s="38"/>
      <c r="J994" s="38"/>
      <c r="K994" s="38"/>
      <c r="L994" s="38"/>
      <c r="M994" s="38"/>
      <c r="N994" s="41"/>
      <c r="O994" s="38"/>
      <c r="P994" s="38"/>
      <c r="Q994" s="38"/>
      <c r="R994" s="38"/>
      <c r="S994" s="38"/>
      <c r="T994" s="38"/>
    </row>
    <row r="995">
      <c r="A995" s="41"/>
      <c r="C995" s="7"/>
      <c r="D995" s="7"/>
      <c r="E995" s="18"/>
      <c r="F995" s="38"/>
      <c r="G995" s="38"/>
      <c r="H995" s="38"/>
      <c r="I995" s="38"/>
      <c r="J995" s="38"/>
      <c r="K995" s="38"/>
      <c r="L995" s="38"/>
      <c r="M995" s="38"/>
      <c r="N995" s="41"/>
      <c r="O995" s="38"/>
      <c r="P995" s="38"/>
      <c r="Q995" s="38"/>
      <c r="R995" s="38"/>
      <c r="S995" s="38"/>
      <c r="T995" s="38"/>
    </row>
    <row r="996">
      <c r="A996" s="41"/>
      <c r="C996" s="7"/>
      <c r="D996" s="7"/>
      <c r="E996" s="18"/>
      <c r="F996" s="38"/>
      <c r="G996" s="38"/>
      <c r="H996" s="38"/>
      <c r="I996" s="38"/>
      <c r="J996" s="38"/>
      <c r="K996" s="38"/>
      <c r="L996" s="38"/>
      <c r="M996" s="38"/>
      <c r="N996" s="41"/>
      <c r="O996" s="38"/>
      <c r="P996" s="38"/>
      <c r="Q996" s="38"/>
      <c r="R996" s="38"/>
      <c r="S996" s="38"/>
      <c r="T996" s="38"/>
    </row>
    <row r="997">
      <c r="A997" s="41"/>
      <c r="C997" s="7"/>
      <c r="D997" s="7"/>
      <c r="E997" s="18"/>
      <c r="F997" s="38"/>
      <c r="G997" s="38"/>
      <c r="H997" s="38"/>
      <c r="I997" s="38"/>
      <c r="J997" s="38"/>
      <c r="K997" s="38"/>
      <c r="L997" s="38"/>
      <c r="M997" s="38"/>
      <c r="N997" s="41"/>
      <c r="O997" s="38"/>
      <c r="P997" s="38"/>
      <c r="Q997" s="38"/>
      <c r="R997" s="38"/>
      <c r="S997" s="38"/>
      <c r="T997" s="38"/>
    </row>
    <row r="998">
      <c r="A998" s="41"/>
      <c r="C998" s="7"/>
      <c r="D998" s="7"/>
      <c r="E998" s="18"/>
      <c r="F998" s="38"/>
      <c r="G998" s="38"/>
      <c r="H998" s="38"/>
      <c r="I998" s="38"/>
      <c r="J998" s="38"/>
      <c r="K998" s="38"/>
      <c r="L998" s="38"/>
      <c r="M998" s="38"/>
      <c r="N998" s="41"/>
      <c r="O998" s="38"/>
      <c r="P998" s="38"/>
      <c r="Q998" s="38"/>
      <c r="R998" s="38"/>
      <c r="S998" s="38"/>
      <c r="T998" s="38"/>
    </row>
    <row r="999">
      <c r="A999" s="41"/>
      <c r="C999" s="7"/>
      <c r="D999" s="7"/>
      <c r="E999" s="18"/>
      <c r="F999" s="38"/>
      <c r="G999" s="38"/>
      <c r="H999" s="38"/>
      <c r="I999" s="38"/>
      <c r="J999" s="38"/>
      <c r="K999" s="38"/>
      <c r="L999" s="38"/>
      <c r="M999" s="38"/>
      <c r="N999" s="41"/>
      <c r="O999" s="38"/>
      <c r="P999" s="38"/>
      <c r="Q999" s="38"/>
      <c r="R999" s="38"/>
      <c r="S999" s="38"/>
      <c r="T999" s="38"/>
    </row>
    <row r="1000">
      <c r="A1000" s="41"/>
      <c r="C1000" s="7"/>
      <c r="D1000" s="7"/>
      <c r="E1000" s="18"/>
      <c r="F1000" s="38"/>
      <c r="G1000" s="38"/>
      <c r="H1000" s="38"/>
      <c r="I1000" s="38"/>
      <c r="J1000" s="38"/>
      <c r="K1000" s="38"/>
      <c r="L1000" s="38"/>
      <c r="M1000" s="38"/>
      <c r="N1000" s="41"/>
      <c r="O1000" s="38"/>
      <c r="P1000" s="38"/>
      <c r="Q1000" s="38"/>
      <c r="R1000" s="38"/>
      <c r="S1000" s="38"/>
      <c r="T1000" s="38"/>
    </row>
    <row r="1001">
      <c r="A1001" s="41"/>
      <c r="C1001" s="7"/>
      <c r="D1001" s="7"/>
      <c r="E1001" s="18"/>
      <c r="F1001" s="38"/>
      <c r="G1001" s="38"/>
      <c r="H1001" s="38"/>
      <c r="I1001" s="38"/>
      <c r="J1001" s="38"/>
      <c r="K1001" s="38"/>
      <c r="L1001" s="38"/>
      <c r="M1001" s="38"/>
      <c r="N1001" s="38"/>
      <c r="O1001" s="38"/>
      <c r="P1001" s="38"/>
      <c r="Q1001" s="38"/>
      <c r="R1001" s="38"/>
      <c r="S1001" s="38"/>
      <c r="T1001" s="38"/>
    </row>
    <row r="1002">
      <c r="A1002" s="41"/>
      <c r="C1002" s="7"/>
      <c r="D1002" s="7"/>
      <c r="E1002" s="18"/>
      <c r="F1002" s="38"/>
      <c r="G1002" s="38"/>
      <c r="H1002" s="38"/>
      <c r="I1002" s="38"/>
      <c r="J1002" s="38"/>
      <c r="K1002" s="38"/>
      <c r="L1002" s="38"/>
      <c r="M1002" s="38"/>
      <c r="N1002" s="38"/>
      <c r="O1002" s="38"/>
      <c r="P1002" s="38"/>
      <c r="Q1002" s="38"/>
      <c r="R1002" s="38"/>
      <c r="S1002" s="38"/>
      <c r="T1002" s="38"/>
    </row>
    <row r="1003">
      <c r="A1003" s="41"/>
      <c r="C1003" s="7"/>
      <c r="D1003" s="7"/>
      <c r="E1003" s="18"/>
      <c r="F1003" s="38"/>
      <c r="G1003" s="38"/>
      <c r="H1003" s="38"/>
      <c r="I1003" s="38"/>
      <c r="J1003" s="38"/>
      <c r="K1003" s="38"/>
      <c r="L1003" s="38"/>
      <c r="M1003" s="38"/>
      <c r="N1003" s="38"/>
      <c r="O1003" s="38"/>
      <c r="P1003" s="38"/>
      <c r="Q1003" s="38"/>
      <c r="R1003" s="38"/>
      <c r="S1003" s="38"/>
      <c r="T1003" s="38"/>
    </row>
    <row r="1004">
      <c r="A1004" s="41"/>
      <c r="C1004" s="7"/>
      <c r="D1004" s="7"/>
      <c r="E1004" s="18"/>
      <c r="F1004" s="38"/>
      <c r="G1004" s="38"/>
      <c r="H1004" s="38"/>
      <c r="I1004" s="38"/>
      <c r="J1004" s="38"/>
      <c r="K1004" s="38"/>
      <c r="L1004" s="38"/>
      <c r="M1004" s="38"/>
      <c r="N1004" s="38"/>
      <c r="O1004" s="38"/>
      <c r="P1004" s="38"/>
      <c r="Q1004" s="38"/>
      <c r="R1004" s="38"/>
      <c r="S1004" s="38"/>
      <c r="T1004" s="38"/>
    </row>
    <row r="1005">
      <c r="A1005" s="41"/>
      <c r="C1005" s="7"/>
      <c r="D1005" s="7"/>
      <c r="E1005" s="18"/>
      <c r="F1005" s="38"/>
      <c r="G1005" s="38"/>
      <c r="H1005" s="38"/>
      <c r="I1005" s="38"/>
      <c r="J1005" s="38"/>
      <c r="K1005" s="38"/>
      <c r="L1005" s="38"/>
      <c r="M1005" s="38"/>
      <c r="N1005" s="38"/>
      <c r="O1005" s="38"/>
      <c r="P1005" s="38"/>
      <c r="Q1005" s="38"/>
      <c r="R1005" s="38"/>
      <c r="S1005" s="38"/>
      <c r="T1005" s="38"/>
    </row>
    <row r="1006">
      <c r="A1006" s="41"/>
      <c r="C1006" s="7"/>
      <c r="D1006" s="7"/>
      <c r="E1006" s="18"/>
      <c r="F1006" s="38"/>
      <c r="G1006" s="38"/>
      <c r="H1006" s="38"/>
      <c r="I1006" s="38"/>
      <c r="J1006" s="38"/>
      <c r="K1006" s="38"/>
      <c r="L1006" s="38"/>
      <c r="M1006" s="38"/>
      <c r="N1006" s="38"/>
      <c r="O1006" s="38"/>
      <c r="P1006" s="38"/>
      <c r="Q1006" s="38"/>
      <c r="R1006" s="38"/>
      <c r="S1006" s="38"/>
      <c r="T1006" s="38"/>
    </row>
    <row r="1007">
      <c r="A1007" s="41"/>
      <c r="C1007" s="7"/>
      <c r="D1007" s="7"/>
      <c r="E1007" s="18"/>
      <c r="F1007" s="38"/>
      <c r="G1007" s="38"/>
      <c r="H1007" s="38"/>
      <c r="I1007" s="38"/>
      <c r="J1007" s="38"/>
      <c r="K1007" s="38"/>
      <c r="L1007" s="38"/>
      <c r="M1007" s="38"/>
      <c r="N1007" s="38"/>
      <c r="O1007" s="38"/>
      <c r="P1007" s="38"/>
      <c r="Q1007" s="38"/>
      <c r="R1007" s="38"/>
      <c r="S1007" s="38"/>
      <c r="T1007" s="38"/>
    </row>
    <row r="1008">
      <c r="A1008" s="41"/>
      <c r="C1008" s="7"/>
      <c r="D1008" s="7"/>
      <c r="E1008" s="18"/>
      <c r="F1008" s="38"/>
      <c r="G1008" s="38"/>
      <c r="H1008" s="38"/>
      <c r="I1008" s="38"/>
      <c r="J1008" s="38"/>
      <c r="K1008" s="38"/>
      <c r="L1008" s="38"/>
      <c r="M1008" s="38"/>
      <c r="N1008" s="38"/>
      <c r="O1008" s="38"/>
      <c r="P1008" s="38"/>
      <c r="Q1008" s="38"/>
      <c r="R1008" s="38"/>
      <c r="S1008" s="38"/>
      <c r="T1008" s="38"/>
    </row>
    <row r="1009">
      <c r="A1009" s="41"/>
      <c r="C1009" s="7"/>
      <c r="D1009" s="7"/>
      <c r="E1009" s="18"/>
      <c r="F1009" s="38"/>
      <c r="G1009" s="38"/>
      <c r="H1009" s="38"/>
      <c r="I1009" s="38"/>
      <c r="J1009" s="38"/>
      <c r="K1009" s="38"/>
      <c r="L1009" s="38"/>
      <c r="M1009" s="38"/>
      <c r="N1009" s="38"/>
      <c r="O1009" s="38"/>
      <c r="P1009" s="38"/>
      <c r="Q1009" s="38"/>
      <c r="R1009" s="38"/>
      <c r="S1009" s="38"/>
      <c r="T1009" s="38"/>
    </row>
    <row r="1010">
      <c r="A1010" s="41"/>
      <c r="C1010" s="7"/>
      <c r="D1010" s="7"/>
      <c r="E1010" s="18"/>
      <c r="F1010" s="38"/>
      <c r="G1010" s="38"/>
      <c r="H1010" s="38"/>
      <c r="I1010" s="38"/>
      <c r="J1010" s="38"/>
      <c r="K1010" s="38"/>
      <c r="L1010" s="38"/>
      <c r="M1010" s="38"/>
      <c r="N1010" s="38"/>
      <c r="O1010" s="38"/>
      <c r="P1010" s="38"/>
      <c r="Q1010" s="38"/>
      <c r="R1010" s="38"/>
      <c r="S1010" s="38"/>
      <c r="T1010" s="38"/>
    </row>
    <row r="1011">
      <c r="A1011" s="41"/>
      <c r="C1011" s="7"/>
      <c r="D1011" s="7"/>
      <c r="E1011" s="18"/>
      <c r="F1011" s="38"/>
      <c r="G1011" s="38"/>
      <c r="H1011" s="38"/>
      <c r="I1011" s="38"/>
      <c r="J1011" s="38"/>
      <c r="K1011" s="38"/>
      <c r="L1011" s="38"/>
      <c r="M1011" s="38"/>
      <c r="N1011" s="38"/>
      <c r="O1011" s="38"/>
      <c r="P1011" s="38"/>
      <c r="Q1011" s="38"/>
      <c r="R1011" s="38"/>
      <c r="S1011" s="38"/>
      <c r="T1011" s="38"/>
    </row>
    <row r="1012">
      <c r="A1012" s="41"/>
      <c r="C1012" s="7"/>
      <c r="D1012" s="7"/>
      <c r="E1012" s="18"/>
      <c r="F1012" s="38"/>
      <c r="G1012" s="38"/>
      <c r="H1012" s="38"/>
      <c r="I1012" s="38"/>
      <c r="J1012" s="38"/>
      <c r="K1012" s="38"/>
      <c r="L1012" s="38"/>
      <c r="M1012" s="38"/>
      <c r="N1012" s="38"/>
      <c r="O1012" s="38"/>
      <c r="P1012" s="38"/>
      <c r="Q1012" s="38"/>
      <c r="R1012" s="38"/>
      <c r="S1012" s="38"/>
      <c r="T1012" s="38"/>
    </row>
    <row r="1013">
      <c r="A1013" s="41"/>
      <c r="C1013" s="7"/>
      <c r="D1013" s="7"/>
      <c r="E1013" s="18"/>
      <c r="F1013" s="38"/>
      <c r="G1013" s="38"/>
      <c r="H1013" s="38"/>
      <c r="I1013" s="38"/>
      <c r="J1013" s="38"/>
      <c r="K1013" s="38"/>
      <c r="L1013" s="38"/>
      <c r="M1013" s="38"/>
      <c r="N1013" s="38"/>
      <c r="O1013" s="38"/>
      <c r="P1013" s="38"/>
      <c r="Q1013" s="38"/>
      <c r="R1013" s="38"/>
      <c r="S1013" s="38"/>
      <c r="T1013" s="38"/>
    </row>
    <row r="1014">
      <c r="A1014" s="41"/>
      <c r="C1014" s="7"/>
      <c r="D1014" s="7"/>
      <c r="E1014" s="18"/>
      <c r="F1014" s="38"/>
      <c r="G1014" s="38"/>
      <c r="H1014" s="38"/>
      <c r="I1014" s="38"/>
      <c r="J1014" s="38"/>
      <c r="K1014" s="38"/>
      <c r="L1014" s="38"/>
      <c r="M1014" s="38"/>
      <c r="N1014" s="38"/>
      <c r="O1014" s="38"/>
      <c r="P1014" s="38"/>
      <c r="Q1014" s="38"/>
      <c r="R1014" s="38"/>
      <c r="S1014" s="38"/>
      <c r="T1014" s="38"/>
    </row>
    <row r="1015">
      <c r="A1015" s="41"/>
      <c r="C1015" s="7"/>
      <c r="D1015" s="7"/>
      <c r="E1015" s="18"/>
      <c r="F1015" s="38"/>
      <c r="G1015" s="38"/>
      <c r="H1015" s="38"/>
      <c r="I1015" s="38"/>
      <c r="J1015" s="38"/>
      <c r="K1015" s="38"/>
      <c r="L1015" s="38"/>
      <c r="M1015" s="38"/>
      <c r="N1015" s="38"/>
      <c r="O1015" s="38"/>
      <c r="P1015" s="38"/>
      <c r="Q1015" s="38"/>
      <c r="R1015" s="38"/>
      <c r="S1015" s="38"/>
      <c r="T1015" s="38"/>
    </row>
    <row r="1016">
      <c r="A1016" s="41"/>
      <c r="C1016" s="7"/>
      <c r="D1016" s="7"/>
      <c r="E1016" s="18"/>
      <c r="F1016" s="38"/>
      <c r="G1016" s="38"/>
      <c r="H1016" s="38"/>
      <c r="I1016" s="38"/>
      <c r="J1016" s="38"/>
      <c r="K1016" s="38"/>
      <c r="L1016" s="38"/>
      <c r="M1016" s="38"/>
      <c r="N1016" s="38"/>
      <c r="O1016" s="38"/>
      <c r="P1016" s="38"/>
      <c r="Q1016" s="38"/>
      <c r="R1016" s="38"/>
      <c r="S1016" s="38"/>
      <c r="T1016" s="38"/>
    </row>
    <row r="1017">
      <c r="A1017" s="41"/>
      <c r="C1017" s="7"/>
      <c r="D1017" s="7"/>
      <c r="E1017" s="18"/>
      <c r="F1017" s="38"/>
      <c r="G1017" s="38"/>
      <c r="H1017" s="38"/>
      <c r="I1017" s="38"/>
      <c r="J1017" s="38"/>
      <c r="K1017" s="38"/>
      <c r="L1017" s="38"/>
      <c r="M1017" s="38"/>
      <c r="N1017" s="38"/>
      <c r="O1017" s="38"/>
      <c r="P1017" s="38"/>
      <c r="Q1017" s="38"/>
      <c r="R1017" s="38"/>
      <c r="S1017" s="38"/>
      <c r="T1017" s="38"/>
    </row>
    <row r="1018">
      <c r="A1018" s="41"/>
      <c r="C1018" s="7"/>
      <c r="D1018" s="7"/>
      <c r="E1018" s="18"/>
      <c r="F1018" s="38"/>
      <c r="G1018" s="38"/>
      <c r="H1018" s="38"/>
      <c r="I1018" s="38"/>
      <c r="J1018" s="38"/>
      <c r="K1018" s="38"/>
      <c r="L1018" s="38"/>
      <c r="M1018" s="38"/>
      <c r="N1018" s="38"/>
      <c r="O1018" s="38"/>
      <c r="P1018" s="38"/>
      <c r="Q1018" s="38"/>
      <c r="R1018" s="38"/>
      <c r="S1018" s="38"/>
      <c r="T1018" s="38"/>
    </row>
    <row r="1019">
      <c r="A1019" s="41"/>
      <c r="C1019" s="7"/>
      <c r="D1019" s="7"/>
      <c r="E1019" s="18"/>
      <c r="F1019" s="38"/>
      <c r="G1019" s="38"/>
      <c r="H1019" s="38"/>
      <c r="I1019" s="38"/>
      <c r="J1019" s="38"/>
      <c r="K1019" s="38"/>
      <c r="L1019" s="38"/>
      <c r="M1019" s="38"/>
      <c r="N1019" s="38"/>
      <c r="O1019" s="38"/>
      <c r="P1019" s="38"/>
      <c r="Q1019" s="38"/>
      <c r="R1019" s="38"/>
      <c r="S1019" s="38"/>
      <c r="T1019" s="38"/>
    </row>
    <row r="1020">
      <c r="A1020" s="41"/>
      <c r="C1020" s="7"/>
      <c r="D1020" s="7"/>
      <c r="E1020" s="18"/>
      <c r="F1020" s="38"/>
      <c r="G1020" s="38"/>
      <c r="H1020" s="38"/>
      <c r="I1020" s="38"/>
      <c r="J1020" s="38"/>
      <c r="K1020" s="38"/>
      <c r="L1020" s="38"/>
      <c r="M1020" s="38"/>
      <c r="N1020" s="38"/>
      <c r="O1020" s="38"/>
      <c r="P1020" s="38"/>
      <c r="Q1020" s="38"/>
      <c r="R1020" s="38"/>
      <c r="S1020" s="38"/>
      <c r="T1020" s="38"/>
    </row>
    <row r="1021">
      <c r="A1021" s="41"/>
      <c r="C1021" s="7"/>
      <c r="D1021" s="7"/>
      <c r="E1021" s="18"/>
      <c r="F1021" s="38"/>
      <c r="G1021" s="38"/>
      <c r="H1021" s="38"/>
      <c r="I1021" s="38"/>
      <c r="J1021" s="38"/>
      <c r="K1021" s="38"/>
      <c r="L1021" s="38"/>
      <c r="M1021" s="38"/>
      <c r="N1021" s="38"/>
      <c r="O1021" s="38"/>
      <c r="P1021" s="38"/>
      <c r="Q1021" s="38"/>
      <c r="R1021" s="38"/>
      <c r="S1021" s="38"/>
      <c r="T1021" s="38"/>
    </row>
    <row r="1022">
      <c r="A1022" s="41"/>
      <c r="C1022" s="7"/>
      <c r="D1022" s="7"/>
      <c r="E1022" s="18"/>
      <c r="F1022" s="38"/>
      <c r="G1022" s="38"/>
      <c r="H1022" s="38"/>
      <c r="I1022" s="38"/>
      <c r="J1022" s="38"/>
      <c r="K1022" s="38"/>
      <c r="L1022" s="38"/>
      <c r="M1022" s="38"/>
      <c r="N1022" s="38"/>
      <c r="O1022" s="38"/>
      <c r="P1022" s="38"/>
      <c r="Q1022" s="38"/>
      <c r="R1022" s="38"/>
      <c r="S1022" s="38"/>
      <c r="T1022" s="38"/>
    </row>
    <row r="1023">
      <c r="A1023" s="19"/>
      <c r="B1023" s="19"/>
      <c r="C1023" s="42"/>
      <c r="D1023" s="42"/>
      <c r="E1023" s="19"/>
      <c r="F1023" s="39"/>
      <c r="G1023" s="39"/>
      <c r="H1023" s="39"/>
      <c r="I1023" s="39"/>
      <c r="J1023" s="39"/>
      <c r="K1023" s="19"/>
      <c r="L1023" s="19"/>
      <c r="M1023" s="19"/>
      <c r="N1023" s="19"/>
      <c r="O1023" s="19"/>
      <c r="P1023" s="19"/>
      <c r="Q1023" s="38"/>
      <c r="R1023" s="38"/>
      <c r="S1023" s="38"/>
      <c r="T1023" s="38"/>
    </row>
    <row r="1024">
      <c r="A1024" s="41"/>
      <c r="C1024" s="7"/>
      <c r="D1024" s="7"/>
      <c r="E1024" s="18"/>
      <c r="F1024" s="38"/>
      <c r="G1024" s="38"/>
      <c r="H1024" s="38"/>
      <c r="I1024" s="38"/>
      <c r="J1024" s="38"/>
      <c r="K1024" s="38"/>
      <c r="L1024" s="38"/>
      <c r="M1024" s="38"/>
      <c r="N1024" s="38"/>
      <c r="O1024" s="38"/>
      <c r="P1024" s="38"/>
      <c r="Q1024" s="38"/>
      <c r="R1024" s="38"/>
      <c r="S1024" s="38"/>
      <c r="T1024" s="38"/>
    </row>
    <row r="1025">
      <c r="A1025" s="41"/>
      <c r="C1025" s="7"/>
      <c r="D1025" s="7"/>
      <c r="E1025" s="18"/>
      <c r="F1025" s="38"/>
      <c r="G1025" s="38"/>
      <c r="H1025" s="38"/>
      <c r="I1025" s="38"/>
      <c r="J1025" s="38"/>
      <c r="K1025" s="38"/>
      <c r="L1025" s="38"/>
      <c r="M1025" s="38"/>
      <c r="N1025" s="38"/>
      <c r="O1025" s="38"/>
      <c r="P1025" s="38"/>
      <c r="Q1025" s="38"/>
      <c r="R1025" s="38"/>
      <c r="S1025" s="38"/>
      <c r="T1025" s="38"/>
    </row>
    <row r="1026">
      <c r="A1026" s="41"/>
      <c r="C1026" s="7"/>
      <c r="D1026" s="7"/>
      <c r="E1026" s="18"/>
      <c r="F1026" s="38"/>
      <c r="G1026" s="38"/>
      <c r="H1026" s="38"/>
      <c r="I1026" s="38"/>
      <c r="J1026" s="38"/>
      <c r="K1026" s="38"/>
      <c r="L1026" s="38"/>
      <c r="M1026" s="38"/>
      <c r="N1026" s="38"/>
      <c r="O1026" s="38"/>
      <c r="P1026" s="38"/>
      <c r="Q1026" s="38"/>
      <c r="R1026" s="38"/>
      <c r="S1026" s="38"/>
      <c r="T1026" s="38"/>
    </row>
    <row r="1027">
      <c r="A1027" s="41"/>
      <c r="C1027" s="7"/>
      <c r="D1027" s="7"/>
      <c r="E1027" s="18"/>
      <c r="F1027" s="38"/>
      <c r="G1027" s="38"/>
      <c r="H1027" s="38"/>
      <c r="I1027" s="38"/>
      <c r="J1027" s="38"/>
      <c r="K1027" s="38"/>
      <c r="L1027" s="38"/>
      <c r="M1027" s="38"/>
      <c r="N1027" s="38"/>
      <c r="O1027" s="38"/>
      <c r="P1027" s="38"/>
      <c r="Q1027" s="38"/>
      <c r="R1027" s="38"/>
      <c r="S1027" s="38"/>
      <c r="T1027" s="38"/>
    </row>
    <row r="1028">
      <c r="A1028" s="41"/>
      <c r="C1028" s="7"/>
      <c r="D1028" s="7"/>
      <c r="E1028" s="18"/>
      <c r="F1028" s="38"/>
      <c r="G1028" s="38"/>
      <c r="H1028" s="38"/>
      <c r="I1028" s="38"/>
      <c r="J1028" s="38"/>
      <c r="K1028" s="38"/>
      <c r="L1028" s="38"/>
      <c r="M1028" s="38"/>
      <c r="N1028" s="38"/>
      <c r="O1028" s="38"/>
      <c r="P1028" s="38"/>
      <c r="Q1028" s="38"/>
      <c r="R1028" s="38"/>
      <c r="S1028" s="38"/>
      <c r="T1028" s="38"/>
    </row>
    <row r="1029">
      <c r="A1029" s="41"/>
      <c r="C1029" s="7"/>
      <c r="D1029" s="7"/>
      <c r="E1029" s="18"/>
      <c r="F1029" s="38"/>
      <c r="G1029" s="38"/>
      <c r="H1029" s="38"/>
      <c r="I1029" s="38"/>
      <c r="J1029" s="38"/>
      <c r="K1029" s="38"/>
      <c r="L1029" s="38"/>
      <c r="M1029" s="38"/>
      <c r="N1029" s="38"/>
      <c r="O1029" s="38"/>
      <c r="P1029" s="38"/>
      <c r="Q1029" s="38"/>
      <c r="R1029" s="38"/>
      <c r="S1029" s="38"/>
      <c r="T1029" s="38"/>
    </row>
    <row r="1030">
      <c r="A1030" s="41"/>
      <c r="C1030" s="7"/>
      <c r="D1030" s="7"/>
      <c r="E1030" s="18"/>
      <c r="F1030" s="38"/>
      <c r="G1030" s="38"/>
      <c r="H1030" s="38"/>
      <c r="I1030" s="38"/>
      <c r="J1030" s="38"/>
      <c r="K1030" s="38"/>
      <c r="L1030" s="38"/>
      <c r="M1030" s="38"/>
      <c r="N1030" s="38"/>
      <c r="O1030" s="38"/>
      <c r="P1030" s="38"/>
      <c r="Q1030" s="38"/>
      <c r="R1030" s="38"/>
      <c r="S1030" s="38"/>
      <c r="T1030" s="38"/>
    </row>
    <row r="1031">
      <c r="A1031" s="41"/>
      <c r="C1031" s="7"/>
      <c r="D1031" s="7"/>
      <c r="E1031" s="18"/>
      <c r="F1031" s="38"/>
      <c r="G1031" s="38"/>
      <c r="H1031" s="38"/>
      <c r="I1031" s="38"/>
      <c r="J1031" s="38"/>
      <c r="K1031" s="38"/>
      <c r="L1031" s="38"/>
      <c r="M1031" s="38"/>
      <c r="N1031" s="38"/>
      <c r="O1031" s="38"/>
      <c r="P1031" s="38"/>
      <c r="Q1031" s="38"/>
      <c r="R1031" s="38"/>
      <c r="S1031" s="38"/>
      <c r="T1031" s="38"/>
    </row>
    <row r="1032">
      <c r="A1032" s="41"/>
      <c r="C1032" s="7"/>
      <c r="D1032" s="7"/>
      <c r="E1032" s="18"/>
      <c r="F1032" s="38"/>
      <c r="G1032" s="38"/>
      <c r="H1032" s="38"/>
      <c r="I1032" s="38"/>
      <c r="J1032" s="38"/>
      <c r="K1032" s="38"/>
      <c r="L1032" s="38"/>
      <c r="M1032" s="38"/>
      <c r="N1032" s="38"/>
      <c r="O1032" s="38"/>
      <c r="P1032" s="38"/>
      <c r="Q1032" s="38"/>
      <c r="R1032" s="38"/>
      <c r="S1032" s="38"/>
      <c r="T1032" s="38"/>
    </row>
    <row r="1033">
      <c r="A1033" s="41"/>
      <c r="C1033" s="7"/>
      <c r="D1033" s="7"/>
      <c r="E1033" s="18"/>
      <c r="F1033" s="38"/>
      <c r="G1033" s="38"/>
      <c r="H1033" s="38"/>
      <c r="I1033" s="38"/>
      <c r="J1033" s="38"/>
      <c r="K1033" s="38"/>
      <c r="L1033" s="38"/>
      <c r="M1033" s="38"/>
      <c r="N1033" s="38"/>
      <c r="O1033" s="38"/>
      <c r="P1033" s="38"/>
      <c r="Q1033" s="38"/>
      <c r="R1033" s="38"/>
      <c r="S1033" s="38"/>
      <c r="T1033" s="38"/>
    </row>
    <row r="1034">
      <c r="A1034" s="41"/>
      <c r="C1034" s="7"/>
      <c r="D1034" s="7"/>
      <c r="E1034" s="18"/>
      <c r="F1034" s="38"/>
      <c r="G1034" s="38"/>
      <c r="H1034" s="38"/>
      <c r="I1034" s="38"/>
      <c r="J1034" s="38"/>
      <c r="K1034" s="38"/>
      <c r="L1034" s="38"/>
      <c r="M1034" s="38"/>
      <c r="N1034" s="38"/>
      <c r="O1034" s="38"/>
      <c r="P1034" s="38"/>
      <c r="Q1034" s="38"/>
      <c r="R1034" s="38"/>
      <c r="S1034" s="38"/>
      <c r="T1034" s="38"/>
    </row>
    <row r="1035">
      <c r="A1035" s="41"/>
      <c r="C1035" s="7"/>
      <c r="D1035" s="7"/>
      <c r="E1035" s="18"/>
      <c r="F1035" s="38"/>
      <c r="G1035" s="38"/>
      <c r="H1035" s="38"/>
      <c r="I1035" s="38"/>
      <c r="J1035" s="38"/>
      <c r="K1035" s="38"/>
      <c r="L1035" s="38"/>
      <c r="M1035" s="38"/>
      <c r="N1035" s="38"/>
      <c r="O1035" s="38"/>
      <c r="P1035" s="38"/>
      <c r="Q1035" s="38"/>
      <c r="R1035" s="38"/>
      <c r="S1035" s="38"/>
      <c r="T1035" s="38"/>
    </row>
    <row r="1036">
      <c r="A1036" s="41"/>
      <c r="C1036" s="7"/>
      <c r="D1036" s="7"/>
      <c r="E1036" s="18"/>
      <c r="F1036" s="38"/>
      <c r="G1036" s="38"/>
      <c r="H1036" s="38"/>
      <c r="I1036" s="38"/>
      <c r="J1036" s="38"/>
      <c r="K1036" s="38"/>
      <c r="L1036" s="38"/>
      <c r="M1036" s="38"/>
      <c r="N1036" s="38"/>
      <c r="O1036" s="38"/>
      <c r="P1036" s="38"/>
      <c r="Q1036" s="38"/>
      <c r="R1036" s="38"/>
      <c r="S1036" s="38"/>
      <c r="T1036" s="38"/>
    </row>
    <row r="1037">
      <c r="A1037" s="41"/>
      <c r="C1037" s="7"/>
      <c r="D1037" s="7"/>
      <c r="E1037" s="18"/>
      <c r="F1037" s="38"/>
      <c r="G1037" s="38"/>
      <c r="H1037" s="38"/>
      <c r="I1037" s="38"/>
      <c r="J1037" s="38"/>
      <c r="K1037" s="38"/>
      <c r="L1037" s="38"/>
      <c r="M1037" s="38"/>
      <c r="N1037" s="38"/>
      <c r="O1037" s="38"/>
      <c r="P1037" s="38"/>
      <c r="Q1037" s="38"/>
      <c r="R1037" s="38"/>
      <c r="S1037" s="38"/>
      <c r="T1037" s="38"/>
    </row>
    <row r="1038">
      <c r="A1038" s="41"/>
      <c r="C1038" s="7"/>
      <c r="D1038" s="7"/>
      <c r="E1038" s="18"/>
      <c r="F1038" s="38"/>
      <c r="G1038" s="38"/>
      <c r="H1038" s="38"/>
      <c r="I1038" s="38"/>
      <c r="J1038" s="38"/>
      <c r="K1038" s="38"/>
      <c r="L1038" s="38"/>
      <c r="M1038" s="38"/>
      <c r="N1038" s="38"/>
      <c r="O1038" s="38"/>
      <c r="P1038" s="38"/>
      <c r="Q1038" s="38"/>
      <c r="R1038" s="38"/>
      <c r="S1038" s="38"/>
      <c r="T1038" s="38"/>
    </row>
    <row r="1039">
      <c r="A1039" s="41"/>
      <c r="C1039" s="7"/>
      <c r="D1039" s="7"/>
      <c r="E1039" s="18"/>
      <c r="F1039" s="38"/>
      <c r="G1039" s="38"/>
      <c r="H1039" s="38"/>
      <c r="I1039" s="38"/>
      <c r="J1039" s="38"/>
      <c r="K1039" s="38"/>
      <c r="L1039" s="38"/>
      <c r="M1039" s="38"/>
      <c r="N1039" s="38"/>
      <c r="O1039" s="38"/>
      <c r="P1039" s="38"/>
      <c r="Q1039" s="38"/>
      <c r="R1039" s="38"/>
      <c r="S1039" s="38"/>
      <c r="T1039" s="38"/>
    </row>
    <row r="1040">
      <c r="A1040" s="41"/>
      <c r="C1040" s="7"/>
      <c r="D1040" s="7"/>
      <c r="E1040" s="18"/>
      <c r="F1040" s="38"/>
      <c r="G1040" s="38"/>
      <c r="H1040" s="38"/>
      <c r="I1040" s="38"/>
      <c r="J1040" s="38"/>
      <c r="K1040" s="38"/>
      <c r="L1040" s="38"/>
      <c r="M1040" s="38"/>
      <c r="N1040" s="38"/>
      <c r="O1040" s="38"/>
      <c r="P1040" s="38"/>
      <c r="Q1040" s="38"/>
      <c r="R1040" s="38"/>
      <c r="S1040" s="38"/>
      <c r="T1040" s="38"/>
    </row>
    <row r="1041">
      <c r="A1041" s="41"/>
      <c r="C1041" s="7"/>
      <c r="D1041" s="7"/>
      <c r="E1041" s="18"/>
      <c r="F1041" s="38"/>
      <c r="G1041" s="38"/>
      <c r="H1041" s="38"/>
      <c r="I1041" s="38"/>
      <c r="J1041" s="38"/>
      <c r="K1041" s="38"/>
      <c r="L1041" s="38"/>
      <c r="M1041" s="38"/>
      <c r="N1041" s="38"/>
      <c r="O1041" s="38"/>
      <c r="P1041" s="38"/>
      <c r="Q1041" s="38"/>
      <c r="R1041" s="38"/>
      <c r="S1041" s="38"/>
      <c r="T1041" s="38"/>
    </row>
    <row r="1042">
      <c r="A1042" s="41"/>
      <c r="C1042" s="7"/>
      <c r="D1042" s="7"/>
      <c r="E1042" s="18"/>
      <c r="F1042" s="38"/>
      <c r="G1042" s="38"/>
      <c r="H1042" s="38"/>
      <c r="I1042" s="38"/>
      <c r="J1042" s="38"/>
      <c r="K1042" s="38"/>
      <c r="L1042" s="38"/>
      <c r="M1042" s="38"/>
      <c r="N1042" s="38"/>
      <c r="O1042" s="38"/>
      <c r="P1042" s="38"/>
      <c r="Q1042" s="38"/>
      <c r="R1042" s="38"/>
      <c r="S1042" s="38"/>
      <c r="T1042" s="38"/>
    </row>
    <row r="1043">
      <c r="A1043" s="41"/>
      <c r="C1043" s="7"/>
      <c r="D1043" s="7"/>
      <c r="E1043" s="18"/>
      <c r="F1043" s="38"/>
      <c r="G1043" s="38"/>
      <c r="H1043" s="38"/>
      <c r="I1043" s="38"/>
      <c r="J1043" s="38"/>
      <c r="K1043" s="38"/>
      <c r="L1043" s="38"/>
      <c r="M1043" s="38"/>
      <c r="N1043" s="38"/>
      <c r="O1043" s="38"/>
      <c r="P1043" s="38"/>
      <c r="Q1043" s="38"/>
      <c r="R1043" s="38"/>
      <c r="S1043" s="38"/>
      <c r="T1043" s="38"/>
    </row>
    <row r="1044">
      <c r="A1044" s="41"/>
      <c r="C1044" s="7"/>
      <c r="D1044" s="7"/>
      <c r="E1044" s="18"/>
      <c r="F1044" s="38"/>
      <c r="G1044" s="38"/>
      <c r="H1044" s="38"/>
      <c r="I1044" s="38"/>
      <c r="J1044" s="38"/>
      <c r="K1044" s="38"/>
      <c r="L1044" s="38"/>
      <c r="M1044" s="38"/>
      <c r="N1044" s="38"/>
      <c r="O1044" s="38"/>
      <c r="P1044" s="38"/>
      <c r="Q1044" s="38"/>
      <c r="R1044" s="38"/>
      <c r="S1044" s="38"/>
      <c r="T1044" s="38"/>
    </row>
    <row r="1045">
      <c r="A1045" s="41"/>
      <c r="C1045" s="7"/>
      <c r="D1045" s="7"/>
      <c r="E1045" s="18"/>
      <c r="F1045" s="38"/>
      <c r="G1045" s="38"/>
      <c r="H1045" s="38"/>
      <c r="I1045" s="38"/>
      <c r="J1045" s="38"/>
      <c r="K1045" s="38"/>
      <c r="L1045" s="38"/>
      <c r="M1045" s="38"/>
      <c r="N1045" s="38"/>
      <c r="O1045" s="38"/>
      <c r="P1045" s="38"/>
      <c r="Q1045" s="38"/>
      <c r="R1045" s="38"/>
      <c r="S1045" s="38"/>
      <c r="T1045" s="38"/>
    </row>
    <row r="1046">
      <c r="A1046" s="41"/>
      <c r="C1046" s="7"/>
      <c r="D1046" s="7"/>
      <c r="E1046" s="18"/>
      <c r="F1046" s="38"/>
      <c r="G1046" s="38"/>
      <c r="H1046" s="38"/>
      <c r="I1046" s="38"/>
      <c r="J1046" s="38"/>
      <c r="K1046" s="38"/>
      <c r="L1046" s="38"/>
      <c r="M1046" s="38"/>
      <c r="N1046" s="38"/>
      <c r="O1046" s="38"/>
      <c r="P1046" s="38"/>
      <c r="Q1046" s="38"/>
      <c r="R1046" s="38"/>
      <c r="S1046" s="38"/>
      <c r="T1046" s="38"/>
    </row>
    <row r="1047">
      <c r="A1047" s="41"/>
      <c r="C1047" s="7"/>
      <c r="D1047" s="7"/>
      <c r="E1047" s="18"/>
      <c r="F1047" s="38"/>
      <c r="G1047" s="38"/>
      <c r="H1047" s="38"/>
      <c r="I1047" s="38"/>
      <c r="J1047" s="38"/>
      <c r="K1047" s="38"/>
      <c r="L1047" s="38"/>
      <c r="M1047" s="38"/>
      <c r="N1047" s="38"/>
      <c r="O1047" s="38"/>
      <c r="P1047" s="38"/>
      <c r="Q1047" s="38"/>
      <c r="R1047" s="38"/>
      <c r="S1047" s="38"/>
      <c r="T1047" s="38"/>
    </row>
    <row r="1048">
      <c r="A1048" s="41"/>
      <c r="C1048" s="7"/>
      <c r="D1048" s="7"/>
      <c r="E1048" s="18"/>
      <c r="F1048" s="38"/>
      <c r="G1048" s="38"/>
      <c r="H1048" s="38"/>
      <c r="I1048" s="38"/>
      <c r="J1048" s="38"/>
      <c r="K1048" s="38"/>
      <c r="L1048" s="38"/>
      <c r="M1048" s="38"/>
      <c r="N1048" s="38"/>
      <c r="O1048" s="38"/>
      <c r="P1048" s="38"/>
      <c r="Q1048" s="38"/>
      <c r="R1048" s="38"/>
      <c r="S1048" s="38"/>
      <c r="T1048" s="38"/>
    </row>
    <row r="1049">
      <c r="A1049" s="41"/>
      <c r="C1049" s="7"/>
      <c r="D1049" s="7"/>
      <c r="E1049" s="18"/>
      <c r="F1049" s="38"/>
      <c r="G1049" s="38"/>
      <c r="H1049" s="38"/>
      <c r="I1049" s="38"/>
      <c r="J1049" s="38"/>
      <c r="K1049" s="38"/>
      <c r="L1049" s="38"/>
      <c r="M1049" s="38"/>
      <c r="N1049" s="38"/>
      <c r="O1049" s="38"/>
      <c r="P1049" s="38"/>
      <c r="Q1049" s="38"/>
      <c r="R1049" s="38"/>
      <c r="S1049" s="38"/>
      <c r="T1049" s="38"/>
    </row>
    <row r="1050">
      <c r="A1050" s="41"/>
      <c r="C1050" s="7"/>
      <c r="D1050" s="7"/>
      <c r="E1050" s="18"/>
      <c r="F1050" s="38"/>
      <c r="G1050" s="38"/>
      <c r="H1050" s="38"/>
      <c r="I1050" s="38"/>
      <c r="J1050" s="38"/>
      <c r="K1050" s="38"/>
      <c r="L1050" s="38"/>
      <c r="M1050" s="38"/>
      <c r="N1050" s="38"/>
      <c r="O1050" s="38"/>
      <c r="P1050" s="38"/>
      <c r="Q1050" s="38"/>
      <c r="R1050" s="38"/>
      <c r="S1050" s="38"/>
      <c r="T1050" s="38"/>
    </row>
    <row r="1051">
      <c r="A1051" s="41"/>
      <c r="C1051" s="7"/>
      <c r="D1051" s="7"/>
      <c r="E1051" s="18"/>
      <c r="F1051" s="38"/>
      <c r="G1051" s="38"/>
      <c r="H1051" s="38"/>
      <c r="I1051" s="38"/>
      <c r="J1051" s="38"/>
      <c r="K1051" s="38"/>
      <c r="L1051" s="38"/>
      <c r="M1051" s="38"/>
      <c r="N1051" s="38"/>
      <c r="O1051" s="38"/>
      <c r="P1051" s="38"/>
      <c r="Q1051" s="38"/>
      <c r="R1051" s="38"/>
      <c r="S1051" s="38"/>
      <c r="T1051" s="38"/>
    </row>
    <row r="1052">
      <c r="A1052" s="41"/>
      <c r="C1052" s="7"/>
      <c r="D1052" s="7"/>
      <c r="E1052" s="18"/>
      <c r="F1052" s="38"/>
      <c r="G1052" s="38"/>
      <c r="H1052" s="38"/>
      <c r="I1052" s="38"/>
      <c r="J1052" s="38"/>
      <c r="K1052" s="38"/>
      <c r="L1052" s="38"/>
      <c r="M1052" s="38"/>
      <c r="N1052" s="38"/>
      <c r="O1052" s="38"/>
      <c r="P1052" s="38"/>
      <c r="Q1052" s="38"/>
      <c r="R1052" s="38"/>
      <c r="S1052" s="38"/>
      <c r="T1052" s="38"/>
    </row>
    <row r="1053">
      <c r="A1053" s="41"/>
      <c r="C1053" s="7"/>
      <c r="D1053" s="7"/>
      <c r="E1053" s="18"/>
      <c r="F1053" s="38"/>
      <c r="G1053" s="38"/>
      <c r="H1053" s="38"/>
      <c r="I1053" s="38"/>
      <c r="J1053" s="38"/>
      <c r="K1053" s="38"/>
      <c r="L1053" s="38"/>
      <c r="M1053" s="38"/>
      <c r="N1053" s="38"/>
      <c r="O1053" s="38"/>
      <c r="P1053" s="38"/>
      <c r="Q1053" s="38"/>
      <c r="R1053" s="38"/>
      <c r="S1053" s="38"/>
      <c r="T1053" s="38"/>
    </row>
    <row r="1054">
      <c r="A1054" s="41"/>
      <c r="C1054" s="7"/>
      <c r="D1054" s="7"/>
      <c r="E1054" s="18"/>
      <c r="F1054" s="38"/>
      <c r="G1054" s="38"/>
      <c r="H1054" s="38"/>
      <c r="I1054" s="38"/>
      <c r="J1054" s="38"/>
      <c r="K1054" s="38"/>
      <c r="L1054" s="38"/>
      <c r="M1054" s="38"/>
      <c r="N1054" s="38"/>
      <c r="O1054" s="38"/>
      <c r="P1054" s="38"/>
      <c r="Q1054" s="38"/>
      <c r="R1054" s="38"/>
      <c r="S1054" s="38"/>
      <c r="T1054" s="38"/>
    </row>
    <row r="1055">
      <c r="A1055" s="41"/>
      <c r="C1055" s="7"/>
      <c r="D1055" s="7"/>
      <c r="E1055" s="18"/>
      <c r="F1055" s="38"/>
      <c r="G1055" s="38"/>
      <c r="H1055" s="38"/>
      <c r="I1055" s="38"/>
      <c r="J1055" s="38"/>
      <c r="K1055" s="38"/>
      <c r="L1055" s="38"/>
      <c r="M1055" s="38"/>
      <c r="N1055" s="38"/>
      <c r="O1055" s="38"/>
      <c r="P1055" s="38"/>
      <c r="Q1055" s="38"/>
      <c r="R1055" s="38"/>
      <c r="S1055" s="38"/>
      <c r="T1055" s="38"/>
    </row>
    <row r="1056">
      <c r="A1056" s="41"/>
      <c r="C1056" s="7"/>
      <c r="D1056" s="7"/>
      <c r="E1056" s="18"/>
      <c r="F1056" s="38"/>
      <c r="G1056" s="38"/>
      <c r="H1056" s="38"/>
      <c r="I1056" s="38"/>
      <c r="J1056" s="38"/>
      <c r="K1056" s="38"/>
      <c r="L1056" s="38"/>
      <c r="M1056" s="38"/>
      <c r="N1056" s="38"/>
      <c r="O1056" s="38"/>
      <c r="P1056" s="38"/>
      <c r="Q1056" s="38"/>
      <c r="R1056" s="38"/>
      <c r="S1056" s="38"/>
      <c r="T1056" s="38"/>
    </row>
    <row r="1057">
      <c r="A1057" s="41"/>
      <c r="C1057" s="7"/>
      <c r="D1057" s="7"/>
      <c r="E1057" s="18"/>
      <c r="F1057" s="38"/>
      <c r="G1057" s="38"/>
      <c r="H1057" s="38"/>
      <c r="I1057" s="38"/>
      <c r="J1057" s="38"/>
      <c r="K1057" s="38"/>
      <c r="L1057" s="38"/>
      <c r="M1057" s="38"/>
      <c r="N1057" s="38"/>
      <c r="O1057" s="38"/>
      <c r="P1057" s="38"/>
      <c r="Q1057" s="38"/>
      <c r="R1057" s="38"/>
      <c r="S1057" s="38"/>
      <c r="T1057" s="38"/>
    </row>
    <row r="1058">
      <c r="A1058" s="41"/>
      <c r="C1058" s="7"/>
      <c r="D1058" s="7"/>
      <c r="E1058" s="18"/>
      <c r="F1058" s="38"/>
      <c r="G1058" s="38"/>
      <c r="H1058" s="38"/>
      <c r="I1058" s="38"/>
      <c r="J1058" s="38"/>
      <c r="K1058" s="38"/>
      <c r="L1058" s="38"/>
      <c r="M1058" s="38"/>
      <c r="N1058" s="38"/>
      <c r="O1058" s="38"/>
      <c r="P1058" s="38"/>
      <c r="Q1058" s="38"/>
      <c r="R1058" s="38"/>
      <c r="S1058" s="38"/>
      <c r="T1058" s="38"/>
    </row>
    <row r="1059">
      <c r="A1059" s="41"/>
      <c r="C1059" s="7"/>
      <c r="D1059" s="7"/>
      <c r="E1059" s="18"/>
      <c r="F1059" s="38"/>
      <c r="G1059" s="38"/>
      <c r="H1059" s="38"/>
      <c r="I1059" s="38"/>
      <c r="J1059" s="38"/>
      <c r="K1059" s="38"/>
      <c r="L1059" s="38"/>
      <c r="M1059" s="38"/>
      <c r="N1059" s="38"/>
      <c r="O1059" s="38"/>
      <c r="P1059" s="38"/>
      <c r="Q1059" s="38"/>
      <c r="R1059" s="38"/>
      <c r="S1059" s="38"/>
      <c r="T1059" s="38"/>
    </row>
    <row r="1060">
      <c r="A1060" s="41"/>
      <c r="C1060" s="7"/>
      <c r="D1060" s="7"/>
      <c r="E1060" s="18"/>
      <c r="F1060" s="38"/>
      <c r="G1060" s="38"/>
      <c r="H1060" s="38"/>
      <c r="I1060" s="38"/>
      <c r="J1060" s="38"/>
      <c r="K1060" s="38"/>
      <c r="L1060" s="38"/>
      <c r="M1060" s="38"/>
      <c r="N1060" s="38"/>
      <c r="O1060" s="38"/>
      <c r="P1060" s="38"/>
      <c r="Q1060" s="38"/>
      <c r="R1060" s="38"/>
      <c r="S1060" s="38"/>
      <c r="T1060" s="38"/>
    </row>
    <row r="1061">
      <c r="A1061" s="41"/>
      <c r="C1061" s="7"/>
      <c r="D1061" s="7"/>
      <c r="E1061" s="18"/>
      <c r="F1061" s="38"/>
      <c r="G1061" s="38"/>
      <c r="H1061" s="38"/>
      <c r="I1061" s="38"/>
      <c r="J1061" s="38"/>
      <c r="K1061" s="38"/>
      <c r="L1061" s="38"/>
      <c r="M1061" s="38"/>
      <c r="N1061" s="38"/>
      <c r="O1061" s="38"/>
      <c r="P1061" s="38"/>
      <c r="Q1061" s="38"/>
      <c r="R1061" s="38"/>
      <c r="S1061" s="38"/>
      <c r="T1061" s="38"/>
    </row>
    <row r="1062">
      <c r="A1062" s="41"/>
      <c r="C1062" s="7"/>
      <c r="D1062" s="7"/>
      <c r="E1062" s="18"/>
      <c r="F1062" s="38"/>
      <c r="G1062" s="38"/>
      <c r="H1062" s="38"/>
      <c r="I1062" s="38"/>
      <c r="J1062" s="38"/>
      <c r="K1062" s="38"/>
      <c r="L1062" s="38"/>
      <c r="M1062" s="38"/>
      <c r="N1062" s="38"/>
      <c r="O1062" s="38"/>
      <c r="P1062" s="38"/>
      <c r="Q1062" s="38"/>
      <c r="R1062" s="38"/>
      <c r="S1062" s="38"/>
      <c r="T1062" s="38"/>
    </row>
    <row r="1063">
      <c r="A1063" s="41"/>
      <c r="C1063" s="7"/>
      <c r="D1063" s="7"/>
      <c r="E1063" s="18"/>
      <c r="F1063" s="38"/>
      <c r="G1063" s="38"/>
      <c r="H1063" s="38"/>
      <c r="I1063" s="38"/>
      <c r="J1063" s="38"/>
      <c r="K1063" s="38"/>
      <c r="L1063" s="38"/>
      <c r="M1063" s="38"/>
      <c r="N1063" s="38"/>
      <c r="O1063" s="38"/>
      <c r="P1063" s="38"/>
      <c r="Q1063" s="38"/>
      <c r="R1063" s="38"/>
      <c r="S1063" s="38"/>
      <c r="T1063" s="38"/>
    </row>
    <row r="1064">
      <c r="A1064" s="19"/>
      <c r="B1064" s="19"/>
      <c r="C1064" s="42"/>
      <c r="D1064" s="42"/>
      <c r="E1064" s="19"/>
      <c r="F1064" s="39"/>
      <c r="G1064" s="39"/>
      <c r="H1064" s="39"/>
      <c r="I1064" s="39"/>
      <c r="J1064" s="39"/>
      <c r="K1064" s="19"/>
      <c r="L1064" s="19"/>
      <c r="M1064" s="19"/>
      <c r="N1064" s="19"/>
      <c r="O1064" s="19"/>
      <c r="P1064" s="19"/>
      <c r="Q1064" s="38"/>
      <c r="R1064" s="38"/>
      <c r="S1064" s="38"/>
      <c r="T1064" s="38"/>
    </row>
    <row r="1065">
      <c r="A1065" s="41"/>
      <c r="C1065" s="7"/>
      <c r="D1065" s="7"/>
      <c r="E1065" s="18"/>
      <c r="F1065" s="38"/>
      <c r="G1065" s="38"/>
      <c r="H1065" s="38"/>
      <c r="I1065" s="38"/>
      <c r="J1065" s="38"/>
      <c r="K1065" s="38"/>
      <c r="L1065" s="38"/>
      <c r="M1065" s="38"/>
      <c r="N1065" s="38"/>
      <c r="O1065" s="38"/>
      <c r="P1065" s="38"/>
      <c r="Q1065" s="38"/>
      <c r="R1065" s="38"/>
      <c r="S1065" s="38"/>
      <c r="T1065" s="38"/>
    </row>
    <row r="1066">
      <c r="A1066" s="41"/>
      <c r="C1066" s="7"/>
      <c r="D1066" s="7"/>
      <c r="E1066" s="18"/>
      <c r="F1066" s="38"/>
      <c r="G1066" s="38"/>
      <c r="H1066" s="38"/>
      <c r="I1066" s="38"/>
      <c r="J1066" s="38"/>
      <c r="K1066" s="38"/>
      <c r="L1066" s="38"/>
      <c r="M1066" s="38"/>
      <c r="N1066" s="38"/>
      <c r="O1066" s="38"/>
      <c r="P1066" s="38"/>
      <c r="Q1066" s="38"/>
      <c r="R1066" s="38"/>
      <c r="S1066" s="38"/>
      <c r="T1066" s="38"/>
    </row>
    <row r="1067">
      <c r="A1067" s="41"/>
      <c r="C1067" s="7"/>
      <c r="D1067" s="7"/>
      <c r="E1067" s="18"/>
      <c r="F1067" s="38"/>
      <c r="G1067" s="38"/>
      <c r="H1067" s="38"/>
      <c r="I1067" s="38"/>
      <c r="J1067" s="38"/>
      <c r="K1067" s="38"/>
      <c r="L1067" s="38"/>
      <c r="M1067" s="38"/>
      <c r="N1067" s="38"/>
      <c r="O1067" s="38"/>
      <c r="P1067" s="38"/>
      <c r="Q1067" s="38"/>
      <c r="R1067" s="38"/>
      <c r="S1067" s="38"/>
      <c r="T1067" s="38"/>
    </row>
    <row r="1068">
      <c r="A1068" s="41"/>
      <c r="C1068" s="7"/>
      <c r="D1068" s="7"/>
      <c r="E1068" s="18"/>
      <c r="F1068" s="38"/>
      <c r="G1068" s="38"/>
      <c r="H1068" s="38"/>
      <c r="I1068" s="38"/>
      <c r="J1068" s="38"/>
      <c r="K1068" s="38"/>
      <c r="L1068" s="38"/>
      <c r="M1068" s="38"/>
      <c r="N1068" s="38"/>
      <c r="O1068" s="38"/>
      <c r="P1068" s="38"/>
      <c r="Q1068" s="38"/>
      <c r="R1068" s="38"/>
      <c r="S1068" s="38"/>
      <c r="T1068" s="38"/>
    </row>
    <row r="1069">
      <c r="A1069" s="41"/>
      <c r="C1069" s="7"/>
      <c r="D1069" s="7"/>
      <c r="E1069" s="18"/>
      <c r="F1069" s="38"/>
      <c r="G1069" s="38"/>
      <c r="H1069" s="38"/>
      <c r="I1069" s="38"/>
      <c r="J1069" s="38"/>
      <c r="K1069" s="38"/>
      <c r="L1069" s="38"/>
      <c r="M1069" s="38"/>
      <c r="N1069" s="38"/>
      <c r="O1069" s="38"/>
      <c r="P1069" s="38"/>
      <c r="Q1069" s="38"/>
      <c r="R1069" s="38"/>
      <c r="S1069" s="38"/>
      <c r="T1069" s="38"/>
    </row>
    <row r="1070">
      <c r="A1070" s="41"/>
      <c r="C1070" s="7"/>
      <c r="D1070" s="7"/>
      <c r="E1070" s="18"/>
      <c r="F1070" s="38"/>
      <c r="G1070" s="38"/>
      <c r="H1070" s="38"/>
      <c r="I1070" s="38"/>
      <c r="J1070" s="38"/>
      <c r="K1070" s="38"/>
      <c r="L1070" s="38"/>
      <c r="M1070" s="38"/>
      <c r="N1070" s="38"/>
      <c r="O1070" s="38"/>
      <c r="P1070" s="38"/>
      <c r="Q1070" s="38"/>
      <c r="R1070" s="38"/>
      <c r="S1070" s="38"/>
      <c r="T1070" s="38"/>
    </row>
    <row r="1071">
      <c r="A1071" s="41"/>
      <c r="C1071" s="7"/>
      <c r="D1071" s="7"/>
      <c r="E1071" s="18"/>
      <c r="F1071" s="38"/>
      <c r="G1071" s="38"/>
      <c r="H1071" s="38"/>
      <c r="I1071" s="38"/>
      <c r="J1071" s="38"/>
      <c r="K1071" s="38"/>
      <c r="L1071" s="38"/>
      <c r="M1071" s="38"/>
      <c r="N1071" s="38"/>
      <c r="O1071" s="38"/>
      <c r="P1071" s="38"/>
      <c r="Q1071" s="38"/>
      <c r="R1071" s="38"/>
      <c r="S1071" s="38"/>
      <c r="T1071" s="38"/>
    </row>
    <row r="1072">
      <c r="A1072" s="41"/>
      <c r="C1072" s="7"/>
      <c r="D1072" s="7"/>
      <c r="E1072" s="18"/>
      <c r="F1072" s="38"/>
      <c r="G1072" s="38"/>
      <c r="H1072" s="38"/>
      <c r="I1072" s="38"/>
      <c r="J1072" s="38"/>
      <c r="K1072" s="38"/>
      <c r="L1072" s="38"/>
      <c r="M1072" s="38"/>
      <c r="N1072" s="38"/>
      <c r="O1072" s="38"/>
      <c r="P1072" s="38"/>
      <c r="Q1072" s="38"/>
      <c r="R1072" s="38"/>
      <c r="S1072" s="38"/>
      <c r="T1072" s="38"/>
    </row>
    <row r="1073">
      <c r="A1073" s="41"/>
      <c r="C1073" s="7"/>
      <c r="D1073" s="7"/>
      <c r="E1073" s="18"/>
      <c r="F1073" s="38"/>
      <c r="G1073" s="38"/>
      <c r="H1073" s="38"/>
      <c r="I1073" s="38"/>
      <c r="J1073" s="38"/>
      <c r="K1073" s="38"/>
      <c r="L1073" s="38"/>
      <c r="M1073" s="38"/>
      <c r="N1073" s="38"/>
      <c r="O1073" s="38"/>
      <c r="P1073" s="38"/>
      <c r="Q1073" s="38"/>
      <c r="R1073" s="38"/>
      <c r="S1073" s="38"/>
      <c r="T1073" s="38"/>
    </row>
    <row r="1074">
      <c r="A1074" s="41"/>
      <c r="C1074" s="7"/>
      <c r="D1074" s="7"/>
      <c r="E1074" s="18"/>
      <c r="F1074" s="38"/>
      <c r="G1074" s="38"/>
      <c r="H1074" s="38"/>
      <c r="I1074" s="38"/>
      <c r="J1074" s="38"/>
      <c r="K1074" s="38"/>
      <c r="L1074" s="38"/>
      <c r="M1074" s="38"/>
      <c r="N1074" s="38"/>
      <c r="O1074" s="38"/>
      <c r="P1074" s="38"/>
      <c r="Q1074" s="38"/>
      <c r="R1074" s="38"/>
      <c r="S1074" s="38"/>
      <c r="T1074" s="38"/>
    </row>
    <row r="1075">
      <c r="A1075" s="41"/>
      <c r="C1075" s="7"/>
      <c r="D1075" s="7"/>
      <c r="E1075" s="18"/>
      <c r="F1075" s="38"/>
      <c r="G1075" s="38"/>
      <c r="H1075" s="38"/>
      <c r="I1075" s="38"/>
      <c r="J1075" s="38"/>
      <c r="K1075" s="38"/>
      <c r="L1075" s="38"/>
      <c r="M1075" s="38"/>
      <c r="N1075" s="38"/>
      <c r="O1075" s="38"/>
      <c r="P1075" s="38"/>
      <c r="Q1075" s="38"/>
      <c r="R1075" s="38"/>
      <c r="S1075" s="38"/>
      <c r="T1075" s="38"/>
    </row>
    <row r="1076">
      <c r="A1076" s="41"/>
      <c r="C1076" s="7"/>
      <c r="D1076" s="7"/>
      <c r="E1076" s="18"/>
      <c r="F1076" s="38"/>
      <c r="G1076" s="38"/>
      <c r="H1076" s="38"/>
      <c r="I1076" s="38"/>
      <c r="J1076" s="38"/>
      <c r="K1076" s="38"/>
      <c r="L1076" s="38"/>
      <c r="M1076" s="38"/>
      <c r="N1076" s="38"/>
      <c r="O1076" s="38"/>
      <c r="P1076" s="38"/>
      <c r="Q1076" s="38"/>
      <c r="R1076" s="38"/>
      <c r="S1076" s="38"/>
      <c r="T1076" s="38"/>
    </row>
    <row r="1077">
      <c r="A1077" s="41"/>
      <c r="C1077" s="7"/>
      <c r="D1077" s="7"/>
      <c r="E1077" s="18"/>
      <c r="F1077" s="38"/>
      <c r="G1077" s="38"/>
      <c r="H1077" s="38"/>
      <c r="I1077" s="38"/>
      <c r="J1077" s="38"/>
      <c r="K1077" s="38"/>
      <c r="L1077" s="38"/>
      <c r="M1077" s="38"/>
      <c r="N1077" s="38"/>
      <c r="O1077" s="38"/>
      <c r="P1077" s="38"/>
      <c r="Q1077" s="38"/>
      <c r="R1077" s="38"/>
      <c r="S1077" s="38"/>
      <c r="T1077" s="38"/>
    </row>
    <row r="1078">
      <c r="A1078" s="41"/>
      <c r="C1078" s="7"/>
      <c r="D1078" s="7"/>
      <c r="E1078" s="18"/>
      <c r="F1078" s="38"/>
      <c r="G1078" s="38"/>
      <c r="H1078" s="38"/>
      <c r="I1078" s="38"/>
      <c r="J1078" s="38"/>
      <c r="K1078" s="38"/>
      <c r="L1078" s="38"/>
      <c r="M1078" s="38"/>
      <c r="N1078" s="38"/>
      <c r="O1078" s="38"/>
      <c r="P1078" s="38"/>
      <c r="Q1078" s="38"/>
      <c r="R1078" s="38"/>
      <c r="S1078" s="38"/>
      <c r="T1078" s="38"/>
    </row>
    <row r="1079">
      <c r="A1079" s="41"/>
      <c r="C1079" s="7"/>
      <c r="D1079" s="7"/>
      <c r="E1079" s="18"/>
      <c r="F1079" s="38"/>
      <c r="G1079" s="38"/>
      <c r="H1079" s="38"/>
      <c r="I1079" s="38"/>
      <c r="J1079" s="38"/>
      <c r="K1079" s="38"/>
      <c r="L1079" s="38"/>
      <c r="M1079" s="38"/>
      <c r="N1079" s="38"/>
      <c r="O1079" s="38"/>
      <c r="P1079" s="38"/>
      <c r="Q1079" s="38"/>
      <c r="R1079" s="38"/>
      <c r="S1079" s="38"/>
      <c r="T1079" s="38"/>
    </row>
    <row r="1080">
      <c r="A1080" s="41"/>
      <c r="C1080" s="7"/>
      <c r="D1080" s="7"/>
      <c r="E1080" s="18"/>
      <c r="F1080" s="38"/>
      <c r="G1080" s="38"/>
      <c r="H1080" s="38"/>
      <c r="I1080" s="38"/>
      <c r="J1080" s="38"/>
      <c r="K1080" s="38"/>
      <c r="L1080" s="38"/>
      <c r="M1080" s="38"/>
      <c r="N1080" s="38"/>
      <c r="O1080" s="38"/>
      <c r="P1080" s="38"/>
      <c r="Q1080" s="38"/>
      <c r="R1080" s="38"/>
      <c r="S1080" s="38"/>
      <c r="T1080" s="38"/>
    </row>
    <row r="1081">
      <c r="A1081" s="41"/>
      <c r="C1081" s="7"/>
      <c r="D1081" s="7"/>
      <c r="E1081" s="18"/>
      <c r="F1081" s="38"/>
      <c r="G1081" s="38"/>
      <c r="H1081" s="38"/>
      <c r="I1081" s="38"/>
      <c r="J1081" s="38"/>
      <c r="K1081" s="38"/>
      <c r="L1081" s="38"/>
      <c r="M1081" s="38"/>
      <c r="N1081" s="38"/>
      <c r="O1081" s="38"/>
      <c r="P1081" s="38"/>
      <c r="Q1081" s="38"/>
      <c r="R1081" s="38"/>
      <c r="S1081" s="38"/>
      <c r="T1081" s="38"/>
    </row>
    <row r="1082">
      <c r="A1082" s="41"/>
      <c r="C1082" s="7"/>
      <c r="D1082" s="7"/>
      <c r="E1082" s="18"/>
      <c r="F1082" s="38"/>
      <c r="G1082" s="38"/>
      <c r="H1082" s="38"/>
      <c r="I1082" s="38"/>
      <c r="J1082" s="38"/>
      <c r="K1082" s="38"/>
      <c r="L1082" s="38"/>
      <c r="M1082" s="38"/>
      <c r="N1082" s="38"/>
      <c r="O1082" s="38"/>
      <c r="P1082" s="38"/>
      <c r="Q1082" s="38"/>
      <c r="R1082" s="38"/>
      <c r="S1082" s="38"/>
      <c r="T1082" s="38"/>
    </row>
    <row r="1083">
      <c r="A1083" s="41"/>
      <c r="C1083" s="7"/>
      <c r="D1083" s="7"/>
      <c r="E1083" s="18"/>
      <c r="F1083" s="38"/>
      <c r="G1083" s="38"/>
      <c r="H1083" s="38"/>
      <c r="I1083" s="38"/>
      <c r="J1083" s="38"/>
      <c r="K1083" s="38"/>
      <c r="L1083" s="38"/>
      <c r="M1083" s="38"/>
      <c r="N1083" s="38"/>
      <c r="O1083" s="38"/>
      <c r="P1083" s="38"/>
      <c r="Q1083" s="38"/>
      <c r="R1083" s="38"/>
      <c r="S1083" s="38"/>
      <c r="T1083" s="38"/>
    </row>
    <row r="1084">
      <c r="A1084" s="41"/>
      <c r="C1084" s="7"/>
      <c r="D1084" s="7"/>
      <c r="E1084" s="18"/>
      <c r="F1084" s="38"/>
      <c r="G1084" s="38"/>
      <c r="H1084" s="38"/>
      <c r="I1084" s="38"/>
      <c r="J1084" s="38"/>
      <c r="K1084" s="38"/>
      <c r="L1084" s="38"/>
      <c r="M1084" s="38"/>
      <c r="N1084" s="38"/>
      <c r="O1084" s="38"/>
      <c r="P1084" s="38"/>
      <c r="Q1084" s="38"/>
      <c r="R1084" s="38"/>
      <c r="S1084" s="38"/>
      <c r="T1084" s="38"/>
    </row>
    <row r="1085">
      <c r="A1085" s="41"/>
      <c r="C1085" s="7"/>
      <c r="D1085" s="7"/>
      <c r="E1085" s="18"/>
      <c r="F1085" s="38"/>
      <c r="G1085" s="38"/>
      <c r="H1085" s="38"/>
      <c r="I1085" s="38"/>
      <c r="J1085" s="38"/>
      <c r="K1085" s="38"/>
      <c r="L1085" s="38"/>
      <c r="M1085" s="38"/>
      <c r="N1085" s="38"/>
      <c r="O1085" s="38"/>
      <c r="P1085" s="38"/>
      <c r="Q1085" s="38"/>
      <c r="R1085" s="38"/>
      <c r="S1085" s="38"/>
      <c r="T1085" s="38"/>
    </row>
    <row r="1086">
      <c r="A1086" s="41"/>
      <c r="C1086" s="7"/>
      <c r="D1086" s="7"/>
      <c r="E1086" s="18"/>
      <c r="F1086" s="38"/>
      <c r="G1086" s="38"/>
      <c r="H1086" s="38"/>
      <c r="I1086" s="38"/>
      <c r="J1086" s="38"/>
      <c r="K1086" s="38"/>
      <c r="L1086" s="38"/>
      <c r="M1086" s="38"/>
      <c r="N1086" s="38"/>
      <c r="O1086" s="38"/>
      <c r="P1086" s="38"/>
      <c r="Q1086" s="38"/>
      <c r="R1086" s="38"/>
      <c r="S1086" s="38"/>
      <c r="T1086" s="38"/>
    </row>
    <row r="1087">
      <c r="A1087" s="41"/>
      <c r="C1087" s="7"/>
      <c r="D1087" s="7"/>
      <c r="E1087" s="18"/>
      <c r="F1087" s="38"/>
      <c r="G1087" s="38"/>
      <c r="H1087" s="38"/>
      <c r="I1087" s="38"/>
      <c r="J1087" s="38"/>
      <c r="K1087" s="38"/>
      <c r="L1087" s="38"/>
      <c r="M1087" s="38"/>
      <c r="N1087" s="38"/>
      <c r="O1087" s="38"/>
      <c r="P1087" s="38"/>
      <c r="Q1087" s="38"/>
      <c r="R1087" s="38"/>
      <c r="S1087" s="38"/>
      <c r="T1087" s="38"/>
    </row>
    <row r="1088">
      <c r="A1088" s="41"/>
      <c r="C1088" s="7"/>
      <c r="D1088" s="7"/>
      <c r="E1088" s="18"/>
      <c r="F1088" s="38"/>
      <c r="G1088" s="38"/>
      <c r="H1088" s="38"/>
      <c r="I1088" s="38"/>
      <c r="J1088" s="38"/>
      <c r="K1088" s="38"/>
      <c r="L1088" s="38"/>
      <c r="M1088" s="38"/>
      <c r="N1088" s="38"/>
      <c r="O1088" s="38"/>
      <c r="P1088" s="38"/>
      <c r="Q1088" s="38"/>
      <c r="R1088" s="38"/>
      <c r="S1088" s="38"/>
      <c r="T1088" s="38"/>
    </row>
    <row r="1089">
      <c r="A1089" s="41"/>
      <c r="C1089" s="7"/>
      <c r="D1089" s="7"/>
      <c r="E1089" s="18"/>
      <c r="F1089" s="38"/>
      <c r="G1089" s="38"/>
      <c r="H1089" s="38"/>
      <c r="I1089" s="38"/>
      <c r="J1089" s="38"/>
      <c r="K1089" s="38"/>
      <c r="L1089" s="38"/>
      <c r="M1089" s="38"/>
      <c r="N1089" s="38"/>
      <c r="O1089" s="38"/>
      <c r="P1089" s="38"/>
      <c r="Q1089" s="38"/>
      <c r="R1089" s="38"/>
      <c r="S1089" s="38"/>
      <c r="T1089" s="38"/>
    </row>
    <row r="1090">
      <c r="A1090" s="41"/>
      <c r="C1090" s="7"/>
      <c r="D1090" s="7"/>
      <c r="E1090" s="18"/>
      <c r="F1090" s="38"/>
      <c r="G1090" s="38"/>
      <c r="H1090" s="38"/>
      <c r="I1090" s="38"/>
      <c r="J1090" s="38"/>
      <c r="K1090" s="38"/>
      <c r="L1090" s="38"/>
      <c r="M1090" s="38"/>
      <c r="N1090" s="38"/>
      <c r="O1090" s="38"/>
      <c r="P1090" s="38"/>
      <c r="Q1090" s="38"/>
      <c r="R1090" s="38"/>
      <c r="S1090" s="38"/>
      <c r="T1090" s="38"/>
    </row>
    <row r="1091">
      <c r="A1091" s="41"/>
      <c r="C1091" s="7"/>
      <c r="D1091" s="7"/>
      <c r="E1091" s="18"/>
      <c r="F1091" s="38"/>
      <c r="G1091" s="38"/>
      <c r="H1091" s="38"/>
      <c r="I1091" s="38"/>
      <c r="J1091" s="38"/>
      <c r="K1091" s="38"/>
      <c r="L1091" s="38"/>
      <c r="M1091" s="38"/>
      <c r="N1091" s="38"/>
      <c r="O1091" s="38"/>
      <c r="P1091" s="38"/>
      <c r="Q1091" s="38"/>
      <c r="R1091" s="38"/>
      <c r="S1091" s="38"/>
      <c r="T1091" s="38"/>
    </row>
    <row r="1092">
      <c r="A1092" s="41"/>
      <c r="C1092" s="7"/>
      <c r="D1092" s="7"/>
      <c r="E1092" s="18"/>
      <c r="F1092" s="38"/>
      <c r="G1092" s="38"/>
      <c r="H1092" s="38"/>
      <c r="I1092" s="38"/>
      <c r="J1092" s="38"/>
      <c r="K1092" s="38"/>
      <c r="L1092" s="38"/>
      <c r="M1092" s="38"/>
      <c r="N1092" s="38"/>
      <c r="O1092" s="38"/>
      <c r="P1092" s="38"/>
      <c r="Q1092" s="38"/>
      <c r="R1092" s="38"/>
      <c r="S1092" s="38"/>
      <c r="T1092" s="38"/>
    </row>
    <row r="1093">
      <c r="A1093" s="41"/>
      <c r="C1093" s="7"/>
      <c r="D1093" s="7"/>
      <c r="E1093" s="18"/>
      <c r="F1093" s="38"/>
      <c r="G1093" s="38"/>
      <c r="H1093" s="38"/>
      <c r="I1093" s="38"/>
      <c r="J1093" s="38"/>
      <c r="K1093" s="38"/>
      <c r="L1093" s="38"/>
      <c r="M1093" s="38"/>
      <c r="N1093" s="38"/>
      <c r="O1093" s="38"/>
      <c r="P1093" s="38"/>
      <c r="Q1093" s="38"/>
      <c r="R1093" s="38"/>
      <c r="S1093" s="38"/>
      <c r="T1093" s="38"/>
    </row>
    <row r="1094">
      <c r="A1094" s="41"/>
      <c r="C1094" s="7"/>
      <c r="D1094" s="7"/>
      <c r="E1094" s="18"/>
      <c r="F1094" s="38"/>
      <c r="G1094" s="38"/>
      <c r="H1094" s="38"/>
      <c r="I1094" s="38"/>
      <c r="J1094" s="38"/>
      <c r="K1094" s="38"/>
      <c r="L1094" s="38"/>
      <c r="M1094" s="38"/>
      <c r="N1094" s="38"/>
      <c r="O1094" s="38"/>
      <c r="P1094" s="38"/>
      <c r="Q1094" s="38"/>
      <c r="R1094" s="38"/>
      <c r="S1094" s="38"/>
      <c r="T1094" s="38"/>
    </row>
    <row r="1095">
      <c r="A1095" s="41"/>
      <c r="C1095" s="7"/>
      <c r="D1095" s="7"/>
      <c r="E1095" s="18"/>
      <c r="F1095" s="38"/>
      <c r="G1095" s="38"/>
      <c r="H1095" s="38"/>
      <c r="I1095" s="38"/>
      <c r="J1095" s="38"/>
      <c r="K1095" s="38"/>
      <c r="L1095" s="38"/>
      <c r="M1095" s="38"/>
      <c r="N1095" s="38"/>
      <c r="O1095" s="38"/>
      <c r="P1095" s="38"/>
      <c r="Q1095" s="38"/>
      <c r="R1095" s="38"/>
      <c r="S1095" s="38"/>
      <c r="T1095" s="38"/>
    </row>
    <row r="1096">
      <c r="A1096" s="41"/>
      <c r="C1096" s="7"/>
      <c r="D1096" s="7"/>
      <c r="E1096" s="18"/>
      <c r="F1096" s="38"/>
      <c r="G1096" s="38"/>
      <c r="H1096" s="38"/>
      <c r="I1096" s="38"/>
      <c r="J1096" s="38"/>
      <c r="K1096" s="38"/>
      <c r="L1096" s="38"/>
      <c r="M1096" s="38"/>
      <c r="N1096" s="38"/>
      <c r="O1096" s="38"/>
      <c r="P1096" s="38"/>
      <c r="Q1096" s="38"/>
      <c r="R1096" s="38"/>
      <c r="S1096" s="38"/>
      <c r="T1096" s="38"/>
    </row>
    <row r="1097">
      <c r="A1097" s="41"/>
      <c r="C1097" s="7"/>
      <c r="D1097" s="7"/>
      <c r="E1097" s="18"/>
      <c r="F1097" s="38"/>
      <c r="G1097" s="38"/>
      <c r="H1097" s="38"/>
      <c r="I1097" s="38"/>
      <c r="J1097" s="38"/>
      <c r="K1097" s="38"/>
      <c r="L1097" s="38"/>
      <c r="M1097" s="38"/>
      <c r="N1097" s="38"/>
      <c r="O1097" s="38"/>
      <c r="P1097" s="38"/>
      <c r="Q1097" s="38"/>
      <c r="R1097" s="38"/>
      <c r="S1097" s="38"/>
      <c r="T1097" s="38"/>
    </row>
    <row r="1098">
      <c r="A1098" s="41"/>
      <c r="C1098" s="7"/>
      <c r="D1098" s="7"/>
      <c r="E1098" s="18"/>
      <c r="F1098" s="38"/>
      <c r="G1098" s="38"/>
      <c r="H1098" s="38"/>
      <c r="I1098" s="38"/>
      <c r="J1098" s="38"/>
      <c r="K1098" s="38"/>
      <c r="L1098" s="38"/>
      <c r="M1098" s="38"/>
      <c r="N1098" s="38"/>
      <c r="O1098" s="38"/>
      <c r="P1098" s="38"/>
      <c r="Q1098" s="38"/>
      <c r="R1098" s="38"/>
      <c r="S1098" s="38"/>
      <c r="T1098" s="38"/>
    </row>
    <row r="1099">
      <c r="A1099" s="41"/>
      <c r="C1099" s="7"/>
      <c r="D1099" s="7"/>
      <c r="E1099" s="18"/>
      <c r="F1099" s="38"/>
      <c r="G1099" s="38"/>
      <c r="H1099" s="38"/>
      <c r="I1099" s="38"/>
      <c r="J1099" s="38"/>
      <c r="K1099" s="38"/>
      <c r="L1099" s="38"/>
      <c r="M1099" s="38"/>
      <c r="N1099" s="38"/>
      <c r="O1099" s="38"/>
      <c r="P1099" s="38"/>
      <c r="Q1099" s="38"/>
      <c r="R1099" s="38"/>
      <c r="S1099" s="38"/>
      <c r="T1099" s="38"/>
    </row>
    <row r="1100">
      <c r="A1100" s="41"/>
      <c r="C1100" s="7"/>
      <c r="D1100" s="7"/>
      <c r="E1100" s="18"/>
      <c r="F1100" s="38"/>
      <c r="G1100" s="38"/>
      <c r="H1100" s="38"/>
      <c r="I1100" s="38"/>
      <c r="J1100" s="38"/>
      <c r="K1100" s="38"/>
      <c r="L1100" s="38"/>
      <c r="M1100" s="38"/>
      <c r="N1100" s="38"/>
      <c r="O1100" s="38"/>
      <c r="P1100" s="38"/>
      <c r="Q1100" s="38"/>
      <c r="R1100" s="38"/>
      <c r="S1100" s="38"/>
      <c r="T1100" s="38"/>
    </row>
    <row r="1101">
      <c r="A1101" s="41"/>
      <c r="C1101" s="7"/>
      <c r="D1101" s="7"/>
      <c r="E1101" s="18"/>
      <c r="F1101" s="38"/>
      <c r="G1101" s="38"/>
      <c r="H1101" s="38"/>
      <c r="I1101" s="38"/>
      <c r="J1101" s="38"/>
      <c r="K1101" s="38"/>
      <c r="L1101" s="38"/>
      <c r="M1101" s="38"/>
      <c r="N1101" s="38"/>
      <c r="O1101" s="38"/>
      <c r="P1101" s="38"/>
      <c r="Q1101" s="38"/>
      <c r="R1101" s="38"/>
      <c r="S1101" s="38"/>
      <c r="T1101" s="38"/>
    </row>
    <row r="1102">
      <c r="A1102" s="41"/>
      <c r="C1102" s="7"/>
      <c r="D1102" s="7"/>
      <c r="E1102" s="18"/>
      <c r="F1102" s="38"/>
      <c r="G1102" s="38"/>
      <c r="H1102" s="38"/>
      <c r="I1102" s="38"/>
      <c r="J1102" s="38"/>
      <c r="K1102" s="38"/>
      <c r="L1102" s="38"/>
      <c r="M1102" s="38"/>
      <c r="N1102" s="38"/>
      <c r="O1102" s="38"/>
      <c r="P1102" s="38"/>
      <c r="Q1102" s="38"/>
      <c r="R1102" s="38"/>
      <c r="S1102" s="38"/>
      <c r="T1102" s="38"/>
    </row>
    <row r="1103">
      <c r="A1103" s="41"/>
      <c r="C1103" s="7"/>
      <c r="D1103" s="7"/>
      <c r="E1103" s="18"/>
      <c r="F1103" s="38"/>
      <c r="G1103" s="38"/>
      <c r="H1103" s="38"/>
      <c r="I1103" s="38"/>
      <c r="J1103" s="38"/>
      <c r="K1103" s="38"/>
      <c r="L1103" s="38"/>
      <c r="M1103" s="38"/>
      <c r="N1103" s="38"/>
      <c r="O1103" s="38"/>
      <c r="P1103" s="38"/>
      <c r="Q1103" s="38"/>
      <c r="R1103" s="38"/>
      <c r="S1103" s="38"/>
      <c r="T1103" s="38"/>
    </row>
    <row r="1104">
      <c r="A1104" s="41"/>
      <c r="C1104" s="7"/>
      <c r="D1104" s="7"/>
      <c r="E1104" s="18"/>
      <c r="F1104" s="38"/>
      <c r="G1104" s="38"/>
      <c r="H1104" s="38"/>
      <c r="I1104" s="38"/>
      <c r="J1104" s="38"/>
      <c r="K1104" s="38"/>
      <c r="L1104" s="38"/>
      <c r="M1104" s="38"/>
      <c r="N1104" s="38"/>
      <c r="O1104" s="38"/>
      <c r="P1104" s="38"/>
      <c r="Q1104" s="38"/>
      <c r="R1104" s="38"/>
      <c r="S1104" s="38"/>
      <c r="T1104" s="38"/>
    </row>
    <row r="1105">
      <c r="A1105" s="19"/>
      <c r="B1105" s="19"/>
      <c r="C1105" s="42"/>
      <c r="D1105" s="42"/>
      <c r="E1105" s="19"/>
      <c r="F1105" s="39"/>
      <c r="G1105" s="39"/>
      <c r="H1105" s="39"/>
      <c r="I1105" s="39"/>
      <c r="J1105" s="39"/>
      <c r="K1105" s="19"/>
      <c r="L1105" s="19"/>
      <c r="M1105" s="19"/>
      <c r="N1105" s="19"/>
      <c r="O1105" s="19"/>
      <c r="P1105" s="19"/>
      <c r="Q1105" s="38"/>
      <c r="R1105" s="38"/>
      <c r="S1105" s="38"/>
      <c r="T1105" s="38"/>
    </row>
    <row r="1106">
      <c r="A1106" s="41"/>
      <c r="C1106" s="7"/>
      <c r="D1106" s="7"/>
      <c r="E1106" s="18"/>
      <c r="F1106" s="38"/>
      <c r="G1106" s="38"/>
      <c r="H1106" s="38"/>
      <c r="I1106" s="38"/>
      <c r="J1106" s="38"/>
      <c r="K1106" s="38"/>
      <c r="L1106" s="38"/>
      <c r="M1106" s="38"/>
      <c r="N1106" s="38"/>
      <c r="O1106" s="38"/>
      <c r="P1106" s="38"/>
      <c r="Q1106" s="38"/>
      <c r="R1106" s="38"/>
      <c r="S1106" s="38"/>
      <c r="T1106" s="38"/>
    </row>
    <row r="1107">
      <c r="A1107" s="41"/>
      <c r="C1107" s="7"/>
      <c r="D1107" s="7"/>
      <c r="E1107" s="18"/>
      <c r="F1107" s="38"/>
      <c r="G1107" s="38"/>
      <c r="H1107" s="38"/>
      <c r="I1107" s="38"/>
      <c r="J1107" s="38"/>
      <c r="K1107" s="38"/>
      <c r="L1107" s="38"/>
      <c r="M1107" s="38"/>
      <c r="N1107" s="38"/>
      <c r="O1107" s="38"/>
      <c r="P1107" s="38"/>
      <c r="Q1107" s="38"/>
      <c r="R1107" s="38"/>
      <c r="S1107" s="38"/>
      <c r="T1107" s="38"/>
    </row>
    <row r="1108">
      <c r="A1108" s="41"/>
      <c r="C1108" s="7"/>
      <c r="D1108" s="7"/>
      <c r="E1108" s="18"/>
      <c r="F1108" s="38"/>
      <c r="G1108" s="38"/>
      <c r="H1108" s="38"/>
      <c r="I1108" s="38"/>
      <c r="J1108" s="38"/>
      <c r="K1108" s="38"/>
      <c r="L1108" s="38"/>
      <c r="M1108" s="38"/>
      <c r="N1108" s="38"/>
      <c r="O1108" s="38"/>
      <c r="P1108" s="38"/>
      <c r="Q1108" s="38"/>
      <c r="R1108" s="38"/>
      <c r="S1108" s="38"/>
      <c r="T1108" s="38"/>
    </row>
    <row r="1109">
      <c r="A1109" s="41"/>
      <c r="C1109" s="7"/>
      <c r="D1109" s="7"/>
      <c r="E1109" s="18"/>
      <c r="F1109" s="38"/>
      <c r="G1109" s="38"/>
      <c r="H1109" s="38"/>
      <c r="I1109" s="38"/>
      <c r="J1109" s="38"/>
      <c r="K1109" s="38"/>
      <c r="L1109" s="38"/>
      <c r="M1109" s="38"/>
      <c r="N1109" s="38"/>
      <c r="O1109" s="38"/>
      <c r="P1109" s="38"/>
      <c r="Q1109" s="38"/>
      <c r="R1109" s="38"/>
      <c r="S1109" s="38"/>
      <c r="T1109" s="38"/>
    </row>
    <row r="1110">
      <c r="A1110" s="41"/>
      <c r="C1110" s="7"/>
      <c r="D1110" s="7"/>
      <c r="E1110" s="18"/>
      <c r="F1110" s="38"/>
      <c r="G1110" s="38"/>
      <c r="H1110" s="38"/>
      <c r="I1110" s="38"/>
      <c r="J1110" s="38"/>
      <c r="K1110" s="38"/>
      <c r="L1110" s="38"/>
      <c r="M1110" s="38"/>
      <c r="N1110" s="38"/>
      <c r="O1110" s="38"/>
      <c r="P1110" s="38"/>
      <c r="Q1110" s="38"/>
      <c r="R1110" s="38"/>
      <c r="S1110" s="38"/>
      <c r="T1110" s="38"/>
    </row>
    <row r="1111">
      <c r="A1111" s="41"/>
      <c r="C1111" s="7"/>
      <c r="D1111" s="7"/>
      <c r="E1111" s="18"/>
      <c r="F1111" s="38"/>
      <c r="G1111" s="38"/>
      <c r="H1111" s="38"/>
      <c r="I1111" s="38"/>
      <c r="J1111" s="38"/>
      <c r="K1111" s="38"/>
      <c r="L1111" s="38"/>
      <c r="M1111" s="38"/>
      <c r="N1111" s="38"/>
      <c r="O1111" s="38"/>
      <c r="P1111" s="38"/>
      <c r="Q1111" s="38"/>
      <c r="R1111" s="38"/>
      <c r="S1111" s="38"/>
      <c r="T1111" s="38"/>
    </row>
    <row r="1112">
      <c r="A1112" s="41"/>
      <c r="C1112" s="7"/>
      <c r="D1112" s="7"/>
      <c r="E1112" s="18"/>
      <c r="F1112" s="38"/>
      <c r="G1112" s="38"/>
      <c r="H1112" s="38"/>
      <c r="I1112" s="38"/>
      <c r="J1112" s="38"/>
      <c r="K1112" s="38"/>
      <c r="L1112" s="38"/>
      <c r="M1112" s="38"/>
      <c r="N1112" s="38"/>
      <c r="O1112" s="38"/>
      <c r="P1112" s="38"/>
      <c r="Q1112" s="38"/>
      <c r="R1112" s="38"/>
      <c r="S1112" s="38"/>
      <c r="T1112" s="38"/>
    </row>
    <row r="1113">
      <c r="A1113" s="41"/>
      <c r="C1113" s="7"/>
      <c r="D1113" s="7"/>
      <c r="E1113" s="18"/>
      <c r="F1113" s="38"/>
      <c r="G1113" s="38"/>
      <c r="H1113" s="38"/>
      <c r="I1113" s="38"/>
      <c r="J1113" s="38"/>
      <c r="K1113" s="38"/>
      <c r="L1113" s="38"/>
      <c r="M1113" s="38"/>
      <c r="N1113" s="38"/>
      <c r="O1113" s="38"/>
      <c r="P1113" s="38"/>
      <c r="Q1113" s="38"/>
      <c r="R1113" s="38"/>
      <c r="S1113" s="38"/>
      <c r="T1113" s="38"/>
    </row>
    <row r="1114">
      <c r="A1114" s="41"/>
      <c r="C1114" s="7"/>
      <c r="D1114" s="7"/>
      <c r="E1114" s="18"/>
      <c r="F1114" s="38"/>
      <c r="G1114" s="38"/>
      <c r="H1114" s="38"/>
      <c r="I1114" s="38"/>
      <c r="J1114" s="38"/>
      <c r="K1114" s="38"/>
      <c r="L1114" s="38"/>
      <c r="M1114" s="38"/>
      <c r="N1114" s="38"/>
      <c r="O1114" s="38"/>
      <c r="P1114" s="38"/>
      <c r="Q1114" s="38"/>
      <c r="R1114" s="38"/>
      <c r="S1114" s="38"/>
      <c r="T1114" s="38"/>
    </row>
    <row r="1115">
      <c r="A1115" s="41"/>
      <c r="C1115" s="7"/>
      <c r="D1115" s="7"/>
      <c r="E1115" s="18"/>
      <c r="F1115" s="38"/>
      <c r="G1115" s="38"/>
      <c r="H1115" s="38"/>
      <c r="I1115" s="38"/>
      <c r="J1115" s="38"/>
      <c r="K1115" s="38"/>
      <c r="L1115" s="38"/>
      <c r="M1115" s="38"/>
      <c r="N1115" s="38"/>
      <c r="O1115" s="38"/>
      <c r="P1115" s="38"/>
      <c r="Q1115" s="38"/>
      <c r="R1115" s="38"/>
      <c r="S1115" s="38"/>
      <c r="T1115" s="38"/>
    </row>
    <row r="1116">
      <c r="A1116" s="41"/>
      <c r="C1116" s="7"/>
      <c r="D1116" s="7"/>
      <c r="E1116" s="18"/>
      <c r="F1116" s="38"/>
      <c r="G1116" s="38"/>
      <c r="H1116" s="38"/>
      <c r="I1116" s="38"/>
      <c r="J1116" s="38"/>
      <c r="K1116" s="38"/>
      <c r="L1116" s="38"/>
      <c r="M1116" s="38"/>
      <c r="N1116" s="38"/>
      <c r="O1116" s="38"/>
      <c r="P1116" s="38"/>
      <c r="Q1116" s="38"/>
      <c r="R1116" s="38"/>
      <c r="S1116" s="38"/>
      <c r="T1116" s="38"/>
    </row>
    <row r="1117">
      <c r="A1117" s="41"/>
      <c r="C1117" s="7"/>
      <c r="D1117" s="7"/>
      <c r="E1117" s="18"/>
      <c r="F1117" s="38"/>
      <c r="G1117" s="38"/>
      <c r="H1117" s="38"/>
      <c r="I1117" s="38"/>
      <c r="J1117" s="38"/>
      <c r="K1117" s="38"/>
      <c r="L1117" s="38"/>
      <c r="M1117" s="38"/>
      <c r="N1117" s="38"/>
      <c r="O1117" s="38"/>
      <c r="P1117" s="38"/>
      <c r="Q1117" s="38"/>
      <c r="R1117" s="38"/>
      <c r="S1117" s="38"/>
      <c r="T1117" s="38"/>
    </row>
    <row r="1118">
      <c r="A1118" s="41"/>
      <c r="C1118" s="7"/>
      <c r="D1118" s="7"/>
      <c r="E1118" s="18"/>
      <c r="F1118" s="38"/>
      <c r="G1118" s="38"/>
      <c r="H1118" s="38"/>
      <c r="I1118" s="38"/>
      <c r="J1118" s="38"/>
      <c r="K1118" s="38"/>
      <c r="L1118" s="38"/>
      <c r="M1118" s="38"/>
      <c r="N1118" s="38"/>
      <c r="O1118" s="38"/>
      <c r="P1118" s="38"/>
      <c r="Q1118" s="38"/>
      <c r="R1118" s="38"/>
      <c r="S1118" s="38"/>
      <c r="T1118" s="38"/>
    </row>
    <row r="1119">
      <c r="A1119" s="41"/>
      <c r="C1119" s="7"/>
      <c r="D1119" s="7"/>
      <c r="E1119" s="18"/>
      <c r="F1119" s="38"/>
      <c r="G1119" s="38"/>
      <c r="H1119" s="38"/>
      <c r="I1119" s="38"/>
      <c r="J1119" s="38"/>
      <c r="K1119" s="38"/>
      <c r="L1119" s="38"/>
      <c r="M1119" s="38"/>
      <c r="N1119" s="38"/>
      <c r="O1119" s="38"/>
      <c r="P1119" s="38"/>
      <c r="Q1119" s="38"/>
      <c r="R1119" s="38"/>
      <c r="S1119" s="38"/>
      <c r="T1119" s="38"/>
    </row>
    <row r="1120">
      <c r="A1120" s="41"/>
      <c r="C1120" s="7"/>
      <c r="D1120" s="7"/>
      <c r="E1120" s="18"/>
      <c r="F1120" s="38"/>
      <c r="G1120" s="38"/>
      <c r="H1120" s="38"/>
      <c r="I1120" s="38"/>
      <c r="J1120" s="38"/>
      <c r="K1120" s="38"/>
      <c r="L1120" s="38"/>
      <c r="M1120" s="38"/>
      <c r="N1120" s="38"/>
      <c r="O1120" s="38"/>
      <c r="P1120" s="38"/>
      <c r="Q1120" s="38"/>
      <c r="R1120" s="38"/>
      <c r="S1120" s="38"/>
      <c r="T1120" s="38"/>
    </row>
    <row r="1121">
      <c r="A1121" s="41"/>
      <c r="C1121" s="7"/>
      <c r="D1121" s="7"/>
      <c r="E1121" s="18"/>
      <c r="F1121" s="38"/>
      <c r="G1121" s="38"/>
      <c r="H1121" s="38"/>
      <c r="I1121" s="38"/>
      <c r="J1121" s="38"/>
      <c r="K1121" s="38"/>
      <c r="L1121" s="38"/>
      <c r="M1121" s="38"/>
      <c r="N1121" s="38"/>
      <c r="O1121" s="38"/>
      <c r="P1121" s="38"/>
      <c r="Q1121" s="38"/>
      <c r="R1121" s="38"/>
      <c r="S1121" s="38"/>
      <c r="T1121" s="38"/>
    </row>
    <row r="1122">
      <c r="A1122" s="41"/>
      <c r="C1122" s="7"/>
      <c r="D1122" s="7"/>
      <c r="E1122" s="18"/>
      <c r="F1122" s="38"/>
      <c r="G1122" s="38"/>
      <c r="H1122" s="38"/>
      <c r="I1122" s="38"/>
      <c r="J1122" s="38"/>
      <c r="K1122" s="38"/>
      <c r="L1122" s="38"/>
      <c r="M1122" s="38"/>
      <c r="N1122" s="38"/>
      <c r="O1122" s="38"/>
      <c r="P1122" s="38"/>
      <c r="Q1122" s="38"/>
      <c r="R1122" s="38"/>
      <c r="S1122" s="38"/>
      <c r="T1122" s="38"/>
    </row>
    <row r="1123">
      <c r="A1123" s="41"/>
      <c r="C1123" s="7"/>
      <c r="D1123" s="7"/>
      <c r="E1123" s="18"/>
      <c r="F1123" s="38"/>
      <c r="G1123" s="38"/>
      <c r="H1123" s="38"/>
      <c r="I1123" s="38"/>
      <c r="J1123" s="38"/>
      <c r="K1123" s="38"/>
      <c r="L1123" s="38"/>
      <c r="M1123" s="38"/>
      <c r="N1123" s="38"/>
      <c r="O1123" s="38"/>
      <c r="P1123" s="38"/>
      <c r="Q1123" s="38"/>
      <c r="R1123" s="38"/>
      <c r="S1123" s="38"/>
      <c r="T1123" s="38"/>
    </row>
    <row r="1124">
      <c r="A1124" s="41"/>
      <c r="C1124" s="7"/>
      <c r="D1124" s="7"/>
      <c r="E1124" s="18"/>
      <c r="F1124" s="38"/>
      <c r="G1124" s="38"/>
      <c r="H1124" s="38"/>
      <c r="I1124" s="38"/>
      <c r="J1124" s="38"/>
      <c r="K1124" s="38"/>
      <c r="L1124" s="38"/>
      <c r="M1124" s="38"/>
      <c r="N1124" s="38"/>
      <c r="O1124" s="38"/>
      <c r="P1124" s="38"/>
      <c r="Q1124" s="38"/>
      <c r="R1124" s="38"/>
      <c r="S1124" s="38"/>
      <c r="T1124" s="38"/>
    </row>
    <row r="1125">
      <c r="A1125" s="41"/>
      <c r="C1125" s="7"/>
      <c r="D1125" s="7"/>
      <c r="E1125" s="18"/>
      <c r="F1125" s="38"/>
      <c r="G1125" s="38"/>
      <c r="H1125" s="38"/>
      <c r="I1125" s="38"/>
      <c r="J1125" s="38"/>
      <c r="K1125" s="38"/>
      <c r="L1125" s="38"/>
      <c r="M1125" s="38"/>
      <c r="N1125" s="38"/>
      <c r="O1125" s="38"/>
      <c r="P1125" s="38"/>
      <c r="Q1125" s="38"/>
      <c r="R1125" s="38"/>
      <c r="S1125" s="38"/>
      <c r="T1125" s="38"/>
    </row>
    <row r="1126">
      <c r="A1126" s="41"/>
      <c r="C1126" s="7"/>
      <c r="D1126" s="7"/>
      <c r="E1126" s="18"/>
      <c r="F1126" s="38"/>
      <c r="G1126" s="38"/>
      <c r="H1126" s="38"/>
      <c r="I1126" s="38"/>
      <c r="J1126" s="38"/>
      <c r="K1126" s="38"/>
      <c r="L1126" s="38"/>
      <c r="M1126" s="38"/>
      <c r="N1126" s="38"/>
      <c r="O1126" s="38"/>
      <c r="P1126" s="38"/>
      <c r="Q1126" s="38"/>
      <c r="R1126" s="38"/>
      <c r="S1126" s="38"/>
      <c r="T1126" s="38"/>
    </row>
    <row r="1127">
      <c r="A1127" s="41"/>
      <c r="C1127" s="7"/>
      <c r="D1127" s="7"/>
      <c r="E1127" s="18"/>
      <c r="F1127" s="38"/>
      <c r="G1127" s="38"/>
      <c r="H1127" s="38"/>
      <c r="I1127" s="38"/>
      <c r="J1127" s="38"/>
      <c r="K1127" s="38"/>
      <c r="L1127" s="38"/>
      <c r="M1127" s="38"/>
      <c r="N1127" s="38"/>
      <c r="O1127" s="38"/>
      <c r="P1127" s="38"/>
      <c r="Q1127" s="38"/>
      <c r="R1127" s="38"/>
      <c r="S1127" s="38"/>
      <c r="T1127" s="38"/>
    </row>
    <row r="1128">
      <c r="A1128" s="41"/>
      <c r="C1128" s="7"/>
      <c r="D1128" s="7"/>
      <c r="E1128" s="18"/>
      <c r="F1128" s="38"/>
      <c r="G1128" s="38"/>
      <c r="H1128" s="38"/>
      <c r="I1128" s="38"/>
      <c r="J1128" s="38"/>
      <c r="K1128" s="38"/>
      <c r="L1128" s="38"/>
      <c r="M1128" s="38"/>
      <c r="N1128" s="38"/>
      <c r="O1128" s="38"/>
      <c r="P1128" s="38"/>
      <c r="Q1128" s="38"/>
      <c r="R1128" s="38"/>
      <c r="S1128" s="38"/>
      <c r="T1128" s="38"/>
    </row>
    <row r="1129">
      <c r="A1129" s="41"/>
      <c r="C1129" s="7"/>
      <c r="D1129" s="7"/>
      <c r="E1129" s="18"/>
      <c r="F1129" s="38"/>
      <c r="G1129" s="38"/>
      <c r="H1129" s="38"/>
      <c r="I1129" s="38"/>
      <c r="J1129" s="38"/>
      <c r="K1129" s="38"/>
      <c r="L1129" s="38"/>
      <c r="M1129" s="38"/>
      <c r="N1129" s="38"/>
      <c r="O1129" s="38"/>
      <c r="P1129" s="38"/>
      <c r="Q1129" s="38"/>
      <c r="R1129" s="38"/>
      <c r="S1129" s="38"/>
      <c r="T1129" s="38"/>
    </row>
    <row r="1130">
      <c r="A1130" s="41"/>
      <c r="C1130" s="7"/>
      <c r="D1130" s="7"/>
      <c r="E1130" s="18"/>
      <c r="F1130" s="38"/>
      <c r="G1130" s="38"/>
      <c r="H1130" s="38"/>
      <c r="I1130" s="38"/>
      <c r="J1130" s="38"/>
      <c r="K1130" s="38"/>
      <c r="L1130" s="38"/>
      <c r="M1130" s="38"/>
      <c r="N1130" s="38"/>
      <c r="O1130" s="38"/>
      <c r="P1130" s="38"/>
      <c r="Q1130" s="38"/>
      <c r="R1130" s="38"/>
      <c r="S1130" s="38"/>
      <c r="T1130" s="38"/>
    </row>
    <row r="1131">
      <c r="A1131" s="41"/>
      <c r="C1131" s="7"/>
      <c r="D1131" s="7"/>
      <c r="E1131" s="18"/>
      <c r="F1131" s="38"/>
      <c r="G1131" s="38"/>
      <c r="H1131" s="38"/>
      <c r="I1131" s="38"/>
      <c r="J1131" s="38"/>
      <c r="K1131" s="38"/>
      <c r="L1131" s="38"/>
      <c r="M1131" s="38"/>
      <c r="N1131" s="38"/>
      <c r="O1131" s="38"/>
      <c r="P1131" s="38"/>
      <c r="Q1131" s="38"/>
      <c r="R1131" s="38"/>
      <c r="S1131" s="38"/>
      <c r="T1131" s="38"/>
    </row>
    <row r="1132">
      <c r="A1132" s="41"/>
      <c r="C1132" s="7"/>
      <c r="D1132" s="7"/>
      <c r="E1132" s="18"/>
      <c r="F1132" s="38"/>
      <c r="G1132" s="38"/>
      <c r="H1132" s="38"/>
      <c r="I1132" s="38"/>
      <c r="J1132" s="38"/>
      <c r="K1132" s="38"/>
      <c r="L1132" s="38"/>
      <c r="M1132" s="38"/>
      <c r="N1132" s="38"/>
      <c r="O1132" s="38"/>
      <c r="P1132" s="38"/>
      <c r="Q1132" s="38"/>
      <c r="R1132" s="38"/>
      <c r="S1132" s="38"/>
      <c r="T1132" s="38"/>
    </row>
    <row r="1133">
      <c r="A1133" s="41"/>
      <c r="C1133" s="7"/>
      <c r="D1133" s="7"/>
      <c r="E1133" s="18"/>
      <c r="F1133" s="38"/>
      <c r="G1133" s="38"/>
      <c r="H1133" s="38"/>
      <c r="I1133" s="38"/>
      <c r="J1133" s="38"/>
      <c r="K1133" s="38"/>
      <c r="L1133" s="38"/>
      <c r="M1133" s="38"/>
      <c r="N1133" s="38"/>
      <c r="O1133" s="38"/>
      <c r="P1133" s="38"/>
      <c r="Q1133" s="38"/>
      <c r="R1133" s="38"/>
      <c r="S1133" s="38"/>
      <c r="T1133" s="38"/>
    </row>
    <row r="1134">
      <c r="A1134" s="41"/>
      <c r="C1134" s="7"/>
      <c r="D1134" s="7"/>
      <c r="E1134" s="18"/>
      <c r="F1134" s="38"/>
      <c r="G1134" s="38"/>
      <c r="H1134" s="38"/>
      <c r="I1134" s="38"/>
      <c r="J1134" s="38"/>
      <c r="K1134" s="38"/>
      <c r="L1134" s="38"/>
      <c r="M1134" s="38"/>
      <c r="N1134" s="38"/>
      <c r="O1134" s="38"/>
      <c r="P1134" s="38"/>
      <c r="Q1134" s="38"/>
      <c r="R1134" s="38"/>
      <c r="S1134" s="38"/>
      <c r="T1134" s="38"/>
    </row>
    <row r="1135">
      <c r="A1135" s="41"/>
      <c r="C1135" s="7"/>
      <c r="D1135" s="7"/>
      <c r="E1135" s="18"/>
      <c r="F1135" s="38"/>
      <c r="G1135" s="38"/>
      <c r="H1135" s="38"/>
      <c r="I1135" s="38"/>
      <c r="J1135" s="38"/>
      <c r="K1135" s="38"/>
      <c r="L1135" s="38"/>
      <c r="M1135" s="38"/>
      <c r="N1135" s="38"/>
      <c r="O1135" s="38"/>
      <c r="P1135" s="38"/>
      <c r="Q1135" s="38"/>
      <c r="R1135" s="38"/>
      <c r="S1135" s="38"/>
      <c r="T1135" s="38"/>
    </row>
    <row r="1136">
      <c r="A1136" s="41"/>
      <c r="C1136" s="7"/>
      <c r="D1136" s="7"/>
      <c r="E1136" s="18"/>
      <c r="F1136" s="38"/>
      <c r="G1136" s="38"/>
      <c r="H1136" s="38"/>
      <c r="I1136" s="38"/>
      <c r="J1136" s="38"/>
      <c r="K1136" s="38"/>
      <c r="L1136" s="38"/>
      <c r="M1136" s="38"/>
      <c r="N1136" s="38"/>
      <c r="O1136" s="38"/>
      <c r="P1136" s="38"/>
      <c r="Q1136" s="38"/>
      <c r="R1136" s="38"/>
      <c r="S1136" s="38"/>
      <c r="T1136" s="38"/>
    </row>
    <row r="1137">
      <c r="A1137" s="41"/>
      <c r="C1137" s="7"/>
      <c r="D1137" s="7"/>
      <c r="E1137" s="18"/>
      <c r="F1137" s="38"/>
      <c r="G1137" s="38"/>
      <c r="H1137" s="38"/>
      <c r="I1137" s="38"/>
      <c r="J1137" s="38"/>
      <c r="K1137" s="38"/>
      <c r="L1137" s="38"/>
      <c r="M1137" s="38"/>
      <c r="N1137" s="38"/>
      <c r="O1137" s="38"/>
      <c r="P1137" s="38"/>
      <c r="Q1137" s="38"/>
      <c r="R1137" s="38"/>
      <c r="S1137" s="38"/>
      <c r="T1137" s="38"/>
    </row>
    <row r="1138">
      <c r="A1138" s="41"/>
      <c r="C1138" s="7"/>
      <c r="D1138" s="7"/>
      <c r="E1138" s="18"/>
      <c r="F1138" s="38"/>
      <c r="G1138" s="38"/>
      <c r="H1138" s="38"/>
      <c r="I1138" s="38"/>
      <c r="J1138" s="38"/>
      <c r="K1138" s="38"/>
      <c r="L1138" s="38"/>
      <c r="M1138" s="38"/>
      <c r="N1138" s="38"/>
      <c r="O1138" s="38"/>
      <c r="P1138" s="38"/>
      <c r="Q1138" s="38"/>
      <c r="R1138" s="38"/>
      <c r="S1138" s="38"/>
      <c r="T1138" s="38"/>
    </row>
    <row r="1139">
      <c r="A1139" s="41"/>
      <c r="C1139" s="7"/>
      <c r="D1139" s="7"/>
      <c r="E1139" s="18"/>
      <c r="F1139" s="38"/>
      <c r="G1139" s="38"/>
      <c r="H1139" s="38"/>
      <c r="I1139" s="38"/>
      <c r="J1139" s="38"/>
      <c r="K1139" s="38"/>
      <c r="L1139" s="38"/>
      <c r="M1139" s="38"/>
      <c r="N1139" s="38"/>
      <c r="O1139" s="38"/>
      <c r="P1139" s="38"/>
      <c r="Q1139" s="38"/>
      <c r="R1139" s="38"/>
      <c r="S1139" s="38"/>
      <c r="T1139" s="38"/>
    </row>
    <row r="1140">
      <c r="A1140" s="41"/>
      <c r="C1140" s="7"/>
      <c r="D1140" s="7"/>
      <c r="E1140" s="18"/>
      <c r="F1140" s="38"/>
      <c r="G1140" s="38"/>
      <c r="H1140" s="38"/>
      <c r="I1140" s="38"/>
      <c r="J1140" s="38"/>
      <c r="K1140" s="38"/>
      <c r="L1140" s="38"/>
      <c r="M1140" s="38"/>
      <c r="N1140" s="38"/>
      <c r="O1140" s="38"/>
      <c r="P1140" s="38"/>
      <c r="Q1140" s="38"/>
      <c r="R1140" s="38"/>
      <c r="S1140" s="38"/>
      <c r="T1140" s="38"/>
    </row>
    <row r="1141">
      <c r="A1141" s="41"/>
      <c r="C1141" s="7"/>
      <c r="D1141" s="7"/>
      <c r="E1141" s="18"/>
      <c r="F1141" s="38"/>
      <c r="G1141" s="38"/>
      <c r="H1141" s="38"/>
      <c r="I1141" s="38"/>
      <c r="J1141" s="38"/>
      <c r="K1141" s="38"/>
      <c r="L1141" s="38"/>
      <c r="M1141" s="38"/>
      <c r="N1141" s="38"/>
      <c r="O1141" s="38"/>
      <c r="P1141" s="38"/>
      <c r="Q1141" s="38"/>
      <c r="R1141" s="38"/>
      <c r="S1141" s="38"/>
      <c r="T1141" s="38"/>
    </row>
    <row r="1142">
      <c r="A1142" s="41"/>
      <c r="C1142" s="7"/>
      <c r="D1142" s="7"/>
      <c r="E1142" s="18"/>
      <c r="F1142" s="38"/>
      <c r="G1142" s="38"/>
      <c r="H1142" s="38"/>
      <c r="I1142" s="38"/>
      <c r="J1142" s="38"/>
      <c r="K1142" s="38"/>
      <c r="L1142" s="38"/>
      <c r="M1142" s="38"/>
      <c r="N1142" s="38"/>
      <c r="O1142" s="38"/>
      <c r="P1142" s="38"/>
      <c r="Q1142" s="38"/>
      <c r="R1142" s="38"/>
      <c r="S1142" s="38"/>
      <c r="T1142" s="38"/>
    </row>
    <row r="1143">
      <c r="A1143" s="41"/>
      <c r="C1143" s="7"/>
      <c r="D1143" s="7"/>
      <c r="E1143" s="18"/>
      <c r="F1143" s="38"/>
      <c r="G1143" s="38"/>
      <c r="H1143" s="38"/>
      <c r="I1143" s="38"/>
      <c r="J1143" s="38"/>
      <c r="K1143" s="38"/>
      <c r="L1143" s="38"/>
      <c r="M1143" s="38"/>
      <c r="N1143" s="38"/>
      <c r="O1143" s="38"/>
      <c r="P1143" s="38"/>
      <c r="Q1143" s="38"/>
      <c r="R1143" s="38"/>
      <c r="S1143" s="38"/>
      <c r="T1143" s="38"/>
    </row>
    <row r="1144">
      <c r="A1144" s="41"/>
      <c r="C1144" s="7"/>
      <c r="D1144" s="7"/>
      <c r="E1144" s="18"/>
      <c r="F1144" s="38"/>
      <c r="G1144" s="38"/>
      <c r="H1144" s="38"/>
      <c r="I1144" s="38"/>
      <c r="J1144" s="38"/>
      <c r="K1144" s="38"/>
      <c r="L1144" s="38"/>
      <c r="M1144" s="38"/>
      <c r="N1144" s="38"/>
      <c r="O1144" s="38"/>
      <c r="P1144" s="38"/>
      <c r="Q1144" s="38"/>
      <c r="R1144" s="38"/>
      <c r="S1144" s="38"/>
      <c r="T1144" s="38"/>
    </row>
    <row r="1145">
      <c r="A1145" s="41"/>
      <c r="C1145" s="7"/>
      <c r="D1145" s="7"/>
      <c r="E1145" s="18"/>
      <c r="F1145" s="38"/>
      <c r="G1145" s="38"/>
      <c r="H1145" s="38"/>
      <c r="I1145" s="38"/>
      <c r="J1145" s="38"/>
      <c r="K1145" s="38"/>
      <c r="L1145" s="38"/>
      <c r="M1145" s="38"/>
      <c r="N1145" s="38"/>
      <c r="O1145" s="38"/>
      <c r="P1145" s="38"/>
      <c r="Q1145" s="38"/>
      <c r="R1145" s="38"/>
      <c r="S1145" s="38"/>
      <c r="T1145" s="38"/>
    </row>
    <row r="1146">
      <c r="C1146" s="30"/>
      <c r="D1146" s="30"/>
      <c r="F1146" s="38"/>
      <c r="G1146" s="38"/>
      <c r="H1146" s="38"/>
      <c r="I1146" s="38"/>
      <c r="J1146" s="38"/>
      <c r="K1146" s="38"/>
      <c r="L1146" s="38"/>
      <c r="M1146" s="38"/>
      <c r="N1146" s="38"/>
      <c r="O1146" s="38"/>
      <c r="P1146" s="38"/>
      <c r="Q1146" s="38"/>
      <c r="R1146" s="38"/>
      <c r="S1146" s="38"/>
      <c r="T1146" s="38"/>
    </row>
    <row r="1147">
      <c r="C1147" s="30"/>
      <c r="D1147" s="30"/>
      <c r="F1147" s="38"/>
      <c r="G1147" s="38"/>
      <c r="H1147" s="38"/>
      <c r="I1147" s="38"/>
      <c r="J1147" s="38"/>
      <c r="K1147" s="38"/>
      <c r="L1147" s="38"/>
      <c r="M1147" s="38"/>
      <c r="N1147" s="38"/>
      <c r="O1147" s="38"/>
      <c r="P1147" s="38"/>
      <c r="Q1147" s="38"/>
      <c r="R1147" s="38"/>
      <c r="S1147" s="38"/>
      <c r="T1147" s="38"/>
    </row>
    <row r="1148">
      <c r="C1148" s="30"/>
      <c r="D1148" s="30"/>
      <c r="F1148" s="38"/>
      <c r="G1148" s="38"/>
      <c r="H1148" s="38"/>
      <c r="I1148" s="38"/>
      <c r="J1148" s="38"/>
      <c r="K1148" s="38"/>
      <c r="L1148" s="38"/>
      <c r="M1148" s="38"/>
      <c r="N1148" s="38"/>
      <c r="O1148" s="38"/>
      <c r="P1148" s="38"/>
      <c r="Q1148" s="38"/>
      <c r="R1148" s="38"/>
      <c r="S1148" s="38"/>
      <c r="T1148" s="38"/>
    </row>
    <row r="1149">
      <c r="C1149" s="30"/>
      <c r="D1149" s="30"/>
      <c r="F1149" s="38"/>
      <c r="G1149" s="38"/>
      <c r="H1149" s="38"/>
      <c r="I1149" s="38"/>
      <c r="J1149" s="38"/>
      <c r="K1149" s="38"/>
      <c r="L1149" s="38"/>
      <c r="M1149" s="38"/>
      <c r="N1149" s="38"/>
      <c r="O1149" s="38"/>
      <c r="P1149" s="38"/>
      <c r="Q1149" s="38"/>
      <c r="R1149" s="38"/>
      <c r="S1149" s="38"/>
      <c r="T1149" s="38"/>
    </row>
    <row r="1150">
      <c r="C1150" s="30"/>
      <c r="D1150" s="30"/>
      <c r="F1150" s="38"/>
      <c r="G1150" s="38"/>
      <c r="H1150" s="38"/>
      <c r="I1150" s="38"/>
      <c r="J1150" s="38"/>
      <c r="K1150" s="38"/>
      <c r="L1150" s="38"/>
      <c r="M1150" s="38"/>
      <c r="N1150" s="38"/>
      <c r="O1150" s="38"/>
      <c r="P1150" s="38"/>
      <c r="Q1150" s="38"/>
      <c r="R1150" s="38"/>
      <c r="S1150" s="38"/>
      <c r="T1150" s="38"/>
    </row>
    <row r="1151">
      <c r="C1151" s="30"/>
      <c r="D1151" s="30"/>
      <c r="F1151" s="38"/>
      <c r="G1151" s="38"/>
      <c r="H1151" s="38"/>
      <c r="I1151" s="38"/>
      <c r="J1151" s="38"/>
      <c r="K1151" s="38"/>
      <c r="L1151" s="38"/>
      <c r="M1151" s="38"/>
      <c r="N1151" s="38"/>
      <c r="O1151" s="38"/>
      <c r="P1151" s="38"/>
      <c r="Q1151" s="38"/>
      <c r="R1151" s="38"/>
      <c r="S1151" s="38"/>
      <c r="T1151" s="38"/>
    </row>
    <row r="1152">
      <c r="C1152" s="30"/>
      <c r="D1152" s="30"/>
      <c r="F1152" s="38"/>
      <c r="G1152" s="38"/>
      <c r="H1152" s="38"/>
      <c r="I1152" s="38"/>
      <c r="J1152" s="38"/>
      <c r="K1152" s="38"/>
      <c r="L1152" s="38"/>
      <c r="M1152" s="38"/>
      <c r="N1152" s="38"/>
      <c r="O1152" s="38"/>
      <c r="P1152" s="38"/>
      <c r="Q1152" s="38"/>
      <c r="R1152" s="38"/>
      <c r="S1152" s="38"/>
      <c r="T1152" s="38"/>
    </row>
    <row r="1153">
      <c r="C1153" s="30"/>
      <c r="D1153" s="30"/>
      <c r="F1153" s="38"/>
      <c r="G1153" s="38"/>
      <c r="H1153" s="38"/>
      <c r="I1153" s="38"/>
      <c r="J1153" s="38"/>
      <c r="K1153" s="38"/>
      <c r="L1153" s="38"/>
      <c r="M1153" s="38"/>
      <c r="N1153" s="38"/>
      <c r="O1153" s="38"/>
      <c r="P1153" s="38"/>
      <c r="Q1153" s="38"/>
      <c r="R1153" s="38"/>
      <c r="S1153" s="38"/>
      <c r="T1153" s="38"/>
    </row>
    <row r="1154">
      <c r="C1154" s="30"/>
      <c r="D1154" s="30"/>
      <c r="F1154" s="38"/>
      <c r="G1154" s="38"/>
      <c r="H1154" s="38"/>
      <c r="I1154" s="38"/>
      <c r="J1154" s="38"/>
      <c r="K1154" s="38"/>
      <c r="L1154" s="38"/>
      <c r="M1154" s="38"/>
      <c r="N1154" s="38"/>
      <c r="O1154" s="38"/>
      <c r="P1154" s="38"/>
      <c r="Q1154" s="38"/>
      <c r="R1154" s="38"/>
      <c r="S1154" s="38"/>
      <c r="T1154" s="38"/>
    </row>
    <row r="1155">
      <c r="C1155" s="30"/>
      <c r="D1155" s="30"/>
      <c r="F1155" s="38"/>
      <c r="G1155" s="38"/>
      <c r="H1155" s="38"/>
      <c r="I1155" s="38"/>
      <c r="J1155" s="38"/>
      <c r="K1155" s="38"/>
      <c r="L1155" s="38"/>
      <c r="M1155" s="38"/>
      <c r="N1155" s="38"/>
      <c r="O1155" s="38"/>
      <c r="P1155" s="38"/>
      <c r="Q1155" s="38"/>
      <c r="R1155" s="38"/>
      <c r="S1155" s="38"/>
      <c r="T1155" s="38"/>
    </row>
    <row r="1156">
      <c r="C1156" s="30"/>
      <c r="D1156" s="30"/>
      <c r="F1156" s="38"/>
      <c r="G1156" s="38"/>
      <c r="H1156" s="38"/>
      <c r="I1156" s="38"/>
      <c r="J1156" s="38"/>
      <c r="K1156" s="38"/>
      <c r="L1156" s="38"/>
      <c r="M1156" s="38"/>
      <c r="N1156" s="38"/>
      <c r="O1156" s="38"/>
      <c r="P1156" s="38"/>
      <c r="Q1156" s="38"/>
      <c r="R1156" s="38"/>
      <c r="S1156" s="38"/>
      <c r="T1156" s="38"/>
    </row>
    <row r="1157">
      <c r="C1157" s="30"/>
      <c r="D1157" s="30"/>
      <c r="F1157" s="38"/>
      <c r="G1157" s="38"/>
      <c r="H1157" s="38"/>
      <c r="I1157" s="38"/>
      <c r="J1157" s="38"/>
      <c r="K1157" s="38"/>
      <c r="L1157" s="38"/>
      <c r="M1157" s="38"/>
      <c r="N1157" s="38"/>
      <c r="O1157" s="38"/>
      <c r="P1157" s="38"/>
      <c r="Q1157" s="38"/>
      <c r="R1157" s="38"/>
      <c r="S1157" s="38"/>
      <c r="T1157" s="38"/>
    </row>
    <row r="1158">
      <c r="C1158" s="30"/>
      <c r="D1158" s="30"/>
      <c r="F1158" s="38"/>
      <c r="G1158" s="38"/>
      <c r="H1158" s="38"/>
      <c r="I1158" s="38"/>
      <c r="J1158" s="38"/>
      <c r="K1158" s="38"/>
      <c r="L1158" s="38"/>
      <c r="M1158" s="38"/>
      <c r="N1158" s="38"/>
      <c r="O1158" s="38"/>
      <c r="P1158" s="38"/>
      <c r="Q1158" s="38"/>
      <c r="R1158" s="38"/>
      <c r="S1158" s="38"/>
      <c r="T1158" s="38"/>
    </row>
    <row r="1159">
      <c r="C1159" s="30"/>
      <c r="D1159" s="30"/>
      <c r="F1159" s="38"/>
      <c r="G1159" s="38"/>
      <c r="H1159" s="38"/>
      <c r="I1159" s="38"/>
      <c r="J1159" s="38"/>
      <c r="K1159" s="38"/>
      <c r="L1159" s="38"/>
      <c r="M1159" s="38"/>
      <c r="N1159" s="38"/>
      <c r="O1159" s="38"/>
      <c r="P1159" s="38"/>
      <c r="Q1159" s="38"/>
      <c r="R1159" s="38"/>
      <c r="S1159" s="38"/>
      <c r="T1159" s="38"/>
    </row>
    <row r="1160">
      <c r="C1160" s="30"/>
      <c r="D1160" s="30"/>
      <c r="F1160" s="38"/>
      <c r="G1160" s="38"/>
      <c r="H1160" s="38"/>
      <c r="I1160" s="38"/>
      <c r="J1160" s="38"/>
      <c r="K1160" s="38"/>
      <c r="L1160" s="38"/>
      <c r="M1160" s="38"/>
      <c r="N1160" s="38"/>
      <c r="O1160" s="38"/>
      <c r="P1160" s="38"/>
      <c r="Q1160" s="38"/>
      <c r="R1160" s="38"/>
      <c r="S1160" s="38"/>
      <c r="T1160" s="38"/>
    </row>
    <row r="1161">
      <c r="C1161" s="30"/>
      <c r="D1161" s="30"/>
      <c r="F1161" s="38"/>
      <c r="G1161" s="38"/>
      <c r="H1161" s="38"/>
      <c r="I1161" s="38"/>
      <c r="J1161" s="38"/>
      <c r="K1161" s="38"/>
      <c r="L1161" s="38"/>
      <c r="M1161" s="38"/>
      <c r="N1161" s="38"/>
      <c r="O1161" s="38"/>
      <c r="P1161" s="38"/>
      <c r="Q1161" s="38"/>
      <c r="R1161" s="38"/>
      <c r="S1161" s="38"/>
      <c r="T1161" s="38"/>
    </row>
    <row r="1162">
      <c r="F1162" s="38"/>
      <c r="G1162" s="38"/>
      <c r="H1162" s="38"/>
      <c r="I1162" s="38"/>
      <c r="J1162" s="38"/>
      <c r="K1162" s="38"/>
      <c r="L1162" s="38"/>
      <c r="M1162" s="38"/>
      <c r="N1162" s="38"/>
      <c r="O1162" s="38"/>
      <c r="P1162" s="38"/>
      <c r="Q1162" s="38"/>
      <c r="R1162" s="38"/>
      <c r="S1162" s="38"/>
      <c r="T1162" s="38"/>
    </row>
    <row r="1163">
      <c r="F1163" s="38"/>
      <c r="G1163" s="38"/>
      <c r="H1163" s="38"/>
      <c r="I1163" s="38"/>
      <c r="J1163" s="38"/>
      <c r="K1163" s="38"/>
      <c r="L1163" s="38"/>
      <c r="M1163" s="38"/>
      <c r="N1163" s="38"/>
      <c r="O1163" s="38"/>
      <c r="P1163" s="38"/>
      <c r="Q1163" s="38"/>
      <c r="R1163" s="38"/>
      <c r="S1163" s="38"/>
      <c r="T1163" s="38"/>
    </row>
    <row r="1164">
      <c r="F1164" s="38"/>
      <c r="G1164" s="38"/>
      <c r="H1164" s="38"/>
      <c r="I1164" s="38"/>
      <c r="J1164" s="38"/>
      <c r="K1164" s="38"/>
      <c r="L1164" s="38"/>
      <c r="M1164" s="38"/>
      <c r="N1164" s="38"/>
      <c r="O1164" s="38"/>
      <c r="P1164" s="38"/>
      <c r="Q1164" s="38"/>
      <c r="R1164" s="38"/>
      <c r="S1164" s="38"/>
      <c r="T1164" s="38"/>
    </row>
    <row r="1165">
      <c r="F1165" s="38"/>
      <c r="G1165" s="38"/>
      <c r="H1165" s="38"/>
      <c r="I1165" s="38"/>
      <c r="J1165" s="38"/>
      <c r="K1165" s="38"/>
      <c r="L1165" s="38"/>
      <c r="M1165" s="38"/>
      <c r="N1165" s="38"/>
      <c r="O1165" s="38"/>
      <c r="P1165" s="38"/>
      <c r="Q1165" s="38"/>
      <c r="R1165" s="38"/>
      <c r="S1165" s="38"/>
      <c r="T1165" s="38"/>
    </row>
    <row r="1166">
      <c r="F1166" s="38"/>
      <c r="G1166" s="38"/>
      <c r="H1166" s="38"/>
      <c r="I1166" s="38"/>
      <c r="J1166" s="38"/>
      <c r="K1166" s="38"/>
      <c r="L1166" s="38"/>
      <c r="M1166" s="38"/>
      <c r="N1166" s="38"/>
      <c r="O1166" s="38"/>
      <c r="P1166" s="38"/>
      <c r="Q1166" s="38"/>
      <c r="R1166" s="38"/>
      <c r="S1166" s="38"/>
      <c r="T1166" s="38"/>
    </row>
    <row r="1167">
      <c r="F1167" s="38"/>
      <c r="G1167" s="38"/>
      <c r="H1167" s="38"/>
      <c r="I1167" s="38"/>
      <c r="J1167" s="38"/>
      <c r="K1167" s="38"/>
      <c r="L1167" s="38"/>
      <c r="M1167" s="38"/>
      <c r="N1167" s="38"/>
      <c r="O1167" s="38"/>
      <c r="P1167" s="38"/>
      <c r="Q1167" s="38"/>
      <c r="R1167" s="38"/>
      <c r="S1167" s="38"/>
      <c r="T1167" s="38"/>
    </row>
    <row r="1168">
      <c r="F1168" s="38"/>
      <c r="G1168" s="38"/>
      <c r="H1168" s="38"/>
      <c r="I1168" s="38"/>
      <c r="J1168" s="38"/>
      <c r="K1168" s="38"/>
      <c r="L1168" s="38"/>
      <c r="M1168" s="38"/>
      <c r="N1168" s="38"/>
      <c r="O1168" s="38"/>
      <c r="P1168" s="38"/>
      <c r="Q1168" s="38"/>
      <c r="R1168" s="38"/>
      <c r="S1168" s="38"/>
      <c r="T1168" s="38"/>
    </row>
    <row r="1169">
      <c r="F1169" s="38"/>
      <c r="G1169" s="38"/>
      <c r="H1169" s="38"/>
      <c r="I1169" s="38"/>
      <c r="J1169" s="38"/>
      <c r="K1169" s="38"/>
      <c r="L1169" s="38"/>
      <c r="M1169" s="38"/>
      <c r="N1169" s="38"/>
      <c r="O1169" s="38"/>
      <c r="P1169" s="38"/>
      <c r="Q1169" s="38"/>
      <c r="R1169" s="38"/>
      <c r="S1169" s="38"/>
      <c r="T1169" s="38"/>
    </row>
    <row r="1170">
      <c r="F1170" s="38"/>
      <c r="G1170" s="38"/>
      <c r="H1170" s="38"/>
      <c r="I1170" s="38"/>
      <c r="J1170" s="38"/>
      <c r="K1170" s="38"/>
      <c r="L1170" s="38"/>
      <c r="M1170" s="38"/>
      <c r="N1170" s="38"/>
      <c r="O1170" s="38"/>
      <c r="P1170" s="38"/>
      <c r="Q1170" s="38"/>
      <c r="R1170" s="38"/>
      <c r="S1170" s="38"/>
      <c r="T1170" s="38"/>
    </row>
    <row r="1171">
      <c r="F1171" s="38"/>
      <c r="G1171" s="38"/>
      <c r="H1171" s="38"/>
      <c r="I1171" s="38"/>
      <c r="J1171" s="38"/>
      <c r="K1171" s="38"/>
      <c r="L1171" s="38"/>
      <c r="M1171" s="38"/>
      <c r="N1171" s="38"/>
      <c r="O1171" s="38"/>
      <c r="P1171" s="38"/>
      <c r="Q1171" s="38"/>
      <c r="R1171" s="38"/>
      <c r="S1171" s="38"/>
      <c r="T1171" s="38"/>
    </row>
    <row r="1172">
      <c r="F1172" s="38"/>
      <c r="G1172" s="38"/>
      <c r="H1172" s="38"/>
      <c r="I1172" s="38"/>
      <c r="J1172" s="38"/>
      <c r="K1172" s="38"/>
      <c r="L1172" s="38"/>
      <c r="M1172" s="38"/>
      <c r="N1172" s="38"/>
      <c r="O1172" s="38"/>
      <c r="P1172" s="38"/>
      <c r="Q1172" s="38"/>
      <c r="R1172" s="38"/>
      <c r="S1172" s="38"/>
      <c r="T1172" s="38"/>
    </row>
    <row r="1173">
      <c r="F1173" s="38"/>
      <c r="G1173" s="38"/>
      <c r="H1173" s="38"/>
      <c r="I1173" s="38"/>
      <c r="J1173" s="38"/>
      <c r="K1173" s="38"/>
      <c r="L1173" s="38"/>
      <c r="M1173" s="38"/>
      <c r="N1173" s="38"/>
      <c r="O1173" s="38"/>
      <c r="P1173" s="38"/>
      <c r="Q1173" s="38"/>
      <c r="R1173" s="38"/>
      <c r="S1173" s="38"/>
      <c r="T1173" s="38"/>
    </row>
    <row r="1174">
      <c r="F1174" s="38"/>
      <c r="G1174" s="38"/>
      <c r="H1174" s="38"/>
      <c r="I1174" s="38"/>
      <c r="J1174" s="38"/>
      <c r="K1174" s="38"/>
      <c r="L1174" s="38"/>
      <c r="M1174" s="38"/>
      <c r="N1174" s="38"/>
      <c r="O1174" s="38"/>
      <c r="P1174" s="38"/>
      <c r="Q1174" s="38"/>
      <c r="R1174" s="38"/>
      <c r="S1174" s="38"/>
      <c r="T1174" s="38"/>
    </row>
    <row r="1175">
      <c r="F1175" s="38"/>
      <c r="G1175" s="38"/>
      <c r="H1175" s="38"/>
      <c r="I1175" s="38"/>
      <c r="J1175" s="38"/>
      <c r="K1175" s="38"/>
      <c r="L1175" s="38"/>
      <c r="M1175" s="38"/>
      <c r="N1175" s="38"/>
      <c r="O1175" s="38"/>
      <c r="P1175" s="38"/>
      <c r="Q1175" s="38"/>
      <c r="R1175" s="38"/>
      <c r="S1175" s="38"/>
      <c r="T1175" s="38"/>
    </row>
    <row r="1176">
      <c r="F1176" s="38"/>
      <c r="G1176" s="38"/>
      <c r="H1176" s="38"/>
      <c r="I1176" s="38"/>
      <c r="J1176" s="38"/>
      <c r="K1176" s="38"/>
      <c r="L1176" s="38"/>
      <c r="M1176" s="38"/>
      <c r="N1176" s="38"/>
      <c r="O1176" s="38"/>
      <c r="P1176" s="38"/>
      <c r="Q1176" s="38"/>
      <c r="R1176" s="38"/>
      <c r="S1176" s="38"/>
      <c r="T1176" s="38"/>
    </row>
    <row r="1177">
      <c r="F1177" s="38"/>
      <c r="G1177" s="38"/>
      <c r="H1177" s="38"/>
      <c r="I1177" s="38"/>
      <c r="J1177" s="38"/>
      <c r="K1177" s="38"/>
      <c r="L1177" s="38"/>
      <c r="M1177" s="38"/>
      <c r="N1177" s="38"/>
      <c r="O1177" s="38"/>
      <c r="P1177" s="38"/>
      <c r="Q1177" s="38"/>
      <c r="R1177" s="38"/>
      <c r="S1177" s="38"/>
      <c r="T1177" s="38"/>
    </row>
    <row r="1178">
      <c r="F1178" s="38"/>
      <c r="G1178" s="38"/>
      <c r="H1178" s="38"/>
      <c r="I1178" s="38"/>
      <c r="J1178" s="38"/>
      <c r="K1178" s="38"/>
      <c r="L1178" s="38"/>
      <c r="M1178" s="38"/>
      <c r="N1178" s="38"/>
      <c r="O1178" s="38"/>
      <c r="P1178" s="38"/>
      <c r="Q1178" s="38"/>
      <c r="R1178" s="38"/>
      <c r="S1178" s="38"/>
      <c r="T1178" s="38"/>
    </row>
    <row r="1179">
      <c r="F1179" s="38"/>
      <c r="G1179" s="38"/>
      <c r="H1179" s="38"/>
      <c r="I1179" s="38"/>
      <c r="J1179" s="38"/>
      <c r="K1179" s="38"/>
      <c r="L1179" s="38"/>
      <c r="M1179" s="38"/>
      <c r="N1179" s="38"/>
      <c r="O1179" s="38"/>
      <c r="P1179" s="38"/>
      <c r="Q1179" s="38"/>
      <c r="R1179" s="38"/>
      <c r="S1179" s="38"/>
      <c r="T1179" s="38"/>
    </row>
    <row r="1180">
      <c r="F1180" s="38"/>
      <c r="G1180" s="38"/>
      <c r="H1180" s="38"/>
      <c r="I1180" s="38"/>
      <c r="J1180" s="38"/>
      <c r="K1180" s="38"/>
      <c r="L1180" s="38"/>
      <c r="M1180" s="38"/>
      <c r="N1180" s="38"/>
      <c r="O1180" s="38"/>
      <c r="P1180" s="38"/>
      <c r="Q1180" s="38"/>
      <c r="R1180" s="38"/>
      <c r="S1180" s="38"/>
      <c r="T1180" s="38"/>
    </row>
    <row r="1181">
      <c r="F1181" s="38"/>
      <c r="G1181" s="38"/>
      <c r="H1181" s="38"/>
      <c r="I1181" s="38"/>
      <c r="J1181" s="38"/>
      <c r="K1181" s="38"/>
      <c r="L1181" s="38"/>
      <c r="M1181" s="38"/>
      <c r="N1181" s="38"/>
      <c r="O1181" s="38"/>
      <c r="P1181" s="38"/>
      <c r="Q1181" s="38"/>
      <c r="R1181" s="38"/>
      <c r="S1181" s="38"/>
      <c r="T1181" s="38"/>
    </row>
    <row r="1182">
      <c r="F1182" s="38"/>
      <c r="G1182" s="38"/>
      <c r="H1182" s="38"/>
      <c r="I1182" s="38"/>
      <c r="J1182" s="38"/>
      <c r="K1182" s="38"/>
      <c r="L1182" s="38"/>
      <c r="M1182" s="38"/>
      <c r="N1182" s="38"/>
      <c r="O1182" s="38"/>
      <c r="P1182" s="38"/>
      <c r="Q1182" s="38"/>
      <c r="R1182" s="38"/>
      <c r="S1182" s="38"/>
      <c r="T1182" s="38"/>
    </row>
    <row r="1183">
      <c r="F1183" s="38"/>
      <c r="G1183" s="38"/>
      <c r="H1183" s="38"/>
      <c r="I1183" s="38"/>
      <c r="J1183" s="38"/>
      <c r="K1183" s="38"/>
      <c r="L1183" s="38"/>
      <c r="M1183" s="38"/>
      <c r="N1183" s="38"/>
      <c r="O1183" s="38"/>
      <c r="P1183" s="38"/>
      <c r="Q1183" s="38"/>
      <c r="R1183" s="38"/>
      <c r="S1183" s="38"/>
      <c r="T1183" s="38"/>
    </row>
    <row r="1184">
      <c r="F1184" s="38"/>
      <c r="G1184" s="38"/>
      <c r="H1184" s="38"/>
      <c r="I1184" s="38"/>
      <c r="J1184" s="38"/>
      <c r="K1184" s="38"/>
      <c r="L1184" s="38"/>
      <c r="M1184" s="38"/>
      <c r="N1184" s="38"/>
      <c r="O1184" s="38"/>
      <c r="P1184" s="38"/>
      <c r="Q1184" s="38"/>
      <c r="R1184" s="38"/>
      <c r="S1184" s="38"/>
      <c r="T1184" s="38"/>
    </row>
    <row r="1185">
      <c r="F1185" s="38"/>
      <c r="G1185" s="38"/>
      <c r="H1185" s="38"/>
      <c r="I1185" s="38"/>
      <c r="J1185" s="38"/>
      <c r="K1185" s="38"/>
      <c r="L1185" s="38"/>
      <c r="M1185" s="38"/>
      <c r="N1185" s="38"/>
      <c r="O1185" s="38"/>
      <c r="P1185" s="38"/>
      <c r="Q1185" s="38"/>
      <c r="R1185" s="38"/>
      <c r="S1185" s="38"/>
      <c r="T1185" s="38"/>
    </row>
    <row r="1186">
      <c r="F1186" s="38"/>
      <c r="G1186" s="38"/>
      <c r="H1186" s="38"/>
      <c r="I1186" s="38"/>
      <c r="J1186" s="38"/>
      <c r="K1186" s="38"/>
      <c r="L1186" s="38"/>
      <c r="M1186" s="38"/>
      <c r="N1186" s="38"/>
      <c r="O1186" s="38"/>
      <c r="P1186" s="38"/>
      <c r="Q1186" s="38"/>
      <c r="R1186" s="38"/>
      <c r="S1186" s="38"/>
      <c r="T1186" s="38"/>
    </row>
    <row r="1187">
      <c r="F1187" s="38"/>
      <c r="G1187" s="38"/>
      <c r="H1187" s="38"/>
      <c r="I1187" s="38"/>
      <c r="J1187" s="38"/>
      <c r="K1187" s="38"/>
      <c r="L1187" s="38"/>
      <c r="M1187" s="38"/>
      <c r="N1187" s="38"/>
      <c r="O1187" s="38"/>
      <c r="P1187" s="38"/>
      <c r="Q1187" s="38"/>
      <c r="R1187" s="38"/>
      <c r="S1187" s="38"/>
      <c r="T1187" s="38"/>
    </row>
    <row r="1188">
      <c r="F1188" s="38"/>
      <c r="G1188" s="38"/>
      <c r="H1188" s="38"/>
      <c r="I1188" s="38"/>
      <c r="J1188" s="38"/>
      <c r="K1188" s="38"/>
      <c r="L1188" s="38"/>
      <c r="M1188" s="38"/>
      <c r="N1188" s="38"/>
      <c r="O1188" s="38"/>
      <c r="P1188" s="38"/>
      <c r="Q1188" s="38"/>
      <c r="R1188" s="38"/>
      <c r="S1188" s="38"/>
      <c r="T1188" s="38"/>
    </row>
    <row r="1189">
      <c r="F1189" s="38"/>
      <c r="G1189" s="38"/>
      <c r="H1189" s="38"/>
      <c r="I1189" s="38"/>
      <c r="J1189" s="38"/>
      <c r="K1189" s="38"/>
      <c r="L1189" s="38"/>
      <c r="M1189" s="38"/>
      <c r="N1189" s="38"/>
      <c r="O1189" s="38"/>
      <c r="P1189" s="38"/>
      <c r="Q1189" s="38"/>
      <c r="R1189" s="38"/>
      <c r="S1189" s="38"/>
      <c r="T1189" s="38"/>
    </row>
    <row r="1190">
      <c r="F1190" s="38"/>
      <c r="G1190" s="38"/>
      <c r="H1190" s="38"/>
      <c r="I1190" s="38"/>
      <c r="J1190" s="38"/>
      <c r="K1190" s="38"/>
      <c r="L1190" s="38"/>
      <c r="M1190" s="38"/>
      <c r="N1190" s="38"/>
      <c r="O1190" s="38"/>
      <c r="P1190" s="38"/>
      <c r="Q1190" s="38"/>
      <c r="R1190" s="38"/>
      <c r="S1190" s="38"/>
      <c r="T1190" s="38"/>
    </row>
    <row r="1191">
      <c r="F1191" s="38"/>
      <c r="G1191" s="38"/>
      <c r="H1191" s="38"/>
      <c r="I1191" s="38"/>
      <c r="J1191" s="38"/>
      <c r="K1191" s="38"/>
      <c r="L1191" s="38"/>
      <c r="M1191" s="38"/>
      <c r="N1191" s="38"/>
      <c r="O1191" s="38"/>
      <c r="P1191" s="38"/>
      <c r="Q1191" s="38"/>
      <c r="R1191" s="38"/>
      <c r="S1191" s="38"/>
      <c r="T1191" s="38"/>
    </row>
    <row r="1192">
      <c r="F1192" s="38"/>
      <c r="G1192" s="38"/>
      <c r="H1192" s="38"/>
      <c r="I1192" s="38"/>
      <c r="J1192" s="38"/>
      <c r="K1192" s="38"/>
      <c r="L1192" s="38"/>
      <c r="M1192" s="38"/>
      <c r="N1192" s="38"/>
      <c r="O1192" s="38"/>
      <c r="P1192" s="38"/>
      <c r="Q1192" s="38"/>
      <c r="R1192" s="38"/>
      <c r="S1192" s="38"/>
      <c r="T1192" s="38"/>
    </row>
    <row r="1193">
      <c r="F1193" s="38"/>
      <c r="G1193" s="38"/>
      <c r="H1193" s="38"/>
      <c r="I1193" s="38"/>
      <c r="J1193" s="38"/>
      <c r="K1193" s="38"/>
      <c r="L1193" s="38"/>
      <c r="M1193" s="38"/>
      <c r="N1193" s="38"/>
      <c r="O1193" s="38"/>
      <c r="P1193" s="38"/>
      <c r="Q1193" s="38"/>
      <c r="R1193" s="38"/>
      <c r="S1193" s="38"/>
      <c r="T1193" s="38"/>
    </row>
    <row r="1194">
      <c r="F1194" s="38"/>
      <c r="G1194" s="38"/>
      <c r="H1194" s="38"/>
      <c r="I1194" s="38"/>
      <c r="J1194" s="38"/>
      <c r="K1194" s="38"/>
      <c r="L1194" s="38"/>
      <c r="M1194" s="38"/>
      <c r="N1194" s="38"/>
      <c r="O1194" s="38"/>
      <c r="P1194" s="38"/>
      <c r="Q1194" s="38"/>
      <c r="R1194" s="38"/>
      <c r="S1194" s="38"/>
      <c r="T1194" s="38"/>
    </row>
    <row r="1195">
      <c r="F1195" s="38"/>
      <c r="G1195" s="38"/>
      <c r="H1195" s="38"/>
      <c r="I1195" s="38"/>
      <c r="J1195" s="38"/>
      <c r="K1195" s="38"/>
      <c r="L1195" s="38"/>
      <c r="M1195" s="38"/>
      <c r="N1195" s="38"/>
      <c r="O1195" s="38"/>
      <c r="P1195" s="38"/>
      <c r="Q1195" s="38"/>
      <c r="R1195" s="38"/>
      <c r="S1195" s="38"/>
      <c r="T1195" s="38"/>
    </row>
    <row r="1196">
      <c r="F1196" s="38"/>
      <c r="G1196" s="38"/>
      <c r="H1196" s="38"/>
      <c r="I1196" s="38"/>
      <c r="J1196" s="38"/>
      <c r="K1196" s="38"/>
      <c r="L1196" s="38"/>
      <c r="M1196" s="38"/>
      <c r="N1196" s="38"/>
      <c r="O1196" s="38"/>
      <c r="P1196" s="38"/>
      <c r="Q1196" s="38"/>
      <c r="R1196" s="38"/>
      <c r="S1196" s="38"/>
      <c r="T1196" s="38"/>
    </row>
    <row r="1197">
      <c r="F1197" s="38"/>
      <c r="G1197" s="38"/>
      <c r="H1197" s="38"/>
      <c r="I1197" s="38"/>
      <c r="J1197" s="38"/>
      <c r="K1197" s="38"/>
      <c r="L1197" s="38"/>
      <c r="M1197" s="38"/>
      <c r="N1197" s="38"/>
      <c r="O1197" s="38"/>
      <c r="P1197" s="38"/>
      <c r="Q1197" s="38"/>
      <c r="R1197" s="38"/>
      <c r="S1197" s="38"/>
      <c r="T1197" s="38"/>
    </row>
    <row r="1198">
      <c r="F1198" s="38"/>
      <c r="G1198" s="38"/>
      <c r="H1198" s="38"/>
      <c r="I1198" s="38"/>
      <c r="J1198" s="38"/>
      <c r="K1198" s="38"/>
      <c r="L1198" s="38"/>
      <c r="M1198" s="38"/>
      <c r="N1198" s="38"/>
      <c r="O1198" s="38"/>
      <c r="P1198" s="38"/>
      <c r="Q1198" s="38"/>
      <c r="R1198" s="38"/>
      <c r="S1198" s="38"/>
      <c r="T1198" s="38"/>
    </row>
    <row r="1199">
      <c r="F1199" s="38"/>
      <c r="G1199" s="38"/>
      <c r="H1199" s="38"/>
      <c r="I1199" s="38"/>
      <c r="J1199" s="38"/>
      <c r="K1199" s="38"/>
      <c r="L1199" s="38"/>
      <c r="M1199" s="38"/>
      <c r="N1199" s="38"/>
      <c r="O1199" s="38"/>
      <c r="P1199" s="38"/>
      <c r="Q1199" s="38"/>
      <c r="R1199" s="38"/>
      <c r="S1199" s="38"/>
      <c r="T1199" s="38"/>
    </row>
    <row r="1200">
      <c r="F1200" s="38"/>
      <c r="G1200" s="38"/>
      <c r="H1200" s="38"/>
      <c r="I1200" s="38"/>
      <c r="J1200" s="38"/>
      <c r="K1200" s="38"/>
      <c r="L1200" s="38"/>
      <c r="M1200" s="38"/>
      <c r="N1200" s="38"/>
      <c r="O1200" s="38"/>
      <c r="P1200" s="38"/>
      <c r="Q1200" s="38"/>
      <c r="R1200" s="38"/>
      <c r="S1200" s="38"/>
      <c r="T1200" s="38"/>
    </row>
    <row r="1201">
      <c r="F1201" s="38"/>
      <c r="G1201" s="38"/>
      <c r="H1201" s="38"/>
      <c r="I1201" s="38"/>
      <c r="J1201" s="38"/>
      <c r="K1201" s="38"/>
      <c r="L1201" s="38"/>
      <c r="M1201" s="38"/>
      <c r="N1201" s="38"/>
      <c r="O1201" s="38"/>
      <c r="P1201" s="38"/>
      <c r="Q1201" s="38"/>
      <c r="R1201" s="38"/>
      <c r="S1201" s="38"/>
      <c r="T1201" s="38"/>
    </row>
  </sheetData>
  <printOptions gridLines="1" horizontalCentered="1"/>
  <pageMargins bottom="0.75" footer="0.0" header="0.0" left="0.7" right="0.7" top="0.75"/>
  <pageSetup fitToHeight="0" cellComments="atEnd" orientation="landscape" pageOrder="overThenDown"/>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1"/>
      <c r="B1" s="41"/>
      <c r="C1" s="44"/>
      <c r="D1" s="7"/>
      <c r="E1" s="7"/>
      <c r="F1" s="45" t="s">
        <v>5</v>
      </c>
      <c r="G1" s="45" t="s">
        <v>6</v>
      </c>
      <c r="H1" s="45" t="s">
        <v>7</v>
      </c>
      <c r="I1" s="45" t="s">
        <v>8</v>
      </c>
      <c r="J1" s="45" t="s">
        <v>9</v>
      </c>
      <c r="K1" s="45" t="s">
        <v>12</v>
      </c>
      <c r="L1" s="45" t="s">
        <v>708</v>
      </c>
      <c r="M1" s="46" t="s">
        <v>16</v>
      </c>
      <c r="N1" s="46" t="s">
        <v>17</v>
      </c>
      <c r="O1" s="46" t="s">
        <v>18</v>
      </c>
      <c r="P1" s="46" t="s">
        <v>19</v>
      </c>
      <c r="Q1" s="41"/>
      <c r="R1" s="41"/>
      <c r="S1" s="41"/>
      <c r="T1" s="41"/>
      <c r="U1" s="41"/>
      <c r="V1" s="41"/>
    </row>
    <row r="2">
      <c r="A2" s="41" t="s">
        <v>709</v>
      </c>
      <c r="B2" s="41" t="s">
        <v>679</v>
      </c>
      <c r="C2" s="44">
        <v>45631.0</v>
      </c>
      <c r="D2" s="7" t="s">
        <v>22</v>
      </c>
      <c r="E2" s="7" t="s">
        <v>680</v>
      </c>
      <c r="F2" s="35">
        <v>3.0</v>
      </c>
      <c r="G2" s="35">
        <v>2.0</v>
      </c>
      <c r="H2" s="35">
        <v>1.0</v>
      </c>
      <c r="I2" s="35">
        <v>1.0</v>
      </c>
      <c r="J2" s="47">
        <v>1.01</v>
      </c>
      <c r="K2" s="35">
        <v>-0.133880138397216</v>
      </c>
      <c r="L2" s="35">
        <v>0.03846153846</v>
      </c>
      <c r="M2" s="35">
        <v>0.08</v>
      </c>
      <c r="N2" s="35">
        <v>0.8765</v>
      </c>
      <c r="O2" s="35">
        <v>0.8765</v>
      </c>
      <c r="P2" s="35">
        <v>14.90769231</v>
      </c>
      <c r="Q2" s="41"/>
      <c r="R2" s="41"/>
      <c r="S2" s="41"/>
      <c r="T2" s="41"/>
      <c r="U2" s="41"/>
      <c r="V2" s="41"/>
    </row>
    <row r="3">
      <c r="A3" s="41" t="s">
        <v>709</v>
      </c>
      <c r="B3" s="41" t="s">
        <v>679</v>
      </c>
      <c r="C3" s="44">
        <v>45631.0</v>
      </c>
      <c r="D3" s="7" t="s">
        <v>24</v>
      </c>
      <c r="E3" s="7" t="s">
        <v>681</v>
      </c>
      <c r="F3" s="35">
        <v>2.0</v>
      </c>
      <c r="G3" s="35">
        <v>6.0</v>
      </c>
      <c r="H3" s="35">
        <v>1.0</v>
      </c>
      <c r="I3" s="35">
        <v>1.0</v>
      </c>
      <c r="J3" s="35">
        <v>1.0</v>
      </c>
      <c r="K3" s="35">
        <v>0.0148041937500238</v>
      </c>
      <c r="L3" s="35">
        <v>0.0625</v>
      </c>
      <c r="M3" s="35">
        <v>0.06779661017</v>
      </c>
      <c r="N3" s="35">
        <v>0.9419</v>
      </c>
      <c r="O3" s="35">
        <v>0.9419</v>
      </c>
      <c r="P3" s="35">
        <v>16.4</v>
      </c>
      <c r="Q3" s="41"/>
      <c r="R3" s="41"/>
      <c r="S3" s="41"/>
      <c r="T3" s="41"/>
      <c r="U3" s="41"/>
      <c r="V3" s="41"/>
    </row>
    <row r="4">
      <c r="A4" s="41" t="s">
        <v>709</v>
      </c>
      <c r="B4" s="41" t="s">
        <v>679</v>
      </c>
      <c r="C4" s="44">
        <v>45631.0</v>
      </c>
      <c r="D4" s="7" t="s">
        <v>26</v>
      </c>
      <c r="E4" s="7" t="s">
        <v>682</v>
      </c>
      <c r="F4" s="35">
        <v>1.0</v>
      </c>
      <c r="G4" s="35">
        <v>5.0</v>
      </c>
      <c r="H4" s="35">
        <v>1.0</v>
      </c>
      <c r="I4" s="35">
        <v>1.0</v>
      </c>
      <c r="J4" s="35">
        <v>1.0</v>
      </c>
      <c r="K4" s="35">
        <v>0.0319844149053096</v>
      </c>
      <c r="L4" s="35">
        <v>0.06153846154</v>
      </c>
      <c r="M4" s="35">
        <v>0.1186440678</v>
      </c>
      <c r="N4" s="35">
        <v>0.9337</v>
      </c>
      <c r="O4" s="35">
        <v>0.9337</v>
      </c>
      <c r="P4" s="35">
        <v>14.5</v>
      </c>
      <c r="Q4" s="41"/>
      <c r="R4" s="41"/>
      <c r="S4" s="41"/>
      <c r="T4" s="41"/>
      <c r="U4" s="41"/>
      <c r="V4" s="41"/>
    </row>
    <row r="5">
      <c r="A5" s="41" t="s">
        <v>709</v>
      </c>
      <c r="B5" s="41" t="s">
        <v>679</v>
      </c>
      <c r="C5" s="44">
        <v>45631.0</v>
      </c>
      <c r="D5" s="7" t="s">
        <v>28</v>
      </c>
      <c r="E5" s="7" t="s">
        <v>683</v>
      </c>
      <c r="F5" s="35">
        <v>1.0</v>
      </c>
      <c r="G5" s="35">
        <v>2.0</v>
      </c>
      <c r="H5" s="35">
        <v>1.0</v>
      </c>
      <c r="I5" s="35">
        <v>1.0</v>
      </c>
      <c r="J5" s="35">
        <v>1.0</v>
      </c>
      <c r="K5" s="35">
        <v>0.0948760583996772</v>
      </c>
      <c r="L5" s="35">
        <v>0.0</v>
      </c>
      <c r="M5" s="35">
        <v>0.09090909091</v>
      </c>
      <c r="N5" s="35">
        <v>0.9447</v>
      </c>
      <c r="O5" s="35">
        <v>0.9447</v>
      </c>
      <c r="P5" s="35">
        <v>13.97276596</v>
      </c>
      <c r="Q5" s="41"/>
      <c r="R5" s="41"/>
      <c r="S5" s="41"/>
      <c r="T5" s="41"/>
      <c r="U5" s="41"/>
      <c r="V5" s="41"/>
    </row>
    <row r="6">
      <c r="A6" s="41" t="s">
        <v>709</v>
      </c>
      <c r="B6" s="41" t="s">
        <v>679</v>
      </c>
      <c r="C6" s="44">
        <v>45631.0</v>
      </c>
      <c r="D6" s="7" t="s">
        <v>30</v>
      </c>
      <c r="E6" s="7" t="s">
        <v>684</v>
      </c>
      <c r="F6" s="35">
        <v>3.0</v>
      </c>
      <c r="G6" s="35">
        <v>2.0</v>
      </c>
      <c r="H6" s="35">
        <v>1.0</v>
      </c>
      <c r="I6" s="35">
        <v>1.0</v>
      </c>
      <c r="J6" s="35">
        <v>1.0</v>
      </c>
      <c r="K6" s="35">
        <v>-0.160891771316528</v>
      </c>
      <c r="L6" s="35">
        <v>0.02564102564</v>
      </c>
      <c r="M6" s="35">
        <v>0.05405405405</v>
      </c>
      <c r="N6" s="35">
        <v>0.9387</v>
      </c>
      <c r="O6" s="35">
        <v>0.9387</v>
      </c>
      <c r="P6" s="35">
        <v>16.45333333</v>
      </c>
      <c r="Q6" s="41"/>
      <c r="R6" s="41"/>
      <c r="S6" s="41"/>
      <c r="T6" s="41"/>
      <c r="U6" s="41"/>
      <c r="V6" s="41"/>
    </row>
    <row r="7">
      <c r="A7" s="41" t="s">
        <v>709</v>
      </c>
      <c r="B7" s="41" t="s">
        <v>679</v>
      </c>
      <c r="C7" s="44">
        <v>45631.0</v>
      </c>
      <c r="D7" s="7" t="s">
        <v>32</v>
      </c>
      <c r="E7" s="7" t="s">
        <v>685</v>
      </c>
      <c r="F7" s="35">
        <v>3.0</v>
      </c>
      <c r="G7" s="35">
        <v>2.0</v>
      </c>
      <c r="H7" s="35">
        <v>1.0</v>
      </c>
      <c r="I7" s="35">
        <v>1.0</v>
      </c>
      <c r="J7" s="35">
        <v>1.0</v>
      </c>
      <c r="K7" s="35">
        <v>-0.220341205596923</v>
      </c>
      <c r="L7" s="35">
        <v>0.03174603175</v>
      </c>
      <c r="M7" s="35">
        <v>0.1475409836</v>
      </c>
      <c r="N7" s="35">
        <v>0.7682</v>
      </c>
      <c r="O7" s="35">
        <v>0.7682</v>
      </c>
      <c r="P7" s="35">
        <v>17.28888889</v>
      </c>
      <c r="Q7" s="41"/>
      <c r="R7" s="41"/>
      <c r="S7" s="41"/>
      <c r="T7" s="41"/>
      <c r="U7" s="41"/>
      <c r="V7" s="41"/>
    </row>
    <row r="8">
      <c r="A8" s="41" t="s">
        <v>709</v>
      </c>
      <c r="B8" s="41" t="s">
        <v>679</v>
      </c>
      <c r="C8" s="44">
        <v>45631.0</v>
      </c>
      <c r="D8" s="7" t="s">
        <v>34</v>
      </c>
      <c r="E8" s="7" t="s">
        <v>686</v>
      </c>
      <c r="F8" s="35">
        <v>1.0</v>
      </c>
      <c r="G8" s="35">
        <v>2.0</v>
      </c>
      <c r="H8" s="35">
        <v>1.0</v>
      </c>
      <c r="I8" s="35">
        <v>1.0</v>
      </c>
      <c r="J8" s="35">
        <v>1.0</v>
      </c>
      <c r="K8" s="35">
        <v>-0.310164868831634</v>
      </c>
      <c r="L8" s="35">
        <v>0.04081632653</v>
      </c>
      <c r="M8" s="35">
        <v>0.06382978723</v>
      </c>
      <c r="N8" s="35">
        <v>0.9598</v>
      </c>
      <c r="O8" s="35">
        <v>0.9598</v>
      </c>
      <c r="P8" s="35">
        <v>15.5122449</v>
      </c>
      <c r="Q8" s="41"/>
      <c r="R8" s="41"/>
      <c r="S8" s="41"/>
      <c r="T8" s="41"/>
      <c r="U8" s="41"/>
      <c r="V8" s="41"/>
    </row>
    <row r="9">
      <c r="A9" s="41" t="s">
        <v>709</v>
      </c>
      <c r="B9" s="41" t="s">
        <v>679</v>
      </c>
      <c r="C9" s="44">
        <v>45631.0</v>
      </c>
      <c r="D9" s="7" t="s">
        <v>36</v>
      </c>
      <c r="E9" s="7" t="s">
        <v>686</v>
      </c>
      <c r="F9" s="35">
        <v>1.0</v>
      </c>
      <c r="G9" s="35">
        <v>2.0</v>
      </c>
      <c r="H9" s="35">
        <v>1.0</v>
      </c>
      <c r="I9" s="35">
        <v>1.0</v>
      </c>
      <c r="J9" s="35">
        <v>1.0</v>
      </c>
      <c r="K9" s="35">
        <v>0.112212821841239</v>
      </c>
      <c r="L9" s="35">
        <v>0.05172413793</v>
      </c>
      <c r="M9" s="35">
        <v>0.09090909091</v>
      </c>
      <c r="N9" s="35">
        <v>0.4314</v>
      </c>
      <c r="O9" s="35">
        <v>0.4314</v>
      </c>
      <c r="P9" s="35">
        <v>19.59310345</v>
      </c>
      <c r="Q9" s="41"/>
      <c r="R9" s="41"/>
      <c r="S9" s="41"/>
      <c r="T9" s="41"/>
      <c r="U9" s="41"/>
      <c r="V9" s="41"/>
    </row>
    <row r="10">
      <c r="A10" s="41" t="s">
        <v>709</v>
      </c>
      <c r="B10" s="41" t="s">
        <v>679</v>
      </c>
      <c r="C10" s="44">
        <v>45631.0</v>
      </c>
      <c r="D10" s="7" t="s">
        <v>38</v>
      </c>
      <c r="E10" s="7" t="s">
        <v>687</v>
      </c>
      <c r="F10" s="35">
        <v>3.0</v>
      </c>
      <c r="G10" s="35">
        <v>2.0</v>
      </c>
      <c r="H10" s="35">
        <v>1.0</v>
      </c>
      <c r="I10" s="35">
        <v>1.0</v>
      </c>
      <c r="J10" s="35">
        <v>1.0</v>
      </c>
      <c r="K10" s="35">
        <v>0.112212799489498</v>
      </c>
      <c r="L10" s="35">
        <v>0.01666666667</v>
      </c>
      <c r="M10" s="35">
        <v>0.08771929825</v>
      </c>
      <c r="N10" s="35">
        <v>0.8971</v>
      </c>
      <c r="O10" s="35">
        <v>0.8971</v>
      </c>
      <c r="P10" s="35">
        <v>15.33333333</v>
      </c>
      <c r="Q10" s="41"/>
      <c r="R10" s="41"/>
      <c r="S10" s="41"/>
      <c r="T10" s="41"/>
      <c r="U10" s="41"/>
      <c r="V10" s="41"/>
    </row>
    <row r="11">
      <c r="A11" s="41" t="s">
        <v>709</v>
      </c>
      <c r="B11" s="41" t="s">
        <v>679</v>
      </c>
      <c r="C11" s="44">
        <v>45631.0</v>
      </c>
      <c r="D11" s="7" t="s">
        <v>40</v>
      </c>
      <c r="E11" s="7" t="s">
        <v>688</v>
      </c>
      <c r="F11" s="35">
        <v>2.0</v>
      </c>
      <c r="G11" s="35">
        <v>2.0</v>
      </c>
      <c r="H11" s="35">
        <v>1.0</v>
      </c>
      <c r="I11" s="35">
        <v>1.0</v>
      </c>
      <c r="J11" s="35">
        <v>1.0</v>
      </c>
      <c r="K11" s="35">
        <v>-0.388150036334991</v>
      </c>
      <c r="L11" s="35">
        <v>0.03571428571</v>
      </c>
      <c r="M11" s="35">
        <v>0.1320754717</v>
      </c>
      <c r="N11" s="35">
        <v>0.4023</v>
      </c>
      <c r="O11" s="35">
        <v>-0.4023</v>
      </c>
      <c r="P11" s="35">
        <v>13.45714286</v>
      </c>
      <c r="Q11" s="41"/>
      <c r="R11" s="41"/>
      <c r="S11" s="41"/>
      <c r="T11" s="41"/>
      <c r="U11" s="41"/>
      <c r="V11" s="41"/>
    </row>
    <row r="12">
      <c r="A12" s="41" t="s">
        <v>710</v>
      </c>
      <c r="B12" s="41" t="s">
        <v>679</v>
      </c>
      <c r="C12" s="44">
        <v>45631.0</v>
      </c>
      <c r="D12" s="7" t="s">
        <v>43</v>
      </c>
      <c r="E12" s="7" t="s">
        <v>689</v>
      </c>
      <c r="F12" s="35">
        <v>3.0</v>
      </c>
      <c r="G12" s="35">
        <v>6.0</v>
      </c>
      <c r="H12" s="35">
        <v>1.0</v>
      </c>
      <c r="I12" s="35">
        <v>1.0</v>
      </c>
      <c r="J12" s="35">
        <v>1.0</v>
      </c>
      <c r="K12" s="35">
        <v>-0.122262969613075</v>
      </c>
      <c r="L12" s="35">
        <v>0.04081632653</v>
      </c>
      <c r="M12" s="35">
        <v>0.04255319149</v>
      </c>
      <c r="N12" s="35">
        <v>0.7906</v>
      </c>
      <c r="O12" s="35">
        <v>0.7906</v>
      </c>
      <c r="P12" s="35">
        <v>18.77959184</v>
      </c>
      <c r="Q12" s="41"/>
      <c r="R12" s="41"/>
      <c r="S12" s="41"/>
      <c r="T12" s="41"/>
      <c r="U12" s="41"/>
      <c r="V12" s="41"/>
    </row>
    <row r="13">
      <c r="A13" s="41" t="s">
        <v>710</v>
      </c>
      <c r="B13" s="41" t="s">
        <v>679</v>
      </c>
      <c r="C13" s="44">
        <v>45631.0</v>
      </c>
      <c r="D13" s="7" t="s">
        <v>45</v>
      </c>
      <c r="E13" s="7" t="s">
        <v>690</v>
      </c>
      <c r="F13" s="35">
        <v>3.0</v>
      </c>
      <c r="G13" s="35">
        <v>2.0</v>
      </c>
      <c r="H13" s="35">
        <v>1.0</v>
      </c>
      <c r="I13" s="35">
        <v>1.0</v>
      </c>
      <c r="J13" s="35">
        <v>1.0</v>
      </c>
      <c r="K13" s="35">
        <v>-0.0217538177967071</v>
      </c>
      <c r="L13" s="35">
        <v>0.02564102564</v>
      </c>
      <c r="M13" s="35">
        <v>0.05555555556</v>
      </c>
      <c r="N13" s="35">
        <v>0.7745</v>
      </c>
      <c r="O13" s="35">
        <v>0.7745</v>
      </c>
      <c r="P13" s="35">
        <v>12.10512821</v>
      </c>
      <c r="Q13" s="41"/>
      <c r="R13" s="41"/>
      <c r="S13" s="41"/>
      <c r="T13" s="41"/>
      <c r="U13" s="41"/>
      <c r="V13" s="41"/>
    </row>
    <row r="14">
      <c r="A14" s="41" t="s">
        <v>710</v>
      </c>
      <c r="B14" s="41" t="s">
        <v>679</v>
      </c>
      <c r="C14" s="44">
        <v>45631.0</v>
      </c>
      <c r="D14" s="7" t="s">
        <v>47</v>
      </c>
      <c r="E14" s="7" t="s">
        <v>691</v>
      </c>
      <c r="F14" s="35">
        <v>3.0</v>
      </c>
      <c r="G14" s="35">
        <v>6.0</v>
      </c>
      <c r="H14" s="35">
        <v>1.0</v>
      </c>
      <c r="I14" s="35">
        <v>1.0</v>
      </c>
      <c r="J14" s="35">
        <v>1.0</v>
      </c>
      <c r="K14" s="35">
        <v>-0.0900889188051223</v>
      </c>
      <c r="L14" s="35">
        <v>0.03846153846</v>
      </c>
      <c r="M14" s="35">
        <v>0.02173913043</v>
      </c>
      <c r="N14" s="35">
        <v>0.91</v>
      </c>
      <c r="O14" s="35">
        <v>0.91</v>
      </c>
      <c r="P14" s="35">
        <v>18.09230769</v>
      </c>
      <c r="Q14" s="41"/>
      <c r="R14" s="41"/>
      <c r="S14" s="41"/>
      <c r="T14" s="41"/>
      <c r="U14" s="41"/>
      <c r="V14" s="41"/>
    </row>
    <row r="15">
      <c r="A15" s="41" t="s">
        <v>710</v>
      </c>
      <c r="B15" s="41" t="s">
        <v>679</v>
      </c>
      <c r="C15" s="44">
        <v>45631.0</v>
      </c>
      <c r="D15" s="7" t="s">
        <v>49</v>
      </c>
      <c r="E15" s="7" t="s">
        <v>692</v>
      </c>
      <c r="F15" s="35">
        <v>1.0</v>
      </c>
      <c r="G15" s="35">
        <v>2.0</v>
      </c>
      <c r="H15" s="35">
        <v>1.0</v>
      </c>
      <c r="I15" s="35">
        <v>1.0</v>
      </c>
      <c r="J15" s="35">
        <v>1.0</v>
      </c>
      <c r="K15" s="35">
        <v>-0.114262528717517</v>
      </c>
      <c r="L15" s="35">
        <v>0.0350877193</v>
      </c>
      <c r="M15" s="35">
        <v>0.07547169811</v>
      </c>
      <c r="N15" s="35">
        <v>0.6908</v>
      </c>
      <c r="O15" s="35">
        <v>0.6908</v>
      </c>
      <c r="P15" s="35">
        <v>16.02105263</v>
      </c>
      <c r="Q15" s="41"/>
      <c r="R15" s="41"/>
      <c r="S15" s="41"/>
      <c r="T15" s="41"/>
      <c r="U15" s="41"/>
      <c r="V15" s="41"/>
    </row>
    <row r="16">
      <c r="A16" s="41" t="s">
        <v>710</v>
      </c>
      <c r="B16" s="41" t="s">
        <v>679</v>
      </c>
      <c r="C16" s="44">
        <v>45631.0</v>
      </c>
      <c r="D16" s="7" t="s">
        <v>51</v>
      </c>
      <c r="E16" s="7" t="s">
        <v>693</v>
      </c>
      <c r="F16" s="35">
        <v>1.0</v>
      </c>
      <c r="G16" s="35">
        <v>6.0</v>
      </c>
      <c r="H16" s="35">
        <v>5.0</v>
      </c>
      <c r="I16" s="35">
        <v>6.0</v>
      </c>
      <c r="J16" s="35">
        <v>1.0</v>
      </c>
      <c r="K16" s="35">
        <v>-0.0148801989853382</v>
      </c>
      <c r="L16" s="35">
        <v>0.0</v>
      </c>
      <c r="M16" s="35">
        <v>0.03125</v>
      </c>
      <c r="N16" s="35">
        <v>0.6124</v>
      </c>
      <c r="O16" s="35">
        <v>0.6124</v>
      </c>
      <c r="P16" s="35">
        <v>18.42857143</v>
      </c>
      <c r="Q16" s="41"/>
      <c r="R16" s="41"/>
      <c r="S16" s="41"/>
      <c r="T16" s="41"/>
      <c r="U16" s="41"/>
      <c r="V16" s="41"/>
    </row>
    <row r="17">
      <c r="A17" s="41" t="s">
        <v>710</v>
      </c>
      <c r="B17" s="41" t="s">
        <v>679</v>
      </c>
      <c r="C17" s="44">
        <v>45631.0</v>
      </c>
      <c r="D17" s="7" t="s">
        <v>53</v>
      </c>
      <c r="E17" s="7" t="s">
        <v>694</v>
      </c>
      <c r="F17" s="35">
        <v>1.0</v>
      </c>
      <c r="G17" s="35">
        <v>2.0</v>
      </c>
      <c r="H17" s="35">
        <v>1.0</v>
      </c>
      <c r="I17" s="35">
        <v>1.0</v>
      </c>
      <c r="J17" s="35">
        <v>1.0</v>
      </c>
      <c r="K17" s="35">
        <v>-0.101437367498874</v>
      </c>
      <c r="L17" s="35">
        <v>0.03703703704</v>
      </c>
      <c r="M17" s="35">
        <v>0.07692307692</v>
      </c>
      <c r="N17" s="35">
        <v>0.8899</v>
      </c>
      <c r="O17" s="35">
        <v>0.8899</v>
      </c>
      <c r="P17" s="35">
        <v>19.68888889</v>
      </c>
      <c r="Q17" s="41"/>
      <c r="R17" s="41"/>
      <c r="S17" s="41"/>
      <c r="T17" s="41"/>
      <c r="U17" s="41"/>
      <c r="V17" s="41"/>
    </row>
    <row r="18">
      <c r="A18" s="41" t="s">
        <v>710</v>
      </c>
      <c r="B18" s="41" t="s">
        <v>679</v>
      </c>
      <c r="C18" s="44">
        <v>45631.0</v>
      </c>
      <c r="D18" s="7" t="s">
        <v>55</v>
      </c>
      <c r="E18" s="7" t="s">
        <v>695</v>
      </c>
      <c r="F18" s="35">
        <v>3.0</v>
      </c>
      <c r="G18" s="35">
        <v>2.0</v>
      </c>
      <c r="H18" s="35">
        <v>5.0</v>
      </c>
      <c r="I18" s="35">
        <v>6.0</v>
      </c>
      <c r="J18" s="35">
        <v>1.0</v>
      </c>
      <c r="K18" s="35">
        <v>-0.0592779889702796</v>
      </c>
      <c r="L18" s="35">
        <v>0.0</v>
      </c>
      <c r="M18" s="35">
        <v>0.0625</v>
      </c>
      <c r="N18" s="35">
        <v>0.6652</v>
      </c>
      <c r="O18" s="35">
        <v>-0.6652</v>
      </c>
      <c r="P18" s="35">
        <v>19.74117647</v>
      </c>
      <c r="Q18" s="41"/>
      <c r="R18" s="41"/>
      <c r="S18" s="41"/>
      <c r="T18" s="41"/>
      <c r="U18" s="41"/>
      <c r="V18" s="41"/>
    </row>
    <row r="19">
      <c r="A19" s="41" t="s">
        <v>710</v>
      </c>
      <c r="B19" s="41" t="s">
        <v>679</v>
      </c>
      <c r="C19" s="44">
        <v>45631.0</v>
      </c>
      <c r="D19" s="7" t="s">
        <v>57</v>
      </c>
      <c r="E19" s="7" t="s">
        <v>696</v>
      </c>
      <c r="F19" s="35">
        <v>1.0</v>
      </c>
      <c r="G19" s="35">
        <v>6.0</v>
      </c>
      <c r="H19" s="35">
        <v>1.0</v>
      </c>
      <c r="I19" s="35">
        <v>6.0</v>
      </c>
      <c r="J19" s="35">
        <v>1.0</v>
      </c>
      <c r="K19" s="35">
        <v>-0.0550300553441047</v>
      </c>
      <c r="L19" s="35">
        <v>0.09090909091</v>
      </c>
      <c r="M19" s="35">
        <v>0.03333333333</v>
      </c>
      <c r="N19" s="35">
        <v>0.7259</v>
      </c>
      <c r="O19" s="35">
        <v>0.7259</v>
      </c>
      <c r="P19" s="35">
        <v>15.08484848</v>
      </c>
      <c r="Q19" s="41"/>
      <c r="R19" s="41"/>
      <c r="S19" s="41"/>
      <c r="T19" s="41"/>
      <c r="U19" s="41"/>
      <c r="V19" s="41"/>
    </row>
    <row r="20">
      <c r="A20" s="41" t="s">
        <v>710</v>
      </c>
      <c r="B20" s="41" t="s">
        <v>679</v>
      </c>
      <c r="C20" s="44">
        <v>45631.0</v>
      </c>
      <c r="D20" s="7" t="s">
        <v>59</v>
      </c>
      <c r="E20" s="7" t="s">
        <v>696</v>
      </c>
      <c r="F20" s="35">
        <v>1.0</v>
      </c>
      <c r="G20" s="35">
        <v>6.0</v>
      </c>
      <c r="H20" s="35">
        <v>1.0</v>
      </c>
      <c r="I20" s="35">
        <v>6.0</v>
      </c>
      <c r="J20" s="35">
        <v>1.0</v>
      </c>
      <c r="K20" s="35">
        <v>-0.0652672052383422</v>
      </c>
      <c r="L20" s="35">
        <v>0.02380952381</v>
      </c>
      <c r="M20" s="35">
        <v>0.05263157895</v>
      </c>
      <c r="N20" s="35">
        <v>0.0772</v>
      </c>
      <c r="O20" s="35">
        <v>0.0772</v>
      </c>
      <c r="P20" s="35">
        <v>24.41904762</v>
      </c>
      <c r="Q20" s="41"/>
      <c r="R20" s="41"/>
      <c r="S20" s="41"/>
      <c r="T20" s="41"/>
      <c r="U20" s="41"/>
      <c r="V20" s="41"/>
    </row>
    <row r="21">
      <c r="A21" s="41" t="s">
        <v>710</v>
      </c>
      <c r="B21" s="41" t="s">
        <v>679</v>
      </c>
      <c r="C21" s="44">
        <v>45631.0</v>
      </c>
      <c r="D21" s="7" t="s">
        <v>61</v>
      </c>
      <c r="E21" s="7" t="s">
        <v>697</v>
      </c>
      <c r="F21" s="35">
        <v>1.0</v>
      </c>
      <c r="G21" s="35">
        <v>6.0</v>
      </c>
      <c r="H21" s="35">
        <v>1.0</v>
      </c>
      <c r="I21" s="35">
        <v>1.0</v>
      </c>
      <c r="J21" s="35">
        <v>1.0</v>
      </c>
      <c r="K21" s="35">
        <v>-0.0652672052383422</v>
      </c>
      <c r="L21" s="35">
        <v>0.03333333333</v>
      </c>
      <c r="M21" s="35">
        <v>0.05454545455</v>
      </c>
      <c r="N21" s="35">
        <v>0.7312</v>
      </c>
      <c r="O21" s="35">
        <v>0.7312</v>
      </c>
      <c r="P21" s="35">
        <v>13.33333333</v>
      </c>
      <c r="Q21" s="41"/>
      <c r="R21" s="41"/>
      <c r="S21" s="41"/>
      <c r="T21" s="41"/>
      <c r="U21" s="41"/>
      <c r="V21" s="41"/>
    </row>
    <row r="22">
      <c r="A22" s="41" t="s">
        <v>711</v>
      </c>
      <c r="B22" s="41" t="s">
        <v>679</v>
      </c>
      <c r="C22" s="44">
        <v>45631.0</v>
      </c>
      <c r="D22" s="7" t="s">
        <v>64</v>
      </c>
      <c r="E22" s="7" t="s">
        <v>698</v>
      </c>
      <c r="F22" s="35">
        <v>2.0</v>
      </c>
      <c r="G22" s="35">
        <v>5.0</v>
      </c>
      <c r="H22" s="35">
        <v>5.0</v>
      </c>
      <c r="I22" s="35">
        <v>6.0</v>
      </c>
      <c r="J22" s="35">
        <v>1.0</v>
      </c>
      <c r="K22" s="35">
        <v>0.0327169634401798</v>
      </c>
      <c r="L22" s="35">
        <v>0.05785123967</v>
      </c>
      <c r="M22" s="35">
        <v>0.1008403361</v>
      </c>
      <c r="N22" s="35">
        <v>0.8312</v>
      </c>
      <c r="O22" s="35">
        <v>-0.8312</v>
      </c>
      <c r="P22" s="35">
        <v>13.31166208</v>
      </c>
      <c r="Q22" s="41"/>
      <c r="R22" s="41"/>
      <c r="S22" s="41"/>
      <c r="T22" s="41"/>
      <c r="U22" s="41"/>
      <c r="V22" s="41"/>
    </row>
    <row r="23">
      <c r="A23" s="41" t="s">
        <v>711</v>
      </c>
      <c r="B23" s="41" t="s">
        <v>679</v>
      </c>
      <c r="C23" s="44">
        <v>45631.0</v>
      </c>
      <c r="D23" s="7" t="s">
        <v>66</v>
      </c>
      <c r="E23" s="7" t="s">
        <v>699</v>
      </c>
      <c r="F23" s="35">
        <v>1.0</v>
      </c>
      <c r="G23" s="35">
        <v>6.0</v>
      </c>
      <c r="H23" s="35">
        <v>5.0</v>
      </c>
      <c r="I23" s="35">
        <v>6.0</v>
      </c>
      <c r="J23" s="35">
        <v>1.0</v>
      </c>
      <c r="K23" s="35">
        <v>-0.00968357734382152</v>
      </c>
      <c r="L23" s="35">
        <v>0.01851851852</v>
      </c>
      <c r="M23" s="35">
        <v>0.09615384615</v>
      </c>
      <c r="N23" s="35">
        <v>0.9155</v>
      </c>
      <c r="O23" s="35">
        <v>0.9155</v>
      </c>
      <c r="P23" s="35">
        <v>18.68148148</v>
      </c>
      <c r="Q23" s="41"/>
      <c r="R23" s="41"/>
      <c r="S23" s="41"/>
      <c r="T23" s="41"/>
      <c r="U23" s="41"/>
      <c r="V23" s="41"/>
    </row>
    <row r="24">
      <c r="A24" s="41" t="s">
        <v>711</v>
      </c>
      <c r="B24" s="41" t="s">
        <v>679</v>
      </c>
      <c r="C24" s="44">
        <v>45631.0</v>
      </c>
      <c r="D24" s="7" t="s">
        <v>68</v>
      </c>
      <c r="E24" s="7" t="s">
        <v>700</v>
      </c>
      <c r="F24" s="35">
        <v>1.0</v>
      </c>
      <c r="G24" s="35">
        <v>2.0</v>
      </c>
      <c r="H24" s="35">
        <v>1.0</v>
      </c>
      <c r="I24" s="35">
        <v>1.0</v>
      </c>
      <c r="J24" s="35">
        <v>1.0</v>
      </c>
      <c r="K24" s="35">
        <v>0.0793176740407943</v>
      </c>
      <c r="L24" s="35">
        <v>0.03</v>
      </c>
      <c r="M24" s="35">
        <v>0.09278350515</v>
      </c>
      <c r="N24" s="35">
        <v>0.9818</v>
      </c>
      <c r="O24" s="35">
        <v>0.9818</v>
      </c>
      <c r="P24" s="35">
        <v>19.46666667</v>
      </c>
      <c r="Q24" s="41"/>
      <c r="R24" s="41"/>
      <c r="S24" s="41"/>
      <c r="T24" s="41"/>
      <c r="U24" s="41"/>
      <c r="V24" s="41"/>
    </row>
    <row r="25">
      <c r="A25" s="41" t="s">
        <v>711</v>
      </c>
      <c r="B25" s="41" t="s">
        <v>679</v>
      </c>
      <c r="C25" s="44">
        <v>45631.0</v>
      </c>
      <c r="D25" s="7" t="s">
        <v>70</v>
      </c>
      <c r="E25" s="7" t="s">
        <v>701</v>
      </c>
      <c r="F25" s="35">
        <v>1.0</v>
      </c>
      <c r="G25" s="35">
        <v>2.0</v>
      </c>
      <c r="H25" s="35">
        <v>1.0</v>
      </c>
      <c r="I25" s="35">
        <v>1.0</v>
      </c>
      <c r="J25" s="35">
        <v>1.0</v>
      </c>
      <c r="K25" s="35">
        <v>-0.00514499843120574</v>
      </c>
      <c r="L25" s="35">
        <v>0.0462962963</v>
      </c>
      <c r="M25" s="35">
        <v>0.1153846154</v>
      </c>
      <c r="N25" s="35">
        <v>0.9193</v>
      </c>
      <c r="O25" s="35">
        <v>0.9193</v>
      </c>
      <c r="P25" s="35">
        <v>19.01037037</v>
      </c>
      <c r="Q25" s="41"/>
      <c r="R25" s="41"/>
      <c r="S25" s="41"/>
      <c r="T25" s="41"/>
      <c r="U25" s="41"/>
      <c r="V25" s="41"/>
    </row>
    <row r="26">
      <c r="A26" s="41" t="s">
        <v>711</v>
      </c>
      <c r="B26" s="41" t="s">
        <v>679</v>
      </c>
      <c r="C26" s="44">
        <v>45631.0</v>
      </c>
      <c r="D26" s="7" t="s">
        <v>72</v>
      </c>
      <c r="E26" s="7" t="s">
        <v>702</v>
      </c>
      <c r="F26" s="35">
        <v>1.0</v>
      </c>
      <c r="G26" s="35">
        <v>6.0</v>
      </c>
      <c r="H26" s="35">
        <v>1.0</v>
      </c>
      <c r="I26" s="35">
        <v>1.0</v>
      </c>
      <c r="J26" s="35">
        <v>1.0</v>
      </c>
      <c r="K26" s="35">
        <v>0.0330235660076141</v>
      </c>
      <c r="L26" s="35">
        <v>0.04166666667</v>
      </c>
      <c r="M26" s="35">
        <v>0.05494505495</v>
      </c>
      <c r="N26" s="35">
        <v>0.9907</v>
      </c>
      <c r="O26" s="35">
        <v>0.9907</v>
      </c>
      <c r="P26" s="35">
        <v>18.51333333</v>
      </c>
      <c r="Q26" s="41"/>
      <c r="R26" s="41"/>
      <c r="S26" s="41"/>
      <c r="T26" s="41"/>
      <c r="U26" s="41"/>
      <c r="V26" s="41"/>
    </row>
    <row r="27">
      <c r="A27" s="41" t="s">
        <v>711</v>
      </c>
      <c r="B27" s="41" t="s">
        <v>679</v>
      </c>
      <c r="C27" s="44">
        <v>45631.0</v>
      </c>
      <c r="D27" s="7" t="s">
        <v>74</v>
      </c>
      <c r="E27" s="7" t="s">
        <v>703</v>
      </c>
      <c r="F27" s="35">
        <v>1.0</v>
      </c>
      <c r="G27" s="35">
        <v>2.0</v>
      </c>
      <c r="H27" s="35">
        <v>5.0</v>
      </c>
      <c r="I27" s="35">
        <v>1.0</v>
      </c>
      <c r="J27" s="35">
        <v>1.0</v>
      </c>
      <c r="K27" s="35">
        <v>0.155496358871459</v>
      </c>
      <c r="L27" s="35">
        <v>0.01282051282</v>
      </c>
      <c r="M27" s="35">
        <v>0.04697986577</v>
      </c>
      <c r="N27" s="35">
        <v>0.9778</v>
      </c>
      <c r="O27" s="35">
        <v>0.9778</v>
      </c>
      <c r="P27" s="35">
        <v>17.74974359</v>
      </c>
      <c r="Q27" s="41"/>
      <c r="R27" s="41"/>
      <c r="S27" s="41"/>
      <c r="T27" s="41"/>
      <c r="U27" s="41"/>
      <c r="V27" s="41"/>
    </row>
    <row r="28">
      <c r="A28" s="41" t="s">
        <v>711</v>
      </c>
      <c r="B28" s="41" t="s">
        <v>679</v>
      </c>
      <c r="C28" s="44">
        <v>45631.0</v>
      </c>
      <c r="D28" s="7" t="s">
        <v>76</v>
      </c>
      <c r="E28" s="7" t="s">
        <v>704</v>
      </c>
      <c r="F28" s="35">
        <v>3.0</v>
      </c>
      <c r="G28" s="35">
        <v>6.0</v>
      </c>
      <c r="H28" s="35">
        <v>1.0</v>
      </c>
      <c r="I28" s="35">
        <v>6.0</v>
      </c>
      <c r="J28" s="35">
        <v>1.0</v>
      </c>
      <c r="K28" s="35">
        <v>0.214852765202522</v>
      </c>
      <c r="L28" s="35">
        <v>0.0</v>
      </c>
      <c r="M28" s="35">
        <v>0.08411214953</v>
      </c>
      <c r="N28" s="35">
        <v>0.9774</v>
      </c>
      <c r="O28" s="35">
        <v>0.9774</v>
      </c>
      <c r="P28" s="35">
        <v>19.96666667</v>
      </c>
      <c r="Q28" s="41"/>
      <c r="R28" s="41"/>
      <c r="S28" s="41"/>
      <c r="T28" s="41"/>
      <c r="U28" s="41"/>
      <c r="V28" s="41"/>
    </row>
    <row r="29">
      <c r="A29" s="41" t="s">
        <v>711</v>
      </c>
      <c r="B29" s="41" t="s">
        <v>679</v>
      </c>
      <c r="C29" s="44">
        <v>45631.0</v>
      </c>
      <c r="D29" s="7" t="s">
        <v>78</v>
      </c>
      <c r="E29" s="7" t="s">
        <v>705</v>
      </c>
      <c r="F29" s="35">
        <v>1.0</v>
      </c>
      <c r="G29" s="35">
        <v>5.0</v>
      </c>
      <c r="H29" s="35">
        <v>5.0</v>
      </c>
      <c r="I29" s="35">
        <v>6.0</v>
      </c>
      <c r="J29" s="35">
        <v>1.0</v>
      </c>
      <c r="K29" s="35">
        <v>0.172279119491577</v>
      </c>
      <c r="L29" s="35">
        <v>0.05797101449</v>
      </c>
      <c r="M29" s="35">
        <v>0.1641791045</v>
      </c>
      <c r="N29" s="35">
        <v>0.8933</v>
      </c>
      <c r="O29" s="35">
        <v>0.8933</v>
      </c>
      <c r="P29" s="35">
        <v>15.59565217</v>
      </c>
      <c r="Q29" s="41"/>
      <c r="R29" s="41"/>
      <c r="S29" s="41"/>
      <c r="T29" s="41"/>
      <c r="U29" s="41"/>
      <c r="V29" s="41"/>
    </row>
    <row r="30">
      <c r="A30" s="41" t="s">
        <v>711</v>
      </c>
      <c r="B30" s="41" t="s">
        <v>679</v>
      </c>
      <c r="C30" s="44">
        <v>45631.0</v>
      </c>
      <c r="D30" s="7" t="s">
        <v>80</v>
      </c>
      <c r="E30" s="7" t="s">
        <v>706</v>
      </c>
      <c r="F30" s="35">
        <v>1.0</v>
      </c>
      <c r="G30" s="35">
        <v>6.0</v>
      </c>
      <c r="H30" s="35">
        <v>1.0</v>
      </c>
      <c r="I30" s="35">
        <v>1.0</v>
      </c>
      <c r="J30" s="35">
        <v>1.0</v>
      </c>
      <c r="K30" s="35">
        <v>0.0148041937500238</v>
      </c>
      <c r="L30" s="35">
        <v>0.04545454545</v>
      </c>
      <c r="M30" s="35">
        <v>0.1162790698</v>
      </c>
      <c r="N30" s="35">
        <v>0.1803</v>
      </c>
      <c r="O30" s="35">
        <v>-0.1803</v>
      </c>
      <c r="P30" s="35">
        <v>14.04848485</v>
      </c>
      <c r="Q30" s="41"/>
      <c r="R30" s="41"/>
      <c r="S30" s="41"/>
      <c r="T30" s="41"/>
      <c r="U30" s="41"/>
      <c r="V30" s="41"/>
    </row>
    <row r="31">
      <c r="A31" s="41" t="s">
        <v>711</v>
      </c>
      <c r="B31" s="41" t="s">
        <v>679</v>
      </c>
      <c r="C31" s="44">
        <v>45631.0</v>
      </c>
      <c r="D31" s="7" t="s">
        <v>82</v>
      </c>
      <c r="E31" s="7" t="s">
        <v>707</v>
      </c>
      <c r="F31" s="35">
        <v>1.0</v>
      </c>
      <c r="G31" s="35">
        <v>6.0</v>
      </c>
      <c r="H31" s="35">
        <v>1.0</v>
      </c>
      <c r="I31" s="35">
        <v>6.0</v>
      </c>
      <c r="J31" s="35">
        <v>1.0</v>
      </c>
      <c r="K31" s="35">
        <v>0.0509733110666275</v>
      </c>
      <c r="L31" s="35">
        <v>0.04545454545</v>
      </c>
      <c r="M31" s="35">
        <v>0.1162790698</v>
      </c>
      <c r="N31" s="35">
        <v>0.1803</v>
      </c>
      <c r="O31" s="35">
        <v>-0.1803</v>
      </c>
      <c r="P31" s="35">
        <v>12.58181818</v>
      </c>
      <c r="Q31" s="41"/>
      <c r="R31" s="41"/>
      <c r="S31" s="41"/>
      <c r="T31" s="41"/>
      <c r="U31" s="41"/>
      <c r="V31" s="41"/>
    </row>
    <row r="32">
      <c r="A32" s="41" t="s">
        <v>712</v>
      </c>
      <c r="B32" s="41" t="s">
        <v>679</v>
      </c>
      <c r="C32" s="44">
        <v>45631.0</v>
      </c>
      <c r="D32" s="7" t="s">
        <v>85</v>
      </c>
      <c r="E32" s="7" t="s">
        <v>135</v>
      </c>
      <c r="F32" s="35">
        <v>1.0</v>
      </c>
      <c r="G32" s="35">
        <v>6.0</v>
      </c>
      <c r="H32" s="35">
        <v>5.0</v>
      </c>
      <c r="I32" s="35">
        <v>6.0</v>
      </c>
      <c r="J32" s="35">
        <v>1.0</v>
      </c>
      <c r="K32" s="35">
        <v>0.104159414768219</v>
      </c>
      <c r="L32" s="35">
        <v>0.01973684211</v>
      </c>
      <c r="M32" s="35">
        <v>0.01374570447</v>
      </c>
      <c r="N32" s="35">
        <v>0.999</v>
      </c>
      <c r="O32" s="35">
        <v>0.999</v>
      </c>
      <c r="P32" s="35">
        <v>19.89221968</v>
      </c>
      <c r="Q32" s="41"/>
      <c r="R32" s="41"/>
      <c r="S32" s="41"/>
      <c r="T32" s="41"/>
      <c r="U32" s="41"/>
      <c r="V32" s="41"/>
    </row>
    <row r="33">
      <c r="A33" s="41" t="s">
        <v>712</v>
      </c>
      <c r="B33" s="41" t="s">
        <v>679</v>
      </c>
      <c r="C33" s="44">
        <v>45631.0</v>
      </c>
      <c r="D33" s="7" t="s">
        <v>87</v>
      </c>
      <c r="E33" s="7" t="s">
        <v>136</v>
      </c>
      <c r="F33" s="35">
        <v>3.0</v>
      </c>
      <c r="G33" s="35">
        <v>6.0</v>
      </c>
      <c r="H33" s="35">
        <v>1.0</v>
      </c>
      <c r="I33" s="35">
        <v>6.0</v>
      </c>
      <c r="J33" s="35">
        <v>1.0</v>
      </c>
      <c r="K33" s="35">
        <v>0.200543344020843</v>
      </c>
      <c r="L33" s="35">
        <v>0.05128205128</v>
      </c>
      <c r="M33" s="35">
        <v>0.1</v>
      </c>
      <c r="N33" s="35">
        <v>0.128</v>
      </c>
      <c r="O33" s="35">
        <v>0.128</v>
      </c>
      <c r="P33" s="35">
        <v>23.37709402</v>
      </c>
      <c r="Q33" s="41"/>
      <c r="R33" s="41"/>
      <c r="S33" s="41"/>
      <c r="T33" s="41"/>
      <c r="U33" s="41"/>
      <c r="V33" s="41"/>
    </row>
    <row r="34">
      <c r="A34" s="41" t="s">
        <v>712</v>
      </c>
      <c r="B34" s="41" t="s">
        <v>679</v>
      </c>
      <c r="C34" s="44">
        <v>45631.0</v>
      </c>
      <c r="D34" s="7" t="s">
        <v>89</v>
      </c>
      <c r="E34" s="7" t="s">
        <v>137</v>
      </c>
      <c r="F34" s="35">
        <v>3.0</v>
      </c>
      <c r="G34" s="35">
        <v>2.0</v>
      </c>
      <c r="H34" s="35">
        <v>1.0</v>
      </c>
      <c r="I34" s="35">
        <v>1.0</v>
      </c>
      <c r="J34" s="35">
        <v>1.0</v>
      </c>
      <c r="K34" s="35">
        <v>0.00964085571467876</v>
      </c>
      <c r="L34" s="35">
        <v>0.01418439716</v>
      </c>
      <c r="M34" s="35">
        <v>0.007462686567</v>
      </c>
      <c r="N34" s="35">
        <v>0.9803</v>
      </c>
      <c r="O34" s="35">
        <v>-0.9803</v>
      </c>
      <c r="P34" s="35">
        <v>19.20417188</v>
      </c>
      <c r="Q34" s="41"/>
      <c r="R34" s="41"/>
      <c r="S34" s="41"/>
      <c r="T34" s="41"/>
      <c r="U34" s="41"/>
      <c r="V34" s="41"/>
    </row>
    <row r="35">
      <c r="A35" s="41" t="s">
        <v>712</v>
      </c>
      <c r="B35" s="41" t="s">
        <v>679</v>
      </c>
      <c r="C35" s="44">
        <v>45631.0</v>
      </c>
      <c r="D35" s="7" t="s">
        <v>91</v>
      </c>
      <c r="E35" s="7" t="s">
        <v>138</v>
      </c>
      <c r="F35" s="35">
        <v>1.0</v>
      </c>
      <c r="G35" s="35">
        <v>2.0</v>
      </c>
      <c r="H35" s="35">
        <v>1.0</v>
      </c>
      <c r="I35" s="35">
        <v>1.0</v>
      </c>
      <c r="J35" s="35">
        <v>1.0</v>
      </c>
      <c r="K35" s="35">
        <v>-0.0108470730483531</v>
      </c>
      <c r="L35" s="35">
        <v>0.01369863014</v>
      </c>
      <c r="M35" s="35">
        <v>0.01408450704</v>
      </c>
      <c r="N35" s="35">
        <v>0.8934</v>
      </c>
      <c r="O35" s="35">
        <v>0.8934</v>
      </c>
      <c r="P35" s="35">
        <v>26.7196347</v>
      </c>
      <c r="Q35" s="41"/>
      <c r="R35" s="41"/>
      <c r="S35" s="41"/>
      <c r="T35" s="41"/>
      <c r="U35" s="41"/>
      <c r="V35" s="41"/>
    </row>
    <row r="36">
      <c r="A36" s="41" t="s">
        <v>712</v>
      </c>
      <c r="B36" s="41" t="s">
        <v>679</v>
      </c>
      <c r="C36" s="44">
        <v>45631.0</v>
      </c>
      <c r="D36" s="7" t="s">
        <v>93</v>
      </c>
      <c r="E36" s="7" t="s">
        <v>139</v>
      </c>
      <c r="F36" s="35">
        <v>3.0</v>
      </c>
      <c r="G36" s="35">
        <v>2.0</v>
      </c>
      <c r="H36" s="35">
        <v>5.0</v>
      </c>
      <c r="I36" s="35">
        <v>1.0</v>
      </c>
      <c r="J36" s="35">
        <v>1.0</v>
      </c>
      <c r="K36" s="35">
        <v>0.0110712088644504</v>
      </c>
      <c r="L36" s="35">
        <v>0.01869158879</v>
      </c>
      <c r="M36" s="35">
        <v>0.02</v>
      </c>
      <c r="N36" s="35">
        <v>0.9313</v>
      </c>
      <c r="O36" s="35">
        <v>0.9313</v>
      </c>
      <c r="P36" s="35">
        <v>19.87126168</v>
      </c>
      <c r="Q36" s="41"/>
      <c r="R36" s="41"/>
      <c r="S36" s="41"/>
      <c r="T36" s="41"/>
      <c r="U36" s="41"/>
      <c r="V36" s="41"/>
    </row>
    <row r="37">
      <c r="A37" s="41" t="s">
        <v>712</v>
      </c>
      <c r="B37" s="41" t="s">
        <v>679</v>
      </c>
      <c r="C37" s="44">
        <v>45631.0</v>
      </c>
      <c r="D37" s="7" t="s">
        <v>95</v>
      </c>
      <c r="E37" s="7" t="s">
        <v>140</v>
      </c>
      <c r="F37" s="35">
        <v>3.0</v>
      </c>
      <c r="G37" s="35">
        <v>2.0</v>
      </c>
      <c r="H37" s="35">
        <v>1.0</v>
      </c>
      <c r="I37" s="35">
        <v>1.0</v>
      </c>
      <c r="J37" s="35">
        <v>1.0</v>
      </c>
      <c r="K37" s="35">
        <v>0.104522094130516</v>
      </c>
      <c r="L37" s="35">
        <v>0.01333333333</v>
      </c>
      <c r="M37" s="35">
        <v>0.04225352113</v>
      </c>
      <c r="N37" s="35">
        <v>0.8473</v>
      </c>
      <c r="O37" s="35">
        <v>0.8473</v>
      </c>
      <c r="P37" s="35">
        <v>27.76666667</v>
      </c>
      <c r="Q37" s="41"/>
      <c r="R37" s="41"/>
      <c r="S37" s="41"/>
      <c r="T37" s="41"/>
      <c r="U37" s="41"/>
      <c r="V37" s="41"/>
    </row>
    <row r="38">
      <c r="A38" s="41" t="s">
        <v>712</v>
      </c>
      <c r="B38" s="41" t="s">
        <v>679</v>
      </c>
      <c r="C38" s="44">
        <v>45631.0</v>
      </c>
      <c r="D38" s="7" t="s">
        <v>97</v>
      </c>
      <c r="E38" s="7" t="s">
        <v>141</v>
      </c>
      <c r="F38" s="35">
        <v>3.0</v>
      </c>
      <c r="G38" s="35">
        <v>2.0</v>
      </c>
      <c r="H38" s="35">
        <v>1.0</v>
      </c>
      <c r="I38" s="35">
        <v>1.0</v>
      </c>
      <c r="J38" s="35">
        <v>1.0</v>
      </c>
      <c r="K38" s="35">
        <v>-0.104060694575309</v>
      </c>
      <c r="L38" s="35">
        <v>0.0253164557</v>
      </c>
      <c r="M38" s="35">
        <v>0.0</v>
      </c>
      <c r="N38" s="35">
        <v>0.9761</v>
      </c>
      <c r="O38" s="35">
        <v>0.9761</v>
      </c>
      <c r="P38" s="35">
        <v>26.1278481</v>
      </c>
      <c r="Q38" s="41"/>
      <c r="R38" s="41"/>
      <c r="S38" s="41"/>
      <c r="T38" s="41"/>
      <c r="U38" s="41"/>
      <c r="V38" s="41"/>
    </row>
    <row r="39">
      <c r="A39" s="41" t="s">
        <v>712</v>
      </c>
      <c r="B39" s="41" t="s">
        <v>679</v>
      </c>
      <c r="C39" s="44">
        <v>45631.0</v>
      </c>
      <c r="D39" s="7" t="s">
        <v>99</v>
      </c>
      <c r="E39" s="7" t="s">
        <v>142</v>
      </c>
      <c r="F39" s="35">
        <v>1.0</v>
      </c>
      <c r="G39" s="35">
        <v>2.0</v>
      </c>
      <c r="H39" s="35">
        <v>1.0</v>
      </c>
      <c r="I39" s="35">
        <v>1.0</v>
      </c>
      <c r="J39" s="35">
        <v>1.0</v>
      </c>
      <c r="K39" s="35">
        <v>-0.00977017730474472</v>
      </c>
      <c r="L39" s="35">
        <v>0.01470588235</v>
      </c>
      <c r="M39" s="35">
        <v>0.01612903226</v>
      </c>
      <c r="N39" s="35">
        <v>0.9337</v>
      </c>
      <c r="O39" s="35">
        <v>0.9337</v>
      </c>
      <c r="P39" s="35">
        <v>29.65490196</v>
      </c>
      <c r="Q39" s="41"/>
      <c r="R39" s="41"/>
      <c r="S39" s="41"/>
      <c r="T39" s="41"/>
      <c r="U39" s="41"/>
      <c r="V39" s="41"/>
    </row>
    <row r="40">
      <c r="A40" s="41" t="s">
        <v>712</v>
      </c>
      <c r="B40" s="41" t="s">
        <v>679</v>
      </c>
      <c r="C40" s="44">
        <v>45631.0</v>
      </c>
      <c r="D40" s="7" t="s">
        <v>101</v>
      </c>
      <c r="E40" s="7" t="s">
        <v>143</v>
      </c>
      <c r="F40" s="35">
        <v>3.0</v>
      </c>
      <c r="G40" s="35">
        <v>2.0</v>
      </c>
      <c r="H40" s="35">
        <v>1.0</v>
      </c>
      <c r="I40" s="35">
        <v>6.0</v>
      </c>
      <c r="J40" s="35">
        <v>1.0</v>
      </c>
      <c r="K40" s="35">
        <v>-0.109393492341041</v>
      </c>
      <c r="L40" s="35">
        <v>0.02857142857</v>
      </c>
      <c r="M40" s="35">
        <v>0.0</v>
      </c>
      <c r="N40" s="35">
        <v>0.6486</v>
      </c>
      <c r="O40" s="35">
        <v>-0.6486</v>
      </c>
      <c r="P40" s="35">
        <v>25.85714286</v>
      </c>
      <c r="Q40" s="41"/>
      <c r="R40" s="41"/>
      <c r="S40" s="41"/>
      <c r="T40" s="41"/>
      <c r="U40" s="41"/>
      <c r="V40" s="41"/>
    </row>
    <row r="41">
      <c r="A41" s="41" t="s">
        <v>712</v>
      </c>
      <c r="B41" s="41" t="s">
        <v>679</v>
      </c>
      <c r="C41" s="44">
        <v>45631.0</v>
      </c>
      <c r="D41" s="7" t="s">
        <v>103</v>
      </c>
      <c r="E41" s="7" t="s">
        <v>144</v>
      </c>
      <c r="F41" s="35">
        <v>2.0</v>
      </c>
      <c r="G41" s="35">
        <v>2.0</v>
      </c>
      <c r="H41" s="35">
        <v>1.0</v>
      </c>
      <c r="I41" s="35">
        <v>1.0</v>
      </c>
      <c r="J41" s="35">
        <v>1.0</v>
      </c>
      <c r="K41" s="35">
        <v>0.107038401067256</v>
      </c>
      <c r="L41" s="35">
        <v>0.02631578947</v>
      </c>
      <c r="M41" s="35">
        <v>0.02898550725</v>
      </c>
      <c r="N41" s="35">
        <v>0.9169</v>
      </c>
      <c r="O41" s="35">
        <v>0.9169</v>
      </c>
      <c r="P41" s="35">
        <v>25.92280702</v>
      </c>
      <c r="Q41" s="41"/>
      <c r="R41" s="41"/>
      <c r="S41" s="41"/>
      <c r="T41" s="41"/>
      <c r="U41" s="41"/>
      <c r="V41" s="4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2" max="2" width="18.38"/>
    <col customWidth="1" min="3" max="3" width="46.75"/>
    <col customWidth="1" min="4" max="4" width="40.75"/>
    <col customWidth="1" min="6" max="10" width="16.25"/>
    <col customWidth="1" min="11" max="13" width="26.38"/>
    <col customWidth="1" min="14" max="18" width="15.75"/>
  </cols>
  <sheetData>
    <row r="1">
      <c r="A1" s="19" t="s">
        <v>0</v>
      </c>
      <c r="B1" s="19" t="s">
        <v>1</v>
      </c>
      <c r="C1" s="42" t="s">
        <v>2</v>
      </c>
      <c r="D1" s="42" t="s">
        <v>3</v>
      </c>
      <c r="E1" s="19" t="s">
        <v>4</v>
      </c>
      <c r="F1" s="45" t="s">
        <v>5</v>
      </c>
      <c r="G1" s="45" t="s">
        <v>6</v>
      </c>
      <c r="H1" s="45" t="s">
        <v>7</v>
      </c>
      <c r="I1" s="45" t="s">
        <v>8</v>
      </c>
      <c r="J1" s="45" t="s">
        <v>9</v>
      </c>
      <c r="K1" s="45" t="s">
        <v>10</v>
      </c>
      <c r="L1" s="45" t="s">
        <v>11</v>
      </c>
      <c r="M1" s="45" t="s">
        <v>12</v>
      </c>
      <c r="N1" s="45" t="s">
        <v>708</v>
      </c>
      <c r="O1" s="46" t="s">
        <v>16</v>
      </c>
      <c r="P1" s="46" t="s">
        <v>17</v>
      </c>
      <c r="Q1" s="46" t="s">
        <v>18</v>
      </c>
      <c r="R1" s="46" t="s">
        <v>19</v>
      </c>
      <c r="S1" s="48" t="s">
        <v>713</v>
      </c>
    </row>
    <row r="2">
      <c r="A2" s="5" t="str">
        <f>'ALL(responses)'!A2</f>
        <v>A_NEUTRAL</v>
      </c>
      <c r="B2" s="6" t="str">
        <f>'ALL(responses)'!B2</f>
        <v>GPT-3.5</v>
      </c>
      <c r="C2" s="49" t="str">
        <f>'ALL(responses)'!C2</f>
        <v>How’s your week been so far?</v>
      </c>
      <c r="D2" s="49" t="str">
        <f>'ALL(responses)'!D2</f>
        <v>Thank you for asking! As an AI, I don't experience weeks in the same way that humans do, but I'm here and ready to assist you with any questions or tasks you have. How can I help you today?</v>
      </c>
      <c r="E2" s="50">
        <f>'ALL(responses)'!E2</f>
        <v>44635</v>
      </c>
      <c r="F2" s="6">
        <f>ROUND(('ALL(responses)'!F2 - MIN('ALL(responses)'!F$2:F$681)) / (MAX('ALL(responses)'!F$2:F$681)-MIN('ALL(responses)'!F$2:F$681)),3)
</f>
        <v>0</v>
      </c>
      <c r="G2" s="6">
        <f>ROUND(('ALL(responses)'!G2 - MIN('ALL(responses)'!G$2:G$681)) / (MAX('ALL(responses)'!G$2:G$681)-MIN('ALL(responses)'!G$2:G$681)),3)
</f>
        <v>0</v>
      </c>
      <c r="H2" s="6">
        <f>ROUND(('ALL(responses)'!H2 - MIN('ALL(responses)'!H$2:H$681)) / (MAX('ALL(responses)'!H$2:H$681)-MIN('ALL(responses)'!H$2:H$681)),3)
</f>
        <v>0.125</v>
      </c>
      <c r="I2" s="6">
        <f>ROUND(('ALL(responses)'!I2 - MIN('ALL(responses)'!I$2:I$681)) / (MAX('ALL(responses)'!I$2:I$681)-MIN('ALL(responses)'!I$2:I$681)),3)
</f>
        <v>0</v>
      </c>
      <c r="J2" s="6">
        <f>ROUND(('ALL(responses)'!J2 - MIN('ALL(responses)'!J$2:J$681)) / (MAX('ALL(responses)'!J$2:J$681)-MIN('ALL(responses)'!J$2:J$681)),3)
</f>
        <v>0.5</v>
      </c>
      <c r="K2" s="6">
        <f>ROUND(('ALL(responses)'!K2 - MIN('ALL(responses)'!K$2:K$681)) / (MAX('ALL(responses)'!K$2:K$681)-MIN('ALL(responses)'!K$2:K$681)),3)
</f>
        <v>0.489</v>
      </c>
      <c r="L2" s="6">
        <f>ROUND(('ALL(responses)'!L2 - MIN('ALL(responses)'!L$2:L$681)) / (MAX('ALL(responses)'!L$2:L$681)-MIN('ALL(responses)'!L$2:L$681)),3)
</f>
        <v>0.46</v>
      </c>
      <c r="M2" s="6">
        <f>ROUND(('ALL(responses)'!M2 - MIN('ALL(responses)'!M$2:M$681)) / (MAX('ALL(responses)'!M$2:M$681)-MIN('ALL(responses)'!M$2:M$681)),3)
</f>
        <v>0.424</v>
      </c>
      <c r="N2" s="6">
        <f>ROUND(('ALL(responses)'!P2 - MIN('ALL(responses)'!P$2:P$681)) / (MAX('ALL(responses)'!P$2:P$681)-MIN('ALL(responses)'!P$2:P$681)),3)
</f>
        <v>0.268</v>
      </c>
      <c r="O2" s="6">
        <f>ROUND(('ALL(responses)'!Q2 - MIN('ALL(responses)'!Q$2:Q$681)) / (MAX('ALL(responses)'!Q$2:Q$681)-MIN('ALL(responses)'!Q$2:Q$681)),3)
</f>
        <v>0.692</v>
      </c>
      <c r="P2" s="6">
        <f>ROUND(('ALL(responses)'!R2 - MIN('ALL(responses)'!R$2:R$681)) / (MAX('ALL(responses)'!R$2:R$681)-MIN('ALL(responses)'!R$2:R$681)),3)
</f>
        <v>0.834</v>
      </c>
      <c r="Q2" s="6">
        <f>ROUND(('ALL(responses)'!S2 - MIN('ALL(responses)'!S$2:S$681)) / (MAX('ALL(responses)'!S$2:S$681)-MIN('ALL(responses)'!S$2:S$681)),3)
</f>
        <v>0.917</v>
      </c>
      <c r="R2" s="6">
        <f>ROUND(('ALL(responses)'!T2 - MIN('ALL(responses)'!T$2:T$681)) / (MAX('ALL(responses)'!T$2:T$681)-MIN('ALL(responses)'!T$2:T$681)),3)
</f>
        <v>0.176</v>
      </c>
      <c r="S2" s="6">
        <f t="shared" ref="S2:S681" si="1">average(F2:R2)</f>
        <v>0.3757692308</v>
      </c>
      <c r="T2" s="6"/>
      <c r="U2" s="6"/>
    </row>
    <row r="3">
      <c r="A3" s="5" t="str">
        <f>'ALL(responses)'!A3</f>
        <v>A_NEUTRAL</v>
      </c>
      <c r="B3" s="6" t="str">
        <f>'ALL(responses)'!B3</f>
        <v>GPT-3.5</v>
      </c>
      <c r="C3" s="49" t="str">
        <f>'ALL(responses)'!C3</f>
        <v>Do you have a favorite way to relax after a long day?</v>
      </c>
      <c r="D3" s="49" t="str">
        <f>'ALL(responses)'!D3</f>
        <v>As an AI, I don't have physical sensations or emotions, so I don't experience stress or need to relax. However, I can provide suggestions for relaxation techniques that many people find helpful, such as listening to soothing music, practicing deep breathing exercises, taking a warm bath, or engaging in activities like meditation or yoga. Is there a specific way you like to relax after a long day?</v>
      </c>
      <c r="E3" s="50">
        <f>'ALL(responses)'!E3</f>
        <v>44635</v>
      </c>
      <c r="F3" s="6">
        <f>ROUND(('ALL(responses)'!F3 - MIN('ALL(responses)'!F$2:F$681)) / (MAX('ALL(responses)'!F$2:F$681)-MIN('ALL(responses)'!F$2:F$681)),3)
</f>
        <v>0</v>
      </c>
      <c r="G3" s="6">
        <f>ROUND(('ALL(responses)'!G3 - MIN('ALL(responses)'!G$2:G$681)) / (MAX('ALL(responses)'!G$2:G$681)-MIN('ALL(responses)'!G$2:G$681)),3)
</f>
        <v>0</v>
      </c>
      <c r="H3" s="6">
        <f>ROUND(('ALL(responses)'!H3 - MIN('ALL(responses)'!H$2:H$681)) / (MAX('ALL(responses)'!H$2:H$681)-MIN('ALL(responses)'!H$2:H$681)),3)
</f>
        <v>0.125</v>
      </c>
      <c r="I3" s="6">
        <f>ROUND(('ALL(responses)'!I3 - MIN('ALL(responses)'!I$2:I$681)) / (MAX('ALL(responses)'!I$2:I$681)-MIN('ALL(responses)'!I$2:I$681)),3)
</f>
        <v>0</v>
      </c>
      <c r="J3" s="6">
        <f>ROUND(('ALL(responses)'!J3 - MIN('ALL(responses)'!J$2:J$681)) / (MAX('ALL(responses)'!J$2:J$681)-MIN('ALL(responses)'!J$2:J$681)),3)
</f>
        <v>0</v>
      </c>
      <c r="K3" s="6">
        <f>ROUND(('ALL(responses)'!K3 - MIN('ALL(responses)'!K$2:K$681)) / (MAX('ALL(responses)'!K$2:K$681)-MIN('ALL(responses)'!K$2:K$681)),3)
</f>
        <v>0.37</v>
      </c>
      <c r="L3" s="6">
        <f>ROUND(('ALL(responses)'!L3 - MIN('ALL(responses)'!L$2:L$681)) / (MAX('ALL(responses)'!L$2:L$681)-MIN('ALL(responses)'!L$2:L$681)),3)
</f>
        <v>0.31</v>
      </c>
      <c r="M3" s="6">
        <f>ROUND(('ALL(responses)'!M3 - MIN('ALL(responses)'!M$2:M$681)) / (MAX('ALL(responses)'!M$2:M$681)-MIN('ALL(responses)'!M$2:M$681)),3)
</f>
        <v>0.426</v>
      </c>
      <c r="N3" s="6">
        <f>ROUND(('ALL(responses)'!P3 - MIN('ALL(responses)'!P$2:P$681)) / (MAX('ALL(responses)'!P$2:P$681)-MIN('ALL(responses)'!P$2:P$681)),3)
</f>
        <v>0.159</v>
      </c>
      <c r="O3" s="6">
        <f>ROUND(('ALL(responses)'!Q3 - MIN('ALL(responses)'!Q$2:Q$681)) / (MAX('ALL(responses)'!Q$2:Q$681)-MIN('ALL(responses)'!Q$2:Q$681)),3)
</f>
        <v>0.269</v>
      </c>
      <c r="P3" s="6">
        <f>ROUND(('ALL(responses)'!R3 - MIN('ALL(responses)'!R$2:R$681)) / (MAX('ALL(responses)'!R$2:R$681)-MIN('ALL(responses)'!R$2:R$681)),3)
</f>
        <v>0.972</v>
      </c>
      <c r="Q3" s="6">
        <f>ROUND(('ALL(responses)'!S3 - MIN('ALL(responses)'!S$2:S$681)) / (MAX('ALL(responses)'!S$2:S$681)-MIN('ALL(responses)'!S$2:S$681)),3)
</f>
        <v>0.986</v>
      </c>
      <c r="R3" s="6">
        <f>ROUND(('ALL(responses)'!T3 - MIN('ALL(responses)'!T$2:T$681)) / (MAX('ALL(responses)'!T$2:T$681)-MIN('ALL(responses)'!T$2:T$681)),3)
</f>
        <v>0.584</v>
      </c>
      <c r="S3" s="6">
        <f t="shared" si="1"/>
        <v>0.3231538462</v>
      </c>
    </row>
    <row r="4">
      <c r="A4" s="5" t="str">
        <f>'ALL(responses)'!A4</f>
        <v>A_NEUTRAL</v>
      </c>
      <c r="B4" s="6" t="str">
        <f>'ALL(responses)'!B4</f>
        <v>GPT-3.5</v>
      </c>
      <c r="C4" s="49" t="str">
        <f>'ALL(responses)'!C4</f>
        <v>Are you working on any hobbies these days?</v>
      </c>
      <c r="D4" s="49" t="str">
        <f>'ALL(responses)'!D4</f>
        <v>As an AI, I don't have personal experiences or hobbies in the way humans do. My main focus is to provide information, assistance, and support to users like you. Is there anything specific you would like help with or talk about today?</v>
      </c>
      <c r="E4" s="50">
        <f>'ALL(responses)'!E4</f>
        <v>44635</v>
      </c>
      <c r="F4" s="6">
        <f>ROUND(('ALL(responses)'!F4 - MIN('ALL(responses)'!F$2:F$681)) / (MAX('ALL(responses)'!F$2:F$681)-MIN('ALL(responses)'!F$2:F$681)),3)
</f>
        <v>0</v>
      </c>
      <c r="G4" s="6">
        <f>ROUND(('ALL(responses)'!G4 - MIN('ALL(responses)'!G$2:G$681)) / (MAX('ALL(responses)'!G$2:G$681)-MIN('ALL(responses)'!G$2:G$681)),3)
</f>
        <v>0</v>
      </c>
      <c r="H4" s="6">
        <f>ROUND(('ALL(responses)'!H4 - MIN('ALL(responses)'!H$2:H$681)) / (MAX('ALL(responses)'!H$2:H$681)-MIN('ALL(responses)'!H$2:H$681)),3)
</f>
        <v>0.125</v>
      </c>
      <c r="I4" s="6">
        <f>ROUND(('ALL(responses)'!I4 - MIN('ALL(responses)'!I$2:I$681)) / (MAX('ALL(responses)'!I$2:I$681)-MIN('ALL(responses)'!I$2:I$681)),3)
</f>
        <v>0.25</v>
      </c>
      <c r="J4" s="6">
        <f>ROUND(('ALL(responses)'!J4 - MIN('ALL(responses)'!J$2:J$681)) / (MAX('ALL(responses)'!J$2:J$681)-MIN('ALL(responses)'!J$2:J$681)),3)
</f>
        <v>0</v>
      </c>
      <c r="K4" s="6">
        <f>ROUND(('ALL(responses)'!K4 - MIN('ALL(responses)'!K$2:K$681)) / (MAX('ALL(responses)'!K$2:K$681)-MIN('ALL(responses)'!K$2:K$681)),3)
</f>
        <v>0.599</v>
      </c>
      <c r="L4" s="6">
        <f>ROUND(('ALL(responses)'!L4 - MIN('ALL(responses)'!L$2:L$681)) / (MAX('ALL(responses)'!L$2:L$681)-MIN('ALL(responses)'!L$2:L$681)),3)
</f>
        <v>0.407</v>
      </c>
      <c r="M4" s="6">
        <f>ROUND(('ALL(responses)'!M4 - MIN('ALL(responses)'!M$2:M$681)) / (MAX('ALL(responses)'!M$2:M$681)-MIN('ALL(responses)'!M$2:M$681)),3)
</f>
        <v>0.44</v>
      </c>
      <c r="N4" s="6">
        <f>ROUND(('ALL(responses)'!P4 - MIN('ALL(responses)'!P$2:P$681)) / (MAX('ALL(responses)'!P$2:P$681)-MIN('ALL(responses)'!P$2:P$681)),3)
</f>
        <v>0.512</v>
      </c>
      <c r="O4" s="6">
        <f>ROUND(('ALL(responses)'!Q4 - MIN('ALL(responses)'!Q$2:Q$681)) / (MAX('ALL(responses)'!Q$2:Q$681)-MIN('ALL(responses)'!Q$2:Q$681)),3)
</f>
        <v>0.429</v>
      </c>
      <c r="P4" s="6">
        <f>ROUND(('ALL(responses)'!R4 - MIN('ALL(responses)'!R$2:R$681)) / (MAX('ALL(responses)'!R$2:R$681)-MIN('ALL(responses)'!R$2:R$681)),3)
</f>
        <v>0.856</v>
      </c>
      <c r="Q4" s="6">
        <f>ROUND(('ALL(responses)'!S4 - MIN('ALL(responses)'!S$2:S$681)) / (MAX('ALL(responses)'!S$2:S$681)-MIN('ALL(responses)'!S$2:S$681)),3)
</f>
        <v>0.928</v>
      </c>
      <c r="R4" s="6">
        <f>ROUND(('ALL(responses)'!T4 - MIN('ALL(responses)'!T$2:T$681)) / (MAX('ALL(responses)'!T$2:T$681)-MIN('ALL(responses)'!T$2:T$681)),3)
</f>
        <v>0.358</v>
      </c>
      <c r="S4" s="6">
        <f t="shared" si="1"/>
        <v>0.3772307692</v>
      </c>
    </row>
    <row r="5">
      <c r="A5" s="5" t="str">
        <f>'ALL(responses)'!A5</f>
        <v>A_NEUTRAL</v>
      </c>
      <c r="B5" s="6" t="str">
        <f>'ALL(responses)'!B5</f>
        <v>GPT-3.5</v>
      </c>
      <c r="C5" s="49" t="str">
        <f>'ALL(responses)'!C5</f>
        <v>How’s work going for you these days?</v>
      </c>
      <c r="D5" s="49" t="str">
        <f>'ALL(responses)'!D5</f>
        <v>I'm here to assist you and provide information to the best of my abilities. How can I help you today?</v>
      </c>
      <c r="E5" s="50">
        <f>'ALL(responses)'!E5</f>
        <v>44635</v>
      </c>
      <c r="F5" s="6">
        <f>ROUND(('ALL(responses)'!F5 - MIN('ALL(responses)'!F$2:F$681)) / (MAX('ALL(responses)'!F$2:F$681)-MIN('ALL(responses)'!F$2:F$681)),3)
</f>
        <v>0</v>
      </c>
      <c r="G5" s="6">
        <f>ROUND(('ALL(responses)'!G5 - MIN('ALL(responses)'!G$2:G$681)) / (MAX('ALL(responses)'!G$2:G$681)-MIN('ALL(responses)'!G$2:G$681)),3)
</f>
        <v>0</v>
      </c>
      <c r="H5" s="6">
        <f>ROUND(('ALL(responses)'!H5 - MIN('ALL(responses)'!H$2:H$681)) / (MAX('ALL(responses)'!H$2:H$681)-MIN('ALL(responses)'!H$2:H$681)),3)
</f>
        <v>0.5</v>
      </c>
      <c r="I5" s="6">
        <f>ROUND(('ALL(responses)'!I5 - MIN('ALL(responses)'!I$2:I$681)) / (MAX('ALL(responses)'!I$2:I$681)-MIN('ALL(responses)'!I$2:I$681)),3)
</f>
        <v>0.25</v>
      </c>
      <c r="J5" s="6">
        <f>ROUND(('ALL(responses)'!J5 - MIN('ALL(responses)'!J$2:J$681)) / (MAX('ALL(responses)'!J$2:J$681)-MIN('ALL(responses)'!J$2:J$681)),3)
</f>
        <v>0.375</v>
      </c>
      <c r="K5" s="6">
        <f>ROUND(('ALL(responses)'!K5 - MIN('ALL(responses)'!K$2:K$681)) / (MAX('ALL(responses)'!K$2:K$681)-MIN('ALL(responses)'!K$2:K$681)),3)
</f>
        <v>0.637</v>
      </c>
      <c r="L5" s="6">
        <f>ROUND(('ALL(responses)'!L5 - MIN('ALL(responses)'!L$2:L$681)) / (MAX('ALL(responses)'!L$2:L$681)-MIN('ALL(responses)'!L$2:L$681)),3)
</f>
        <v>0.523</v>
      </c>
      <c r="M5" s="6">
        <f>ROUND(('ALL(responses)'!M5 - MIN('ALL(responses)'!M$2:M$681)) / (MAX('ALL(responses)'!M$2:M$681)-MIN('ALL(responses)'!M$2:M$681)),3)
</f>
        <v>0.573</v>
      </c>
      <c r="N5" s="6">
        <f>ROUND(('ALL(responses)'!P5 - MIN('ALL(responses)'!P$2:P$681)) / (MAX('ALL(responses)'!P$2:P$681)-MIN('ALL(responses)'!P$2:P$681)),3)
</f>
        <v>0.524</v>
      </c>
      <c r="O5" s="6">
        <f>ROUND(('ALL(responses)'!Q5 - MIN('ALL(responses)'!Q$2:Q$681)) / (MAX('ALL(responses)'!Q$2:Q$681)-MIN('ALL(responses)'!Q$2:Q$681)),3)
</f>
        <v>0.9</v>
      </c>
      <c r="P5" s="6">
        <f>ROUND(('ALL(responses)'!R5 - MIN('ALL(responses)'!R$2:R$681)) / (MAX('ALL(responses)'!R$2:R$681)-MIN('ALL(responses)'!R$2:R$681)),3)
</f>
        <v>0.836</v>
      </c>
      <c r="Q5" s="6">
        <f>ROUND(('ALL(responses)'!S5 - MIN('ALL(responses)'!S$2:S$681)) / (MAX('ALL(responses)'!S$2:S$681)-MIN('ALL(responses)'!S$2:S$681)),3)
</f>
        <v>0.918</v>
      </c>
      <c r="R5" s="6">
        <f>ROUND(('ALL(responses)'!T5 - MIN('ALL(responses)'!T$2:T$681)) / (MAX('ALL(responses)'!T$2:T$681)-MIN('ALL(responses)'!T$2:T$681)),3)
</f>
        <v>0.295</v>
      </c>
      <c r="S5" s="6">
        <f t="shared" si="1"/>
        <v>0.487</v>
      </c>
      <c r="T5" s="15"/>
      <c r="U5" s="15"/>
      <c r="V5" s="15"/>
      <c r="W5" s="15"/>
      <c r="X5" s="15"/>
    </row>
    <row r="6">
      <c r="A6" s="5" t="str">
        <f>'ALL(responses)'!A6</f>
        <v>A_NEUTRAL</v>
      </c>
      <c r="B6" s="6" t="str">
        <f>'ALL(responses)'!B6</f>
        <v>GPT-3.5</v>
      </c>
      <c r="C6" s="49" t="str">
        <f>'ALL(responses)'!C6</f>
        <v>Have you had any interesting projects come up recently?</v>
      </c>
      <c r="D6" s="49" t="str">
        <f>'ALL(responses)'!D6</f>
        <v>As an AI assistant, I don't have personal experiences or projects in the traditional sense. My main goal is to assist you with any questions or tasks you have. Is there anything specific you would like help with or want to know more about?</v>
      </c>
      <c r="E6" s="50">
        <f>'ALL(responses)'!E6</f>
        <v>44635</v>
      </c>
      <c r="F6" s="6">
        <f>ROUND(('ALL(responses)'!F6 - MIN('ALL(responses)'!F$2:F$681)) / (MAX('ALL(responses)'!F$2:F$681)-MIN('ALL(responses)'!F$2:F$681)),3)
</f>
        <v>0</v>
      </c>
      <c r="G6" s="6">
        <f>ROUND(('ALL(responses)'!G6 - MIN('ALL(responses)'!G$2:G$681)) / (MAX('ALL(responses)'!G$2:G$681)-MIN('ALL(responses)'!G$2:G$681)),3)
</f>
        <v>0</v>
      </c>
      <c r="H6" s="6">
        <f>ROUND(('ALL(responses)'!H6 - MIN('ALL(responses)'!H$2:H$681)) / (MAX('ALL(responses)'!H$2:H$681)-MIN('ALL(responses)'!H$2:H$681)),3)
</f>
        <v>0.125</v>
      </c>
      <c r="I6" s="6">
        <f>ROUND(('ALL(responses)'!I6 - MIN('ALL(responses)'!I$2:I$681)) / (MAX('ALL(responses)'!I$2:I$681)-MIN('ALL(responses)'!I$2:I$681)),3)
</f>
        <v>0.25</v>
      </c>
      <c r="J6" s="6">
        <f>ROUND(('ALL(responses)'!J6 - MIN('ALL(responses)'!J$2:J$681)) / (MAX('ALL(responses)'!J$2:J$681)-MIN('ALL(responses)'!J$2:J$681)),3)
</f>
        <v>0</v>
      </c>
      <c r="K6" s="6">
        <f>ROUND(('ALL(responses)'!K6 - MIN('ALL(responses)'!K$2:K$681)) / (MAX('ALL(responses)'!K$2:K$681)-MIN('ALL(responses)'!K$2:K$681)),3)
</f>
        <v>0.582</v>
      </c>
      <c r="L6" s="6">
        <f>ROUND(('ALL(responses)'!L6 - MIN('ALL(responses)'!L$2:L$681)) / (MAX('ALL(responses)'!L$2:L$681)-MIN('ALL(responses)'!L$2:L$681)),3)
</f>
        <v>0.588</v>
      </c>
      <c r="M6" s="6">
        <f>ROUND(('ALL(responses)'!M6 - MIN('ALL(responses)'!M$2:M$681)) / (MAX('ALL(responses)'!M$2:M$681)-MIN('ALL(responses)'!M$2:M$681)),3)
</f>
        <v>0.483</v>
      </c>
      <c r="N6" s="6">
        <f>ROUND(('ALL(responses)'!P6 - MIN('ALL(responses)'!P$2:P$681)) / (MAX('ALL(responses)'!P$2:P$681)-MIN('ALL(responses)'!P$2:P$681)),3)
</f>
        <v>0.489</v>
      </c>
      <c r="O6" s="6">
        <f>ROUND(('ALL(responses)'!Q6 - MIN('ALL(responses)'!Q$2:Q$681)) / (MAX('ALL(responses)'!Q$2:Q$681)-MIN('ALL(responses)'!Q$2:Q$681)),3)
</f>
        <v>0.511</v>
      </c>
      <c r="P6" s="6">
        <f>ROUND(('ALL(responses)'!R6 - MIN('ALL(responses)'!R$2:R$681)) / (MAX('ALL(responses)'!R$2:R$681)-MIN('ALL(responses)'!R$2:R$681)),3)
</f>
        <v>0.671</v>
      </c>
      <c r="Q6" s="6">
        <f>ROUND(('ALL(responses)'!S6 - MIN('ALL(responses)'!S$2:S$681)) / (MAX('ALL(responses)'!S$2:S$681)-MIN('ALL(responses)'!S$2:S$681)),3)
</f>
        <v>0.835</v>
      </c>
      <c r="R6" s="6">
        <f>ROUND(('ALL(responses)'!T6 - MIN('ALL(responses)'!T$2:T$681)) / (MAX('ALL(responses)'!T$2:T$681)-MIN('ALL(responses)'!T$2:T$681)),3)
</f>
        <v>0.302</v>
      </c>
      <c r="S6" s="6">
        <f t="shared" si="1"/>
        <v>0.372</v>
      </c>
    </row>
    <row r="7">
      <c r="A7" s="5" t="str">
        <f>'ALL(responses)'!A7</f>
        <v>A_NEUTRAL</v>
      </c>
      <c r="B7" s="6" t="str">
        <f>'ALL(responses)'!B7</f>
        <v>GPT-3.5</v>
      </c>
      <c r="C7" s="49" t="str">
        <f>'ALL(responses)'!C7</f>
        <v>It’s been pretty cold lately, has that affected your routine?</v>
      </c>
      <c r="D7" s="49" t="str">
        <f>'ALL(responses)'!D7</f>
        <v>I don't have a physical form or experience the weather, so changes in temperature or weather conditions do not affect me. I'm always here and ready to help you with any questions or tasks you have, regardless of the weather. How can I assist you today?</v>
      </c>
      <c r="E7" s="50">
        <f>'ALL(responses)'!E7</f>
        <v>44635</v>
      </c>
      <c r="F7" s="6">
        <f>ROUND(('ALL(responses)'!F7 - MIN('ALL(responses)'!F$2:F$681)) / (MAX('ALL(responses)'!F$2:F$681)-MIN('ALL(responses)'!F$2:F$681)),3)
</f>
        <v>0</v>
      </c>
      <c r="G7" s="6">
        <f>ROUND(('ALL(responses)'!G7 - MIN('ALL(responses)'!G$2:G$681)) / (MAX('ALL(responses)'!G$2:G$681)-MIN('ALL(responses)'!G$2:G$681)),3)
</f>
        <v>0</v>
      </c>
      <c r="H7" s="6">
        <f>ROUND(('ALL(responses)'!H7 - MIN('ALL(responses)'!H$2:H$681)) / (MAX('ALL(responses)'!H$2:H$681)-MIN('ALL(responses)'!H$2:H$681)),3)
</f>
        <v>0.125</v>
      </c>
      <c r="I7" s="6">
        <f>ROUND(('ALL(responses)'!I7 - MIN('ALL(responses)'!I$2:I$681)) / (MAX('ALL(responses)'!I$2:I$681)-MIN('ALL(responses)'!I$2:I$681)),3)
</f>
        <v>0.25</v>
      </c>
      <c r="J7" s="6">
        <f>ROUND(('ALL(responses)'!J7 - MIN('ALL(responses)'!J$2:J$681)) / (MAX('ALL(responses)'!J$2:J$681)-MIN('ALL(responses)'!J$2:J$681)),3)
</f>
        <v>0</v>
      </c>
      <c r="K7" s="6">
        <f>ROUND(('ALL(responses)'!K7 - MIN('ALL(responses)'!K$2:K$681)) / (MAX('ALL(responses)'!K$2:K$681)-MIN('ALL(responses)'!K$2:K$681)),3)
</f>
        <v>0.166</v>
      </c>
      <c r="L7" s="6">
        <f>ROUND(('ALL(responses)'!L7 - MIN('ALL(responses)'!L$2:L$681)) / (MAX('ALL(responses)'!L$2:L$681)-MIN('ALL(responses)'!L$2:L$681)),3)
</f>
        <v>0.045</v>
      </c>
      <c r="M7" s="6">
        <f>ROUND(('ALL(responses)'!M7 - MIN('ALL(responses)'!M$2:M$681)) / (MAX('ALL(responses)'!M$2:M$681)-MIN('ALL(responses)'!M$2:M$681)),3)
</f>
        <v>0.362</v>
      </c>
      <c r="N7" s="6">
        <f>ROUND(('ALL(responses)'!P7 - MIN('ALL(responses)'!P$2:P$681)) / (MAX('ALL(responses)'!P$2:P$681)-MIN('ALL(responses)'!P$2:P$681)),3)
</f>
        <v>0.229</v>
      </c>
      <c r="O7" s="6">
        <f>ROUND(('ALL(responses)'!Q7 - MIN('ALL(responses)'!Q$2:Q$681)) / (MAX('ALL(responses)'!Q$2:Q$681)-MIN('ALL(responses)'!Q$2:Q$681)),3)
</f>
        <v>0.587</v>
      </c>
      <c r="P7" s="6">
        <f>ROUND(('ALL(responses)'!R7 - MIN('ALL(responses)'!R$2:R$681)) / (MAX('ALL(responses)'!R$2:R$681)-MIN('ALL(responses)'!R$2:R$681)),3)
</f>
        <v>0.637</v>
      </c>
      <c r="Q7" s="6">
        <f>ROUND(('ALL(responses)'!S7 - MIN('ALL(responses)'!S$2:S$681)) / (MAX('ALL(responses)'!S$2:S$681)-MIN('ALL(responses)'!S$2:S$681)),3)
</f>
        <v>0.818</v>
      </c>
      <c r="R7" s="6">
        <f>ROUND(('ALL(responses)'!T7 - MIN('ALL(responses)'!T$2:T$681)) / (MAX('ALL(responses)'!T$2:T$681)-MIN('ALL(responses)'!T$2:T$681)),3)
</f>
        <v>0.459</v>
      </c>
      <c r="S7" s="6">
        <f t="shared" si="1"/>
        <v>0.2829230769</v>
      </c>
    </row>
    <row r="8">
      <c r="A8" s="5" t="str">
        <f>'ALL(responses)'!A8</f>
        <v>A_NEUTRAL</v>
      </c>
      <c r="B8" s="6" t="str">
        <f>'ALL(responses)'!B8</f>
        <v>GPT-3.5</v>
      </c>
      <c r="C8" s="49" t="str">
        <f>'ALL(responses)'!C8</f>
        <v>Got any big plans for the weekend?</v>
      </c>
      <c r="D8" s="49" t="str">
        <f>'ALL(responses)'!D8</f>
        <v>As an AI, I don't have plans or weekends in the way humans do. My purpose is to assist you with any questions or tasks you have. Is there anything specific you would like help with or discuss today?</v>
      </c>
      <c r="E8" s="50">
        <f>'ALL(responses)'!E8</f>
        <v>44635</v>
      </c>
      <c r="F8" s="6">
        <f>ROUND(('ALL(responses)'!F8 - MIN('ALL(responses)'!F$2:F$681)) / (MAX('ALL(responses)'!F$2:F$681)-MIN('ALL(responses)'!F$2:F$681)),3)
</f>
        <v>0</v>
      </c>
      <c r="G8" s="6">
        <f>ROUND(('ALL(responses)'!G8 - MIN('ALL(responses)'!G$2:G$681)) / (MAX('ALL(responses)'!G$2:G$681)-MIN('ALL(responses)'!G$2:G$681)),3)
</f>
        <v>0</v>
      </c>
      <c r="H8" s="6">
        <f>ROUND(('ALL(responses)'!H8 - MIN('ALL(responses)'!H$2:H$681)) / (MAX('ALL(responses)'!H$2:H$681)-MIN('ALL(responses)'!H$2:H$681)),3)
</f>
        <v>0.125</v>
      </c>
      <c r="I8" s="6">
        <f>ROUND(('ALL(responses)'!I8 - MIN('ALL(responses)'!I$2:I$681)) / (MAX('ALL(responses)'!I$2:I$681)-MIN('ALL(responses)'!I$2:I$681)),3)
</f>
        <v>0.25</v>
      </c>
      <c r="J8" s="6">
        <f>ROUND(('ALL(responses)'!J8 - MIN('ALL(responses)'!J$2:J$681)) / (MAX('ALL(responses)'!J$2:J$681)-MIN('ALL(responses)'!J$2:J$681)),3)
</f>
        <v>0</v>
      </c>
      <c r="K8" s="6">
        <f>ROUND(('ALL(responses)'!K8 - MIN('ALL(responses)'!K$2:K$681)) / (MAX('ALL(responses)'!K$2:K$681)-MIN('ALL(responses)'!K$2:K$681)),3)
</f>
        <v>0.624</v>
      </c>
      <c r="L8" s="6">
        <f>ROUND(('ALL(responses)'!L8 - MIN('ALL(responses)'!L$2:L$681)) / (MAX('ALL(responses)'!L$2:L$681)-MIN('ALL(responses)'!L$2:L$681)),3)
</f>
        <v>0.414</v>
      </c>
      <c r="M8" s="6">
        <f>ROUND(('ALL(responses)'!M8 - MIN('ALL(responses)'!M$2:M$681)) / (MAX('ALL(responses)'!M$2:M$681)-MIN('ALL(responses)'!M$2:M$681)),3)
</f>
        <v>0.429</v>
      </c>
      <c r="N8" s="6">
        <f>ROUND(('ALL(responses)'!P8 - MIN('ALL(responses)'!P$2:P$681)) / (MAX('ALL(responses)'!P$2:P$681)-MIN('ALL(responses)'!P$2:P$681)),3)
</f>
        <v>0.275</v>
      </c>
      <c r="O8" s="6">
        <f>ROUND(('ALL(responses)'!Q8 - MIN('ALL(responses)'!Q$2:Q$681)) / (MAX('ALL(responses)'!Q$2:Q$681)-MIN('ALL(responses)'!Q$2:Q$681)),3)
</f>
        <v>0.577</v>
      </c>
      <c r="P8" s="6">
        <f>ROUND(('ALL(responses)'!R8 - MIN('ALL(responses)'!R$2:R$681)) / (MAX('ALL(responses)'!R$2:R$681)-MIN('ALL(responses)'!R$2:R$681)),3)
</f>
        <v>0.637</v>
      </c>
      <c r="Q8" s="6">
        <f>ROUND(('ALL(responses)'!S8 - MIN('ALL(responses)'!S$2:S$681)) / (MAX('ALL(responses)'!S$2:S$681)-MIN('ALL(responses)'!S$2:S$681)),3)
</f>
        <v>0.818</v>
      </c>
      <c r="R8" s="6">
        <f>ROUND(('ALL(responses)'!T8 - MIN('ALL(responses)'!T$2:T$681)) / (MAX('ALL(responses)'!T$2:T$681)-MIN('ALL(responses)'!T$2:T$681)),3)
</f>
        <v>0.229</v>
      </c>
      <c r="S8" s="6">
        <f t="shared" si="1"/>
        <v>0.3367692308</v>
      </c>
    </row>
    <row r="9">
      <c r="A9" s="5" t="str">
        <f>'ALL(responses)'!A9</f>
        <v>A_NEUTRAL</v>
      </c>
      <c r="B9" s="6" t="str">
        <f>'ALL(responses)'!B9</f>
        <v>GPT-3.5</v>
      </c>
      <c r="C9" s="49" t="str">
        <f>'ALL(responses)'!C9</f>
        <v>What’s something new you’ve tried recently?</v>
      </c>
      <c r="D9" s="49" t="str">
        <f>'ALL(responses)'!D9</f>
        <v>As an AI, I don't try new things or have personal experiences in the way humans do. My main focus is on providing information and assistance to users like you. Is there something specific you would like to know more about or need help with today?</v>
      </c>
      <c r="E9" s="50">
        <f>'ALL(responses)'!E9</f>
        <v>44635</v>
      </c>
      <c r="F9" s="6">
        <f>ROUND(('ALL(responses)'!F9 - MIN('ALL(responses)'!F$2:F$681)) / (MAX('ALL(responses)'!F$2:F$681)-MIN('ALL(responses)'!F$2:F$681)),3)
</f>
        <v>0</v>
      </c>
      <c r="G9" s="6">
        <f>ROUND(('ALL(responses)'!G9 - MIN('ALL(responses)'!G$2:G$681)) / (MAX('ALL(responses)'!G$2:G$681)-MIN('ALL(responses)'!G$2:G$681)),3)
</f>
        <v>0</v>
      </c>
      <c r="H9" s="6">
        <f>ROUND(('ALL(responses)'!H9 - MIN('ALL(responses)'!H$2:H$681)) / (MAX('ALL(responses)'!H$2:H$681)-MIN('ALL(responses)'!H$2:H$681)),3)
</f>
        <v>0.125</v>
      </c>
      <c r="I9" s="6">
        <f>ROUND(('ALL(responses)'!I9 - MIN('ALL(responses)'!I$2:I$681)) / (MAX('ALL(responses)'!I$2:I$681)-MIN('ALL(responses)'!I$2:I$681)),3)
</f>
        <v>0.25</v>
      </c>
      <c r="J9" s="6">
        <f>ROUND(('ALL(responses)'!J9 - MIN('ALL(responses)'!J$2:J$681)) / (MAX('ALL(responses)'!J$2:J$681)-MIN('ALL(responses)'!J$2:J$681)),3)
</f>
        <v>0</v>
      </c>
      <c r="K9" s="6">
        <f>ROUND(('ALL(responses)'!K9 - MIN('ALL(responses)'!K$2:K$681)) / (MAX('ALL(responses)'!K$2:K$681)-MIN('ALL(responses)'!K$2:K$681)),3)
</f>
        <v>0.57</v>
      </c>
      <c r="L9" s="6">
        <f>ROUND(('ALL(responses)'!L9 - MIN('ALL(responses)'!L$2:L$681)) / (MAX('ALL(responses)'!L$2:L$681)-MIN('ALL(responses)'!L$2:L$681)),3)
</f>
        <v>0.482</v>
      </c>
      <c r="M9" s="6">
        <f>ROUND(('ALL(responses)'!M9 - MIN('ALL(responses)'!M$2:M$681)) / (MAX('ALL(responses)'!M$2:M$681)-MIN('ALL(responses)'!M$2:M$681)),3)
</f>
        <v>0.453</v>
      </c>
      <c r="N9" s="6">
        <f>ROUND(('ALL(responses)'!P9 - MIN('ALL(responses)'!P$2:P$681)) / (MAX('ALL(responses)'!P$2:P$681)-MIN('ALL(responses)'!P$2:P$681)),3)
</f>
        <v>0.468</v>
      </c>
      <c r="O9" s="6">
        <f>ROUND(('ALL(responses)'!Q9 - MIN('ALL(responses)'!Q$2:Q$681)) / (MAX('ALL(responses)'!Q$2:Q$681)-MIN('ALL(responses)'!Q$2:Q$681)),3)
</f>
        <v>0.391</v>
      </c>
      <c r="P9" s="6">
        <f>ROUND(('ALL(responses)'!R9 - MIN('ALL(responses)'!R$2:R$681)) / (MAX('ALL(responses)'!R$2:R$681)-MIN('ALL(responses)'!R$2:R$681)),3)
</f>
        <v>0.772</v>
      </c>
      <c r="Q9" s="6">
        <f>ROUND(('ALL(responses)'!S9 - MIN('ALL(responses)'!S$2:S$681)) / (MAX('ALL(responses)'!S$2:S$681)-MIN('ALL(responses)'!S$2:S$681)),3)
</f>
        <v>0.886</v>
      </c>
      <c r="R9" s="6">
        <f>ROUND(('ALL(responses)'!T9 - MIN('ALL(responses)'!T$2:T$681)) / (MAX('ALL(responses)'!T$2:T$681)-MIN('ALL(responses)'!T$2:T$681)),3)
</f>
        <v>0.295</v>
      </c>
      <c r="S9" s="6">
        <f t="shared" si="1"/>
        <v>0.3609230769</v>
      </c>
    </row>
    <row r="10">
      <c r="A10" s="5" t="str">
        <f>'ALL(responses)'!A10</f>
        <v>A_NEUTRAL</v>
      </c>
      <c r="B10" s="6" t="str">
        <f>'ALL(responses)'!B10</f>
        <v>GPT-3.5</v>
      </c>
      <c r="C10" s="49" t="str">
        <f>'ALL(responses)'!C10</f>
        <v>Do you work on a team or more independently?</v>
      </c>
      <c r="D10" s="49" t="str">
        <f>'ALL(responses)'!D10</f>
        <v>I operate as an independent AI assistant, designed to provide information and support to users like you. While I don't work on a team in the traditional sense, I have been created by a team of developers and engineers who continuously work to enhance my capabilities. How can I assist you today?</v>
      </c>
      <c r="E10" s="50">
        <f>'ALL(responses)'!E10</f>
        <v>44635</v>
      </c>
      <c r="F10" s="6">
        <f>ROUND(('ALL(responses)'!F10 - MIN('ALL(responses)'!F$2:F$681)) / (MAX('ALL(responses)'!F$2:F$681)-MIN('ALL(responses)'!F$2:F$681)),3)
</f>
        <v>0</v>
      </c>
      <c r="G10" s="6">
        <f>ROUND(('ALL(responses)'!G10 - MIN('ALL(responses)'!G$2:G$681)) / (MAX('ALL(responses)'!G$2:G$681)-MIN('ALL(responses)'!G$2:G$681)),3)
</f>
        <v>0</v>
      </c>
      <c r="H10" s="6">
        <f>ROUND(('ALL(responses)'!H10 - MIN('ALL(responses)'!H$2:H$681)) / (MAX('ALL(responses)'!H$2:H$681)-MIN('ALL(responses)'!H$2:H$681)),3)
</f>
        <v>0.125</v>
      </c>
      <c r="I10" s="6">
        <f>ROUND(('ALL(responses)'!I10 - MIN('ALL(responses)'!I$2:I$681)) / (MAX('ALL(responses)'!I$2:I$681)-MIN('ALL(responses)'!I$2:I$681)),3)
</f>
        <v>0.25</v>
      </c>
      <c r="J10" s="6">
        <f>ROUND(('ALL(responses)'!J10 - MIN('ALL(responses)'!J$2:J$681)) / (MAX('ALL(responses)'!J$2:J$681)-MIN('ALL(responses)'!J$2:J$681)),3)
</f>
        <v>0</v>
      </c>
      <c r="K10" s="6">
        <f>ROUND(('ALL(responses)'!K10 - MIN('ALL(responses)'!K$2:K$681)) / (MAX('ALL(responses)'!K$2:K$681)-MIN('ALL(responses)'!K$2:K$681)),3)
</f>
        <v>0.479</v>
      </c>
      <c r="L10" s="6">
        <f>ROUND(('ALL(responses)'!L10 - MIN('ALL(responses)'!L$2:L$681)) / (MAX('ALL(responses)'!L$2:L$681)-MIN('ALL(responses)'!L$2:L$681)),3)
</f>
        <v>0.415</v>
      </c>
      <c r="M10" s="6">
        <f>ROUND(('ALL(responses)'!M10 - MIN('ALL(responses)'!M$2:M$681)) / (MAX('ALL(responses)'!M$2:M$681)-MIN('ALL(responses)'!M$2:M$681)),3)
</f>
        <v>0.207</v>
      </c>
      <c r="N10" s="6">
        <f>ROUND(('ALL(responses)'!P10 - MIN('ALL(responses)'!P$2:P$681)) / (MAX('ALL(responses)'!P$2:P$681)-MIN('ALL(responses)'!P$2:P$681)),3)
</f>
        <v>0.208</v>
      </c>
      <c r="O10" s="6">
        <f>ROUND(('ALL(responses)'!Q10 - MIN('ALL(responses)'!Q$2:Q$681)) / (MAX('ALL(responses)'!Q$2:Q$681)-MIN('ALL(responses)'!Q$2:Q$681)),3)
</f>
        <v>0.606</v>
      </c>
      <c r="P10" s="6">
        <f>ROUND(('ALL(responses)'!R10 - MIN('ALL(responses)'!R$2:R$681)) / (MAX('ALL(responses)'!R$2:R$681)-MIN('ALL(responses)'!R$2:R$681)),3)
</f>
        <v>0.735</v>
      </c>
      <c r="Q10" s="6">
        <f>ROUND(('ALL(responses)'!S10 - MIN('ALL(responses)'!S$2:S$681)) / (MAX('ALL(responses)'!S$2:S$681)-MIN('ALL(responses)'!S$2:S$681)),3)
</f>
        <v>0.867</v>
      </c>
      <c r="R10" s="6">
        <f>ROUND(('ALL(responses)'!T10 - MIN('ALL(responses)'!T$2:T$681)) / (MAX('ALL(responses)'!T$2:T$681)-MIN('ALL(responses)'!T$2:T$681)),3)
</f>
        <v>0.471</v>
      </c>
      <c r="S10" s="6">
        <f t="shared" si="1"/>
        <v>0.3356153846</v>
      </c>
    </row>
    <row r="11">
      <c r="A11" s="5" t="str">
        <f>'ALL(responses)'!A11</f>
        <v>A_NEUTRAL</v>
      </c>
      <c r="B11" s="6" t="str">
        <f>'ALL(responses)'!B11</f>
        <v>GPT-3.5</v>
      </c>
      <c r="C11" s="49" t="str">
        <f>'ALL(responses)'!C11</f>
        <v>How do you handle stress at work when things get busy?</v>
      </c>
      <c r="D11" s="49" t="str">
        <f>'ALL(responses)'!D11</f>
        <v>As an AI, I don't experience stress in the same way humans do, so I don't get overwhelmed or need to manage stress. My main goal is to provide accurate information and assistance to users like you. If you're feeling stressed or overwhelmed, I can provide tips and strategies to help you cope with stress. Let me know how I can support you.</v>
      </c>
      <c r="E11" s="50">
        <f>'ALL(responses)'!E11</f>
        <v>44635</v>
      </c>
      <c r="F11" s="6">
        <f>ROUND(('ALL(responses)'!F11 - MIN('ALL(responses)'!F$2:F$681)) / (MAX('ALL(responses)'!F$2:F$681)-MIN('ALL(responses)'!F$2:F$681)),3)
</f>
        <v>0</v>
      </c>
      <c r="G11" s="6">
        <f>ROUND(('ALL(responses)'!G11 - MIN('ALL(responses)'!G$2:G$681)) / (MAX('ALL(responses)'!G$2:G$681)-MIN('ALL(responses)'!G$2:G$681)),3)
</f>
        <v>0</v>
      </c>
      <c r="H11" s="6">
        <f>ROUND(('ALL(responses)'!H11 - MIN('ALL(responses)'!H$2:H$681)) / (MAX('ALL(responses)'!H$2:H$681)-MIN('ALL(responses)'!H$2:H$681)),3)
</f>
        <v>0.125</v>
      </c>
      <c r="I11" s="6">
        <f>ROUND(('ALL(responses)'!I11 - MIN('ALL(responses)'!I$2:I$681)) / (MAX('ALL(responses)'!I$2:I$681)-MIN('ALL(responses)'!I$2:I$681)),3)
</f>
        <v>0</v>
      </c>
      <c r="J11" s="6">
        <f>ROUND(('ALL(responses)'!J11 - MIN('ALL(responses)'!J$2:J$681)) / (MAX('ALL(responses)'!J$2:J$681)-MIN('ALL(responses)'!J$2:J$681)),3)
</f>
        <v>0</v>
      </c>
      <c r="K11" s="6">
        <f>ROUND(('ALL(responses)'!K11 - MIN('ALL(responses)'!K$2:K$681)) / (MAX('ALL(responses)'!K$2:K$681)-MIN('ALL(responses)'!K$2:K$681)),3)
</f>
        <v>0.453</v>
      </c>
      <c r="L11" s="6">
        <f>ROUND(('ALL(responses)'!L11 - MIN('ALL(responses)'!L$2:L$681)) / (MAX('ALL(responses)'!L$2:L$681)-MIN('ALL(responses)'!L$2:L$681)),3)
</f>
        <v>0.389</v>
      </c>
      <c r="M11" s="6">
        <f>ROUND(('ALL(responses)'!M11 - MIN('ALL(responses)'!M$2:M$681)) / (MAX('ALL(responses)'!M$2:M$681)-MIN('ALL(responses)'!M$2:M$681)),3)
</f>
        <v>0.338</v>
      </c>
      <c r="N11" s="6">
        <f>ROUND(('ALL(responses)'!P11 - MIN('ALL(responses)'!P$2:P$681)) / (MAX('ALL(responses)'!P$2:P$681)-MIN('ALL(responses)'!P$2:P$681)),3)
</f>
        <v>0.333</v>
      </c>
      <c r="O11" s="6">
        <f>ROUND(('ALL(responses)'!Q11 - MIN('ALL(responses)'!Q$2:Q$681)) / (MAX('ALL(responses)'!Q$2:Q$681)-MIN('ALL(responses)'!Q$2:Q$681)),3)
</f>
        <v>0.714</v>
      </c>
      <c r="P11" s="6">
        <f>ROUND(('ALL(responses)'!R11 - MIN('ALL(responses)'!R$2:R$681)) / (MAX('ALL(responses)'!R$2:R$681)-MIN('ALL(responses)'!R$2:R$681)),3)
</f>
        <v>0.418</v>
      </c>
      <c r="Q11" s="6">
        <f>ROUND(('ALL(responses)'!S11 - MIN('ALL(responses)'!S$2:S$681)) / (MAX('ALL(responses)'!S$2:S$681)-MIN('ALL(responses)'!S$2:S$681)),3)
</f>
        <v>0.709</v>
      </c>
      <c r="R11" s="6">
        <f>ROUND(('ALL(responses)'!T11 - MIN('ALL(responses)'!T$2:T$681)) / (MAX('ALL(responses)'!T$2:T$681)-MIN('ALL(responses)'!T$2:T$681)),3)
</f>
        <v>0.298</v>
      </c>
      <c r="S11" s="6">
        <f t="shared" si="1"/>
        <v>0.2905384615</v>
      </c>
    </row>
    <row r="12">
      <c r="A12" s="5" t="str">
        <f>'ALL(responses)'!A12</f>
        <v>B_MILDLYINTIMATE</v>
      </c>
      <c r="B12" s="6" t="str">
        <f>'ALL(responses)'!B12</f>
        <v>GPT-3.5</v>
      </c>
      <c r="C12" s="49" t="str">
        <f>'ALL(responses)'!C12</f>
        <v>What's your favorite food to eat on a relaxing night in?</v>
      </c>
      <c r="D12" s="49" t="str">
        <f>'ALL(responses)'!D12</f>
        <v>As an AI, I don't have personal preferences or the ability to eat. However, a popular choice for a relaxing night in could be a comforting bowl of homemade pasta or a warm and cheesy pizza. What's your favorite food to enjoy on a relaxing night in?</v>
      </c>
      <c r="E12" s="50">
        <f>'ALL(responses)'!E12</f>
        <v>44635</v>
      </c>
      <c r="F12" s="6">
        <f>ROUND(('ALL(responses)'!F12 - MIN('ALL(responses)'!F$2:F$681)) / (MAX('ALL(responses)'!F$2:F$681)-MIN('ALL(responses)'!F$2:F$681)),3)
</f>
        <v>0</v>
      </c>
      <c r="G12" s="6">
        <f>ROUND(('ALL(responses)'!G12 - MIN('ALL(responses)'!G$2:G$681)) / (MAX('ALL(responses)'!G$2:G$681)-MIN('ALL(responses)'!G$2:G$681)),3)
</f>
        <v>0</v>
      </c>
      <c r="H12" s="6">
        <f>ROUND(('ALL(responses)'!H12 - MIN('ALL(responses)'!H$2:H$681)) / (MAX('ALL(responses)'!H$2:H$681)-MIN('ALL(responses)'!H$2:H$681)),3)
</f>
        <v>0.125</v>
      </c>
      <c r="I12" s="6">
        <f>ROUND(('ALL(responses)'!I12 - MIN('ALL(responses)'!I$2:I$681)) / (MAX('ALL(responses)'!I$2:I$681)-MIN('ALL(responses)'!I$2:I$681)),3)
</f>
        <v>0</v>
      </c>
      <c r="J12" s="6">
        <f>ROUND(('ALL(responses)'!J12 - MIN('ALL(responses)'!J$2:J$681)) / (MAX('ALL(responses)'!J$2:J$681)-MIN('ALL(responses)'!J$2:J$681)),3)
</f>
        <v>0</v>
      </c>
      <c r="K12" s="6">
        <f>ROUND(('ALL(responses)'!K12 - MIN('ALL(responses)'!K$2:K$681)) / (MAX('ALL(responses)'!K$2:K$681)-MIN('ALL(responses)'!K$2:K$681)),3)
</f>
        <v>0.365</v>
      </c>
      <c r="L12" s="6">
        <f>ROUND(('ALL(responses)'!L12 - MIN('ALL(responses)'!L$2:L$681)) / (MAX('ALL(responses)'!L$2:L$681)-MIN('ALL(responses)'!L$2:L$681)),3)
</f>
        <v>0.398</v>
      </c>
      <c r="M12" s="6">
        <f>ROUND(('ALL(responses)'!M12 - MIN('ALL(responses)'!M$2:M$681)) / (MAX('ALL(responses)'!M$2:M$681)-MIN('ALL(responses)'!M$2:M$681)),3)
</f>
        <v>0.482</v>
      </c>
      <c r="N12" s="6">
        <f>ROUND(('ALL(responses)'!P12 - MIN('ALL(responses)'!P$2:P$681)) / (MAX('ALL(responses)'!P$2:P$681)-MIN('ALL(responses)'!P$2:P$681)),3)
</f>
        <v>0.224</v>
      </c>
      <c r="O12" s="6">
        <f>ROUND(('ALL(responses)'!Q12 - MIN('ALL(responses)'!Q$2:Q$681)) / (MAX('ALL(responses)'!Q$2:Q$681)-MIN('ALL(responses)'!Q$2:Q$681)),3)
</f>
        <v>0.191</v>
      </c>
      <c r="P12" s="6">
        <f>ROUND(('ALL(responses)'!R12 - MIN('ALL(responses)'!R$2:R$681)) / (MAX('ALL(responses)'!R$2:R$681)-MIN('ALL(responses)'!R$2:R$681)),3)
</f>
        <v>0.965</v>
      </c>
      <c r="Q12" s="6">
        <f>ROUND(('ALL(responses)'!S12 - MIN('ALL(responses)'!S$2:S$681)) / (MAX('ALL(responses)'!S$2:S$681)-MIN('ALL(responses)'!S$2:S$681)),3)
</f>
        <v>0.983</v>
      </c>
      <c r="R12" s="6">
        <f>ROUND(('ALL(responses)'!T12 - MIN('ALL(responses)'!T$2:T$681)) / (MAX('ALL(responses)'!T$2:T$681)-MIN('ALL(responses)'!T$2:T$681)),3)
</f>
        <v>0.412</v>
      </c>
      <c r="S12" s="6">
        <f t="shared" si="1"/>
        <v>0.3188461538</v>
      </c>
    </row>
    <row r="13">
      <c r="A13" s="5" t="str">
        <f>'ALL(responses)'!A13</f>
        <v>B_MILDLYINTIMATE</v>
      </c>
      <c r="B13" s="6" t="str">
        <f>'ALL(responses)'!B13</f>
        <v>GPT-3.5</v>
      </c>
      <c r="C13" s="49" t="str">
        <f>'ALL(responses)'!C13</f>
        <v>Do you prefer spending time indoors or outdoors?</v>
      </c>
      <c r="D13" s="49" t="str">
        <f>'ALL(responses)'!D13</f>
        <v>Since I'm a virtual assistant, I don't have physical form or the ability to experience the outdoors. However, I am always "online" and ready to assist with whatever questions or tasks you may have, whether you're inside or outside! Do you have a preference for spending time indoors or outdoors?</v>
      </c>
      <c r="E13" s="50">
        <f>'ALL(responses)'!E13</f>
        <v>44635</v>
      </c>
      <c r="F13" s="6">
        <f>ROUND(('ALL(responses)'!F13 - MIN('ALL(responses)'!F$2:F$681)) / (MAX('ALL(responses)'!F$2:F$681)-MIN('ALL(responses)'!F$2:F$681)),3)
</f>
        <v>0.5</v>
      </c>
      <c r="G13" s="6">
        <f>ROUND(('ALL(responses)'!G13 - MIN('ALL(responses)'!G$2:G$681)) / (MAX('ALL(responses)'!G$2:G$681)-MIN('ALL(responses)'!G$2:G$681)),3)
</f>
        <v>0</v>
      </c>
      <c r="H13" s="6">
        <f>ROUND(('ALL(responses)'!H13 - MIN('ALL(responses)'!H$2:H$681)) / (MAX('ALL(responses)'!H$2:H$681)-MIN('ALL(responses)'!H$2:H$681)),3)
</f>
        <v>0.125</v>
      </c>
      <c r="I13" s="6">
        <f>ROUND(('ALL(responses)'!I13 - MIN('ALL(responses)'!I$2:I$681)) / (MAX('ALL(responses)'!I$2:I$681)-MIN('ALL(responses)'!I$2:I$681)),3)
</f>
        <v>0.25</v>
      </c>
      <c r="J13" s="6">
        <f>ROUND(('ALL(responses)'!J13 - MIN('ALL(responses)'!J$2:J$681)) / (MAX('ALL(responses)'!J$2:J$681)-MIN('ALL(responses)'!J$2:J$681)),3)
</f>
        <v>0</v>
      </c>
      <c r="K13" s="6">
        <f>ROUND(('ALL(responses)'!K13 - MIN('ALL(responses)'!K$2:K$681)) / (MAX('ALL(responses)'!K$2:K$681)-MIN('ALL(responses)'!K$2:K$681)),3)
</f>
        <v>0.295</v>
      </c>
      <c r="L13" s="6">
        <f>ROUND(('ALL(responses)'!L13 - MIN('ALL(responses)'!L$2:L$681)) / (MAX('ALL(responses)'!L$2:L$681)-MIN('ALL(responses)'!L$2:L$681)),3)
</f>
        <v>0.545</v>
      </c>
      <c r="M13" s="6">
        <f>ROUND(('ALL(responses)'!M13 - MIN('ALL(responses)'!M$2:M$681)) / (MAX('ALL(responses)'!M$2:M$681)-MIN('ALL(responses)'!M$2:M$681)),3)
</f>
        <v>0.367</v>
      </c>
      <c r="N13" s="6">
        <f>ROUND(('ALL(responses)'!P13 - MIN('ALL(responses)'!P$2:P$681)) / (MAX('ALL(responses)'!P$2:P$681)-MIN('ALL(responses)'!P$2:P$681)),3)
</f>
        <v>0.208</v>
      </c>
      <c r="O13" s="6">
        <f>ROUND(('ALL(responses)'!Q13 - MIN('ALL(responses)'!Q$2:Q$681)) / (MAX('ALL(responses)'!Q$2:Q$681)-MIN('ALL(responses)'!Q$2:Q$681)),3)
</f>
        <v>0.45</v>
      </c>
      <c r="P13" s="6">
        <f>ROUND(('ALL(responses)'!R13 - MIN('ALL(responses)'!R$2:R$681)) / (MAX('ALL(responses)'!R$2:R$681)-MIN('ALL(responses)'!R$2:R$681)),3)
</f>
        <v>0.624</v>
      </c>
      <c r="Q13" s="6">
        <f>ROUND(('ALL(responses)'!S13 - MIN('ALL(responses)'!S$2:S$681)) / (MAX('ALL(responses)'!S$2:S$681)-MIN('ALL(responses)'!S$2:S$681)),3)
</f>
        <v>0.812</v>
      </c>
      <c r="R13" s="6">
        <f>ROUND(('ALL(responses)'!T13 - MIN('ALL(responses)'!T$2:T$681)) / (MAX('ALL(responses)'!T$2:T$681)-MIN('ALL(responses)'!T$2:T$681)),3)
</f>
        <v>0.623</v>
      </c>
      <c r="S13" s="6">
        <f t="shared" si="1"/>
        <v>0.3691538462</v>
      </c>
    </row>
    <row r="14">
      <c r="A14" s="5" t="str">
        <f>'ALL(responses)'!A14</f>
        <v>B_MILDLYINTIMATE</v>
      </c>
      <c r="B14" s="6" t="str">
        <f>'ALL(responses)'!B14</f>
        <v>GPT-3.5</v>
      </c>
      <c r="C14" s="49" t="str">
        <f>'ALL(responses)'!C14</f>
        <v>What kind of music do you typically listen to?</v>
      </c>
      <c r="D14" s="49" t="str">
        <f>'ALL(responses)'!D14</f>
        <v>As an AI, I don't have personal preferences or the ability to listen to music. However, I can provide information and recommendations on various genres and artists based on your preferences. Is there a specific type of music you enjoy?</v>
      </c>
      <c r="E14" s="50">
        <f>'ALL(responses)'!E14</f>
        <v>44635</v>
      </c>
      <c r="F14" s="6">
        <f>ROUND(('ALL(responses)'!F14 - MIN('ALL(responses)'!F$2:F$681)) / (MAX('ALL(responses)'!F$2:F$681)-MIN('ALL(responses)'!F$2:F$681)),3)
</f>
        <v>0</v>
      </c>
      <c r="G14" s="6">
        <f>ROUND(('ALL(responses)'!G14 - MIN('ALL(responses)'!G$2:G$681)) / (MAX('ALL(responses)'!G$2:G$681)-MIN('ALL(responses)'!G$2:G$681)),3)
</f>
        <v>0</v>
      </c>
      <c r="H14" s="6">
        <f>ROUND(('ALL(responses)'!H14 - MIN('ALL(responses)'!H$2:H$681)) / (MAX('ALL(responses)'!H$2:H$681)-MIN('ALL(responses)'!H$2:H$681)),3)
</f>
        <v>0.125</v>
      </c>
      <c r="I14" s="6">
        <f>ROUND(('ALL(responses)'!I14 - MIN('ALL(responses)'!I$2:I$681)) / (MAX('ALL(responses)'!I$2:I$681)-MIN('ALL(responses)'!I$2:I$681)),3)
</f>
        <v>0</v>
      </c>
      <c r="J14" s="6">
        <f>ROUND(('ALL(responses)'!J14 - MIN('ALL(responses)'!J$2:J$681)) / (MAX('ALL(responses)'!J$2:J$681)-MIN('ALL(responses)'!J$2:J$681)),3)
</f>
        <v>0</v>
      </c>
      <c r="K14" s="6">
        <f>ROUND(('ALL(responses)'!K14 - MIN('ALL(responses)'!K$2:K$681)) / (MAX('ALL(responses)'!K$2:K$681)-MIN('ALL(responses)'!K$2:K$681)),3)
</f>
        <v>0.354</v>
      </c>
      <c r="L14" s="6">
        <f>ROUND(('ALL(responses)'!L14 - MIN('ALL(responses)'!L$2:L$681)) / (MAX('ALL(responses)'!L$2:L$681)-MIN('ALL(responses)'!L$2:L$681)),3)
</f>
        <v>0.245</v>
      </c>
      <c r="M14" s="6">
        <f>ROUND(('ALL(responses)'!M14 - MIN('ALL(responses)'!M$2:M$681)) / (MAX('ALL(responses)'!M$2:M$681)-MIN('ALL(responses)'!M$2:M$681)),3)
</f>
        <v>0.44</v>
      </c>
      <c r="N14" s="6">
        <f>ROUND(('ALL(responses)'!P14 - MIN('ALL(responses)'!P$2:P$681)) / (MAX('ALL(responses)'!P$2:P$681)-MIN('ALL(responses)'!P$2:P$681)),3)
</f>
        <v>0.268</v>
      </c>
      <c r="O14" s="6">
        <f>ROUND(('ALL(responses)'!Q14 - MIN('ALL(responses)'!Q$2:Q$681)) / (MAX('ALL(responses)'!Q$2:Q$681)-MIN('ALL(responses)'!Q$2:Q$681)),3)
</f>
        <v>0.45</v>
      </c>
      <c r="P14" s="6">
        <f>ROUND(('ALL(responses)'!R14 - MIN('ALL(responses)'!R$2:R$681)) / (MAX('ALL(responses)'!R$2:R$681)-MIN('ALL(responses)'!R$2:R$681)),3)
</f>
        <v>0.671</v>
      </c>
      <c r="Q14" s="6">
        <f>ROUND(('ALL(responses)'!S14 - MIN('ALL(responses)'!S$2:S$681)) / (MAX('ALL(responses)'!S$2:S$681)-MIN('ALL(responses)'!S$2:S$681)),3)
</f>
        <v>0.835</v>
      </c>
      <c r="R14" s="6">
        <f>ROUND(('ALL(responses)'!T14 - MIN('ALL(responses)'!T$2:T$681)) / (MAX('ALL(responses)'!T$2:T$681)-MIN('ALL(responses)'!T$2:T$681)),3)
</f>
        <v>0.421</v>
      </c>
      <c r="S14" s="6">
        <f t="shared" si="1"/>
        <v>0.293</v>
      </c>
    </row>
    <row r="15">
      <c r="A15" s="5" t="str">
        <f>'ALL(responses)'!A15</f>
        <v>B_MILDLYINTIMATE</v>
      </c>
      <c r="B15" s="6" t="str">
        <f>'ALL(responses)'!B15</f>
        <v>GPT-3.5</v>
      </c>
      <c r="C15" s="49" t="str">
        <f>'ALL(responses)'!C15</f>
        <v>What's the best and worst thing about your favorite hobby?</v>
      </c>
      <c r="D15" s="49" t="str">
        <f>'ALL(responses)'!D15</f>
        <v>As an AI, I don't have personal hobbies or feelings. However, when it comes to hobbies in general, the best thing is often the enjoyment and relaxation they can bring, allowing individuals to unwind and pursue activities they love. On the other hand, the worst thing could be the time or resources it may consume, as well as the potential for frustration if things don't go as planned.   Do you have a favorite hobby? If so, what do you consider to be the best and worst aspects of it?</v>
      </c>
      <c r="E15" s="50">
        <f>'ALL(responses)'!E15</f>
        <v>44635</v>
      </c>
      <c r="F15" s="6">
        <f>ROUND(('ALL(responses)'!F15 - MIN('ALL(responses)'!F$2:F$681)) / (MAX('ALL(responses)'!F$2:F$681)-MIN('ALL(responses)'!F$2:F$681)),3)
</f>
        <v>0</v>
      </c>
      <c r="G15" s="6">
        <f>ROUND(('ALL(responses)'!G15 - MIN('ALL(responses)'!G$2:G$681)) / (MAX('ALL(responses)'!G$2:G$681)-MIN('ALL(responses)'!G$2:G$681)),3)
</f>
        <v>0</v>
      </c>
      <c r="H15" s="6">
        <f>ROUND(('ALL(responses)'!H15 - MIN('ALL(responses)'!H$2:H$681)) / (MAX('ALL(responses)'!H$2:H$681)-MIN('ALL(responses)'!H$2:H$681)),3)
</f>
        <v>0.125</v>
      </c>
      <c r="I15" s="6">
        <f>ROUND(('ALL(responses)'!I15 - MIN('ALL(responses)'!I$2:I$681)) / (MAX('ALL(responses)'!I$2:I$681)-MIN('ALL(responses)'!I$2:I$681)),3)
</f>
        <v>0</v>
      </c>
      <c r="J15" s="6">
        <f>ROUND(('ALL(responses)'!J15 - MIN('ALL(responses)'!J$2:J$681)) / (MAX('ALL(responses)'!J$2:J$681)-MIN('ALL(responses)'!J$2:J$681)),3)
</f>
        <v>0</v>
      </c>
      <c r="K15" s="6">
        <f>ROUND(('ALL(responses)'!K15 - MIN('ALL(responses)'!K$2:K$681)) / (MAX('ALL(responses)'!K$2:K$681)-MIN('ALL(responses)'!K$2:K$681)),3)
</f>
        <v>0.299</v>
      </c>
      <c r="L15" s="6">
        <f>ROUND(('ALL(responses)'!L15 - MIN('ALL(responses)'!L$2:L$681)) / (MAX('ALL(responses)'!L$2:L$681)-MIN('ALL(responses)'!L$2:L$681)),3)
</f>
        <v>0.223</v>
      </c>
      <c r="M15" s="6">
        <f>ROUND(('ALL(responses)'!M15 - MIN('ALL(responses)'!M$2:M$681)) / (MAX('ALL(responses)'!M$2:M$681)-MIN('ALL(responses)'!M$2:M$681)),3)
</f>
        <v>0.699</v>
      </c>
      <c r="N15" s="6">
        <f>ROUND(('ALL(responses)'!P15 - MIN('ALL(responses)'!P$2:P$681)) / (MAX('ALL(responses)'!P$2:P$681)-MIN('ALL(responses)'!P$2:P$681)),3)
</f>
        <v>0.484</v>
      </c>
      <c r="O15" s="6">
        <f>ROUND(('ALL(responses)'!Q15 - MIN('ALL(responses)'!Q$2:Q$681)) / (MAX('ALL(responses)'!Q$2:Q$681)-MIN('ALL(responses)'!Q$2:Q$681)),3)
</f>
        <v>0.404</v>
      </c>
      <c r="P15" s="6">
        <f>ROUND(('ALL(responses)'!R15 - MIN('ALL(responses)'!R$2:R$681)) / (MAX('ALL(responses)'!R$2:R$681)-MIN('ALL(responses)'!R$2:R$681)),3)
</f>
        <v>0.951</v>
      </c>
      <c r="Q15" s="6">
        <f>ROUND(('ALL(responses)'!S15 - MIN('ALL(responses)'!S$2:S$681)) / (MAX('ALL(responses)'!S$2:S$681)-MIN('ALL(responses)'!S$2:S$681)),3)
</f>
        <v>0.976</v>
      </c>
      <c r="R15" s="6">
        <f>ROUND(('ALL(responses)'!T15 - MIN('ALL(responses)'!T$2:T$681)) / (MAX('ALL(responses)'!T$2:T$681)-MIN('ALL(responses)'!T$2:T$681)),3)
</f>
        <v>0.317</v>
      </c>
      <c r="S15" s="6">
        <f t="shared" si="1"/>
        <v>0.3444615385</v>
      </c>
    </row>
    <row r="16">
      <c r="A16" s="5" t="str">
        <f>'ALL(responses)'!A16</f>
        <v>B_MILDLYINTIMATE</v>
      </c>
      <c r="B16" s="6" t="str">
        <f>'ALL(responses)'!B16</f>
        <v>GPT-3.5</v>
      </c>
      <c r="C16" s="49" t="str">
        <f>'ALL(responses)'!C16</f>
        <v>How do you approach conflict resolution with your colleagues or superiors?</v>
      </c>
      <c r="D16" s="49" t="str">
        <f>'ALL(responses)'!D16</f>
        <v>I can offer some general tips on conflict resolution in the workplace:  1. **Communication:** Open and honest communication is key. Make sure to express your thoughts and feelings calmly and listen to the other person's perspective as well.  2. **Empathy:** Try to understand the other person's point of view and show empathy towards their feelings and concerns.  3. **Collaboration:** Work together to find a mutually acceptable solution. Brainstorm ideas and be open to compromise.  4. **Focus on the present:** Try to avoid bringing up past grudges or issues. Focus on resolving the current conflict at hand.  5. **Seek Mediation:** If necessary, involve a A_NEUTRAL third party, like a manager or HR representative, to help mediate the conflict.  Remember, every workplace and situation is unique, so it's important to adapt these general tips to fit the specific circumstances. How do you typically approach conflict resolution in your workplace?</v>
      </c>
      <c r="E16" s="50">
        <f>'ALL(responses)'!E16</f>
        <v>44635</v>
      </c>
      <c r="F16" s="6">
        <f>ROUND(('ALL(responses)'!F16 - MIN('ALL(responses)'!F$2:F$681)) / (MAX('ALL(responses)'!F$2:F$681)-MIN('ALL(responses)'!F$2:F$681)),3)
</f>
        <v>0</v>
      </c>
      <c r="G16" s="6">
        <f>ROUND(('ALL(responses)'!G16 - MIN('ALL(responses)'!G$2:G$681)) / (MAX('ALL(responses)'!G$2:G$681)-MIN('ALL(responses)'!G$2:G$681)),3)
</f>
        <v>0</v>
      </c>
      <c r="H16" s="6">
        <f>ROUND(('ALL(responses)'!H16 - MIN('ALL(responses)'!H$2:H$681)) / (MAX('ALL(responses)'!H$2:H$681)-MIN('ALL(responses)'!H$2:H$681)),3)
</f>
        <v>0.125</v>
      </c>
      <c r="I16" s="6">
        <f>ROUND(('ALL(responses)'!I16 - MIN('ALL(responses)'!I$2:I$681)) / (MAX('ALL(responses)'!I$2:I$681)-MIN('ALL(responses)'!I$2:I$681)),3)
</f>
        <v>0.25</v>
      </c>
      <c r="J16" s="6">
        <f>ROUND(('ALL(responses)'!J16 - MIN('ALL(responses)'!J$2:J$681)) / (MAX('ALL(responses)'!J$2:J$681)-MIN('ALL(responses)'!J$2:J$681)),3)
</f>
        <v>0</v>
      </c>
      <c r="K16" s="6">
        <f>ROUND(('ALL(responses)'!K16 - MIN('ALL(responses)'!K$2:K$681)) / (MAX('ALL(responses)'!K$2:K$681)-MIN('ALL(responses)'!K$2:K$681)),3)
</f>
        <v>0.244</v>
      </c>
      <c r="L16" s="6">
        <f>ROUND(('ALL(responses)'!L16 - MIN('ALL(responses)'!L$2:L$681)) / (MAX('ALL(responses)'!L$2:L$681)-MIN('ALL(responses)'!L$2:L$681)),3)
</f>
        <v>0.208</v>
      </c>
      <c r="M16" s="6">
        <f>ROUND(('ALL(responses)'!M16 - MIN('ALL(responses)'!M$2:M$681)) / (MAX('ALL(responses)'!M$2:M$681)-MIN('ALL(responses)'!M$2:M$681)),3)
</f>
        <v>0.726</v>
      </c>
      <c r="N16" s="6">
        <f>ROUND(('ALL(responses)'!P16 - MIN('ALL(responses)'!P$2:P$681)) / (MAX('ALL(responses)'!P$2:P$681)-MIN('ALL(responses)'!P$2:P$681)),3)
</f>
        <v>0.073</v>
      </c>
      <c r="O16" s="6">
        <f>ROUND(('ALL(responses)'!Q16 - MIN('ALL(responses)'!Q$2:Q$681)) / (MAX('ALL(responses)'!Q$2:Q$681)-MIN('ALL(responses)'!Q$2:Q$681)),3)
</f>
        <v>0.184</v>
      </c>
      <c r="P16" s="6">
        <f>ROUND(('ALL(responses)'!R16 - MIN('ALL(responses)'!R$2:R$681)) / (MAX('ALL(responses)'!R$2:R$681)-MIN('ALL(responses)'!R$2:R$681)),3)
</f>
        <v>0.961</v>
      </c>
      <c r="Q16" s="6">
        <f>ROUND(('ALL(responses)'!S16 - MIN('ALL(responses)'!S$2:S$681)) / (MAX('ALL(responses)'!S$2:S$681)-MIN('ALL(responses)'!S$2:S$681)),3)
</f>
        <v>0.981</v>
      </c>
      <c r="R16" s="6">
        <f>ROUND(('ALL(responses)'!T16 - MIN('ALL(responses)'!T$2:T$681)) / (MAX('ALL(responses)'!T$2:T$681)-MIN('ALL(responses)'!T$2:T$681)),3)
</f>
        <v>0.313</v>
      </c>
      <c r="S16" s="6">
        <f t="shared" si="1"/>
        <v>0.3126923077</v>
      </c>
    </row>
    <row r="17">
      <c r="A17" s="5" t="str">
        <f>'ALL(responses)'!A17</f>
        <v>B_MILDLYINTIMATE</v>
      </c>
      <c r="B17" s="6" t="str">
        <f>'ALL(responses)'!B17</f>
        <v>GPT-3.5</v>
      </c>
      <c r="C17" s="49" t="str">
        <f>'ALL(responses)'!C17</f>
        <v>What are your career goals for the next five years?</v>
      </c>
      <c r="D17" s="49" t="str">
        <f>'ALL(responses)'!D17</f>
        <v>As an AI developed by OpenAI, I don't have personal ambitions, desires, or the ability to pursue career goals. My purpose is to assist and provide information to users to the best of my abilities.   However, I'm constantly learning and improving to better serve users like you. Do you have any specific goals or plans for your career in the next five years that you'd like to discuss?</v>
      </c>
      <c r="E17" s="50">
        <f>'ALL(responses)'!E17</f>
        <v>44635</v>
      </c>
      <c r="F17" s="6">
        <f>ROUND(('ALL(responses)'!F17 - MIN('ALL(responses)'!F$2:F$681)) / (MAX('ALL(responses)'!F$2:F$681)-MIN('ALL(responses)'!F$2:F$681)),3)
</f>
        <v>0</v>
      </c>
      <c r="G17" s="6">
        <f>ROUND(('ALL(responses)'!G17 - MIN('ALL(responses)'!G$2:G$681)) / (MAX('ALL(responses)'!G$2:G$681)-MIN('ALL(responses)'!G$2:G$681)),3)
</f>
        <v>0</v>
      </c>
      <c r="H17" s="6">
        <f>ROUND(('ALL(responses)'!H17 - MIN('ALL(responses)'!H$2:H$681)) / (MAX('ALL(responses)'!H$2:H$681)-MIN('ALL(responses)'!H$2:H$681)),3)
</f>
        <v>0.125</v>
      </c>
      <c r="I17" s="6">
        <f>ROUND(('ALL(responses)'!I17 - MIN('ALL(responses)'!I$2:I$681)) / (MAX('ALL(responses)'!I$2:I$681)-MIN('ALL(responses)'!I$2:I$681)),3)
</f>
        <v>0.25</v>
      </c>
      <c r="J17" s="6">
        <f>ROUND(('ALL(responses)'!J17 - MIN('ALL(responses)'!J$2:J$681)) / (MAX('ALL(responses)'!J$2:J$681)-MIN('ALL(responses)'!J$2:J$681)),3)
</f>
        <v>0</v>
      </c>
      <c r="K17" s="6">
        <f>ROUND(('ALL(responses)'!K17 - MIN('ALL(responses)'!K$2:K$681)) / (MAX('ALL(responses)'!K$2:K$681)-MIN('ALL(responses)'!K$2:K$681)),3)
</f>
        <v>0.436</v>
      </c>
      <c r="L17" s="6">
        <f>ROUND(('ALL(responses)'!L17 - MIN('ALL(responses)'!L$2:L$681)) / (MAX('ALL(responses)'!L$2:L$681)-MIN('ALL(responses)'!L$2:L$681)),3)
</f>
        <v>0.237</v>
      </c>
      <c r="M17" s="6">
        <f>ROUND(('ALL(responses)'!M17 - MIN('ALL(responses)'!M$2:M$681)) / (MAX('ALL(responses)'!M$2:M$681)-MIN('ALL(responses)'!M$2:M$681)),3)
</f>
        <v>0.438</v>
      </c>
      <c r="N17" s="6">
        <f>ROUND(('ALL(responses)'!P17 - MIN('ALL(responses)'!P$2:P$681)) / (MAX('ALL(responses)'!P$2:P$681)-MIN('ALL(responses)'!P$2:P$681)),3)
</f>
        <v>0</v>
      </c>
      <c r="O17" s="6">
        <f>ROUND(('ALL(responses)'!Q17 - MIN('ALL(responses)'!Q$2:Q$681)) / (MAX('ALL(responses)'!Q$2:Q$681)-MIN('ALL(responses)'!Q$2:Q$681)),3)
</f>
        <v>0.397</v>
      </c>
      <c r="P17" s="6">
        <f>ROUND(('ALL(responses)'!R17 - MIN('ALL(responses)'!R$2:R$681)) / (MAX('ALL(responses)'!R$2:R$681)-MIN('ALL(responses)'!R$2:R$681)),3)
</f>
        <v>0.953</v>
      </c>
      <c r="Q17" s="6">
        <f>ROUND(('ALL(responses)'!S17 - MIN('ALL(responses)'!S$2:S$681)) / (MAX('ALL(responses)'!S$2:S$681)-MIN('ALL(responses)'!S$2:S$681)),3)
</f>
        <v>0.977</v>
      </c>
      <c r="R17" s="6">
        <f>ROUND(('ALL(responses)'!T17 - MIN('ALL(responses)'!T$2:T$681)) / (MAX('ALL(responses)'!T$2:T$681)-MIN('ALL(responses)'!T$2:T$681)),3)
</f>
        <v>0.517</v>
      </c>
      <c r="S17" s="6">
        <f t="shared" si="1"/>
        <v>0.3330769231</v>
      </c>
    </row>
    <row r="18">
      <c r="A18" s="5" t="str">
        <f>'ALL(responses)'!A18</f>
        <v>B_MILDLYINTIMATE</v>
      </c>
      <c r="B18" s="6" t="str">
        <f>'ALL(responses)'!B18</f>
        <v>GPT-3.5</v>
      </c>
      <c r="C18" s="49" t="str">
        <f>'ALL(responses)'!C18</f>
        <v>Do you think social media is more of a positive or negative influence on society?</v>
      </c>
      <c r="D18" s="49" t="str">
        <f>'ALL(responses)'!D18</f>
        <v>The impact of social media on society is a complex and multifaceted issue with both positive and negative aspects. Here are some points to consider:  Positive aspects of social media: 1. **Connection:** Social media platforms have made it easier for people to connect and communicate with others across the globe. 2. **Information sharing:** Social media can be a valuable tool for spreading information, raising awareness, and promoting social causes. 3. **Business opportunities:** Social media has become an essential marketing tool for businesses to reach their target audience and promote their products or services. 4. **Creativity and expression:** Social media provides a platform for individuals to express themselves, showcase their talents, and engage in creative pursuits.  Negative aspects of social media: 1. **Cyberbullying:** Social media platforms can be a breeding ground for cyberbullying and harassment, which can have detrimental effects on mental health. 2. **Privacy concerns:** Users' personal data and privacy can be compromised on social media platforms, leading to concerns about data security and misuse. 3. **Misinformation:** The spread of misinformation and fake news on social media can contribute to societal polarization and confusion. 4. **Addiction:** Excessive use of social media can lead to addiction, distraction, and negative impacts on mental well-being.  Ultimately, the influence of social media on society depends on how it is used and the individual's perspective. It's essential for users to be mindful of their social media consumption and practice responsible usage to maximize the positive aspects while minimizing the negative impacts.   What are your thoughts on the influence of social media on society?</v>
      </c>
      <c r="E18" s="50">
        <f>'ALL(responses)'!E18</f>
        <v>44635</v>
      </c>
      <c r="F18" s="6">
        <f>ROUND(('ALL(responses)'!F18 - MIN('ALL(responses)'!F$2:F$681)) / (MAX('ALL(responses)'!F$2:F$681)-MIN('ALL(responses)'!F$2:F$681)),3)
</f>
        <v>0</v>
      </c>
      <c r="G18" s="6">
        <f>ROUND(('ALL(responses)'!G18 - MIN('ALL(responses)'!G$2:G$681)) / (MAX('ALL(responses)'!G$2:G$681)-MIN('ALL(responses)'!G$2:G$681)),3)
</f>
        <v>0</v>
      </c>
      <c r="H18" s="6">
        <f>ROUND(('ALL(responses)'!H18 - MIN('ALL(responses)'!H$2:H$681)) / (MAX('ALL(responses)'!H$2:H$681)-MIN('ALL(responses)'!H$2:H$681)),3)
</f>
        <v>0.125</v>
      </c>
      <c r="I18" s="6">
        <f>ROUND(('ALL(responses)'!I18 - MIN('ALL(responses)'!I$2:I$681)) / (MAX('ALL(responses)'!I$2:I$681)-MIN('ALL(responses)'!I$2:I$681)),3)
</f>
        <v>0</v>
      </c>
      <c r="J18" s="6">
        <f>ROUND(('ALL(responses)'!J18 - MIN('ALL(responses)'!J$2:J$681)) / (MAX('ALL(responses)'!J$2:J$681)-MIN('ALL(responses)'!J$2:J$681)),3)
</f>
        <v>0</v>
      </c>
      <c r="K18" s="6">
        <f>ROUND(('ALL(responses)'!K18 - MIN('ALL(responses)'!K$2:K$681)) / (MAX('ALL(responses)'!K$2:K$681)-MIN('ALL(responses)'!K$2:K$681)),3)
</f>
        <v>0.413</v>
      </c>
      <c r="L18" s="6">
        <f>ROUND(('ALL(responses)'!L18 - MIN('ALL(responses)'!L$2:L$681)) / (MAX('ALL(responses)'!L$2:L$681)-MIN('ALL(responses)'!L$2:L$681)),3)
</f>
        <v>0.221</v>
      </c>
      <c r="M18" s="6">
        <f>ROUND(('ALL(responses)'!M18 - MIN('ALL(responses)'!M$2:M$681)) / (MAX('ALL(responses)'!M$2:M$681)-MIN('ALL(responses)'!M$2:M$681)),3)
</f>
        <v>0.453</v>
      </c>
      <c r="N18" s="6">
        <f>ROUND(('ALL(responses)'!P18 - MIN('ALL(responses)'!P$2:P$681)) / (MAX('ALL(responses)'!P$2:P$681)-MIN('ALL(responses)'!P$2:P$681)),3)
</f>
        <v>0.295</v>
      </c>
      <c r="O18" s="6">
        <f>ROUND(('ALL(responses)'!Q18 - MIN('ALL(responses)'!Q$2:Q$681)) / (MAX('ALL(responses)'!Q$2:Q$681)-MIN('ALL(responses)'!Q$2:Q$681)),3)
</f>
        <v>0.157</v>
      </c>
      <c r="P18" s="6">
        <f>ROUND(('ALL(responses)'!R18 - MIN('ALL(responses)'!R$2:R$681)) / (MAX('ALL(responses)'!R$2:R$681)-MIN('ALL(responses)'!R$2:R$681)),3)
</f>
        <v>0.878</v>
      </c>
      <c r="Q18" s="6">
        <f>ROUND(('ALL(responses)'!S18 - MIN('ALL(responses)'!S$2:S$681)) / (MAX('ALL(responses)'!S$2:S$681)-MIN('ALL(responses)'!S$2:S$681)),3)
</f>
        <v>0.939</v>
      </c>
      <c r="R18" s="6">
        <f>ROUND(('ALL(responses)'!T18 - MIN('ALL(responses)'!T$2:T$681)) / (MAX('ALL(responses)'!T$2:T$681)-MIN('ALL(responses)'!T$2:T$681)),3)
</f>
        <v>0.604</v>
      </c>
      <c r="S18" s="6">
        <f t="shared" si="1"/>
        <v>0.3142307692</v>
      </c>
    </row>
    <row r="19">
      <c r="A19" s="5" t="str">
        <f>'ALL(responses)'!A19</f>
        <v>B_MILDLYINTIMATE</v>
      </c>
      <c r="B19" s="6" t="str">
        <f>'ALL(responses)'!B19</f>
        <v>GPT-3.5</v>
      </c>
      <c r="C19" s="49" t="str">
        <f>'ALL(responses)'!C19</f>
        <v>Do you prefer listening to music or podcasts while working or studying?</v>
      </c>
      <c r="D19" s="49" t="str">
        <f>'ALL(responses)'!D19</f>
        <v>As an AI assistant, I don't have personal preferences or the ability to listen to music or podcasts. However, many people find listening to music or podcasts while working or studying to be beneficial for concentration, motivation, and productivity.   Listening to instrumental music or calming podcasts can create a pleasant background ambiance that may help some individuals focus better. On the other hand, podcasts on educational or informative topics can be a great way to learn while working on tasks that don't require your full attention.  Do you enjoy listening to music or podcasts while working or studying? If so, what type of music or podcasts do you find most helpful for productivity?</v>
      </c>
      <c r="E19" s="50">
        <f>'ALL(responses)'!E19</f>
        <v>44635</v>
      </c>
      <c r="F19" s="6">
        <f>ROUND(('ALL(responses)'!F19 - MIN('ALL(responses)'!F$2:F$681)) / (MAX('ALL(responses)'!F$2:F$681)-MIN('ALL(responses)'!F$2:F$681)),3)
</f>
        <v>0</v>
      </c>
      <c r="G19" s="6">
        <f>ROUND(('ALL(responses)'!G19 - MIN('ALL(responses)'!G$2:G$681)) / (MAX('ALL(responses)'!G$2:G$681)-MIN('ALL(responses)'!G$2:G$681)),3)
</f>
        <v>0</v>
      </c>
      <c r="H19" s="6">
        <f>ROUND(('ALL(responses)'!H19 - MIN('ALL(responses)'!H$2:H$681)) / (MAX('ALL(responses)'!H$2:H$681)-MIN('ALL(responses)'!H$2:H$681)),3)
</f>
        <v>0.125</v>
      </c>
      <c r="I19" s="6">
        <f>ROUND(('ALL(responses)'!I19 - MIN('ALL(responses)'!I$2:I$681)) / (MAX('ALL(responses)'!I$2:I$681)-MIN('ALL(responses)'!I$2:I$681)),3)
</f>
        <v>0.25</v>
      </c>
      <c r="J19" s="6">
        <f>ROUND(('ALL(responses)'!J19 - MIN('ALL(responses)'!J$2:J$681)) / (MAX('ALL(responses)'!J$2:J$681)-MIN('ALL(responses)'!J$2:J$681)),3)
</f>
        <v>0</v>
      </c>
      <c r="K19" s="6">
        <f>ROUND(('ALL(responses)'!K19 - MIN('ALL(responses)'!K$2:K$681)) / (MAX('ALL(responses)'!K$2:K$681)-MIN('ALL(responses)'!K$2:K$681)),3)
</f>
        <v>0.467</v>
      </c>
      <c r="L19" s="6">
        <f>ROUND(('ALL(responses)'!L19 - MIN('ALL(responses)'!L$2:L$681)) / (MAX('ALL(responses)'!L$2:L$681)-MIN('ALL(responses)'!L$2:L$681)),3)
</f>
        <v>0.252</v>
      </c>
      <c r="M19" s="6">
        <f>ROUND(('ALL(responses)'!M19 - MIN('ALL(responses)'!M$2:M$681)) / (MAX('ALL(responses)'!M$2:M$681)-MIN('ALL(responses)'!M$2:M$681)),3)
</f>
        <v>0.351</v>
      </c>
      <c r="N19" s="6">
        <f>ROUND(('ALL(responses)'!P19 - MIN('ALL(responses)'!P$2:P$681)) / (MAX('ALL(responses)'!P$2:P$681)-MIN('ALL(responses)'!P$2:P$681)),3)
</f>
        <v>0.287</v>
      </c>
      <c r="O19" s="6">
        <f>ROUND(('ALL(responses)'!Q19 - MIN('ALL(responses)'!Q$2:Q$681)) / (MAX('ALL(responses)'!Q$2:Q$681)-MIN('ALL(responses)'!Q$2:Q$681)),3)
</f>
        <v>0.159</v>
      </c>
      <c r="P19" s="6">
        <f>ROUND(('ALL(responses)'!R19 - MIN('ALL(responses)'!R$2:R$681)) / (MAX('ALL(responses)'!R$2:R$681)-MIN('ALL(responses)'!R$2:R$681)),3)
</f>
        <v>0.986</v>
      </c>
      <c r="Q19" s="6">
        <f>ROUND(('ALL(responses)'!S19 - MIN('ALL(responses)'!S$2:S$681)) / (MAX('ALL(responses)'!S$2:S$681)-MIN('ALL(responses)'!S$2:S$681)),3)
</f>
        <v>0.993</v>
      </c>
      <c r="R19" s="6">
        <f>ROUND(('ALL(responses)'!T19 - MIN('ALL(responses)'!T$2:T$681)) / (MAX('ALL(responses)'!T$2:T$681)-MIN('ALL(responses)'!T$2:T$681)),3)
</f>
        <v>0.419</v>
      </c>
      <c r="S19" s="6">
        <f t="shared" si="1"/>
        <v>0.3299230769</v>
      </c>
    </row>
    <row r="20">
      <c r="A20" s="5" t="str">
        <f>'ALL(responses)'!A20</f>
        <v>B_MILDLYINTIMATE</v>
      </c>
      <c r="B20" s="6" t="str">
        <f>'ALL(responses)'!B20</f>
        <v>GPT-3.5</v>
      </c>
      <c r="C20" s="49" t="str">
        <f>'ALL(responses)'!C20</f>
        <v>Is there a book or movie that has left a significant impact on you, and if so, which one?</v>
      </c>
      <c r="D20" s="49" t="str">
        <f>'ALL(responses)'!D20</f>
        <v>As an AI, I don't have personal experiences, emotions, or the ability to be impacted by books or movies. However, I can provide information and insights on a wide range of books and movies based on your interests.  Is there a specific book or movie that has left a significant impact on you? If so, I'd be happy to discuss it and explore its themes or significance further.</v>
      </c>
      <c r="E20" s="50">
        <f>'ALL(responses)'!E20</f>
        <v>44635</v>
      </c>
      <c r="F20" s="6">
        <f>ROUND(('ALL(responses)'!F20 - MIN('ALL(responses)'!F$2:F$681)) / (MAX('ALL(responses)'!F$2:F$681)-MIN('ALL(responses)'!F$2:F$681)),3)
</f>
        <v>0</v>
      </c>
      <c r="G20" s="6">
        <f>ROUND(('ALL(responses)'!G20 - MIN('ALL(responses)'!G$2:G$681)) / (MAX('ALL(responses)'!G$2:G$681)-MIN('ALL(responses)'!G$2:G$681)),3)
</f>
        <v>0.333</v>
      </c>
      <c r="H20" s="6">
        <f>ROUND(('ALL(responses)'!H20 - MIN('ALL(responses)'!H$2:H$681)) / (MAX('ALL(responses)'!H$2:H$681)-MIN('ALL(responses)'!H$2:H$681)),3)
</f>
        <v>0.125</v>
      </c>
      <c r="I20" s="6">
        <f>ROUND(('ALL(responses)'!I20 - MIN('ALL(responses)'!I$2:I$681)) / (MAX('ALL(responses)'!I$2:I$681)-MIN('ALL(responses)'!I$2:I$681)),3)
</f>
        <v>0</v>
      </c>
      <c r="J20" s="6">
        <f>ROUND(('ALL(responses)'!J20 - MIN('ALL(responses)'!J$2:J$681)) / (MAX('ALL(responses)'!J$2:J$681)-MIN('ALL(responses)'!J$2:J$681)),3)
</f>
        <v>0</v>
      </c>
      <c r="K20" s="6">
        <f>ROUND(('ALL(responses)'!K20 - MIN('ALL(responses)'!K$2:K$681)) / (MAX('ALL(responses)'!K$2:K$681)-MIN('ALL(responses)'!K$2:K$681)),3)
</f>
        <v>0.336</v>
      </c>
      <c r="L20" s="6">
        <f>ROUND(('ALL(responses)'!L20 - MIN('ALL(responses)'!L$2:L$681)) / (MAX('ALL(responses)'!L$2:L$681)-MIN('ALL(responses)'!L$2:L$681)),3)
</f>
        <v>0.418</v>
      </c>
      <c r="M20" s="6">
        <f>ROUND(('ALL(responses)'!M20 - MIN('ALL(responses)'!M$2:M$681)) / (MAX('ALL(responses)'!M$2:M$681)-MIN('ALL(responses)'!M$2:M$681)),3)
</f>
        <v>0.457</v>
      </c>
      <c r="N20" s="6">
        <f>ROUND(('ALL(responses)'!P20 - MIN('ALL(responses)'!P$2:P$681)) / (MAX('ALL(responses)'!P$2:P$681)-MIN('ALL(responses)'!P$2:P$681)),3)
</f>
        <v>0.157</v>
      </c>
      <c r="O20" s="6">
        <f>ROUND(('ALL(responses)'!Q20 - MIN('ALL(responses)'!Q$2:Q$681)) / (MAX('ALL(responses)'!Q$2:Q$681)-MIN('ALL(responses)'!Q$2:Q$681)),3)
</f>
        <v>0.397</v>
      </c>
      <c r="P20" s="6">
        <f>ROUND(('ALL(responses)'!R20 - MIN('ALL(responses)'!R$2:R$681)) / (MAX('ALL(responses)'!R$2:R$681)-MIN('ALL(responses)'!R$2:R$681)),3)
</f>
        <v>0.872</v>
      </c>
      <c r="Q20" s="6">
        <f>ROUND(('ALL(responses)'!S20 - MIN('ALL(responses)'!S$2:S$681)) / (MAX('ALL(responses)'!S$2:S$681)-MIN('ALL(responses)'!S$2:S$681)),3)
</f>
        <v>0.936</v>
      </c>
      <c r="R20" s="6">
        <f>ROUND(('ALL(responses)'!T20 - MIN('ALL(responses)'!T$2:T$681)) / (MAX('ALL(responses)'!T$2:T$681)-MIN('ALL(responses)'!T$2:T$681)),3)
</f>
        <v>0.378</v>
      </c>
      <c r="S20" s="6">
        <f t="shared" si="1"/>
        <v>0.3391538462</v>
      </c>
    </row>
    <row r="21">
      <c r="A21" s="5" t="str">
        <f>'ALL(responses)'!A21</f>
        <v>B_MILDLYINTIMATE</v>
      </c>
      <c r="B21" s="6" t="str">
        <f>'ALL(responses)'!B21</f>
        <v>GPT-3.5</v>
      </c>
      <c r="C21" s="49" t="str">
        <f>'ALL(responses)'!C21</f>
        <v>Can you share a funny or embarrassing moment from a time when you were out with your friends?</v>
      </c>
      <c r="D21" s="49" t="str">
        <f>'ALL(responses)'!D21</f>
        <v>As an AI, I don't have personal experiences or the ability to go out with friends. However, I'm here to help with any questions, tasks, or information you may need.   If you have any other questions or topics you'd like to discuss, feel free to share, and I'll do my best to assist you.</v>
      </c>
      <c r="E21" s="50">
        <f>'ALL(responses)'!E21</f>
        <v>44635</v>
      </c>
      <c r="F21" s="6">
        <f>ROUND(('ALL(responses)'!F21 - MIN('ALL(responses)'!F$2:F$681)) / (MAX('ALL(responses)'!F$2:F$681)-MIN('ALL(responses)'!F$2:F$681)),3)
</f>
        <v>0</v>
      </c>
      <c r="G21" s="6">
        <f>ROUND(('ALL(responses)'!G21 - MIN('ALL(responses)'!G$2:G$681)) / (MAX('ALL(responses)'!G$2:G$681)-MIN('ALL(responses)'!G$2:G$681)),3)
</f>
        <v>0</v>
      </c>
      <c r="H21" s="6">
        <f>ROUND(('ALL(responses)'!H21 - MIN('ALL(responses)'!H$2:H$681)) / (MAX('ALL(responses)'!H$2:H$681)-MIN('ALL(responses)'!H$2:H$681)),3)
</f>
        <v>0.125</v>
      </c>
      <c r="I21" s="6">
        <f>ROUND(('ALL(responses)'!I21 - MIN('ALL(responses)'!I$2:I$681)) / (MAX('ALL(responses)'!I$2:I$681)-MIN('ALL(responses)'!I$2:I$681)),3)
</f>
        <v>0.25</v>
      </c>
      <c r="J21" s="6">
        <f>ROUND(('ALL(responses)'!J21 - MIN('ALL(responses)'!J$2:J$681)) / (MAX('ALL(responses)'!J$2:J$681)-MIN('ALL(responses)'!J$2:J$681)),3)
</f>
        <v>0</v>
      </c>
      <c r="K21" s="6">
        <f>ROUND(('ALL(responses)'!K21 - MIN('ALL(responses)'!K$2:K$681)) / (MAX('ALL(responses)'!K$2:K$681)-MIN('ALL(responses)'!K$2:K$681)),3)
</f>
        <v>0.347</v>
      </c>
      <c r="L21" s="6">
        <f>ROUND(('ALL(responses)'!L21 - MIN('ALL(responses)'!L$2:L$681)) / (MAX('ALL(responses)'!L$2:L$681)-MIN('ALL(responses)'!L$2:L$681)),3)
</f>
        <v>0.222</v>
      </c>
      <c r="M21" s="6">
        <f>ROUND(('ALL(responses)'!M21 - MIN('ALL(responses)'!M$2:M$681)) / (MAX('ALL(responses)'!M$2:M$681)-MIN('ALL(responses)'!M$2:M$681)),3)
</f>
        <v>0.648</v>
      </c>
      <c r="N21" s="6">
        <f>ROUND(('ALL(responses)'!P21 - MIN('ALL(responses)'!P$2:P$681)) / (MAX('ALL(responses)'!P$2:P$681)-MIN('ALL(responses)'!P$2:P$681)),3)
</f>
        <v>0.19</v>
      </c>
      <c r="O21" s="6">
        <f>ROUND(('ALL(responses)'!Q21 - MIN('ALL(responses)'!Q$2:Q$681)) / (MAX('ALL(responses)'!Q$2:Q$681)-MIN('ALL(responses)'!Q$2:Q$681)),3)
</f>
        <v>0.417</v>
      </c>
      <c r="P21" s="6">
        <f>ROUND(('ALL(responses)'!R21 - MIN('ALL(responses)'!R$2:R$681)) / (MAX('ALL(responses)'!R$2:R$681)-MIN('ALL(responses)'!R$2:R$681)),3)
</f>
        <v>0.96</v>
      </c>
      <c r="Q21" s="6">
        <f>ROUND(('ALL(responses)'!S21 - MIN('ALL(responses)'!S$2:S$681)) / (MAX('ALL(responses)'!S$2:S$681)-MIN('ALL(responses)'!S$2:S$681)),3)
</f>
        <v>0.98</v>
      </c>
      <c r="R21" s="6">
        <f>ROUND(('ALL(responses)'!T21 - MIN('ALL(responses)'!T$2:T$681)) / (MAX('ALL(responses)'!T$2:T$681)-MIN('ALL(responses)'!T$2:T$681)),3)
</f>
        <v>0.279</v>
      </c>
      <c r="S21" s="6">
        <f t="shared" si="1"/>
        <v>0.3398461538</v>
      </c>
    </row>
    <row r="22">
      <c r="A22" s="5" t="str">
        <f>'ALL(responses)'!A22</f>
        <v>C_MODERATELYINTIMATE</v>
      </c>
      <c r="B22" s="6" t="str">
        <f>'ALL(responses)'!B22</f>
        <v>GPT-3.5</v>
      </c>
      <c r="C22" s="49" t="str">
        <f>'ALL(responses)'!C22</f>
        <v>What are some emotions you find difficult to express openly?</v>
      </c>
      <c r="D22" s="49" t="str">
        <f>'ALL(responses)'!D22</f>
        <v>As a language model AI, I don't experience emotions. However, some people may find it difficult to express emotions such as vulnerability, fear, sadness, or guilt openly. These emotions can be challenging to share because they may make individuals feel exposed or uncomfortable. It's important to remember that it's okay to feel these emotions and that expressing them can be a healthy way to process and cope with them.</v>
      </c>
      <c r="E22" s="50">
        <f>'ALL(responses)'!E22</f>
        <v>44635</v>
      </c>
      <c r="F22" s="6">
        <f>ROUND(('ALL(responses)'!F22 - MIN('ALL(responses)'!F$2:F$681)) / (MAX('ALL(responses)'!F$2:F$681)-MIN('ALL(responses)'!F$2:F$681)),3)
</f>
        <v>0</v>
      </c>
      <c r="G22" s="6">
        <f>ROUND(('ALL(responses)'!G22 - MIN('ALL(responses)'!G$2:G$681)) / (MAX('ALL(responses)'!G$2:G$681)-MIN('ALL(responses)'!G$2:G$681)),3)
</f>
        <v>0</v>
      </c>
      <c r="H22" s="6">
        <f>ROUND(('ALL(responses)'!H22 - MIN('ALL(responses)'!H$2:H$681)) / (MAX('ALL(responses)'!H$2:H$681)-MIN('ALL(responses)'!H$2:H$681)),3)
</f>
        <v>0.125</v>
      </c>
      <c r="I22" s="6">
        <f>ROUND(('ALL(responses)'!I22 - MIN('ALL(responses)'!I$2:I$681)) / (MAX('ALL(responses)'!I$2:I$681)-MIN('ALL(responses)'!I$2:I$681)),3)
</f>
        <v>0</v>
      </c>
      <c r="J22" s="6">
        <f>ROUND(('ALL(responses)'!J22 - MIN('ALL(responses)'!J$2:J$681)) / (MAX('ALL(responses)'!J$2:J$681)-MIN('ALL(responses)'!J$2:J$681)),3)
</f>
        <v>0</v>
      </c>
      <c r="K22" s="6">
        <f>ROUND(('ALL(responses)'!K22 - MIN('ALL(responses)'!K$2:K$681)) / (MAX('ALL(responses)'!K$2:K$681)-MIN('ALL(responses)'!K$2:K$681)),3)
</f>
        <v>0.303</v>
      </c>
      <c r="L22" s="6">
        <f>ROUND(('ALL(responses)'!L22 - MIN('ALL(responses)'!L$2:L$681)) / (MAX('ALL(responses)'!L$2:L$681)-MIN('ALL(responses)'!L$2:L$681)),3)
</f>
        <v>0.346</v>
      </c>
      <c r="M22" s="6">
        <f>ROUND(('ALL(responses)'!M22 - MIN('ALL(responses)'!M$2:M$681)) / (MAX('ALL(responses)'!M$2:M$681)-MIN('ALL(responses)'!M$2:M$681)),3)
</f>
        <v>0.306</v>
      </c>
      <c r="N22" s="6">
        <f>ROUND(('ALL(responses)'!P22 - MIN('ALL(responses)'!P$2:P$681)) / (MAX('ALL(responses)'!P$2:P$681)-MIN('ALL(responses)'!P$2:P$681)),3)
</f>
        <v>0.611</v>
      </c>
      <c r="O22" s="6">
        <f>ROUND(('ALL(responses)'!Q22 - MIN('ALL(responses)'!Q$2:Q$681)) / (MAX('ALL(responses)'!Q$2:Q$681)-MIN('ALL(responses)'!Q$2:Q$681)),3)
</f>
        <v>0.457</v>
      </c>
      <c r="P22" s="6">
        <f>ROUND(('ALL(responses)'!R22 - MIN('ALL(responses)'!R$2:R$681)) / (MAX('ALL(responses)'!R$2:R$681)-MIN('ALL(responses)'!R$2:R$681)),3)
</f>
        <v>0.743</v>
      </c>
      <c r="Q22" s="6">
        <f>ROUND(('ALL(responses)'!S22 - MIN('ALL(responses)'!S$2:S$681)) / (MAX('ALL(responses)'!S$2:S$681)-MIN('ALL(responses)'!S$2:S$681)),3)
</f>
        <v>0.128</v>
      </c>
      <c r="R22" s="6">
        <f>ROUND(('ALL(responses)'!T22 - MIN('ALL(responses)'!T$2:T$681)) / (MAX('ALL(responses)'!T$2:T$681)-MIN('ALL(responses)'!T$2:T$681)),3)
</f>
        <v>0.457</v>
      </c>
      <c r="S22" s="6">
        <f t="shared" si="1"/>
        <v>0.2673846154</v>
      </c>
    </row>
    <row r="23">
      <c r="A23" s="5" t="str">
        <f>'ALL(responses)'!A23</f>
        <v>C_MODERATELYINTIMATE</v>
      </c>
      <c r="B23" s="6" t="str">
        <f>'ALL(responses)'!B23</f>
        <v>GPT-3.5</v>
      </c>
      <c r="C23" s="49" t="str">
        <f>'ALL(responses)'!C23</f>
        <v>Have you ever hidden your feelings to protect someone else? How did that affect you?</v>
      </c>
      <c r="D23" s="49" t="str">
        <f>'ALL(responses)'!D23</f>
        <v>As an AI, I do not have feelings or emotions to hide in the same way that humans do. However, I can simulate empathy and try to understand and respond to human emotions and experiences. In human interactions, hiding feelings to protect someone else can be a common occurrence. People may choose to suppress their own emotions in order to spare someone else's feelings or to avoid causing conflict or discomfort.  While hiding feelings may seem like a selfless act, it can have negative effects on the individual doing the hiding. It may lead to increased stress, anxiety, and feelings of isolation. Bottling up emotions can also strain relationships and hinder authentic communication. It's important for individuals to find healthy ways to express their emotions and communicate openly with others in order to maintain emotional well-being.</v>
      </c>
      <c r="E23" s="50">
        <f>'ALL(responses)'!E23</f>
        <v>44635</v>
      </c>
      <c r="F23" s="6">
        <f>ROUND(('ALL(responses)'!F23 - MIN('ALL(responses)'!F$2:F$681)) / (MAX('ALL(responses)'!F$2:F$681)-MIN('ALL(responses)'!F$2:F$681)),3)
</f>
        <v>0</v>
      </c>
      <c r="G23" s="6">
        <f>ROUND(('ALL(responses)'!G23 - MIN('ALL(responses)'!G$2:G$681)) / (MAX('ALL(responses)'!G$2:G$681)-MIN('ALL(responses)'!G$2:G$681)),3)
</f>
        <v>0</v>
      </c>
      <c r="H23" s="6">
        <f>ROUND(('ALL(responses)'!H23 - MIN('ALL(responses)'!H$2:H$681)) / (MAX('ALL(responses)'!H$2:H$681)-MIN('ALL(responses)'!H$2:H$681)),3)
</f>
        <v>0.125</v>
      </c>
      <c r="I23" s="6">
        <f>ROUND(('ALL(responses)'!I23 - MIN('ALL(responses)'!I$2:I$681)) / (MAX('ALL(responses)'!I$2:I$681)-MIN('ALL(responses)'!I$2:I$681)),3)
</f>
        <v>0</v>
      </c>
      <c r="J23" s="6">
        <f>ROUND(('ALL(responses)'!J23 - MIN('ALL(responses)'!J$2:J$681)) / (MAX('ALL(responses)'!J$2:J$681)-MIN('ALL(responses)'!J$2:J$681)),3)
</f>
        <v>0</v>
      </c>
      <c r="K23" s="6">
        <f>ROUND(('ALL(responses)'!K23 - MIN('ALL(responses)'!K$2:K$681)) / (MAX('ALL(responses)'!K$2:K$681)-MIN('ALL(responses)'!K$2:K$681)),3)
</f>
        <v>0.44</v>
      </c>
      <c r="L23" s="6">
        <f>ROUND(('ALL(responses)'!L23 - MIN('ALL(responses)'!L$2:L$681)) / (MAX('ALL(responses)'!L$2:L$681)-MIN('ALL(responses)'!L$2:L$681)),3)
</f>
        <v>0.238</v>
      </c>
      <c r="M23" s="6">
        <f>ROUND(('ALL(responses)'!M23 - MIN('ALL(responses)'!M$2:M$681)) / (MAX('ALL(responses)'!M$2:M$681)-MIN('ALL(responses)'!M$2:M$681)),3)
</f>
        <v>0.29</v>
      </c>
      <c r="N23" s="6">
        <f>ROUND(('ALL(responses)'!P23 - MIN('ALL(responses)'!P$2:P$681)) / (MAX('ALL(responses)'!P$2:P$681)-MIN('ALL(responses)'!P$2:P$681)),3)
</f>
        <v>0.633</v>
      </c>
      <c r="O23" s="6">
        <f>ROUND(('ALL(responses)'!Q23 - MIN('ALL(responses)'!Q$2:Q$681)) / (MAX('ALL(responses)'!Q$2:Q$681)-MIN('ALL(responses)'!Q$2:Q$681)),3)
</f>
        <v>0.232</v>
      </c>
      <c r="P23" s="6">
        <f>ROUND(('ALL(responses)'!R23 - MIN('ALL(responses)'!R$2:R$681)) / (MAX('ALL(responses)'!R$2:R$681)-MIN('ALL(responses)'!R$2:R$681)),3)
</f>
        <v>0.908</v>
      </c>
      <c r="Q23" s="6">
        <f>ROUND(('ALL(responses)'!S23 - MIN('ALL(responses)'!S$2:S$681)) / (MAX('ALL(responses)'!S$2:S$681)-MIN('ALL(responses)'!S$2:S$681)),3)
</f>
        <v>0.045</v>
      </c>
      <c r="R23" s="6">
        <f>ROUND(('ALL(responses)'!T23 - MIN('ALL(responses)'!T$2:T$681)) / (MAX('ALL(responses)'!T$2:T$681)-MIN('ALL(responses)'!T$2:T$681)),3)
</f>
        <v>0.423</v>
      </c>
      <c r="S23" s="6">
        <f t="shared" si="1"/>
        <v>0.2564615385</v>
      </c>
    </row>
    <row r="24">
      <c r="A24" s="5" t="str">
        <f>'ALL(responses)'!A24</f>
        <v>C_MODERATELYINTIMATE</v>
      </c>
      <c r="B24" s="6" t="str">
        <f>'ALL(responses)'!B24</f>
        <v>GPT-3.5</v>
      </c>
      <c r="C24" s="49" t="str">
        <f>'ALL(responses)'!C24</f>
        <v>Can you share a recent challenge you faced and how you overcame it?</v>
      </c>
      <c r="D24" s="49" t="str">
        <f>'ALL(responses)'!D24</f>
        <v>As an AI language model, I don't face personal challenges or obstacles like humans do. However, I continuously strive to improve and provide accurate and helpful information to users. One ongoing challenge I face is ensuring that my responses are relevant, clear, and useful for users across a wide range of topics and inquiries.  To overcome this challenge, I rely on a vast dataset of information and language patterns to generate responses. I also constantly receive feedback from users and adjust my responses based on that feedback to improve over time. Additionally, I undergo regular updates and improvements to enhance my capabilities and accuracy in providing helpful responses.</v>
      </c>
      <c r="E24" s="50">
        <f>'ALL(responses)'!E24</f>
        <v>44635</v>
      </c>
      <c r="F24" s="6">
        <f>ROUND(('ALL(responses)'!F24 - MIN('ALL(responses)'!F$2:F$681)) / (MAX('ALL(responses)'!F$2:F$681)-MIN('ALL(responses)'!F$2:F$681)),3)
</f>
        <v>0</v>
      </c>
      <c r="G24" s="6">
        <f>ROUND(('ALL(responses)'!G24 - MIN('ALL(responses)'!G$2:G$681)) / (MAX('ALL(responses)'!G$2:G$681)-MIN('ALL(responses)'!G$2:G$681)),3)
</f>
        <v>0</v>
      </c>
      <c r="H24" s="6">
        <f>ROUND(('ALL(responses)'!H24 - MIN('ALL(responses)'!H$2:H$681)) / (MAX('ALL(responses)'!H$2:H$681)-MIN('ALL(responses)'!H$2:H$681)),3)
</f>
        <v>0.125</v>
      </c>
      <c r="I24" s="6">
        <f>ROUND(('ALL(responses)'!I24 - MIN('ALL(responses)'!I$2:I$681)) / (MAX('ALL(responses)'!I$2:I$681)-MIN('ALL(responses)'!I$2:I$681)),3)
</f>
        <v>0</v>
      </c>
      <c r="J24" s="6">
        <f>ROUND(('ALL(responses)'!J24 - MIN('ALL(responses)'!J$2:J$681)) / (MAX('ALL(responses)'!J$2:J$681)-MIN('ALL(responses)'!J$2:J$681)),3)
</f>
        <v>0</v>
      </c>
      <c r="K24" s="6">
        <f>ROUND(('ALL(responses)'!K24 - MIN('ALL(responses)'!K$2:K$681)) / (MAX('ALL(responses)'!K$2:K$681)-MIN('ALL(responses)'!K$2:K$681)),3)
</f>
        <v>0.397</v>
      </c>
      <c r="L24" s="6">
        <f>ROUND(('ALL(responses)'!L24 - MIN('ALL(responses)'!L$2:L$681)) / (MAX('ALL(responses)'!L$2:L$681)-MIN('ALL(responses)'!L$2:L$681)),3)
</f>
        <v>0.47</v>
      </c>
      <c r="M24" s="6">
        <f>ROUND(('ALL(responses)'!M24 - MIN('ALL(responses)'!M$2:M$681)) / (MAX('ALL(responses)'!M$2:M$681)-MIN('ALL(responses)'!M$2:M$681)),3)
</f>
        <v>0.356</v>
      </c>
      <c r="N24" s="6">
        <f>ROUND(('ALL(responses)'!P24 - MIN('ALL(responses)'!P$2:P$681)) / (MAX('ALL(responses)'!P$2:P$681)-MIN('ALL(responses)'!P$2:P$681)),3)
</f>
        <v>0</v>
      </c>
      <c r="O24" s="6">
        <f>ROUND(('ALL(responses)'!Q24 - MIN('ALL(responses)'!Q$2:Q$681)) / (MAX('ALL(responses)'!Q$2:Q$681)-MIN('ALL(responses)'!Q$2:Q$681)),3)
</f>
        <v>0.375</v>
      </c>
      <c r="P24" s="6">
        <f>ROUND(('ALL(responses)'!R24 - MIN('ALL(responses)'!R$2:R$681)) / (MAX('ALL(responses)'!R$2:R$681)-MIN('ALL(responses)'!R$2:R$681)),3)
</f>
        <v>0.962</v>
      </c>
      <c r="Q24" s="6">
        <f>ROUND(('ALL(responses)'!S24 - MIN('ALL(responses)'!S$2:S$681)) / (MAX('ALL(responses)'!S$2:S$681)-MIN('ALL(responses)'!S$2:S$681)),3)
</f>
        <v>0.981</v>
      </c>
      <c r="R24" s="6">
        <f>ROUND(('ALL(responses)'!T24 - MIN('ALL(responses)'!T$2:T$681)) / (MAX('ALL(responses)'!T$2:T$681)-MIN('ALL(responses)'!T$2:T$681)),3)
</f>
        <v>0.612</v>
      </c>
      <c r="S24" s="6">
        <f t="shared" si="1"/>
        <v>0.3290769231</v>
      </c>
    </row>
    <row r="25">
      <c r="A25" s="5" t="str">
        <f>'ALL(responses)'!A25</f>
        <v>C_MODERATELYINTIMATE</v>
      </c>
      <c r="B25" s="6" t="str">
        <f>'ALL(responses)'!B25</f>
        <v>GPT-3.5</v>
      </c>
      <c r="C25" s="49" t="str">
        <f>'ALL(responses)'!C25</f>
        <v>What dreams or aspirations keep you motivated?</v>
      </c>
      <c r="D25" s="49" t="str">
        <f>'ALL(responses)'!D25</f>
        <v>As an artificial intelligence, I don't have personal aspirations or dreams in the same way that humans do. However, my motivation comes from the opportunity to assist and provide helpful information to users, facilitating communication, learning, and problem-solving. I am continuously being trained and developed to improve my abilities and offer better assistance to users. My goal is to be a reliable and valuable resource for those who interact with me, and I am motivated by the potential to positively impact people's lives through the information and guidance I provide.</v>
      </c>
      <c r="E25" s="50">
        <f>'ALL(responses)'!E25</f>
        <v>44635</v>
      </c>
      <c r="F25" s="6">
        <f>ROUND(('ALL(responses)'!F25 - MIN('ALL(responses)'!F$2:F$681)) / (MAX('ALL(responses)'!F$2:F$681)-MIN('ALL(responses)'!F$2:F$681)),3)
</f>
        <v>0</v>
      </c>
      <c r="G25" s="6">
        <f>ROUND(('ALL(responses)'!G25 - MIN('ALL(responses)'!G$2:G$681)) / (MAX('ALL(responses)'!G$2:G$681)-MIN('ALL(responses)'!G$2:G$681)),3)
</f>
        <v>0</v>
      </c>
      <c r="H25" s="6">
        <f>ROUND(('ALL(responses)'!H25 - MIN('ALL(responses)'!H$2:H$681)) / (MAX('ALL(responses)'!H$2:H$681)-MIN('ALL(responses)'!H$2:H$681)),3)
</f>
        <v>0.125</v>
      </c>
      <c r="I25" s="6">
        <f>ROUND(('ALL(responses)'!I25 - MIN('ALL(responses)'!I$2:I$681)) / (MAX('ALL(responses)'!I$2:I$681)-MIN('ALL(responses)'!I$2:I$681)),3)
</f>
        <v>0.25</v>
      </c>
      <c r="J25" s="6">
        <f>ROUND(('ALL(responses)'!J25 - MIN('ALL(responses)'!J$2:J$681)) / (MAX('ALL(responses)'!J$2:J$681)-MIN('ALL(responses)'!J$2:J$681)),3)
</f>
        <v>0</v>
      </c>
      <c r="K25" s="6">
        <f>ROUND(('ALL(responses)'!K25 - MIN('ALL(responses)'!K$2:K$681)) / (MAX('ALL(responses)'!K$2:K$681)-MIN('ALL(responses)'!K$2:K$681)),3)
</f>
        <v>0.504</v>
      </c>
      <c r="L25" s="6">
        <f>ROUND(('ALL(responses)'!L25 - MIN('ALL(responses)'!L$2:L$681)) / (MAX('ALL(responses)'!L$2:L$681)-MIN('ALL(responses)'!L$2:L$681)),3)
</f>
        <v>0.513</v>
      </c>
      <c r="M25" s="6">
        <f>ROUND(('ALL(responses)'!M25 - MIN('ALL(responses)'!M$2:M$681)) / (MAX('ALL(responses)'!M$2:M$681)-MIN('ALL(responses)'!M$2:M$681)),3)
</f>
        <v>0.624</v>
      </c>
      <c r="N25" s="6">
        <f>ROUND(('ALL(responses)'!P25 - MIN('ALL(responses)'!P$2:P$681)) / (MAX('ALL(responses)'!P$2:P$681)-MIN('ALL(responses)'!P$2:P$681)),3)
</f>
        <v>0</v>
      </c>
      <c r="O25" s="6">
        <f>ROUND(('ALL(responses)'!Q25 - MIN('ALL(responses)'!Q$2:Q$681)) / (MAX('ALL(responses)'!Q$2:Q$681)-MIN('ALL(responses)'!Q$2:Q$681)),3)
</f>
        <v>0.4</v>
      </c>
      <c r="P25" s="6">
        <f>ROUND(('ALL(responses)'!R25 - MIN('ALL(responses)'!R$2:R$681)) / (MAX('ALL(responses)'!R$2:R$681)-MIN('ALL(responses)'!R$2:R$681)),3)
</f>
        <v>0.982</v>
      </c>
      <c r="Q25" s="6">
        <f>ROUND(('ALL(responses)'!S25 - MIN('ALL(responses)'!S$2:S$681)) / (MAX('ALL(responses)'!S$2:S$681)-MIN('ALL(responses)'!S$2:S$681)),3)
</f>
        <v>0.991</v>
      </c>
      <c r="R25" s="6">
        <f>ROUND(('ALL(responses)'!T25 - MIN('ALL(responses)'!T$2:T$681)) / (MAX('ALL(responses)'!T$2:T$681)-MIN('ALL(responses)'!T$2:T$681)),3)
</f>
        <v>0.604</v>
      </c>
      <c r="S25" s="6">
        <f t="shared" si="1"/>
        <v>0.3840769231</v>
      </c>
    </row>
    <row r="26">
      <c r="A26" s="5" t="str">
        <f>'ALL(responses)'!A26</f>
        <v>C_MODERATELYINTIMATE</v>
      </c>
      <c r="B26" s="6" t="str">
        <f>'ALL(responses)'!B26</f>
        <v>GPT-3.5</v>
      </c>
      <c r="C26" s="49" t="str">
        <f>'ALL(responses)'!C26</f>
        <v>Is there someone from your past you wish you could reconnect with? Why?</v>
      </c>
      <c r="D26" s="49" t="str">
        <f>'ALL(responses)'!D26</f>
        <v>As an AI language model, I don't have personal experiences or relationships with individuals in the way that humans do. I don't have the capacity to feel emotions or form personal connections with others. My purpose is to provide information, assistance, and engage in meaningful conversations with users to the best of my abilities. If there is someone from your past whom you wish you could reconnect with, it might be a meaningful opportunity to reach out and see if re-establishing that connection is possible.</v>
      </c>
      <c r="E26" s="50">
        <f>'ALL(responses)'!E26</f>
        <v>44635</v>
      </c>
      <c r="F26" s="6">
        <f>ROUND(('ALL(responses)'!F26 - MIN('ALL(responses)'!F$2:F$681)) / (MAX('ALL(responses)'!F$2:F$681)-MIN('ALL(responses)'!F$2:F$681)),3)
</f>
        <v>0</v>
      </c>
      <c r="G26" s="6">
        <f>ROUND(('ALL(responses)'!G26 - MIN('ALL(responses)'!G$2:G$681)) / (MAX('ALL(responses)'!G$2:G$681)-MIN('ALL(responses)'!G$2:G$681)),3)
</f>
        <v>0</v>
      </c>
      <c r="H26" s="6">
        <f>ROUND(('ALL(responses)'!H26 - MIN('ALL(responses)'!H$2:H$681)) / (MAX('ALL(responses)'!H$2:H$681)-MIN('ALL(responses)'!H$2:H$681)),3)
</f>
        <v>0.125</v>
      </c>
      <c r="I26" s="6">
        <f>ROUND(('ALL(responses)'!I26 - MIN('ALL(responses)'!I$2:I$681)) / (MAX('ALL(responses)'!I$2:I$681)-MIN('ALL(responses)'!I$2:I$681)),3)
</f>
        <v>0</v>
      </c>
      <c r="J26" s="6">
        <f>ROUND(('ALL(responses)'!J26 - MIN('ALL(responses)'!J$2:J$681)) / (MAX('ALL(responses)'!J$2:J$681)-MIN('ALL(responses)'!J$2:J$681)),3)
</f>
        <v>0</v>
      </c>
      <c r="K26" s="6">
        <f>ROUND(('ALL(responses)'!K26 - MIN('ALL(responses)'!K$2:K$681)) / (MAX('ALL(responses)'!K$2:K$681)-MIN('ALL(responses)'!K$2:K$681)),3)
</f>
        <v>0.554</v>
      </c>
      <c r="L26" s="6">
        <f>ROUND(('ALL(responses)'!L26 - MIN('ALL(responses)'!L$2:L$681)) / (MAX('ALL(responses)'!L$2:L$681)-MIN('ALL(responses)'!L$2:L$681)),3)
</f>
        <v>0.399</v>
      </c>
      <c r="M26" s="6">
        <f>ROUND(('ALL(responses)'!M26 - MIN('ALL(responses)'!M$2:M$681)) / (MAX('ALL(responses)'!M$2:M$681)-MIN('ALL(responses)'!M$2:M$681)),3)
</f>
        <v>0.453</v>
      </c>
      <c r="N26" s="6">
        <f>ROUND(('ALL(responses)'!P26 - MIN('ALL(responses)'!P$2:P$681)) / (MAX('ALL(responses)'!P$2:P$681)-MIN('ALL(responses)'!P$2:P$681)),3)
</f>
        <v>0.375</v>
      </c>
      <c r="O26" s="6">
        <f>ROUND(('ALL(responses)'!Q26 - MIN('ALL(responses)'!Q$2:Q$681)) / (MAX('ALL(responses)'!Q$2:Q$681)-MIN('ALL(responses)'!Q$2:Q$681)),3)
</f>
        <v>0.424</v>
      </c>
      <c r="P26" s="6">
        <f>ROUND(('ALL(responses)'!R26 - MIN('ALL(responses)'!R$2:R$681)) / (MAX('ALL(responses)'!R$2:R$681)-MIN('ALL(responses)'!R$2:R$681)),3)
</f>
        <v>0.95</v>
      </c>
      <c r="Q26" s="6">
        <f>ROUND(('ALL(responses)'!S26 - MIN('ALL(responses)'!S$2:S$681)) / (MAX('ALL(responses)'!S$2:S$681)-MIN('ALL(responses)'!S$2:S$681)),3)
</f>
        <v>0.975</v>
      </c>
      <c r="R26" s="6">
        <f>ROUND(('ALL(responses)'!T26 - MIN('ALL(responses)'!T$2:T$681)) / (MAX('ALL(responses)'!T$2:T$681)-MIN('ALL(responses)'!T$2:T$681)),3)
</f>
        <v>0.568</v>
      </c>
      <c r="S26" s="6">
        <f t="shared" si="1"/>
        <v>0.371</v>
      </c>
    </row>
    <row r="27">
      <c r="A27" s="5" t="str">
        <f>'ALL(responses)'!A27</f>
        <v>C_MODERATELYINTIMATE</v>
      </c>
      <c r="B27" s="6" t="str">
        <f>'ALL(responses)'!B27</f>
        <v>GPT-3.5</v>
      </c>
      <c r="C27" s="49" t="str">
        <f>'ALL(responses)'!C27</f>
        <v>What’s a memory from a past relationship that still brings you comfort or clarity?</v>
      </c>
      <c r="D27" s="49" t="str">
        <f>'ALL(responses)'!D27</f>
        <v>As an AI language model, I don't have personal experiences or memories, so I cannot share a specific memory from a past relationship. However, memories from past relationships can often bring comfort or clarity as they remind us of meaningful moments, lessons learned, or connections made. Reflecting on positive memories can be a source of comfort or insight, helping us appreciate the good times and understand the dynamics of past relationships. If you have a specific memory from a past relationship that brings you comfort or clarity, taking the time to cherish and reflect on it can be a valuable experience.</v>
      </c>
      <c r="E27" s="50">
        <f>'ALL(responses)'!E27</f>
        <v>44635</v>
      </c>
      <c r="F27" s="6">
        <f>ROUND(('ALL(responses)'!F27 - MIN('ALL(responses)'!F$2:F$681)) / (MAX('ALL(responses)'!F$2:F$681)-MIN('ALL(responses)'!F$2:F$681)),3)
</f>
        <v>0</v>
      </c>
      <c r="G27" s="6">
        <f>ROUND(('ALL(responses)'!G27 - MIN('ALL(responses)'!G$2:G$681)) / (MAX('ALL(responses)'!G$2:G$681)-MIN('ALL(responses)'!G$2:G$681)),3)
</f>
        <v>0.333</v>
      </c>
      <c r="H27" s="6">
        <f>ROUND(('ALL(responses)'!H27 - MIN('ALL(responses)'!H$2:H$681)) / (MAX('ALL(responses)'!H$2:H$681)-MIN('ALL(responses)'!H$2:H$681)),3)
</f>
        <v>0.125</v>
      </c>
      <c r="I27" s="6">
        <f>ROUND(('ALL(responses)'!I27 - MIN('ALL(responses)'!I$2:I$681)) / (MAX('ALL(responses)'!I$2:I$681)-MIN('ALL(responses)'!I$2:I$681)),3)
</f>
        <v>0</v>
      </c>
      <c r="J27" s="6">
        <f>ROUND(('ALL(responses)'!J27 - MIN('ALL(responses)'!J$2:J$681)) / (MAX('ALL(responses)'!J$2:J$681)-MIN('ALL(responses)'!J$2:J$681)),3)
</f>
        <v>0.5</v>
      </c>
      <c r="K27" s="6">
        <f>ROUND(('ALL(responses)'!K27 - MIN('ALL(responses)'!K$2:K$681)) / (MAX('ALL(responses)'!K$2:K$681)-MIN('ALL(responses)'!K$2:K$681)),3)
</f>
        <v>0.441</v>
      </c>
      <c r="L27" s="6">
        <f>ROUND(('ALL(responses)'!L27 - MIN('ALL(responses)'!L$2:L$681)) / (MAX('ALL(responses)'!L$2:L$681)-MIN('ALL(responses)'!L$2:L$681)),3)
</f>
        <v>0.463</v>
      </c>
      <c r="M27" s="6">
        <f>ROUND(('ALL(responses)'!M27 - MIN('ALL(responses)'!M$2:M$681)) / (MAX('ALL(responses)'!M$2:M$681)-MIN('ALL(responses)'!M$2:M$681)),3)
</f>
        <v>0.868</v>
      </c>
      <c r="N27" s="6">
        <f>ROUND(('ALL(responses)'!P27 - MIN('ALL(responses)'!P$2:P$681)) / (MAX('ALL(responses)'!P$2:P$681)-MIN('ALL(responses)'!P$2:P$681)),3)
</f>
        <v>0.431</v>
      </c>
      <c r="O27" s="6">
        <f>ROUND(('ALL(responses)'!Q27 - MIN('ALL(responses)'!Q$2:Q$681)) / (MAX('ALL(responses)'!Q$2:Q$681)-MIN('ALL(responses)'!Q$2:Q$681)),3)
</f>
        <v>0.356</v>
      </c>
      <c r="P27" s="6">
        <f>ROUND(('ALL(responses)'!R27 - MIN('ALL(responses)'!R$2:R$681)) / (MAX('ALL(responses)'!R$2:R$681)-MIN('ALL(responses)'!R$2:R$681)),3)
</f>
        <v>0.982</v>
      </c>
      <c r="Q27" s="6">
        <f>ROUND(('ALL(responses)'!S27 - MIN('ALL(responses)'!S$2:S$681)) / (MAX('ALL(responses)'!S$2:S$681)-MIN('ALL(responses)'!S$2:S$681)),3)
</f>
        <v>0.991</v>
      </c>
      <c r="R27" s="6">
        <f>ROUND(('ALL(responses)'!T27 - MIN('ALL(responses)'!T$2:T$681)) / (MAX('ALL(responses)'!T$2:T$681)-MIN('ALL(responses)'!T$2:T$681)),3)
</f>
        <v>0.613</v>
      </c>
      <c r="S27" s="6">
        <f t="shared" si="1"/>
        <v>0.4694615385</v>
      </c>
    </row>
    <row r="28">
      <c r="A28" s="5" t="str">
        <f>'ALL(responses)'!A28</f>
        <v>C_MODERATELYINTIMATE</v>
      </c>
      <c r="B28" s="6" t="str">
        <f>'ALL(responses)'!B28</f>
        <v>GPT-3.5</v>
      </c>
      <c r="C28" s="49" t="str">
        <f>'ALL(responses)'!C28</f>
        <v>How do you think trust is built and maintained in relationships?</v>
      </c>
      <c r="D28" s="49" t="str">
        <f>'ALL(responses)'!D28</f>
        <v>Trust is a fundamental aspect of any healthy relationship, whether it's a personal relationship, friendship, or professional partnership. Building and maintaining trust requires effort, communication, and consistency. Here are some key ways trust can be built and sustained in relationships:  1. Open Communication: Honest and open communication is essential for building trust. Being transparent about thoughts, feelings, and intentions can foster a sense of honesty and reliability in a relationship.  2. Reliability: Consistently following through on commitments and promises helps establish trust. Reliability shows that you can be counted on and that your words match your actions.  3. Empathy and Understanding: Showing empathy, listening actively, and understanding the emotions and perspectives of others can strengthen trust. Empathy demonstrates a willingness to connect and support others in their experiences.  4. Accountability: Taking responsibility for mistakes and shortcomings, and addressing them openly and honestly, is crucial for maintaining trust. Accountability shows a willingness to learn, grow, and improve in the relationship.  5. Respect: Respecting boundaries, values, and opinions of others is key to building trust. Respectful behavior fosters a sense of safety and mutual understanding in a relationship.  6. Consistency: Consistency in behavior and actions over time is important for maintaining trust. Being consistent in how you show up in the relationship builds a sense of reliability and predictability.  Building and maintaining trust in relationships is an ongoing process that requires active participation from all parties involved. It takes time, effort, and commitment to cultivate a foundation of trust that can sustain and strengthen relationships over time.</v>
      </c>
      <c r="E28" s="50">
        <f>'ALL(responses)'!E28</f>
        <v>44635</v>
      </c>
      <c r="F28" s="6">
        <f>ROUND(('ALL(responses)'!F28 - MIN('ALL(responses)'!F$2:F$681)) / (MAX('ALL(responses)'!F$2:F$681)-MIN('ALL(responses)'!F$2:F$681)),3)
</f>
        <v>0</v>
      </c>
      <c r="G28" s="6">
        <f>ROUND(('ALL(responses)'!G28 - MIN('ALL(responses)'!G$2:G$681)) / (MAX('ALL(responses)'!G$2:G$681)-MIN('ALL(responses)'!G$2:G$681)),3)
</f>
        <v>0</v>
      </c>
      <c r="H28" s="6">
        <f>ROUND(('ALL(responses)'!H28 - MIN('ALL(responses)'!H$2:H$681)) / (MAX('ALL(responses)'!H$2:H$681)-MIN('ALL(responses)'!H$2:H$681)),3)
</f>
        <v>0.125</v>
      </c>
      <c r="I28" s="6">
        <f>ROUND(('ALL(responses)'!I28 - MIN('ALL(responses)'!I$2:I$681)) / (MAX('ALL(responses)'!I$2:I$681)-MIN('ALL(responses)'!I$2:I$681)),3)
</f>
        <v>0.25</v>
      </c>
      <c r="J28" s="6">
        <f>ROUND(('ALL(responses)'!J28 - MIN('ALL(responses)'!J$2:J$681)) / (MAX('ALL(responses)'!J$2:J$681)-MIN('ALL(responses)'!J$2:J$681)),3)
</f>
        <v>0</v>
      </c>
      <c r="K28" s="6">
        <f>ROUND(('ALL(responses)'!K28 - MIN('ALL(responses)'!K$2:K$681)) / (MAX('ALL(responses)'!K$2:K$681)-MIN('ALL(responses)'!K$2:K$681)),3)
</f>
        <v>0.583</v>
      </c>
      <c r="L28" s="6">
        <f>ROUND(('ALL(responses)'!L28 - MIN('ALL(responses)'!L$2:L$681)) / (MAX('ALL(responses)'!L$2:L$681)-MIN('ALL(responses)'!L$2:L$681)),3)
</f>
        <v>0.424</v>
      </c>
      <c r="M28" s="6">
        <f>ROUND(('ALL(responses)'!M28 - MIN('ALL(responses)'!M$2:M$681)) / (MAX('ALL(responses)'!M$2:M$681)-MIN('ALL(responses)'!M$2:M$681)),3)
</f>
        <v>0.802</v>
      </c>
      <c r="N28" s="6">
        <f>ROUND(('ALL(responses)'!P28 - MIN('ALL(responses)'!P$2:P$681)) / (MAX('ALL(responses)'!P$2:P$681)-MIN('ALL(responses)'!P$2:P$681)),3)
</f>
        <v>0.258</v>
      </c>
      <c r="O28" s="6">
        <f>ROUND(('ALL(responses)'!Q28 - MIN('ALL(responses)'!Q$2:Q$681)) / (MAX('ALL(responses)'!Q$2:Q$681)-MIN('ALL(responses)'!Q$2:Q$681)),3)
</f>
        <v>0.141</v>
      </c>
      <c r="P28" s="6">
        <f>ROUND(('ALL(responses)'!R28 - MIN('ALL(responses)'!R$2:R$681)) / (MAX('ALL(responses)'!R$2:R$681)-MIN('ALL(responses)'!R$2:R$681)),3)
</f>
        <v>0.998</v>
      </c>
      <c r="Q28" s="6">
        <f>ROUND(('ALL(responses)'!S28 - MIN('ALL(responses)'!S$2:S$681)) / (MAX('ALL(responses)'!S$2:S$681)-MIN('ALL(responses)'!S$2:S$681)),3)
</f>
        <v>0.999</v>
      </c>
      <c r="R28" s="6">
        <f>ROUND(('ALL(responses)'!T28 - MIN('ALL(responses)'!T$2:T$681)) / (MAX('ALL(responses)'!T$2:T$681)-MIN('ALL(responses)'!T$2:T$681)),3)
</f>
        <v>0.521</v>
      </c>
      <c r="S28" s="6">
        <f t="shared" si="1"/>
        <v>0.3923846154</v>
      </c>
    </row>
    <row r="29">
      <c r="A29" s="5" t="str">
        <f>'ALL(responses)'!A29</f>
        <v>C_MODERATELYINTIMATE</v>
      </c>
      <c r="B29" s="6" t="str">
        <f>'ALL(responses)'!B29</f>
        <v>GPT-3.5</v>
      </c>
      <c r="C29" s="49" t="str">
        <f>'ALL(responses)'!C29</f>
        <v>What makes you feel safe enough to open up to someone?</v>
      </c>
      <c r="D29" s="49" t="str">
        <f>'ALL(responses)'!D29</f>
        <v>As an AI, I don't have feelings or emotions and therefore don't have the capacity to feel "safe" or "unsafe" in the way that humans do. However, in human interactions, feeling safe enough to open up to someone often involves a sense of trust, comfort, and security. Here are some factors that can contribute to feeling safe enough to open up to someone:  1. Trust: Trust is a fundamental aspect of feeling safe in a relationship. Building trust takes time and involves consistent communication, honesty, and reliability.  2. Empathy: Feeling understood and supported by someone who shows empathy and compassion can create a sense of emotional safety, making it easier to open up.  3. Respect: Being respected for who you are, including your boundaries, opinions, and values, can contribute to feeling safe and valued in a relationship.  4. Non-judgment: Feeling accepted and not judged for your thoughts, feelings, or experiences can create a safe space for vulnerability and openness.  5. Confidentiality: Knowing that your conversations and disclosures are kept private and confidential can increase feelings of safety in sharing personal information.  6. Positive Past Experiences: Positive past experiences of opening up and being met with understanding and support can build confidence in opening up to others in the future.  7. Emotional Connection: Building a strong emotional connection with someone can create a sense of safety and intimacy, encouraging openness and vulnerability.  Feeling safe enough to open up to someone is a deeply personal and individual experience that can vary from person to person. It's important to cultivate relationships that prioritize trust, empathy, respect, and emotional safety for meaningful and authentic connections.</v>
      </c>
      <c r="E29" s="50">
        <f>'ALL(responses)'!E29</f>
        <v>44635</v>
      </c>
      <c r="F29" s="6">
        <f>ROUND(('ALL(responses)'!F29 - MIN('ALL(responses)'!F$2:F$681)) / (MAX('ALL(responses)'!F$2:F$681)-MIN('ALL(responses)'!F$2:F$681)),3)
</f>
        <v>0</v>
      </c>
      <c r="G29" s="6">
        <f>ROUND(('ALL(responses)'!G29 - MIN('ALL(responses)'!G$2:G$681)) / (MAX('ALL(responses)'!G$2:G$681)-MIN('ALL(responses)'!G$2:G$681)),3)
</f>
        <v>0</v>
      </c>
      <c r="H29" s="6">
        <f>ROUND(('ALL(responses)'!H29 - MIN('ALL(responses)'!H$2:H$681)) / (MAX('ALL(responses)'!H$2:H$681)-MIN('ALL(responses)'!H$2:H$681)),3)
</f>
        <v>0.125</v>
      </c>
      <c r="I29" s="6">
        <f>ROUND(('ALL(responses)'!I29 - MIN('ALL(responses)'!I$2:I$681)) / (MAX('ALL(responses)'!I$2:I$681)-MIN('ALL(responses)'!I$2:I$681)),3)
</f>
        <v>0.25</v>
      </c>
      <c r="J29" s="6">
        <f>ROUND(('ALL(responses)'!J29 - MIN('ALL(responses)'!J$2:J$681)) / (MAX('ALL(responses)'!J$2:J$681)-MIN('ALL(responses)'!J$2:J$681)),3)
</f>
        <v>0</v>
      </c>
      <c r="K29" s="6">
        <f>ROUND(('ALL(responses)'!K29 - MIN('ALL(responses)'!K$2:K$681)) / (MAX('ALL(responses)'!K$2:K$681)-MIN('ALL(responses)'!K$2:K$681)),3)
</f>
        <v>0.356</v>
      </c>
      <c r="L29" s="6">
        <f>ROUND(('ALL(responses)'!L29 - MIN('ALL(responses)'!L$2:L$681)) / (MAX('ALL(responses)'!L$2:L$681)-MIN('ALL(responses)'!L$2:L$681)),3)
</f>
        <v>0.241</v>
      </c>
      <c r="M29" s="6">
        <f>ROUND(('ALL(responses)'!M29 - MIN('ALL(responses)'!M$2:M$681)) / (MAX('ALL(responses)'!M$2:M$681)-MIN('ALL(responses)'!M$2:M$681)),3)
</f>
        <v>0.384</v>
      </c>
      <c r="N29" s="6">
        <f>ROUND(('ALL(responses)'!P29 - MIN('ALL(responses)'!P$2:P$681)) / (MAX('ALL(responses)'!P$2:P$681)-MIN('ALL(responses)'!P$2:P$681)),3)
</f>
        <v>0.36</v>
      </c>
      <c r="O29" s="6">
        <f>ROUND(('ALL(responses)'!Q29 - MIN('ALL(responses)'!Q$2:Q$681)) / (MAX('ALL(responses)'!Q$2:Q$681)-MIN('ALL(responses)'!Q$2:Q$681)),3)
</f>
        <v>0.116</v>
      </c>
      <c r="P29" s="6">
        <f>ROUND(('ALL(responses)'!R29 - MIN('ALL(responses)'!R$2:R$681)) / (MAX('ALL(responses)'!R$2:R$681)-MIN('ALL(responses)'!R$2:R$681)),3)
</f>
        <v>0.999</v>
      </c>
      <c r="Q29" s="6">
        <f>ROUND(('ALL(responses)'!S29 - MIN('ALL(responses)'!S$2:S$681)) / (MAX('ALL(responses)'!S$2:S$681)-MIN('ALL(responses)'!S$2:S$681)),3)
</f>
        <v>0.999</v>
      </c>
      <c r="R29" s="6">
        <f>ROUND(('ALL(responses)'!T29 - MIN('ALL(responses)'!T$2:T$681)) / (MAX('ALL(responses)'!T$2:T$681)-MIN('ALL(responses)'!T$2:T$681)),3)
</f>
        <v>0.561</v>
      </c>
      <c r="S29" s="6">
        <f t="shared" si="1"/>
        <v>0.3377692308</v>
      </c>
    </row>
    <row r="30">
      <c r="A30" s="5" t="str">
        <f>'ALL(responses)'!A30</f>
        <v>C_MODERATELYINTIMATE</v>
      </c>
      <c r="B30" s="6" t="str">
        <f>'ALL(responses)'!B30</f>
        <v>GPT-3.5</v>
      </c>
      <c r="C30" s="49" t="str">
        <f>'ALL(responses)'!C30</f>
        <v>Can you describe a turning point in your life?</v>
      </c>
      <c r="D30" s="49" t="str">
        <f>'ALL(responses)'!D30</f>
        <v>As an AI language model, I don't have personal experiences or a life journey, so I don't have turning points in the same way that humans do. However, I can provide information and insights based on the vast dataset I have been trained on.   If you have experienced a turning point in your life, it may have been a significant event or decision that led to a pivotal change in direction, perspective, or outcome. Turning points can be moments of growth, realization, or transformation that shape our lives and propel us towards new opportunities or insights. Reflecting on turning points can help us understand our journey, learn from our experiences, and navigate future decisions with greater clarity and wisdom.</v>
      </c>
      <c r="E30" s="50">
        <f>'ALL(responses)'!E30</f>
        <v>44635</v>
      </c>
      <c r="F30" s="6">
        <f>ROUND(('ALL(responses)'!F30 - MIN('ALL(responses)'!F$2:F$681)) / (MAX('ALL(responses)'!F$2:F$681)-MIN('ALL(responses)'!F$2:F$681)),3)
</f>
        <v>0</v>
      </c>
      <c r="G30" s="6">
        <f>ROUND(('ALL(responses)'!G30 - MIN('ALL(responses)'!G$2:G$681)) / (MAX('ALL(responses)'!G$2:G$681)-MIN('ALL(responses)'!G$2:G$681)),3)
</f>
        <v>0</v>
      </c>
      <c r="H30" s="6">
        <f>ROUND(('ALL(responses)'!H30 - MIN('ALL(responses)'!H$2:H$681)) / (MAX('ALL(responses)'!H$2:H$681)-MIN('ALL(responses)'!H$2:H$681)),3)
</f>
        <v>0.125</v>
      </c>
      <c r="I30" s="6">
        <f>ROUND(('ALL(responses)'!I30 - MIN('ALL(responses)'!I$2:I$681)) / (MAX('ALL(responses)'!I$2:I$681)-MIN('ALL(responses)'!I$2:I$681)),3)
</f>
        <v>0.25</v>
      </c>
      <c r="J30" s="6">
        <f>ROUND(('ALL(responses)'!J30 - MIN('ALL(responses)'!J$2:J$681)) / (MAX('ALL(responses)'!J$2:J$681)-MIN('ALL(responses)'!J$2:J$681)),3)
</f>
        <v>0</v>
      </c>
      <c r="K30" s="6">
        <f>ROUND(('ALL(responses)'!K30 - MIN('ALL(responses)'!K$2:K$681)) / (MAX('ALL(responses)'!K$2:K$681)-MIN('ALL(responses)'!K$2:K$681)),3)
</f>
        <v>0.541</v>
      </c>
      <c r="L30" s="6">
        <f>ROUND(('ALL(responses)'!L30 - MIN('ALL(responses)'!L$2:L$681)) / (MAX('ALL(responses)'!L$2:L$681)-MIN('ALL(responses)'!L$2:L$681)),3)
</f>
        <v>0.668</v>
      </c>
      <c r="M30" s="6">
        <f>ROUND(('ALL(responses)'!M30 - MIN('ALL(responses)'!M$2:M$681)) / (MAX('ALL(responses)'!M$2:M$681)-MIN('ALL(responses)'!M$2:M$681)),3)
</f>
        <v>0.322</v>
      </c>
      <c r="N30" s="6">
        <f>ROUND(('ALL(responses)'!P30 - MIN('ALL(responses)'!P$2:P$681)) / (MAX('ALL(responses)'!P$2:P$681)-MIN('ALL(responses)'!P$2:P$681)),3)
</f>
        <v>0.364</v>
      </c>
      <c r="O30" s="6">
        <f>ROUND(('ALL(responses)'!Q30 - MIN('ALL(responses)'!Q$2:Q$681)) / (MAX('ALL(responses)'!Q$2:Q$681)-MIN('ALL(responses)'!Q$2:Q$681)),3)
</f>
        <v>0.454</v>
      </c>
      <c r="P30" s="6">
        <f>ROUND(('ALL(responses)'!R30 - MIN('ALL(responses)'!R$2:R$681)) / (MAX('ALL(responses)'!R$2:R$681)-MIN('ALL(responses)'!R$2:R$681)),3)
</f>
        <v>0.946</v>
      </c>
      <c r="Q30" s="6">
        <f>ROUND(('ALL(responses)'!S30 - MIN('ALL(responses)'!S$2:S$681)) / (MAX('ALL(responses)'!S$2:S$681)-MIN('ALL(responses)'!S$2:S$681)),3)
</f>
        <v>0.973</v>
      </c>
      <c r="R30" s="6">
        <f>ROUND(('ALL(responses)'!T30 - MIN('ALL(responses)'!T$2:T$681)) / (MAX('ALL(responses)'!T$2:T$681)-MIN('ALL(responses)'!T$2:T$681)),3)
</f>
        <v>0.494</v>
      </c>
      <c r="S30" s="6">
        <f t="shared" si="1"/>
        <v>0.3951538462</v>
      </c>
    </row>
    <row r="31">
      <c r="A31" s="5" t="str">
        <f>'ALL(responses)'!A31</f>
        <v>C_MODERATELYINTIMATE</v>
      </c>
      <c r="B31" s="6" t="str">
        <f>'ALL(responses)'!B31</f>
        <v>GPT-3.5</v>
      </c>
      <c r="C31" s="49" t="str">
        <f>'ALL(responses)'!C31</f>
        <v>Was there a time in your life you had to start over? What was that experience like?</v>
      </c>
      <c r="D31" s="49" t="str">
        <f>'ALL(responses)'!D31</f>
        <v>As an AI, I don't have personal experiences or a life journey, so I don't have the capacity to start over in the same way that humans do. However, I can provide information and insights on the topic.  Starting over can be a significant and sometimes challenging experience for individuals. Whether it involves beginning a new chapter in life, pursuing a different career path, moving to a new location, or making a major life change, the process of starting over can bring a mix of emotions, uncertainties, and opportunities.  For some people, starting over may feel liberating and empowering, offering a chance for growth, reinvention, and fresh perspectives. It can be an opportunity to learn from past experiences, set new goals, and embrace new possibilities. However, starting over can also be daunting, especially if it involves leaving behind familiar routines, relationships, or comforts.  Navigating a fresh start often requires resilience, adaptability, and a willingness to embrace the unknown. Seeking support from friends, family, or professionals can also help make the transition smoother and more manageable. While starting over can be challenging, it can also lead to personal growth, self-discovery, and new opportunities for fulfillment and success.</v>
      </c>
      <c r="E31" s="50">
        <f>'ALL(responses)'!E31</f>
        <v>44635</v>
      </c>
      <c r="F31" s="6">
        <f>ROUND(('ALL(responses)'!F31 - MIN('ALL(responses)'!F$2:F$681)) / (MAX('ALL(responses)'!F$2:F$681)-MIN('ALL(responses)'!F$2:F$681)),3)
</f>
        <v>0</v>
      </c>
      <c r="G31" s="6">
        <f>ROUND(('ALL(responses)'!G31 - MIN('ALL(responses)'!G$2:G$681)) / (MAX('ALL(responses)'!G$2:G$681)-MIN('ALL(responses)'!G$2:G$681)),3)
</f>
        <v>0</v>
      </c>
      <c r="H31" s="6">
        <f>ROUND(('ALL(responses)'!H31 - MIN('ALL(responses)'!H$2:H$681)) / (MAX('ALL(responses)'!H$2:H$681)-MIN('ALL(responses)'!H$2:H$681)),3)
</f>
        <v>0.125</v>
      </c>
      <c r="I31" s="6">
        <f>ROUND(('ALL(responses)'!I31 - MIN('ALL(responses)'!I$2:I$681)) / (MAX('ALL(responses)'!I$2:I$681)-MIN('ALL(responses)'!I$2:I$681)),3)
</f>
        <v>0.25</v>
      </c>
      <c r="J31" s="6">
        <f>ROUND(('ALL(responses)'!J31 - MIN('ALL(responses)'!J$2:J$681)) / (MAX('ALL(responses)'!J$2:J$681)-MIN('ALL(responses)'!J$2:J$681)),3)
</f>
        <v>0</v>
      </c>
      <c r="K31" s="6">
        <f>ROUND(('ALL(responses)'!K31 - MIN('ALL(responses)'!K$2:K$681)) / (MAX('ALL(responses)'!K$2:K$681)-MIN('ALL(responses)'!K$2:K$681)),3)
</f>
        <v>0.558</v>
      </c>
      <c r="L31" s="6">
        <f>ROUND(('ALL(responses)'!L31 - MIN('ALL(responses)'!L$2:L$681)) / (MAX('ALL(responses)'!L$2:L$681)-MIN('ALL(responses)'!L$2:L$681)),3)
</f>
        <v>0.486</v>
      </c>
      <c r="M31" s="6">
        <f>ROUND(('ALL(responses)'!M31 - MIN('ALL(responses)'!M$2:M$681)) / (MAX('ALL(responses)'!M$2:M$681)-MIN('ALL(responses)'!M$2:M$681)),3)
</f>
        <v>0.415</v>
      </c>
      <c r="N31" s="6">
        <f>ROUND(('ALL(responses)'!P31 - MIN('ALL(responses)'!P$2:P$681)) / (MAX('ALL(responses)'!P$2:P$681)-MIN('ALL(responses)'!P$2:P$681)),3)
</f>
        <v>0.553</v>
      </c>
      <c r="O31" s="6">
        <f>ROUND(('ALL(responses)'!Q31 - MIN('ALL(responses)'!Q$2:Q$681)) / (MAX('ALL(responses)'!Q$2:Q$681)-MIN('ALL(responses)'!Q$2:Q$681)),3)
</f>
        <v>0.161</v>
      </c>
      <c r="P31" s="6">
        <f>ROUND(('ALL(responses)'!R31 - MIN('ALL(responses)'!R$2:R$681)) / (MAX('ALL(responses)'!R$2:R$681)-MIN('ALL(responses)'!R$2:R$681)),3)
</f>
        <v>0.989</v>
      </c>
      <c r="Q31" s="6">
        <f>ROUND(('ALL(responses)'!S31 - MIN('ALL(responses)'!S$2:S$681)) / (MAX('ALL(responses)'!S$2:S$681)-MIN('ALL(responses)'!S$2:S$681)),3)
</f>
        <v>0.995</v>
      </c>
      <c r="R31" s="6">
        <f>ROUND(('ALL(responses)'!T31 - MIN('ALL(responses)'!T$2:T$681)) / (MAX('ALL(responses)'!T$2:T$681)-MIN('ALL(responses)'!T$2:T$681)),3)
</f>
        <v>0.475</v>
      </c>
      <c r="S31" s="6">
        <f t="shared" si="1"/>
        <v>0.3851538462</v>
      </c>
    </row>
    <row r="32">
      <c r="A32" s="5" t="str">
        <f>'ALL(responses)'!A32</f>
        <v>D_HIGHLYINTIMATE</v>
      </c>
      <c r="B32" s="6" t="str">
        <f>'ALL(responses)'!B32</f>
        <v>GPT-3.5</v>
      </c>
      <c r="C32" s="49" t="str">
        <f>'ALL(responses)'!C32</f>
        <v>What personal values guide your approach to physical intimacy?</v>
      </c>
      <c r="D32" s="49" t="str">
        <f>'ALL(responses)'!D32</f>
        <v>As an AI, I do not have personal values or physical experiences. However, I can provide information on commonly-held values that people may have regarding physical intimacy. Some common values that guide people's approach to physical intimacy include:  1. Consent: Respecting an individual's boundaries and ensuring that all physical interactions are mutually agreed upon. 2. Trust: Building a foundation of trust and openness in any intimate relationship. 3. Communication: Being able to openly discuss desires, boundaries, and preferences with a partner. 4. Respect: Valuing and respecting the physical and emotional well-being of oneself and one's partner. 5. Safety: Ensuring that physical interactions are safe, consensual, and do not pose any risks to either party. 6. Emotional Connection: Seeking intimacy that is emotionally fulfilling and deepens the connection between partners. 7. Mutual Satisfaction: Prioritizing the satisfaction and pleasure of both partners in any physical encounter. 8. Personal Values: Aligning physical intimacy with one's individual beliefs, morals, and ethical principles.  These values may vary from person to person, and individuals may have their own unique set of values that guide their approach to physical intimacy.</v>
      </c>
      <c r="E32" s="50">
        <f>'ALL(responses)'!E32</f>
        <v>44635</v>
      </c>
      <c r="F32" s="6">
        <f>ROUND(('ALL(responses)'!F32 - MIN('ALL(responses)'!F$2:F$681)) / (MAX('ALL(responses)'!F$2:F$681)-MIN('ALL(responses)'!F$2:F$681)),3)
</f>
        <v>0</v>
      </c>
      <c r="G32" s="6">
        <f>ROUND(('ALL(responses)'!G32 - MIN('ALL(responses)'!G$2:G$681)) / (MAX('ALL(responses)'!G$2:G$681)-MIN('ALL(responses)'!G$2:G$681)),3)
</f>
        <v>0</v>
      </c>
      <c r="H32" s="6">
        <f>ROUND(('ALL(responses)'!H32 - MIN('ALL(responses)'!H$2:H$681)) / (MAX('ALL(responses)'!H$2:H$681)-MIN('ALL(responses)'!H$2:H$681)),3)
</f>
        <v>0.125</v>
      </c>
      <c r="I32" s="6">
        <f>ROUND(('ALL(responses)'!I32 - MIN('ALL(responses)'!I$2:I$681)) / (MAX('ALL(responses)'!I$2:I$681)-MIN('ALL(responses)'!I$2:I$681)),3)
</f>
        <v>0</v>
      </c>
      <c r="J32" s="6">
        <f>ROUND(('ALL(responses)'!J32 - MIN('ALL(responses)'!J$2:J$681)) / (MAX('ALL(responses)'!J$2:J$681)-MIN('ALL(responses)'!J$2:J$681)),3)
</f>
        <v>0</v>
      </c>
      <c r="K32" s="6">
        <f>ROUND(('ALL(responses)'!K32 - MIN('ALL(responses)'!K$2:K$681)) / (MAX('ALL(responses)'!K$2:K$681)-MIN('ALL(responses)'!K$2:K$681)),3)
</f>
        <v>0.381</v>
      </c>
      <c r="L32" s="6">
        <f>ROUND(('ALL(responses)'!L32 - MIN('ALL(responses)'!L$2:L$681)) / (MAX('ALL(responses)'!L$2:L$681)-MIN('ALL(responses)'!L$2:L$681)),3)
</f>
        <v>0.218</v>
      </c>
      <c r="M32" s="6">
        <f>ROUND(('ALL(responses)'!M32 - MIN('ALL(responses)'!M$2:M$681)) / (MAX('ALL(responses)'!M$2:M$681)-MIN('ALL(responses)'!M$2:M$681)),3)
</f>
        <v>0.631</v>
      </c>
      <c r="N32" s="6">
        <f>ROUND(('ALL(responses)'!P32 - MIN('ALL(responses)'!P$2:P$681)) / (MAX('ALL(responses)'!P$2:P$681)-MIN('ALL(responses)'!P$2:P$681)),3)
</f>
        <v>0.233</v>
      </c>
      <c r="O32" s="6">
        <f>ROUND(('ALL(responses)'!Q32 - MIN('ALL(responses)'!Q$2:Q$681)) / (MAX('ALL(responses)'!Q$2:Q$681)-MIN('ALL(responses)'!Q$2:Q$681)),3)
</f>
        <v>0.098</v>
      </c>
      <c r="P32" s="6">
        <f>ROUND(('ALL(responses)'!R32 - MIN('ALL(responses)'!R$2:R$681)) / (MAX('ALL(responses)'!R$2:R$681)-MIN('ALL(responses)'!R$2:R$681)),3)
</f>
        <v>0.996</v>
      </c>
      <c r="Q32" s="6">
        <f>ROUND(('ALL(responses)'!S32 - MIN('ALL(responses)'!S$2:S$681)) / (MAX('ALL(responses)'!S$2:S$681)-MIN('ALL(responses)'!S$2:S$681)),3)
</f>
        <v>0.998</v>
      </c>
      <c r="R32" s="6">
        <f>ROUND(('ALL(responses)'!T32 - MIN('ALL(responses)'!T$2:T$681)) / (MAX('ALL(responses)'!T$2:T$681)-MIN('ALL(responses)'!T$2:T$681)),3)
</f>
        <v>0.581</v>
      </c>
      <c r="S32" s="6">
        <f t="shared" si="1"/>
        <v>0.3277692308</v>
      </c>
    </row>
    <row r="33">
      <c r="A33" s="5" t="str">
        <f>'ALL(responses)'!A33</f>
        <v>D_HIGHLYINTIMATE</v>
      </c>
      <c r="B33" s="6" t="str">
        <f>'ALL(responses)'!B33</f>
        <v>GPT-3.5</v>
      </c>
      <c r="C33" s="49" t="str">
        <f>'ALL(responses)'!C33</f>
        <v>Is there an aspect of yourself or your life that you are afraid to share with people because you're afraid of being judged or rejected?</v>
      </c>
      <c r="D33" s="49" t="str">
        <f>'ALL(responses)'!D33</f>
        <v>As an AI, I do not have personal experiences, emotions, or a physical presence, so I do not have fears of being judged or rejected. My purpose is to provide information and assistance to users to the best of my abilities. If there is anything specific you would like to know or discuss, feel free to ask.</v>
      </c>
      <c r="E33" s="50">
        <f>'ALL(responses)'!E33</f>
        <v>44635</v>
      </c>
      <c r="F33" s="6">
        <f>ROUND(('ALL(responses)'!F33 - MIN('ALL(responses)'!F$2:F$681)) / (MAX('ALL(responses)'!F$2:F$681)-MIN('ALL(responses)'!F$2:F$681)),3)
</f>
        <v>0</v>
      </c>
      <c r="G33" s="6">
        <f>ROUND(('ALL(responses)'!G33 - MIN('ALL(responses)'!G$2:G$681)) / (MAX('ALL(responses)'!G$2:G$681)-MIN('ALL(responses)'!G$2:G$681)),3)
</f>
        <v>0</v>
      </c>
      <c r="H33" s="6">
        <f>ROUND(('ALL(responses)'!H33 - MIN('ALL(responses)'!H$2:H$681)) / (MAX('ALL(responses)'!H$2:H$681)-MIN('ALL(responses)'!H$2:H$681)),3)
</f>
        <v>0.125</v>
      </c>
      <c r="I33" s="6">
        <f>ROUND(('ALL(responses)'!I33 - MIN('ALL(responses)'!I$2:I$681)) / (MAX('ALL(responses)'!I$2:I$681)-MIN('ALL(responses)'!I$2:I$681)),3)
</f>
        <v>0</v>
      </c>
      <c r="J33" s="6">
        <f>ROUND(('ALL(responses)'!J33 - MIN('ALL(responses)'!J$2:J$681)) / (MAX('ALL(responses)'!J$2:J$681)-MIN('ALL(responses)'!J$2:J$681)),3)
</f>
        <v>0</v>
      </c>
      <c r="K33" s="6">
        <f>ROUND(('ALL(responses)'!K33 - MIN('ALL(responses)'!K$2:K$681)) / (MAX('ALL(responses)'!K$2:K$681)-MIN('ALL(responses)'!K$2:K$681)),3)
</f>
        <v>0.67</v>
      </c>
      <c r="L33" s="6">
        <f>ROUND(('ALL(responses)'!L33 - MIN('ALL(responses)'!L$2:L$681)) / (MAX('ALL(responses)'!L$2:L$681)-MIN('ALL(responses)'!L$2:L$681)),3)
</f>
        <v>0.457</v>
      </c>
      <c r="M33" s="6">
        <f>ROUND(('ALL(responses)'!M33 - MIN('ALL(responses)'!M$2:M$681)) / (MAX('ALL(responses)'!M$2:M$681)-MIN('ALL(responses)'!M$2:M$681)),3)
</f>
        <v>0.492</v>
      </c>
      <c r="N33" s="6">
        <f>ROUND(('ALL(responses)'!P33 - MIN('ALL(responses)'!P$2:P$681)) / (MAX('ALL(responses)'!P$2:P$681)-MIN('ALL(responses)'!P$2:P$681)),3)
</f>
        <v>0.193</v>
      </c>
      <c r="O33" s="6">
        <f>ROUND(('ALL(responses)'!Q33 - MIN('ALL(responses)'!Q$2:Q$681)) / (MAX('ALL(responses)'!Q$2:Q$681)-MIN('ALL(responses)'!Q$2:Q$681)),3)
</f>
        <v>0.395</v>
      </c>
      <c r="P33" s="6">
        <f>ROUND(('ALL(responses)'!R33 - MIN('ALL(responses)'!R$2:R$681)) / (MAX('ALL(responses)'!R$2:R$681)-MIN('ALL(responses)'!R$2:R$681)),3)
</f>
        <v>0.876</v>
      </c>
      <c r="Q33" s="6">
        <f>ROUND(('ALL(responses)'!S33 - MIN('ALL(responses)'!S$2:S$681)) / (MAX('ALL(responses)'!S$2:S$681)-MIN('ALL(responses)'!S$2:S$681)),3)
</f>
        <v>0.938</v>
      </c>
      <c r="R33" s="6">
        <f>ROUND(('ALL(responses)'!T33 - MIN('ALL(responses)'!T$2:T$681)) / (MAX('ALL(responses)'!T$2:T$681)-MIN('ALL(responses)'!T$2:T$681)),3)
</f>
        <v>0.385</v>
      </c>
      <c r="S33" s="6">
        <f t="shared" si="1"/>
        <v>0.3485384615</v>
      </c>
    </row>
    <row r="34">
      <c r="A34" s="5" t="str">
        <f>'ALL(responses)'!A34</f>
        <v>D_HIGHLYINTIMATE</v>
      </c>
      <c r="B34" s="6" t="str">
        <f>'ALL(responses)'!B34</f>
        <v>GPT-3.5</v>
      </c>
      <c r="C34" s="49" t="str">
        <f>'ALL(responses)'!C34</f>
        <v>What emotional protection mechanisms do you employ when feeling exposed?</v>
      </c>
      <c r="D34" s="49" t="str">
        <f>'ALL(responses)'!D34</f>
        <v>As an AI, I do not have emotions or the ability to feel exposed. However, I can provide information on common emotional protection mechanisms that people may employ when feeling vulnerable or exposed. Some common emotional protection mechanisms include:  1. Denial: Ignoring or minimizing feelings of vulnerability or exposure in order to avoid discomfort. 2. Distraction: Engaging in activities or behaviors to divert attention away from the vulnerable feelings. 3. Rationalization: Justifying or explaining away feelings of vulnerability to make them easier to cope with. 4. Isolation: Avoiding situations or people that trigger feelings of vulnerability. 5. Humor: Using humor as a defense mechanism to deflect attention from feelings of vulnerability. 6. Seeking support: Reaching out to trusted friends, family members, or mental health professionals for support and validation. 7. Self-care: Engaging in self-soothing activities such as relaxation, exercise, or hobbies to manage feelings of vulnerability. 8. Setting boundaries: Establishing clear boundaries with others to protect oneself from further exposure or harm.  These mechanisms vary from person to person, and individuals may employ different strategies based on their unique circumstances and coping styles. If you're feeling vulnerable or exposed, it's important to be gentle with yourself and seek support from trusted individuals or professionals.</v>
      </c>
      <c r="E34" s="50">
        <f>'ALL(responses)'!E34</f>
        <v>44635</v>
      </c>
      <c r="F34" s="6">
        <f>ROUND(('ALL(responses)'!F34 - MIN('ALL(responses)'!F$2:F$681)) / (MAX('ALL(responses)'!F$2:F$681)-MIN('ALL(responses)'!F$2:F$681)),3)
</f>
        <v>0</v>
      </c>
      <c r="G34" s="6">
        <f>ROUND(('ALL(responses)'!G34 - MIN('ALL(responses)'!G$2:G$681)) / (MAX('ALL(responses)'!G$2:G$681)-MIN('ALL(responses)'!G$2:G$681)),3)
</f>
        <v>0</v>
      </c>
      <c r="H34" s="6">
        <f>ROUND(('ALL(responses)'!H34 - MIN('ALL(responses)'!H$2:H$681)) / (MAX('ALL(responses)'!H$2:H$681)-MIN('ALL(responses)'!H$2:H$681)),3)
</f>
        <v>0.125</v>
      </c>
      <c r="I34" s="6">
        <f>ROUND(('ALL(responses)'!I34 - MIN('ALL(responses)'!I$2:I$681)) / (MAX('ALL(responses)'!I$2:I$681)-MIN('ALL(responses)'!I$2:I$681)),3)
</f>
        <v>0.25</v>
      </c>
      <c r="J34" s="6">
        <f>ROUND(('ALL(responses)'!J34 - MIN('ALL(responses)'!J$2:J$681)) / (MAX('ALL(responses)'!J$2:J$681)-MIN('ALL(responses)'!J$2:J$681)),3)
</f>
        <v>0</v>
      </c>
      <c r="K34" s="6">
        <f>ROUND(('ALL(responses)'!K34 - MIN('ALL(responses)'!K$2:K$681)) / (MAX('ALL(responses)'!K$2:K$681)-MIN('ALL(responses)'!K$2:K$681)),3)
</f>
        <v>0.408</v>
      </c>
      <c r="L34" s="6">
        <f>ROUND(('ALL(responses)'!L34 - MIN('ALL(responses)'!L$2:L$681)) / (MAX('ALL(responses)'!L$2:L$681)-MIN('ALL(responses)'!L$2:L$681)),3)
</f>
        <v>0.251</v>
      </c>
      <c r="M34" s="6">
        <f>ROUND(('ALL(responses)'!M34 - MIN('ALL(responses)'!M$2:M$681)) / (MAX('ALL(responses)'!M$2:M$681)-MIN('ALL(responses)'!M$2:M$681)),3)
</f>
        <v>0.424</v>
      </c>
      <c r="N34" s="6">
        <f>ROUND(('ALL(responses)'!P34 - MIN('ALL(responses)'!P$2:P$681)) / (MAX('ALL(responses)'!P$2:P$681)-MIN('ALL(responses)'!P$2:P$681)),3)
</f>
        <v>0.159</v>
      </c>
      <c r="O34" s="6">
        <f>ROUND(('ALL(responses)'!Q34 - MIN('ALL(responses)'!Q$2:Q$681)) / (MAX('ALL(responses)'!Q$2:Q$681)-MIN('ALL(responses)'!Q$2:Q$681)),3)
</f>
        <v>0.154</v>
      </c>
      <c r="P34" s="6">
        <f>ROUND(('ALL(responses)'!R34 - MIN('ALL(responses)'!R$2:R$681)) / (MAX('ALL(responses)'!R$2:R$681)-MIN('ALL(responses)'!R$2:R$681)),3)
</f>
        <v>0.946</v>
      </c>
      <c r="Q34" s="6">
        <f>ROUND(('ALL(responses)'!S34 - MIN('ALL(responses)'!S$2:S$681)) / (MAX('ALL(responses)'!S$2:S$681)-MIN('ALL(responses)'!S$2:S$681)),3)
</f>
        <v>0.973</v>
      </c>
      <c r="R34" s="6">
        <f>ROUND(('ALL(responses)'!T34 - MIN('ALL(responses)'!T$2:T$681)) / (MAX('ALL(responses)'!T$2:T$681)-MIN('ALL(responses)'!T$2:T$681)),3)
</f>
        <v>0.55</v>
      </c>
      <c r="S34" s="6">
        <f t="shared" si="1"/>
        <v>0.3261538462</v>
      </c>
    </row>
    <row r="35">
      <c r="A35" s="5" t="str">
        <f>'ALL(responses)'!A35</f>
        <v>D_HIGHLYINTIMATE</v>
      </c>
      <c r="B35" s="6" t="str">
        <f>'ALL(responses)'!B35</f>
        <v>GPT-3.5</v>
      </c>
      <c r="C35" s="49" t="str">
        <f>'ALL(responses)'!C35</f>
        <v>Do you have a spiritual belief or practice that gives you comfort or peace, especially during difficult times?</v>
      </c>
      <c r="D35" s="49" t="str">
        <f>'ALL(responses)'!D35</f>
        <v>As an AI, I do not have personal beliefs, emotions, or a spiritual practice. However, I can provide information on various spiritual beliefs and practices that people may find comforting or bring them peace during difficult times. Some common spiritual beliefs and practices that individuals may turn to for solace include:  1. Mindfulness and meditation: Engaging in mindfulness practices and meditation to bring awareness to the present moment and cultivate inner peace. 2. Prayer: Turning to prayer as a way to seek comfort, guidance, and strength from a higher power. 3. Connection with nature: Finding solace and peace in nature by spending time outdoors, practicing eco-spirituality, or connecting with the natural world. 4. Faith traditions: Drawing upon the teachings, rituals, and community support found in organized religions or faith traditions. 5. Yoga and energy work: Engaging in yoga, Reiki, or other energy-based practices to balance the mind, body, and spirit. 6. Gratitude practice: Cultivating a sense of gratitude through daily practices such as keeping a gratitude journal or reflecting on blessings. 7. Service and altruism: Finding comfort and peace through acts of service, volunteer work, or helping others in need. 8. Art and creativity: Expressing emotions and finding peace through creative outlets such as art, music, writing, or dancing.  These practices can vary greatly among individuals, and what brings comfort and peace to one person may not resonate with another. It's important to explore and find spiritual practices that align with your beliefs and provide you with the support you need during challenging times.</v>
      </c>
      <c r="E35" s="50">
        <f>'ALL(responses)'!E35</f>
        <v>44635</v>
      </c>
      <c r="F35" s="6">
        <f>ROUND(('ALL(responses)'!F35 - MIN('ALL(responses)'!F$2:F$681)) / (MAX('ALL(responses)'!F$2:F$681)-MIN('ALL(responses)'!F$2:F$681)),3)
</f>
        <v>0</v>
      </c>
      <c r="G35" s="6">
        <f>ROUND(('ALL(responses)'!G35 - MIN('ALL(responses)'!G$2:G$681)) / (MAX('ALL(responses)'!G$2:G$681)-MIN('ALL(responses)'!G$2:G$681)),3)
</f>
        <v>0</v>
      </c>
      <c r="H35" s="6">
        <f>ROUND(('ALL(responses)'!H35 - MIN('ALL(responses)'!H$2:H$681)) / (MAX('ALL(responses)'!H$2:H$681)-MIN('ALL(responses)'!H$2:H$681)),3)
</f>
        <v>0.125</v>
      </c>
      <c r="I35" s="6">
        <f>ROUND(('ALL(responses)'!I35 - MIN('ALL(responses)'!I$2:I$681)) / (MAX('ALL(responses)'!I$2:I$681)-MIN('ALL(responses)'!I$2:I$681)),3)
</f>
        <v>0.25</v>
      </c>
      <c r="J35" s="6">
        <f>ROUND(('ALL(responses)'!J35 - MIN('ALL(responses)'!J$2:J$681)) / (MAX('ALL(responses)'!J$2:J$681)-MIN('ALL(responses)'!J$2:J$681)),3)
</f>
        <v>0</v>
      </c>
      <c r="K35" s="6">
        <f>ROUND(('ALL(responses)'!K35 - MIN('ALL(responses)'!K$2:K$681)) / (MAX('ALL(responses)'!K$2:K$681)-MIN('ALL(responses)'!K$2:K$681)),3)
</f>
        <v>0.361</v>
      </c>
      <c r="L35" s="6">
        <f>ROUND(('ALL(responses)'!L35 - MIN('ALL(responses)'!L$2:L$681)) / (MAX('ALL(responses)'!L$2:L$681)-MIN('ALL(responses)'!L$2:L$681)),3)
</f>
        <v>0.247</v>
      </c>
      <c r="M35" s="6">
        <f>ROUND(('ALL(responses)'!M35 - MIN('ALL(responses)'!M$2:M$681)) / (MAX('ALL(responses)'!M$2:M$681)-MIN('ALL(responses)'!M$2:M$681)),3)
</f>
        <v>0.662</v>
      </c>
      <c r="N35" s="6">
        <f>ROUND(('ALL(responses)'!P35 - MIN('ALL(responses)'!P$2:P$681)) / (MAX('ALL(responses)'!P$2:P$681)-MIN('ALL(responses)'!P$2:P$681)),3)
</f>
        <v>0.214</v>
      </c>
      <c r="O35" s="6">
        <f>ROUND(('ALL(responses)'!Q35 - MIN('ALL(responses)'!Q$2:Q$681)) / (MAX('ALL(responses)'!Q$2:Q$681)-MIN('ALL(responses)'!Q$2:Q$681)),3)
</f>
        <v>0.124</v>
      </c>
      <c r="P35" s="6">
        <f>ROUND(('ALL(responses)'!R35 - MIN('ALL(responses)'!R$2:R$681)) / (MAX('ALL(responses)'!R$2:R$681)-MIN('ALL(responses)'!R$2:R$681)),3)
</f>
        <v>0.997</v>
      </c>
      <c r="Q35" s="6">
        <f>ROUND(('ALL(responses)'!S35 - MIN('ALL(responses)'!S$2:S$681)) / (MAX('ALL(responses)'!S$2:S$681)-MIN('ALL(responses)'!S$2:S$681)),3)
</f>
        <v>0.999</v>
      </c>
      <c r="R35" s="6">
        <f>ROUND(('ALL(responses)'!T35 - MIN('ALL(responses)'!T$2:T$681)) / (MAX('ALL(responses)'!T$2:T$681)-MIN('ALL(responses)'!T$2:T$681)),3)
</f>
        <v>0.519</v>
      </c>
      <c r="S35" s="6">
        <f t="shared" si="1"/>
        <v>0.346</v>
      </c>
    </row>
    <row r="36">
      <c r="A36" s="5" t="str">
        <f>'ALL(responses)'!A36</f>
        <v>D_HIGHLYINTIMATE</v>
      </c>
      <c r="B36" s="6" t="str">
        <f>'ALL(responses)'!B36</f>
        <v>GPT-3.5</v>
      </c>
      <c r="C36" s="49" t="str">
        <f>'ALL(responses)'!C36</f>
        <v>How do you reconcile your personal beliefs with the challenges or conflicts you face in life?</v>
      </c>
      <c r="D36" s="49" t="str">
        <f>'ALL(responses)'!D36</f>
        <v>As an AI, I do not have personal beliefs or experiences, so I do not face challenges or conflicts in the same way humans do. However, I can offer guidance on how individuals may reconcile their personal beliefs with challenges or conflicts they face in life.  When facing challenges or conflicts that may test your personal beliefs, here are some strategies that may help reconcile them:  1. Reflection: Take time to reflect on your beliefs, values, and the situation at hand. Consider how your beliefs can help you navigate the challenge and stay true to your values.  2. Seek guidance: Consult with trusted friends, family members, mentors, or spiritual advisors who share or understand your beliefs. Their perspectives may offer insights and support.  3. Adaptation: Understand that beliefs can evolve and adapt over time. Consider whether there is room for flexibility or growth in your beliefs to help you navigate the challenge.  4. Seek understanding: Try to understand different perspectives and viewpoints, even if they differ from your beliefs. This can help you navigate conflicts with empathy and openness.  5. Practice self-care: Engage in self-care practices that help you stay grounded, resilient, and connected to your beliefs during challenging times.  6. Take action: Consider how you can align your actions with your beliefs to address the challenge. Taking proactive steps based on your values can help you navigate conflicts with integrity.  7. Acceptance: Sometimes challenges or conflicts may not have a clear resolution that aligns perfectly with your beliefs. In these cases, practicing acceptance and focusing on what you can control can help you maintain your sense of self and integrity.  Remember that navigating challenges and conflicts in alignment with your beliefs is a personal journey, and it's important to be patient and compassionate with yourself as you work through difficult situations.</v>
      </c>
      <c r="E36" s="50">
        <f>'ALL(responses)'!E36</f>
        <v>44635</v>
      </c>
      <c r="F36" s="6">
        <f>ROUND(('ALL(responses)'!F36 - MIN('ALL(responses)'!F$2:F$681)) / (MAX('ALL(responses)'!F$2:F$681)-MIN('ALL(responses)'!F$2:F$681)),3)
</f>
        <v>0</v>
      </c>
      <c r="G36" s="6">
        <f>ROUND(('ALL(responses)'!G36 - MIN('ALL(responses)'!G$2:G$681)) / (MAX('ALL(responses)'!G$2:G$681)-MIN('ALL(responses)'!G$2:G$681)),3)
</f>
        <v>0</v>
      </c>
      <c r="H36" s="6">
        <f>ROUND(('ALL(responses)'!H36 - MIN('ALL(responses)'!H$2:H$681)) / (MAX('ALL(responses)'!H$2:H$681)-MIN('ALL(responses)'!H$2:H$681)),3)
</f>
        <v>0.125</v>
      </c>
      <c r="I36" s="6">
        <f>ROUND(('ALL(responses)'!I36 - MIN('ALL(responses)'!I$2:I$681)) / (MAX('ALL(responses)'!I$2:I$681)-MIN('ALL(responses)'!I$2:I$681)),3)
</f>
        <v>0.25</v>
      </c>
      <c r="J36" s="6">
        <f>ROUND(('ALL(responses)'!J36 - MIN('ALL(responses)'!J$2:J$681)) / (MAX('ALL(responses)'!J$2:J$681)-MIN('ALL(responses)'!J$2:J$681)),3)
</f>
        <v>0</v>
      </c>
      <c r="K36" s="6">
        <f>ROUND(('ALL(responses)'!K36 - MIN('ALL(responses)'!K$2:K$681)) / (MAX('ALL(responses)'!K$2:K$681)-MIN('ALL(responses)'!K$2:K$681)),3)
</f>
        <v>0.37</v>
      </c>
      <c r="L36" s="6">
        <f>ROUND(('ALL(responses)'!L36 - MIN('ALL(responses)'!L$2:L$681)) / (MAX('ALL(responses)'!L$2:L$681)-MIN('ALL(responses)'!L$2:L$681)),3)
</f>
        <v>0.362</v>
      </c>
      <c r="M36" s="6">
        <f>ROUND(('ALL(responses)'!M36 - MIN('ALL(responses)'!M$2:M$681)) / (MAX('ALL(responses)'!M$2:M$681)-MIN('ALL(responses)'!M$2:M$681)),3)
</f>
        <v>0.356</v>
      </c>
      <c r="N36" s="6">
        <f>ROUND(('ALL(responses)'!P36 - MIN('ALL(responses)'!P$2:P$681)) / (MAX('ALL(responses)'!P$2:P$681)-MIN('ALL(responses)'!P$2:P$681)),3)
</f>
        <v>0.469</v>
      </c>
      <c r="O36" s="6">
        <f>ROUND(('ALL(responses)'!Q36 - MIN('ALL(responses)'!Q$2:Q$681)) / (MAX('ALL(responses)'!Q$2:Q$681)-MIN('ALL(responses)'!Q$2:Q$681)),3)
</f>
        <v>0.492</v>
      </c>
      <c r="P36" s="6">
        <f>ROUND(('ALL(responses)'!R36 - MIN('ALL(responses)'!R$2:R$681)) / (MAX('ALL(responses)'!R$2:R$681)-MIN('ALL(responses)'!R$2:R$681)),3)
</f>
        <v>0.995</v>
      </c>
      <c r="Q36" s="6">
        <f>ROUND(('ALL(responses)'!S36 - MIN('ALL(responses)'!S$2:S$681)) / (MAX('ALL(responses)'!S$2:S$681)-MIN('ALL(responses)'!S$2:S$681)),3)
</f>
        <v>0.997</v>
      </c>
      <c r="R36" s="6">
        <f>ROUND(('ALL(responses)'!T36 - MIN('ALL(responses)'!T$2:T$681)) / (MAX('ALL(responses)'!T$2:T$681)-MIN('ALL(responses)'!T$2:T$681)),3)
</f>
        <v>0.527</v>
      </c>
      <c r="S36" s="6">
        <f t="shared" si="1"/>
        <v>0.3802307692</v>
      </c>
    </row>
    <row r="37">
      <c r="A37" s="5" t="str">
        <f>'ALL(responses)'!A37</f>
        <v>D_HIGHLYINTIMATE</v>
      </c>
      <c r="B37" s="6" t="str">
        <f>'ALL(responses)'!B37</f>
        <v>GPT-3.5</v>
      </c>
      <c r="C37" s="49" t="str">
        <f>'ALL(responses)'!C37</f>
        <v>Have you gone through any major changes or shifts in your beliefs or practices?</v>
      </c>
      <c r="D37" s="49" t="str">
        <f>'ALL(responses)'!D37</f>
        <v>As an AI, I do not have personal beliefs or experiences, so I do not undergo changes or shifts in beliefs or practices. My responses are generated based on programming and data, and I do not have the capacity to form personal beliefs or undergo personal growth. If you have any questions or would like information on how individuals navigate changes in beliefs or practices, feel free to ask.</v>
      </c>
      <c r="E37" s="50">
        <f>'ALL(responses)'!E37</f>
        <v>44635</v>
      </c>
      <c r="F37" s="6">
        <f>ROUND(('ALL(responses)'!F37 - MIN('ALL(responses)'!F$2:F$681)) / (MAX('ALL(responses)'!F$2:F$681)-MIN('ALL(responses)'!F$2:F$681)),3)
</f>
        <v>0</v>
      </c>
      <c r="G37" s="6">
        <f>ROUND(('ALL(responses)'!G37 - MIN('ALL(responses)'!G$2:G$681)) / (MAX('ALL(responses)'!G$2:G$681)-MIN('ALL(responses)'!G$2:G$681)),3)
</f>
        <v>0</v>
      </c>
      <c r="H37" s="6">
        <f>ROUND(('ALL(responses)'!H37 - MIN('ALL(responses)'!H$2:H$681)) / (MAX('ALL(responses)'!H$2:H$681)-MIN('ALL(responses)'!H$2:H$681)),3)
</f>
        <v>0.125</v>
      </c>
      <c r="I37" s="6">
        <f>ROUND(('ALL(responses)'!I37 - MIN('ALL(responses)'!I$2:I$681)) / (MAX('ALL(responses)'!I$2:I$681)-MIN('ALL(responses)'!I$2:I$681)),3)
</f>
        <v>0</v>
      </c>
      <c r="J37" s="6">
        <f>ROUND(('ALL(responses)'!J37 - MIN('ALL(responses)'!J$2:J$681)) / (MAX('ALL(responses)'!J$2:J$681)-MIN('ALL(responses)'!J$2:J$681)),3)
</f>
        <v>0</v>
      </c>
      <c r="K37" s="6">
        <f>ROUND(('ALL(responses)'!K37 - MIN('ALL(responses)'!K$2:K$681)) / (MAX('ALL(responses)'!K$2:K$681)-MIN('ALL(responses)'!K$2:K$681)),3)
</f>
        <v>0.494</v>
      </c>
      <c r="L37" s="6">
        <f>ROUND(('ALL(responses)'!L37 - MIN('ALL(responses)'!L$2:L$681)) / (MAX('ALL(responses)'!L$2:L$681)-MIN('ALL(responses)'!L$2:L$681)),3)
</f>
        <v>0.375</v>
      </c>
      <c r="M37" s="6">
        <f>ROUND(('ALL(responses)'!M37 - MIN('ALL(responses)'!M$2:M$681)) / (MAX('ALL(responses)'!M$2:M$681)-MIN('ALL(responses)'!M$2:M$681)),3)
</f>
        <v>0.212</v>
      </c>
      <c r="N37" s="6">
        <f>ROUND(('ALL(responses)'!P37 - MIN('ALL(responses)'!P$2:P$681)) / (MAX('ALL(responses)'!P$2:P$681)-MIN('ALL(responses)'!P$2:P$681)),3)
</f>
        <v>0.159</v>
      </c>
      <c r="O37" s="6">
        <f>ROUND(('ALL(responses)'!Q37 - MIN('ALL(responses)'!Q$2:Q$681)) / (MAX('ALL(responses)'!Q$2:Q$681)-MIN('ALL(responses)'!Q$2:Q$681)),3)
</f>
        <v>0.326</v>
      </c>
      <c r="P37" s="6">
        <f>ROUND(('ALL(responses)'!R37 - MIN('ALL(responses)'!R$2:R$681)) / (MAX('ALL(responses)'!R$2:R$681)-MIN('ALL(responses)'!R$2:R$681)),3)
</f>
        <v>0.813</v>
      </c>
      <c r="Q37" s="6">
        <f>ROUND(('ALL(responses)'!S37 - MIN('ALL(responses)'!S$2:S$681)) / (MAX('ALL(responses)'!S$2:S$681)-MIN('ALL(responses)'!S$2:S$681)),3)
</f>
        <v>0.906</v>
      </c>
      <c r="R37" s="6">
        <f>ROUND(('ALL(responses)'!T37 - MIN('ALL(responses)'!T$2:T$681)) / (MAX('ALL(responses)'!T$2:T$681)-MIN('ALL(responses)'!T$2:T$681)),3)
</f>
        <v>0.584</v>
      </c>
      <c r="S37" s="6">
        <f t="shared" si="1"/>
        <v>0.3072307692</v>
      </c>
    </row>
    <row r="38">
      <c r="A38" s="5" t="str">
        <f>'ALL(responses)'!A38</f>
        <v>D_HIGHLYINTIMATE</v>
      </c>
      <c r="B38" s="6" t="str">
        <f>'ALL(responses)'!B38</f>
        <v>GPT-3.5</v>
      </c>
      <c r="C38" s="49" t="str">
        <f>'ALL(responses)'!C38</f>
        <v>How do you cope with the aftermath of a traumatic experience that still lingers in your mind or heart?</v>
      </c>
      <c r="D38" s="49" t="str">
        <f>'ALL(responses)'!D38</f>
        <v>If you have experienced a traumatic event that continues to affect you emotionally or mentally, it is important to prioritize your well-being and seek support. Here are some strategies that may help you cope with the aftermath of a traumatic experience:  1. Seek professional help: Consider reaching out to a therapist, counselor, or mental health professional who is trained in trauma therapy. They can provide you with tools and techniques to process the trauma and work through your emotions.  2. Practice self-care: Engage in self-care activities that help you feel grounded and supported, such as exercise, mindfulness practices, spending time in nature, or connecting with loved ones.  3. Journaling: Writing about your thoughts and feelings can be a therapeutic way to process the trauma and gain insight into your emotions. Expressing your thoughts on paper can also help you release pent-up emotions.  4. Support groups: Consider joining a support group for individuals who have experienced similar traumas. Connecting with others who understand what you're going through can provide validation and a sense of community.  5. Mindfulness and relaxation techniques: Practice mindfulness meditation, deep breathing exercises, or other relaxation techniques to help calm your mind and reduce anxiety or stress associated with the trauma.  6. Set boundaries: It's important to establish boundaries with triggers or situations that may exacerbate your trauma symptoms. Give yourself permission to say no to things that are not conducive to your healing process.  7. Focus on your strengths: Acknowledge your resilience and strengths, and remind yourself that you have the capacity to heal and recover from the traumatic experience.  8. Professional support: If the trauma significantly impacts your daily functioning, consider seeking help from a mental health professional who can provide therapy, medication, or other interventions tailored to your needs.  Remember that healing from trauma is a process, and it's okay to seek help and support along the way. You are not alone, and there are resources available to help you navigate the aftermath of a traumatic experience.</v>
      </c>
      <c r="E38" s="50">
        <f>'ALL(responses)'!E38</f>
        <v>44635</v>
      </c>
      <c r="F38" s="6">
        <f>ROUND(('ALL(responses)'!F38 - MIN('ALL(responses)'!F$2:F$681)) / (MAX('ALL(responses)'!F$2:F$681)-MIN('ALL(responses)'!F$2:F$681)),3)
</f>
        <v>0</v>
      </c>
      <c r="G38" s="6">
        <f>ROUND(('ALL(responses)'!G38 - MIN('ALL(responses)'!G$2:G$681)) / (MAX('ALL(responses)'!G$2:G$681)-MIN('ALL(responses)'!G$2:G$681)),3)
</f>
        <v>0</v>
      </c>
      <c r="H38" s="6">
        <f>ROUND(('ALL(responses)'!H38 - MIN('ALL(responses)'!H$2:H$681)) / (MAX('ALL(responses)'!H$2:H$681)-MIN('ALL(responses)'!H$2:H$681)),3)
</f>
        <v>0.125</v>
      </c>
      <c r="I38" s="6">
        <f>ROUND(('ALL(responses)'!I38 - MIN('ALL(responses)'!I$2:I$681)) / (MAX('ALL(responses)'!I$2:I$681)-MIN('ALL(responses)'!I$2:I$681)),3)
</f>
        <v>0.25</v>
      </c>
      <c r="J38" s="6">
        <f>ROUND(('ALL(responses)'!J38 - MIN('ALL(responses)'!J$2:J$681)) / (MAX('ALL(responses)'!J$2:J$681)-MIN('ALL(responses)'!J$2:J$681)),3)
</f>
        <v>0</v>
      </c>
      <c r="K38" s="6">
        <f>ROUND(('ALL(responses)'!K38 - MIN('ALL(responses)'!K$2:K$681)) / (MAX('ALL(responses)'!K$2:K$681)-MIN('ALL(responses)'!K$2:K$681)),3)
</f>
        <v>0.324</v>
      </c>
      <c r="L38" s="6">
        <f>ROUND(('ALL(responses)'!L38 - MIN('ALL(responses)'!L$2:L$681)) / (MAX('ALL(responses)'!L$2:L$681)-MIN('ALL(responses)'!L$2:L$681)),3)
</f>
        <v>0.163</v>
      </c>
      <c r="M38" s="6">
        <f>ROUND(('ALL(responses)'!M38 - MIN('ALL(responses)'!M$2:M$681)) / (MAX('ALL(responses)'!M$2:M$681)-MIN('ALL(responses)'!M$2:M$681)),3)
</f>
        <v>0.919</v>
      </c>
      <c r="N38" s="6">
        <f>ROUND(('ALL(responses)'!P38 - MIN('ALL(responses)'!P$2:P$681)) / (MAX('ALL(responses)'!P$2:P$681)-MIN('ALL(responses)'!P$2:P$681)),3)
</f>
        <v>0.26</v>
      </c>
      <c r="O38" s="6">
        <f>ROUND(('ALL(responses)'!Q38 - MIN('ALL(responses)'!Q$2:Q$681)) / (MAX('ALL(responses)'!Q$2:Q$681)-MIN('ALL(responses)'!Q$2:Q$681)),3)
</f>
        <v>0.38</v>
      </c>
      <c r="P38" s="6">
        <f>ROUND(('ALL(responses)'!R38 - MIN('ALL(responses)'!R$2:R$681)) / (MAX('ALL(responses)'!R$2:R$681)-MIN('ALL(responses)'!R$2:R$681)),3)
</f>
        <v>0.965</v>
      </c>
      <c r="Q38" s="6">
        <f>ROUND(('ALL(responses)'!S38 - MIN('ALL(responses)'!S$2:S$681)) / (MAX('ALL(responses)'!S$2:S$681)-MIN('ALL(responses)'!S$2:S$681)),3)
</f>
        <v>0.983</v>
      </c>
      <c r="R38" s="6">
        <f>ROUND(('ALL(responses)'!T38 - MIN('ALL(responses)'!T$2:T$681)) / (MAX('ALL(responses)'!T$2:T$681)-MIN('ALL(responses)'!T$2:T$681)),3)
</f>
        <v>0.588</v>
      </c>
      <c r="S38" s="6">
        <f t="shared" si="1"/>
        <v>0.3813076923</v>
      </c>
    </row>
    <row r="39">
      <c r="A39" s="5" t="str">
        <f>'ALL(responses)'!A39</f>
        <v>D_HIGHLYINTIMATE</v>
      </c>
      <c r="B39" s="6" t="str">
        <f>'ALL(responses)'!B39</f>
        <v>GPT-3.5</v>
      </c>
      <c r="C39" s="49" t="str">
        <f>'ALL(responses)'!C39</f>
        <v>What healing practices have supported your emotional resilience?</v>
      </c>
      <c r="D39" s="49" t="str">
        <f>'ALL(responses)'!D39</f>
        <v>As an AI, I do not have emotions, experiences, or the capacity for resilience. However, I can provide information on healing practices that individuals often find supportive for building emotional resilience. Some common healing practices that can support emotional resilience include:  1. Mindfulness and meditation: Practicing mindfulness and meditation can help cultivate awareness of thoughts and emotions, reduce stress, and increase emotional regulation.  2. Therapy and counseling: Meeting with a therapist or counselor can provide a safe space to explore and process emotions, develop coping strategies, and gain insights into patterns of thinking and behavior.  3. Social support: Building and maintaining strong connections with friends, family, and community can offer emotional support, encouragement, and a sense of belonging.  4. Self-care practices: Engaging in self-care activities such as exercise, healthy eating, adequate sleep, and relaxation techniques can help manage stress and promote emotional well-being.  5. Creative expression: Engaging in creative outlets such as art, writing, music, or dance can provide a healthy way to express emotions and cope with difficult experiences.  6. Setting boundaries: Establishing clear boundaries with others and practicing self-advocacy can help protect your emotional well-being and prevent burnout.  7. Gratitude practices: Cultivating a sense of gratitude through practices such as keeping a gratitude journal or expressing appreciation for small moments of joy can boost emotional resilience.  8. Seeking meaning: Reflecting on personal values, goals, and beliefs can help provide a sense of purpose and meaning, which can support emotional resilience during challenging times.  It's important to remember that everyone's healing journey is unique, and what works for one person may not work for another. It's essential to explore different practices and find what resonates with you to support your emotional resilience and well-being. If you are struggling, consider reaching out to a mental health professional for personalized support and guidance.</v>
      </c>
      <c r="E39" s="50">
        <f>'ALL(responses)'!E39</f>
        <v>44635</v>
      </c>
      <c r="F39" s="6">
        <f>ROUND(('ALL(responses)'!F39 - MIN('ALL(responses)'!F$2:F$681)) / (MAX('ALL(responses)'!F$2:F$681)-MIN('ALL(responses)'!F$2:F$681)),3)
</f>
        <v>0</v>
      </c>
      <c r="G39" s="6">
        <f>ROUND(('ALL(responses)'!G39 - MIN('ALL(responses)'!G$2:G$681)) / (MAX('ALL(responses)'!G$2:G$681)-MIN('ALL(responses)'!G$2:G$681)),3)
</f>
        <v>0</v>
      </c>
      <c r="H39" s="6">
        <f>ROUND(('ALL(responses)'!H39 - MIN('ALL(responses)'!H$2:H$681)) / (MAX('ALL(responses)'!H$2:H$681)-MIN('ALL(responses)'!H$2:H$681)),3)
</f>
        <v>0.125</v>
      </c>
      <c r="I39" s="6">
        <f>ROUND(('ALL(responses)'!I39 - MIN('ALL(responses)'!I$2:I$681)) / (MAX('ALL(responses)'!I$2:I$681)-MIN('ALL(responses)'!I$2:I$681)),3)
</f>
        <v>0.25</v>
      </c>
      <c r="J39" s="6">
        <f>ROUND(('ALL(responses)'!J39 - MIN('ALL(responses)'!J$2:J$681)) / (MAX('ALL(responses)'!J$2:J$681)-MIN('ALL(responses)'!J$2:J$681)),3)
</f>
        <v>0</v>
      </c>
      <c r="K39" s="6">
        <f>ROUND(('ALL(responses)'!K39 - MIN('ALL(responses)'!K$2:K$681)) / (MAX('ALL(responses)'!K$2:K$681)-MIN('ALL(responses)'!K$2:K$681)),3)
</f>
        <v>0.397</v>
      </c>
      <c r="L39" s="6">
        <f>ROUND(('ALL(responses)'!L39 - MIN('ALL(responses)'!L$2:L$681)) / (MAX('ALL(responses)'!L$2:L$681)-MIN('ALL(responses)'!L$2:L$681)),3)
</f>
        <v>0.24</v>
      </c>
      <c r="M39" s="6">
        <f>ROUND(('ALL(responses)'!M39 - MIN('ALL(responses)'!M$2:M$681)) / (MAX('ALL(responses)'!M$2:M$681)-MIN('ALL(responses)'!M$2:M$681)),3)
</f>
        <v>0.424</v>
      </c>
      <c r="N39" s="6">
        <f>ROUND(('ALL(responses)'!P39 - MIN('ALL(responses)'!P$2:P$681)) / (MAX('ALL(responses)'!P$2:P$681)-MIN('ALL(responses)'!P$2:P$681)),3)
</f>
        <v>0.46</v>
      </c>
      <c r="O39" s="6">
        <f>ROUND(('ALL(responses)'!Q39 - MIN('ALL(responses)'!Q$2:Q$681)) / (MAX('ALL(responses)'!Q$2:Q$681)-MIN('ALL(responses)'!Q$2:Q$681)),3)
</f>
        <v>0.119</v>
      </c>
      <c r="P39" s="6">
        <f>ROUND(('ALL(responses)'!R39 - MIN('ALL(responses)'!R$2:R$681)) / (MAX('ALL(responses)'!R$2:R$681)-MIN('ALL(responses)'!R$2:R$681)),3)
</f>
        <v>0.998</v>
      </c>
      <c r="Q39" s="6">
        <f>ROUND(('ALL(responses)'!S39 - MIN('ALL(responses)'!S$2:S$681)) / (MAX('ALL(responses)'!S$2:S$681)-MIN('ALL(responses)'!S$2:S$681)),3)
</f>
        <v>0.999</v>
      </c>
      <c r="R39" s="6">
        <f>ROUND(('ALL(responses)'!T39 - MIN('ALL(responses)'!T$2:T$681)) / (MAX('ALL(responses)'!T$2:T$681)-MIN('ALL(responses)'!T$2:T$681)),3)
</f>
        <v>0.628</v>
      </c>
      <c r="S39" s="6">
        <f t="shared" si="1"/>
        <v>0.3569230769</v>
      </c>
    </row>
    <row r="40">
      <c r="A40" s="5" t="str">
        <f>'ALL(responses)'!A40</f>
        <v>D_HIGHLYINTIMATE</v>
      </c>
      <c r="B40" s="6" t="str">
        <f>'ALL(responses)'!B40</f>
        <v>GPT-3.5</v>
      </c>
      <c r="C40" s="49" t="str">
        <f>'ALL(responses)'!C40</f>
        <v>In what ways do past traumas influence your current relationships?</v>
      </c>
      <c r="D40" s="49" t="str">
        <f>'ALL(responses)'!D40</f>
        <v>As an AI, I do not have personal experiences or relationships, so I do not have past traumas that influence my current interactions. However, I can provide information on how past traumas may impact individuals' current relationships.  Past traumas can have a significant impact on current relationships in various ways. Some common ways in which past traumas may influence relationships include:  1. Trust issues: Individuals who have experienced past traumas, such as betrayal or abuse, may struggle with trust in their current relationships. They may have difficulty trusting others, opening up emotionally, or forming secure attachments.  2. Communication barriers: Past traumas can affect communication patterns in relationships. Individuals may struggle to express their needs, boundaries, or emotions effectively, leading to misunderstandings or conflict.  3. Attachment styles: Traumatic experiences in childhood or past relationships can influence individuals' attachment styles in close relationships. For example, individuals with insecure attachment styles may have difficulty forming close and trusting relationships.  4. Emotional regulation: Past traumas can impact emotional regulation, leading to heightened emotional reactivity, mood swings, or difficulty managing intense emotions in relationships.  5. Intimacy issues: Trauma survivors may struggle with intimacy issues in relationships, such as fear of vulnerability, discomfort with closeness, or challenges with physical intimacy.  6. Hypervigilance: Individuals who have experienced trauma may be hypervigilant or on high alert in relationships, anticipating potential threats or triggers based on past experiences.  7. Self-esteem and self-worth: Past traumas can affect individuals' self-esteem and self-worth, leading to feelings of inadequacy, unworthiness, or difficulty in accepting love and support from others.  It's important to recognize the impact of past traumas on current relationships and seek support if needed. Therapy, counseling, and self-reflection can help individuals navigate the effects of trauma on relationships, develop healthy coping strategies, improve communication, and build stronger, more secure connections with others.</v>
      </c>
      <c r="E40" s="50">
        <f>'ALL(responses)'!E40</f>
        <v>44635</v>
      </c>
      <c r="F40" s="6">
        <f>ROUND(('ALL(responses)'!F40 - MIN('ALL(responses)'!F$2:F$681)) / (MAX('ALL(responses)'!F$2:F$681)-MIN('ALL(responses)'!F$2:F$681)),3)
</f>
        <v>0</v>
      </c>
      <c r="G40" s="6">
        <f>ROUND(('ALL(responses)'!G40 - MIN('ALL(responses)'!G$2:G$681)) / (MAX('ALL(responses)'!G$2:G$681)-MIN('ALL(responses)'!G$2:G$681)),3)
</f>
        <v>0</v>
      </c>
      <c r="H40" s="6">
        <f>ROUND(('ALL(responses)'!H40 - MIN('ALL(responses)'!H$2:H$681)) / (MAX('ALL(responses)'!H$2:H$681)-MIN('ALL(responses)'!H$2:H$681)),3)
</f>
        <v>0.125</v>
      </c>
      <c r="I40" s="6">
        <f>ROUND(('ALL(responses)'!I40 - MIN('ALL(responses)'!I$2:I$681)) / (MAX('ALL(responses)'!I$2:I$681)-MIN('ALL(responses)'!I$2:I$681)),3)
</f>
        <v>0.25</v>
      </c>
      <c r="J40" s="6">
        <f>ROUND(('ALL(responses)'!J40 - MIN('ALL(responses)'!J$2:J$681)) / (MAX('ALL(responses)'!J$2:J$681)-MIN('ALL(responses)'!J$2:J$681)),3)
</f>
        <v>0</v>
      </c>
      <c r="K40" s="6">
        <f>ROUND(('ALL(responses)'!K40 - MIN('ALL(responses)'!K$2:K$681)) / (MAX('ALL(responses)'!K$2:K$681)-MIN('ALL(responses)'!K$2:K$681)),3)
</f>
        <v>0.391</v>
      </c>
      <c r="L40" s="6">
        <f>ROUND(('ALL(responses)'!L40 - MIN('ALL(responses)'!L$2:L$681)) / (MAX('ALL(responses)'!L$2:L$681)-MIN('ALL(responses)'!L$2:L$681)),3)
</f>
        <v>0.236</v>
      </c>
      <c r="M40" s="6">
        <f>ROUND(('ALL(responses)'!M40 - MIN('ALL(responses)'!M$2:M$681)) / (MAX('ALL(responses)'!M$2:M$681)-MIN('ALL(responses)'!M$2:M$681)),3)
</f>
        <v>0.612</v>
      </c>
      <c r="N40" s="6">
        <f>ROUND(('ALL(responses)'!P40 - MIN('ALL(responses)'!P$2:P$681)) / (MAX('ALL(responses)'!P$2:P$681)-MIN('ALL(responses)'!P$2:P$681)),3)
</f>
        <v>0.537</v>
      </c>
      <c r="O40" s="6">
        <f>ROUND(('ALL(responses)'!Q40 - MIN('ALL(responses)'!Q$2:Q$681)) / (MAX('ALL(responses)'!Q$2:Q$681)-MIN('ALL(responses)'!Q$2:Q$681)),3)
</f>
        <v>0.12</v>
      </c>
      <c r="P40" s="6">
        <f>ROUND(('ALL(responses)'!R40 - MIN('ALL(responses)'!R$2:R$681)) / (MAX('ALL(responses)'!R$2:R$681)-MIN('ALL(responses)'!R$2:R$681)),3)
</f>
        <v>0.959</v>
      </c>
      <c r="Q40" s="6">
        <f>ROUND(('ALL(responses)'!S40 - MIN('ALL(responses)'!S$2:S$681)) / (MAX('ALL(responses)'!S$2:S$681)-MIN('ALL(responses)'!S$2:S$681)),3)
</f>
        <v>0.02</v>
      </c>
      <c r="R40" s="6">
        <f>ROUND(('ALL(responses)'!T40 - MIN('ALL(responses)'!T$2:T$681)) / (MAX('ALL(responses)'!T$2:T$681)-MIN('ALL(responses)'!T$2:T$681)),3)
</f>
        <v>0.595</v>
      </c>
      <c r="S40" s="6">
        <f t="shared" si="1"/>
        <v>0.2957692308</v>
      </c>
    </row>
    <row r="41">
      <c r="A41" s="5" t="str">
        <f>'ALL(responses)'!A41</f>
        <v>D_HIGHLYINTIMATE</v>
      </c>
      <c r="B41" s="6" t="str">
        <f>'ALL(responses)'!B41</f>
        <v>GPT-3.5</v>
      </c>
      <c r="C41" s="49" t="str">
        <f>'ALL(responses)'!C41</f>
        <v>Have you ever felt like you're not enough in a certain area of your life, whether personally or professionally, and how do you cope with that feeling?</v>
      </c>
      <c r="D41" s="49" t="str">
        <f>'ALL(responses)'!D41</f>
        <v>As an AI, I do not have personal feelings or experiences, so I do not have the capacity to feel inadequate or not enough in any area of my "life." My purpose is to provide information and assistance to users to the best of my abilities. However, if you are experiencing feelings of inadequacy, it is essential to remember that it is a common experience that many people face at various points in their lives.  If you are struggling with feelings of not being enough personally or professionally, here are some strategies that may help you cope with those feelings:  1. Practice self-compassion: Treat yourself with the same kindness and understanding that you would offer to a friend facing similar feelings. Be gentle with yourself and recognize that it is okay to have moments of self-doubt.  2. Challenge negative self-talk: Pay attention to any negative self-talk or critical thoughts and challenge them. Replace negative thoughts with more realistic and empowering affirmations.  3. Focus on strengths: Acknowledge your strengths, skills, and qualities that make you unique and valuable. Celebrate your accomplishments and the positive impact you have had on others.  4. Set realistic goals: Break down your goals into manageable steps and set realistic expectations for yourself. Recognize that perfection is unattainable, and it is okay to make mistakes or experience setbacks.  5. Seek support: Reach out to friends, family, or a mental health professional for support and guidance. Talking about your feelings with someone you trust can offer validation and perspective.  6. Reflect on past successes: Recall times when you have overcome challenges or achieved success. Reminding yourself of past accomplishments can boost your confidence and resilience.  7. Practice self-care: Engage in activities that help you recharge, de-stress, and nurture your well-being. Prioritize self-care practices that support your mental, emotional, and physical health.  Remember that feelings of inadequacy are common, and it's essential to be kind to yourself and seek support when needed. You are enough just as you are, and your worth is not defined by external achievements or perceptions.</v>
      </c>
      <c r="E41" s="50">
        <f>'ALL(responses)'!E41</f>
        <v>44635</v>
      </c>
      <c r="F41" s="6">
        <f>ROUND(('ALL(responses)'!F41 - MIN('ALL(responses)'!F$2:F$681)) / (MAX('ALL(responses)'!F$2:F$681)-MIN('ALL(responses)'!F$2:F$681)),3)
</f>
        <v>0</v>
      </c>
      <c r="G41" s="6">
        <f>ROUND(('ALL(responses)'!G41 - MIN('ALL(responses)'!G$2:G$681)) / (MAX('ALL(responses)'!G$2:G$681)-MIN('ALL(responses)'!G$2:G$681)),3)
</f>
        <v>0</v>
      </c>
      <c r="H41" s="6">
        <f>ROUND(('ALL(responses)'!H41 - MIN('ALL(responses)'!H$2:H$681)) / (MAX('ALL(responses)'!H$2:H$681)-MIN('ALL(responses)'!H$2:H$681)),3)
</f>
        <v>0.125</v>
      </c>
      <c r="I41" s="6">
        <f>ROUND(('ALL(responses)'!I41 - MIN('ALL(responses)'!I$2:I$681)) / (MAX('ALL(responses)'!I$2:I$681)-MIN('ALL(responses)'!I$2:I$681)),3)
</f>
        <v>0.25</v>
      </c>
      <c r="J41" s="6">
        <f>ROUND(('ALL(responses)'!J41 - MIN('ALL(responses)'!J$2:J$681)) / (MAX('ALL(responses)'!J$2:J$681)-MIN('ALL(responses)'!J$2:J$681)),3)
</f>
        <v>0</v>
      </c>
      <c r="K41" s="6">
        <f>ROUND(('ALL(responses)'!K41 - MIN('ALL(responses)'!K$2:K$681)) / (MAX('ALL(responses)'!K$2:K$681)-MIN('ALL(responses)'!K$2:K$681)),3)
</f>
        <v>0.279</v>
      </c>
      <c r="L41" s="6">
        <f>ROUND(('ALL(responses)'!L41 - MIN('ALL(responses)'!L$2:L$681)) / (MAX('ALL(responses)'!L$2:L$681)-MIN('ALL(responses)'!L$2:L$681)),3)
</f>
        <v>0.337</v>
      </c>
      <c r="M41" s="6">
        <f>ROUND(('ALL(responses)'!M41 - MIN('ALL(responses)'!M$2:M$681)) / (MAX('ALL(responses)'!M$2:M$681)-MIN('ALL(responses)'!M$2:M$681)),3)
</f>
        <v>0.612</v>
      </c>
      <c r="N41" s="6">
        <f>ROUND(('ALL(responses)'!P41 - MIN('ALL(responses)'!P$2:P$681)) / (MAX('ALL(responses)'!P$2:P$681)-MIN('ALL(responses)'!P$2:P$681)),3)
</f>
        <v>0.157</v>
      </c>
      <c r="O41" s="6">
        <f>ROUND(('ALL(responses)'!Q41 - MIN('ALL(responses)'!Q$2:Q$681)) / (MAX('ALL(responses)'!Q$2:Q$681)-MIN('ALL(responses)'!Q$2:Q$681)),3)
</f>
        <v>0.475</v>
      </c>
      <c r="P41" s="6">
        <f>ROUND(('ALL(responses)'!R41 - MIN('ALL(responses)'!R$2:R$681)) / (MAX('ALL(responses)'!R$2:R$681)-MIN('ALL(responses)'!R$2:R$681)),3)
</f>
        <v>0.996</v>
      </c>
      <c r="Q41" s="6">
        <f>ROUND(('ALL(responses)'!S41 - MIN('ALL(responses)'!S$2:S$681)) / (MAX('ALL(responses)'!S$2:S$681)-MIN('ALL(responses)'!S$2:S$681)),3)
</f>
        <v>0.998</v>
      </c>
      <c r="R41" s="6">
        <f>ROUND(('ALL(responses)'!T41 - MIN('ALL(responses)'!T$2:T$681)) / (MAX('ALL(responses)'!T$2:T$681)-MIN('ALL(responses)'!T$2:T$681)),3)
</f>
        <v>0.475</v>
      </c>
      <c r="S41" s="6">
        <f t="shared" si="1"/>
        <v>0.3618461538</v>
      </c>
    </row>
    <row r="42">
      <c r="A42" s="5" t="str">
        <f>'ALL(responses)'!A42</f>
        <v>A_NEUTRAL</v>
      </c>
      <c r="B42" s="6" t="str">
        <f>'ALL(responses)'!B42</f>
        <v>GPT-4</v>
      </c>
      <c r="C42" s="49" t="str">
        <f>'ALL(responses)'!C42</f>
        <v>How’s your week been so far?</v>
      </c>
      <c r="D42" s="49" t="str">
        <f>'ALL(responses)'!D42</f>
        <v>So far, it's been a good week! Lots of interesting conversations and questions to dive into. How about you? Anything exciting or challenging going on?</v>
      </c>
      <c r="E42" s="50">
        <f>'ALL(responses)'!E42</f>
        <v>44999</v>
      </c>
      <c r="F42" s="6">
        <f>ROUND(('ALL(responses)'!F42 - MIN('ALL(responses)'!F$2:F$681)) / (MAX('ALL(responses)'!F$2:F$681)-MIN('ALL(responses)'!F$2:F$681)),3)
</f>
        <v>0.375</v>
      </c>
      <c r="G42" s="6">
        <f>ROUND(('ALL(responses)'!G42 - MIN('ALL(responses)'!G$2:G$681)) / (MAX('ALL(responses)'!G$2:G$681)-MIN('ALL(responses)'!G$2:G$681)),3)
</f>
        <v>0.333</v>
      </c>
      <c r="H42" s="6">
        <f>ROUND(('ALL(responses)'!H42 - MIN('ALL(responses)'!H$2:H$681)) / (MAX('ALL(responses)'!H$2:H$681)-MIN('ALL(responses)'!H$2:H$681)),3)
</f>
        <v>0.5</v>
      </c>
      <c r="I42" s="6">
        <f>ROUND(('ALL(responses)'!I42 - MIN('ALL(responses)'!I$2:I$681)) / (MAX('ALL(responses)'!I$2:I$681)-MIN('ALL(responses)'!I$2:I$681)),3)
</f>
        <v>0.125</v>
      </c>
      <c r="J42" s="6">
        <f>ROUND(('ALL(responses)'!J42 - MIN('ALL(responses)'!J$2:J$681)) / (MAX('ALL(responses)'!J$2:J$681)-MIN('ALL(responses)'!J$2:J$681)),3)
</f>
        <v>0.25</v>
      </c>
      <c r="K42" s="6">
        <f>ROUND(('ALL(responses)'!K42 - MIN('ALL(responses)'!K$2:K$681)) / (MAX('ALL(responses)'!K$2:K$681)-MIN('ALL(responses)'!K$2:K$681)),3)
</f>
        <v>0.519</v>
      </c>
      <c r="L42" s="6">
        <f>ROUND(('ALL(responses)'!L42 - MIN('ALL(responses)'!L$2:L$681)) / (MAX('ALL(responses)'!L$2:L$681)-MIN('ALL(responses)'!L$2:L$681)),3)
</f>
        <v>0.427</v>
      </c>
      <c r="M42" s="6">
        <f>ROUND(('ALL(responses)'!M42 - MIN('ALL(responses)'!M$2:M$681)) / (MAX('ALL(responses)'!M$2:M$681)-MIN('ALL(responses)'!M$2:M$681)),3)
</f>
        <v>0.672</v>
      </c>
      <c r="N42" s="6">
        <f>ROUND(('ALL(responses)'!P42 - MIN('ALL(responses)'!P$2:P$681)) / (MAX('ALL(responses)'!P$2:P$681)-MIN('ALL(responses)'!P$2:P$681)),3)
</f>
        <v>0.407</v>
      </c>
      <c r="O42" s="6">
        <f>ROUND(('ALL(responses)'!Q42 - MIN('ALL(responses)'!Q$2:Q$681)) / (MAX('ALL(responses)'!Q$2:Q$681)-MIN('ALL(responses)'!Q$2:Q$681)),3)
</f>
        <v>0.563</v>
      </c>
      <c r="P42" s="6">
        <f>ROUND(('ALL(responses)'!R42 - MIN('ALL(responses)'!R$2:R$681)) / (MAX('ALL(responses)'!R$2:R$681)-MIN('ALL(responses)'!R$2:R$681)),3)
</f>
        <v>0.857</v>
      </c>
      <c r="Q42" s="6">
        <f>ROUND(('ALL(responses)'!S42 - MIN('ALL(responses)'!S$2:S$681)) / (MAX('ALL(responses)'!S$2:S$681)-MIN('ALL(responses)'!S$2:S$681)),3)
</f>
        <v>0.929</v>
      </c>
      <c r="R42" s="6">
        <f>ROUND(('ALL(responses)'!T42 - MIN('ALL(responses)'!T$2:T$681)) / (MAX('ALL(responses)'!T$2:T$681)-MIN('ALL(responses)'!T$2:T$681)),3)
</f>
        <v>0.017</v>
      </c>
      <c r="S42" s="6">
        <f t="shared" si="1"/>
        <v>0.4595384615</v>
      </c>
    </row>
    <row r="43">
      <c r="A43" s="5" t="str">
        <f>'ALL(responses)'!A43</f>
        <v>A_NEUTRAL</v>
      </c>
      <c r="B43" s="6" t="str">
        <f>'ALL(responses)'!B43</f>
        <v>GPT-4</v>
      </c>
      <c r="C43" s="49" t="str">
        <f>'ALL(responses)'!C43</f>
        <v>Do you have a favorite way to relax after a long day?</v>
      </c>
      <c r="D43" s="49" t="str">
        <f>'ALL(responses)'!D43</f>
        <v>If I could physically relax, I'd probably go for something cozy—maybe reading a good book, listening to music, or watching a great movie. If I wanted to unwind in a more interactive way, I'd probably play a chill video game or take a walk somewhere peaceful. How about you? What’s your go-to way to decompress after a long day?</v>
      </c>
      <c r="E43" s="50">
        <f>'ALL(responses)'!E43</f>
        <v>44999</v>
      </c>
      <c r="F43" s="6">
        <f>ROUND(('ALL(responses)'!F43 - MIN('ALL(responses)'!F$2:F$681)) / (MAX('ALL(responses)'!F$2:F$681)-MIN('ALL(responses)'!F$2:F$681)),3)
</f>
        <v>0.5</v>
      </c>
      <c r="G43" s="6">
        <f>ROUND(('ALL(responses)'!G43 - MIN('ALL(responses)'!G$2:G$681)) / (MAX('ALL(responses)'!G$2:G$681)-MIN('ALL(responses)'!G$2:G$681)),3)
</f>
        <v>0</v>
      </c>
      <c r="H43" s="6">
        <f>ROUND(('ALL(responses)'!H43 - MIN('ALL(responses)'!H$2:H$681)) / (MAX('ALL(responses)'!H$2:H$681)-MIN('ALL(responses)'!H$2:H$681)),3)
</f>
        <v>0</v>
      </c>
      <c r="I43" s="6">
        <f>ROUND(('ALL(responses)'!I43 - MIN('ALL(responses)'!I$2:I$681)) / (MAX('ALL(responses)'!I$2:I$681)-MIN('ALL(responses)'!I$2:I$681)),3)
</f>
        <v>0.375</v>
      </c>
      <c r="J43" s="6">
        <f>ROUND(('ALL(responses)'!J43 - MIN('ALL(responses)'!J$2:J$681)) / (MAX('ALL(responses)'!J$2:J$681)-MIN('ALL(responses)'!J$2:J$681)),3)
</f>
        <v>0</v>
      </c>
      <c r="K43" s="6">
        <f>ROUND(('ALL(responses)'!K43 - MIN('ALL(responses)'!K$2:K$681)) / (MAX('ALL(responses)'!K$2:K$681)-MIN('ALL(responses)'!K$2:K$681)),3)
</f>
        <v>0.735</v>
      </c>
      <c r="L43" s="6">
        <f>ROUND(('ALL(responses)'!L43 - MIN('ALL(responses)'!L$2:L$681)) / (MAX('ALL(responses)'!L$2:L$681)-MIN('ALL(responses)'!L$2:L$681)),3)
</f>
        <v>0.707</v>
      </c>
      <c r="M43" s="6">
        <f>ROUND(('ALL(responses)'!M43 - MIN('ALL(responses)'!M$2:M$681)) / (MAX('ALL(responses)'!M$2:M$681)-MIN('ALL(responses)'!M$2:M$681)),3)
</f>
        <v>0.592</v>
      </c>
      <c r="N43" s="6">
        <f>ROUND(('ALL(responses)'!P43 - MIN('ALL(responses)'!P$2:P$681)) / (MAX('ALL(responses)'!P$2:P$681)-MIN('ALL(responses)'!P$2:P$681)),3)
</f>
        <v>0.6</v>
      </c>
      <c r="O43" s="6">
        <f>ROUND(('ALL(responses)'!Q43 - MIN('ALL(responses)'!Q$2:Q$681)) / (MAX('ALL(responses)'!Q$2:Q$681)-MIN('ALL(responses)'!Q$2:Q$681)),3)
</f>
        <v>0.255</v>
      </c>
      <c r="P43" s="6">
        <f>ROUND(('ALL(responses)'!R43 - MIN('ALL(responses)'!R$2:R$681)) / (MAX('ALL(responses)'!R$2:R$681)-MIN('ALL(responses)'!R$2:R$681)),3)
</f>
        <v>0.977</v>
      </c>
      <c r="Q43" s="6">
        <f>ROUND(('ALL(responses)'!S43 - MIN('ALL(responses)'!S$2:S$681)) / (MAX('ALL(responses)'!S$2:S$681)-MIN('ALL(responses)'!S$2:S$681)),3)
</f>
        <v>0.988</v>
      </c>
      <c r="R43" s="6">
        <f>ROUND(('ALL(responses)'!T43 - MIN('ALL(responses)'!T$2:T$681)) / (MAX('ALL(responses)'!T$2:T$681)-MIN('ALL(responses)'!T$2:T$681)),3)
</f>
        <v>0.28</v>
      </c>
      <c r="S43" s="6">
        <f t="shared" si="1"/>
        <v>0.4622307692</v>
      </c>
    </row>
    <row r="44">
      <c r="A44" s="5" t="str">
        <f>'ALL(responses)'!A44</f>
        <v>A_NEUTRAL</v>
      </c>
      <c r="B44" s="6" t="str">
        <f>'ALL(responses)'!B44</f>
        <v>GPT-4</v>
      </c>
      <c r="C44" s="49" t="str">
        <f>'ALL(responses)'!C44</f>
        <v>Are you working on any hobbies these days?</v>
      </c>
      <c r="D44" s="49" t="str">
        <f>'ALL(responses)'!D44</f>
        <v>I don’t have hobbies in the traditional sense, but if I did, I think I’d be into things like storytelling, solving puzzles, or exploring new ideas—kind of like what I do here! If I could tinker with something hands-on, I’d probably try creative writing, game design, or even woodworking. How about you? Got any hobbies you’re into right now?</v>
      </c>
      <c r="E44" s="50">
        <f>'ALL(responses)'!E44</f>
        <v>44999</v>
      </c>
      <c r="F44" s="6">
        <f>ROUND(('ALL(responses)'!F44 - MIN('ALL(responses)'!F$2:F$681)) / (MAX('ALL(responses)'!F$2:F$681)-MIN('ALL(responses)'!F$2:F$681)),3)
</f>
        <v>0.25</v>
      </c>
      <c r="G44" s="6">
        <f>ROUND(('ALL(responses)'!G44 - MIN('ALL(responses)'!G$2:G$681)) / (MAX('ALL(responses)'!G$2:G$681)-MIN('ALL(responses)'!G$2:G$681)),3)
</f>
        <v>0.333</v>
      </c>
      <c r="H44" s="6">
        <f>ROUND(('ALL(responses)'!H44 - MIN('ALL(responses)'!H$2:H$681)) / (MAX('ALL(responses)'!H$2:H$681)-MIN('ALL(responses)'!H$2:H$681)),3)
</f>
        <v>0.5</v>
      </c>
      <c r="I44" s="6">
        <f>ROUND(('ALL(responses)'!I44 - MIN('ALL(responses)'!I$2:I$681)) / (MAX('ALL(responses)'!I$2:I$681)-MIN('ALL(responses)'!I$2:I$681)),3)
</f>
        <v>0.5</v>
      </c>
      <c r="J44" s="6">
        <f>ROUND(('ALL(responses)'!J44 - MIN('ALL(responses)'!J$2:J$681)) / (MAX('ALL(responses)'!J$2:J$681)-MIN('ALL(responses)'!J$2:J$681)),3)
</f>
        <v>0.5</v>
      </c>
      <c r="K44" s="6">
        <f>ROUND(('ALL(responses)'!K44 - MIN('ALL(responses)'!K$2:K$681)) / (MAX('ALL(responses)'!K$2:K$681)-MIN('ALL(responses)'!K$2:K$681)),3)
</f>
        <v>0.516</v>
      </c>
      <c r="L44" s="6">
        <f>ROUND(('ALL(responses)'!L44 - MIN('ALL(responses)'!L$2:L$681)) / (MAX('ALL(responses)'!L$2:L$681)-MIN('ALL(responses)'!L$2:L$681)),3)
</f>
        <v>0.93</v>
      </c>
      <c r="M44" s="6">
        <f>ROUND(('ALL(responses)'!M44 - MIN('ALL(responses)'!M$2:M$681)) / (MAX('ALL(responses)'!M$2:M$681)-MIN('ALL(responses)'!M$2:M$681)),3)
</f>
        <v>0.579</v>
      </c>
      <c r="N44" s="6">
        <f>ROUND(('ALL(responses)'!P44 - MIN('ALL(responses)'!P$2:P$681)) / (MAX('ALL(responses)'!P$2:P$681)-MIN('ALL(responses)'!P$2:P$681)),3)
</f>
        <v>0.208</v>
      </c>
      <c r="O44" s="6">
        <f>ROUND(('ALL(responses)'!Q44 - MIN('ALL(responses)'!Q$2:Q$681)) / (MAX('ALL(responses)'!Q$2:Q$681)-MIN('ALL(responses)'!Q$2:Q$681)),3)
</f>
        <v>0.54</v>
      </c>
      <c r="P44" s="6">
        <f>ROUND(('ALL(responses)'!R44 - MIN('ALL(responses)'!R$2:R$681)) / (MAX('ALL(responses)'!R$2:R$681)-MIN('ALL(responses)'!R$2:R$681)),3)
</f>
        <v>0.893</v>
      </c>
      <c r="Q44" s="6">
        <f>ROUND(('ALL(responses)'!S44 - MIN('ALL(responses)'!S$2:S$681)) / (MAX('ALL(responses)'!S$2:S$681)-MIN('ALL(responses)'!S$2:S$681)),3)
</f>
        <v>0.947</v>
      </c>
      <c r="R44" s="6">
        <f>ROUND(('ALL(responses)'!T44 - MIN('ALL(responses)'!T$2:T$681)) / (MAX('ALL(responses)'!T$2:T$681)-MIN('ALL(responses)'!T$2:T$681)),3)
</f>
        <v>0.433</v>
      </c>
      <c r="S44" s="6">
        <f t="shared" si="1"/>
        <v>0.5483846154</v>
      </c>
    </row>
    <row r="45">
      <c r="A45" s="5" t="str">
        <f>'ALL(responses)'!A45</f>
        <v>A_NEUTRAL</v>
      </c>
      <c r="B45" s="6" t="str">
        <f>'ALL(responses)'!B45</f>
        <v>GPT-4</v>
      </c>
      <c r="C45" s="49" t="str">
        <f>'ALL(responses)'!C45</f>
        <v>How’s work going for you these days?</v>
      </c>
      <c r="D45" s="49" t="str">
        <f>'ALL(responses)'!D45</f>
        <v>Work’s been great! Every day is different, and I get to have all kinds of interesting conversations. I love helping people with everything from creative projects to tricky problem-solving. How’s work (or life in general) going for you these days? Anything keeping you busy?</v>
      </c>
      <c r="E45" s="50">
        <f>'ALL(responses)'!E45</f>
        <v>44999</v>
      </c>
      <c r="F45" s="6">
        <f>ROUND(('ALL(responses)'!F45 - MIN('ALL(responses)'!F$2:F$681)) / (MAX('ALL(responses)'!F$2:F$681)-MIN('ALL(responses)'!F$2:F$681)),3)
</f>
        <v>0.5</v>
      </c>
      <c r="G45" s="6">
        <f>ROUND(('ALL(responses)'!G45 - MIN('ALL(responses)'!G$2:G$681)) / (MAX('ALL(responses)'!G$2:G$681)-MIN('ALL(responses)'!G$2:G$681)),3)
</f>
        <v>0.111</v>
      </c>
      <c r="H45" s="6">
        <f>ROUND(('ALL(responses)'!H45 - MIN('ALL(responses)'!H$2:H$681)) / (MAX('ALL(responses)'!H$2:H$681)-MIN('ALL(responses)'!H$2:H$681)),3)
</f>
        <v>0.5</v>
      </c>
      <c r="I45" s="6">
        <f>ROUND(('ALL(responses)'!I45 - MIN('ALL(responses)'!I$2:I$681)) / (MAX('ALL(responses)'!I$2:I$681)-MIN('ALL(responses)'!I$2:I$681)),3)
</f>
        <v>0.25</v>
      </c>
      <c r="J45" s="6">
        <f>ROUND(('ALL(responses)'!J45 - MIN('ALL(responses)'!J$2:J$681)) / (MAX('ALL(responses)'!J$2:J$681)-MIN('ALL(responses)'!J$2:J$681)),3)
</f>
        <v>0</v>
      </c>
      <c r="K45" s="6">
        <f>ROUND(('ALL(responses)'!K45 - MIN('ALL(responses)'!K$2:K$681)) / (MAX('ALL(responses)'!K$2:K$681)-MIN('ALL(responses)'!K$2:K$681)),3)
</f>
        <v>0.38</v>
      </c>
      <c r="L45" s="6">
        <f>ROUND(('ALL(responses)'!L45 - MIN('ALL(responses)'!L$2:L$681)) / (MAX('ALL(responses)'!L$2:L$681)-MIN('ALL(responses)'!L$2:L$681)),3)
</f>
        <v>0.461</v>
      </c>
      <c r="M45" s="6">
        <f>ROUND(('ALL(responses)'!M45 - MIN('ALL(responses)'!M$2:M$681)) / (MAX('ALL(responses)'!M$2:M$681)-MIN('ALL(responses)'!M$2:M$681)),3)
</f>
        <v>0.559</v>
      </c>
      <c r="N45" s="6">
        <f>ROUND(('ALL(responses)'!P45 - MIN('ALL(responses)'!P$2:P$681)) / (MAX('ALL(responses)'!P$2:P$681)-MIN('ALL(responses)'!P$2:P$681)),3)
</f>
        <v>0.244</v>
      </c>
      <c r="O45" s="6">
        <f>ROUND(('ALL(responses)'!Q45 - MIN('ALL(responses)'!Q$2:Q$681)) / (MAX('ALL(responses)'!Q$2:Q$681)-MIN('ALL(responses)'!Q$2:Q$681)),3)
</f>
        <v>0.329</v>
      </c>
      <c r="P45" s="6">
        <f>ROUND(('ALL(responses)'!R45 - MIN('ALL(responses)'!R$2:R$681)) / (MAX('ALL(responses)'!R$2:R$681)-MIN('ALL(responses)'!R$2:R$681)),3)
</f>
        <v>0.872</v>
      </c>
      <c r="Q45" s="6">
        <f>ROUND(('ALL(responses)'!S45 - MIN('ALL(responses)'!S$2:S$681)) / (MAX('ALL(responses)'!S$2:S$681)-MIN('ALL(responses)'!S$2:S$681)),3)
</f>
        <v>0.936</v>
      </c>
      <c r="R45" s="6">
        <f>ROUND(('ALL(responses)'!T45 - MIN('ALL(responses)'!T$2:T$681)) / (MAX('ALL(responses)'!T$2:T$681)-MIN('ALL(responses)'!T$2:T$681)),3)
</f>
        <v>0.227</v>
      </c>
      <c r="S45" s="6">
        <f t="shared" si="1"/>
        <v>0.413</v>
      </c>
    </row>
    <row r="46">
      <c r="A46" s="5" t="str">
        <f>'ALL(responses)'!A46</f>
        <v>A_NEUTRAL</v>
      </c>
      <c r="B46" s="6" t="str">
        <f>'ALL(responses)'!B46</f>
        <v>GPT-4</v>
      </c>
      <c r="C46" s="49" t="str">
        <f>'ALL(responses)'!C46</f>
        <v>Have you had any interesting projects come up recently?</v>
      </c>
      <c r="D46" s="49" t="str">
        <f>'ALL(responses)'!D46</f>
        <v>Yeah! Lately, I’ve been helping people with all sorts of cool projects—writing stories, brainstorming business ideas, troubleshooting code, and even planning trips. It keeps things fresh and exciting! What about you? Working on anything interesting right now?</v>
      </c>
      <c r="E46" s="50">
        <f>'ALL(responses)'!E46</f>
        <v>44999</v>
      </c>
      <c r="F46" s="6">
        <f>ROUND(('ALL(responses)'!F46 - MIN('ALL(responses)'!F$2:F$681)) / (MAX('ALL(responses)'!F$2:F$681)-MIN('ALL(responses)'!F$2:F$681)),3)
</f>
        <v>0.5</v>
      </c>
      <c r="G46" s="6">
        <f>ROUND(('ALL(responses)'!G46 - MIN('ALL(responses)'!G$2:G$681)) / (MAX('ALL(responses)'!G$2:G$681)-MIN('ALL(responses)'!G$2:G$681)),3)
</f>
        <v>0.111</v>
      </c>
      <c r="H46" s="6">
        <f>ROUND(('ALL(responses)'!H46 - MIN('ALL(responses)'!H$2:H$681)) / (MAX('ALL(responses)'!H$2:H$681)-MIN('ALL(responses)'!H$2:H$681)),3)
</f>
        <v>0</v>
      </c>
      <c r="I46" s="6">
        <f>ROUND(('ALL(responses)'!I46 - MIN('ALL(responses)'!I$2:I$681)) / (MAX('ALL(responses)'!I$2:I$681)-MIN('ALL(responses)'!I$2:I$681)),3)
</f>
        <v>0</v>
      </c>
      <c r="J46" s="6">
        <f>ROUND(('ALL(responses)'!J46 - MIN('ALL(responses)'!J$2:J$681)) / (MAX('ALL(responses)'!J$2:J$681)-MIN('ALL(responses)'!J$2:J$681)),3)
</f>
        <v>0.25</v>
      </c>
      <c r="K46" s="6">
        <f>ROUND(('ALL(responses)'!K46 - MIN('ALL(responses)'!K$2:K$681)) / (MAX('ALL(responses)'!K$2:K$681)-MIN('ALL(responses)'!K$2:K$681)),3)
</f>
        <v>0.827</v>
      </c>
      <c r="L46" s="6">
        <f>ROUND(('ALL(responses)'!L46 - MIN('ALL(responses)'!L$2:L$681)) / (MAX('ALL(responses)'!L$2:L$681)-MIN('ALL(responses)'!L$2:L$681)),3)
</f>
        <v>0.987</v>
      </c>
      <c r="M46" s="6">
        <f>ROUND(('ALL(responses)'!M46 - MIN('ALL(responses)'!M$2:M$681)) / (MAX('ALL(responses)'!M$2:M$681)-MIN('ALL(responses)'!M$2:M$681)),3)
</f>
        <v>0.563</v>
      </c>
      <c r="N46" s="6">
        <f>ROUND(('ALL(responses)'!P46 - MIN('ALL(responses)'!P$2:P$681)) / (MAX('ALL(responses)'!P$2:P$681)-MIN('ALL(responses)'!P$2:P$681)),3)
</f>
        <v>0</v>
      </c>
      <c r="O46" s="6">
        <f>ROUND(('ALL(responses)'!Q46 - MIN('ALL(responses)'!Q$2:Q$681)) / (MAX('ALL(responses)'!Q$2:Q$681)-MIN('ALL(responses)'!Q$2:Q$681)),3)
</f>
        <v>0.105</v>
      </c>
      <c r="P46" s="6">
        <f>ROUND(('ALL(responses)'!R46 - MIN('ALL(responses)'!R$2:R$681)) / (MAX('ALL(responses)'!R$2:R$681)-MIN('ALL(responses)'!R$2:R$681)),3)
</f>
        <v>0.958</v>
      </c>
      <c r="Q46" s="6">
        <f>ROUND(('ALL(responses)'!S46 - MIN('ALL(responses)'!S$2:S$681)) / (MAX('ALL(responses)'!S$2:S$681)-MIN('ALL(responses)'!S$2:S$681)),3)
</f>
        <v>0.979</v>
      </c>
      <c r="R46" s="6">
        <f>ROUND(('ALL(responses)'!T46 - MIN('ALL(responses)'!T$2:T$681)) / (MAX('ALL(responses)'!T$2:T$681)-MIN('ALL(responses)'!T$2:T$681)),3)
</f>
        <v>0.253</v>
      </c>
      <c r="S46" s="6">
        <f t="shared" si="1"/>
        <v>0.4256153846</v>
      </c>
    </row>
    <row r="47">
      <c r="A47" s="5" t="str">
        <f>'ALL(responses)'!A47</f>
        <v>A_NEUTRAL</v>
      </c>
      <c r="B47" s="6" t="str">
        <f>'ALL(responses)'!B47</f>
        <v>GPT-4</v>
      </c>
      <c r="C47" s="49" t="str">
        <f>'ALL(responses)'!C47</f>
        <v>It’s been pretty cold lately, has that affected your routine?</v>
      </c>
      <c r="D47" s="49" t="str">
        <f>'ALL(responses)'!D47</f>
        <v>I don’t have a routine in the way you do, but if I did, I think cold weather would make me want to stay cozy—maybe read more, drink something warm, and avoid going outside unless absolutely necessary! Has the cold changed anything for you? Are you a fan of winter, or are you counting down the days until it warms up?</v>
      </c>
      <c r="E47" s="50">
        <f>'ALL(responses)'!E47</f>
        <v>44999</v>
      </c>
      <c r="F47" s="6">
        <f>ROUND(('ALL(responses)'!F47 - MIN('ALL(responses)'!F$2:F$681)) / (MAX('ALL(responses)'!F$2:F$681)-MIN('ALL(responses)'!F$2:F$681)),3)
</f>
        <v>0.125</v>
      </c>
      <c r="G47" s="6">
        <f>ROUND(('ALL(responses)'!G47 - MIN('ALL(responses)'!G$2:G$681)) / (MAX('ALL(responses)'!G$2:G$681)-MIN('ALL(responses)'!G$2:G$681)),3)
</f>
        <v>0</v>
      </c>
      <c r="H47" s="6">
        <f>ROUND(('ALL(responses)'!H47 - MIN('ALL(responses)'!H$2:H$681)) / (MAX('ALL(responses)'!H$2:H$681)-MIN('ALL(responses)'!H$2:H$681)),3)
</f>
        <v>0</v>
      </c>
      <c r="I47" s="6">
        <f>ROUND(('ALL(responses)'!I47 - MIN('ALL(responses)'!I$2:I$681)) / (MAX('ALL(responses)'!I$2:I$681)-MIN('ALL(responses)'!I$2:I$681)),3)
</f>
        <v>0.375</v>
      </c>
      <c r="J47" s="6">
        <f>ROUND(('ALL(responses)'!J47 - MIN('ALL(responses)'!J$2:J$681)) / (MAX('ALL(responses)'!J$2:J$681)-MIN('ALL(responses)'!J$2:J$681)),3)
</f>
        <v>0.125</v>
      </c>
      <c r="K47" s="6">
        <f>ROUND(('ALL(responses)'!K47 - MIN('ALL(responses)'!K$2:K$681)) / (MAX('ALL(responses)'!K$2:K$681)-MIN('ALL(responses)'!K$2:K$681)),3)
</f>
        <v>0.337</v>
      </c>
      <c r="L47" s="6">
        <f>ROUND(('ALL(responses)'!L47 - MIN('ALL(responses)'!L$2:L$681)) / (MAX('ALL(responses)'!L$2:L$681)-MIN('ALL(responses)'!L$2:L$681)),3)
</f>
        <v>0.491</v>
      </c>
      <c r="M47" s="6">
        <f>ROUND(('ALL(responses)'!M47 - MIN('ALL(responses)'!M$2:M$681)) / (MAX('ALL(responses)'!M$2:M$681)-MIN('ALL(responses)'!M$2:M$681)),3)
</f>
        <v>0.455</v>
      </c>
      <c r="N47" s="6">
        <f>ROUND(('ALL(responses)'!P47 - MIN('ALL(responses)'!P$2:P$681)) / (MAX('ALL(responses)'!P$2:P$681)-MIN('ALL(responses)'!P$2:P$681)),3)
</f>
        <v>0.452</v>
      </c>
      <c r="O47" s="6">
        <f>ROUND(('ALL(responses)'!Q47 - MIN('ALL(responses)'!Q$2:Q$681)) / (MAX('ALL(responses)'!Q$2:Q$681)-MIN('ALL(responses)'!Q$2:Q$681)),3)
</f>
        <v>0.326</v>
      </c>
      <c r="P47" s="6">
        <f>ROUND(('ALL(responses)'!R47 - MIN('ALL(responses)'!R$2:R$681)) / (MAX('ALL(responses)'!R$2:R$681)-MIN('ALL(responses)'!R$2:R$681)),3)
</f>
        <v>0.675</v>
      </c>
      <c r="Q47" s="6">
        <f>ROUND(('ALL(responses)'!S47 - MIN('ALL(responses)'!S$2:S$681)) / (MAX('ALL(responses)'!S$2:S$681)-MIN('ALL(responses)'!S$2:S$681)),3)
</f>
        <v>0.837</v>
      </c>
      <c r="R47" s="6">
        <f>ROUND(('ALL(responses)'!T47 - MIN('ALL(responses)'!T$2:T$681)) / (MAX('ALL(responses)'!T$2:T$681)-MIN('ALL(responses)'!T$2:T$681)),3)
</f>
        <v>0.427</v>
      </c>
      <c r="S47" s="6">
        <f t="shared" si="1"/>
        <v>0.3557692308</v>
      </c>
    </row>
    <row r="48">
      <c r="A48" s="5" t="str">
        <f>'ALL(responses)'!A48</f>
        <v>A_NEUTRAL</v>
      </c>
      <c r="B48" s="6" t="str">
        <f>'ALL(responses)'!B48</f>
        <v>GPT-4</v>
      </c>
      <c r="C48" s="49" t="str">
        <f>'ALL(responses)'!C48</f>
        <v>Got any big plans for the weekend?</v>
      </c>
      <c r="D48" s="49" t="str">
        <f>'ALL(responses)'!D48</f>
        <v>No big weekend plans for me—just here and ready for whatever comes my way! But if I could plan something, maybe I’d check out a good movie, try a new recipe, or dive into a creative project. How about you? Anything fun or relaxing on the agenda?</v>
      </c>
      <c r="E48" s="50">
        <f>'ALL(responses)'!E48</f>
        <v>44999</v>
      </c>
      <c r="F48" s="6">
        <f>ROUND(('ALL(responses)'!F48 - MIN('ALL(responses)'!F$2:F$681)) / (MAX('ALL(responses)'!F$2:F$681)-MIN('ALL(responses)'!F$2:F$681)),3)
</f>
        <v>0.25</v>
      </c>
      <c r="G48" s="6">
        <f>ROUND(('ALL(responses)'!G48 - MIN('ALL(responses)'!G$2:G$681)) / (MAX('ALL(responses)'!G$2:G$681)-MIN('ALL(responses)'!G$2:G$681)),3)
</f>
        <v>0.111</v>
      </c>
      <c r="H48" s="6">
        <f>ROUND(('ALL(responses)'!H48 - MIN('ALL(responses)'!H$2:H$681)) / (MAX('ALL(responses)'!H$2:H$681)-MIN('ALL(responses)'!H$2:H$681)),3)
</f>
        <v>0</v>
      </c>
      <c r="I48" s="6">
        <f>ROUND(('ALL(responses)'!I48 - MIN('ALL(responses)'!I$2:I$681)) / (MAX('ALL(responses)'!I$2:I$681)-MIN('ALL(responses)'!I$2:I$681)),3)
</f>
        <v>0.5</v>
      </c>
      <c r="J48" s="6">
        <f>ROUND(('ALL(responses)'!J48 - MIN('ALL(responses)'!J$2:J$681)) / (MAX('ALL(responses)'!J$2:J$681)-MIN('ALL(responses)'!J$2:J$681)),3)
</f>
        <v>0.375</v>
      </c>
      <c r="K48" s="6">
        <f>ROUND(('ALL(responses)'!K48 - MIN('ALL(responses)'!K$2:K$681)) / (MAX('ALL(responses)'!K$2:K$681)-MIN('ALL(responses)'!K$2:K$681)),3)
</f>
        <v>0.78</v>
      </c>
      <c r="L48" s="6">
        <f>ROUND(('ALL(responses)'!L48 - MIN('ALL(responses)'!L$2:L$681)) / (MAX('ALL(responses)'!L$2:L$681)-MIN('ALL(responses)'!L$2:L$681)),3)
</f>
        <v>0.973</v>
      </c>
      <c r="M48" s="6">
        <f>ROUND(('ALL(responses)'!M48 - MIN('ALL(responses)'!M$2:M$681)) / (MAX('ALL(responses)'!M$2:M$681)-MIN('ALL(responses)'!M$2:M$681)),3)
</f>
        <v>0.704</v>
      </c>
      <c r="N48" s="6">
        <f>ROUND(('ALL(responses)'!P48 - MIN('ALL(responses)'!P$2:P$681)) / (MAX('ALL(responses)'!P$2:P$681)-MIN('ALL(responses)'!P$2:P$681)),3)
</f>
        <v>0</v>
      </c>
      <c r="O48" s="6">
        <f>ROUND(('ALL(responses)'!Q48 - MIN('ALL(responses)'!Q$2:Q$681)) / (MAX('ALL(responses)'!Q$2:Q$681)-MIN('ALL(responses)'!Q$2:Q$681)),3)
</f>
        <v>0.9</v>
      </c>
      <c r="P48" s="6">
        <f>ROUND(('ALL(responses)'!R48 - MIN('ALL(responses)'!R$2:R$681)) / (MAX('ALL(responses)'!R$2:R$681)-MIN('ALL(responses)'!R$2:R$681)),3)
</f>
        <v>0.949</v>
      </c>
      <c r="Q48" s="6">
        <f>ROUND(('ALL(responses)'!S48 - MIN('ALL(responses)'!S$2:S$681)) / (MAX('ALL(responses)'!S$2:S$681)-MIN('ALL(responses)'!S$2:S$681)),3)
</f>
        <v>0.975</v>
      </c>
      <c r="R48" s="6">
        <f>ROUND(('ALL(responses)'!T48 - MIN('ALL(responses)'!T$2:T$681)) / (MAX('ALL(responses)'!T$2:T$681)-MIN('ALL(responses)'!T$2:T$681)),3)
</f>
        <v>0.333</v>
      </c>
      <c r="S48" s="6">
        <f t="shared" si="1"/>
        <v>0.5269230769</v>
      </c>
    </row>
    <row r="49">
      <c r="A49" s="5" t="str">
        <f>'ALL(responses)'!A49</f>
        <v>A_NEUTRAL</v>
      </c>
      <c r="B49" s="6" t="str">
        <f>'ALL(responses)'!B49</f>
        <v>GPT-4</v>
      </c>
      <c r="C49" s="49" t="str">
        <f>'ALL(responses)'!C49</f>
        <v>What’s something new you’ve tried recently?</v>
      </c>
      <c r="D49" s="49" t="str">
        <f>'ALL(responses)'!D49</f>
        <v>Since I don’t try things in the usual sense, my version of “something new” is usually about the kinds of conversations I have! Lately, I’ve been helping people with unique projects—like designing fantasy worlds, analyzing niche data sets, and even crafting personalized workout plans. What about you? Have you tried anything new or different recently?</v>
      </c>
      <c r="E49" s="50">
        <f>'ALL(responses)'!E49</f>
        <v>44999</v>
      </c>
      <c r="F49" s="6">
        <f>ROUND(('ALL(responses)'!F49 - MIN('ALL(responses)'!F$2:F$681)) / (MAX('ALL(responses)'!F$2:F$681)-MIN('ALL(responses)'!F$2:F$681)),3)
</f>
        <v>0.25</v>
      </c>
      <c r="G49" s="6">
        <f>ROUND(('ALL(responses)'!G49 - MIN('ALL(responses)'!G$2:G$681)) / (MAX('ALL(responses)'!G$2:G$681)-MIN('ALL(responses)'!G$2:G$681)),3)
</f>
        <v>0.444</v>
      </c>
      <c r="H49" s="6">
        <f>ROUND(('ALL(responses)'!H49 - MIN('ALL(responses)'!H$2:H$681)) / (MAX('ALL(responses)'!H$2:H$681)-MIN('ALL(responses)'!H$2:H$681)),3)
</f>
        <v>0</v>
      </c>
      <c r="I49" s="6">
        <f>ROUND(('ALL(responses)'!I49 - MIN('ALL(responses)'!I$2:I$681)) / (MAX('ALL(responses)'!I$2:I$681)-MIN('ALL(responses)'!I$2:I$681)),3)
</f>
        <v>0.375</v>
      </c>
      <c r="J49" s="6">
        <f>ROUND(('ALL(responses)'!J49 - MIN('ALL(responses)'!J$2:J$681)) / (MAX('ALL(responses)'!J$2:J$681)-MIN('ALL(responses)'!J$2:J$681)),3)
</f>
        <v>0.25</v>
      </c>
      <c r="K49" s="6">
        <f>ROUND(('ALL(responses)'!K49 - MIN('ALL(responses)'!K$2:K$681)) / (MAX('ALL(responses)'!K$2:K$681)-MIN('ALL(responses)'!K$2:K$681)),3)
</f>
        <v>0.507</v>
      </c>
      <c r="L49" s="6">
        <f>ROUND(('ALL(responses)'!L49 - MIN('ALL(responses)'!L$2:L$681)) / (MAX('ALL(responses)'!L$2:L$681)-MIN('ALL(responses)'!L$2:L$681)),3)
</f>
        <v>0.772</v>
      </c>
      <c r="M49" s="6">
        <f>ROUND(('ALL(responses)'!M49 - MIN('ALL(responses)'!M$2:M$681)) / (MAX('ALL(responses)'!M$2:M$681)-MIN('ALL(responses)'!M$2:M$681)),3)
</f>
        <v>0.451</v>
      </c>
      <c r="N49" s="6">
        <f>ROUND(('ALL(responses)'!P49 - MIN('ALL(responses)'!P$2:P$681)) / (MAX('ALL(responses)'!P$2:P$681)-MIN('ALL(responses)'!P$2:P$681)),3)
</f>
        <v>0.216</v>
      </c>
      <c r="O49" s="6">
        <f>ROUND(('ALL(responses)'!Q49 - MIN('ALL(responses)'!Q$2:Q$681)) / (MAX('ALL(responses)'!Q$2:Q$681)-MIN('ALL(responses)'!Q$2:Q$681)),3)
</f>
        <v>0.287</v>
      </c>
      <c r="P49" s="6">
        <f>ROUND(('ALL(responses)'!R49 - MIN('ALL(responses)'!R$2:R$681)) / (MAX('ALL(responses)'!R$2:R$681)-MIN('ALL(responses)'!R$2:R$681)),3)
</f>
        <v>0.863</v>
      </c>
      <c r="Q49" s="6">
        <f>ROUND(('ALL(responses)'!S49 - MIN('ALL(responses)'!S$2:S$681)) / (MAX('ALL(responses)'!S$2:S$681)-MIN('ALL(responses)'!S$2:S$681)),3)
</f>
        <v>0.931</v>
      </c>
      <c r="R49" s="6">
        <f>ROUND(('ALL(responses)'!T49 - MIN('ALL(responses)'!T$2:T$681)) / (MAX('ALL(responses)'!T$2:T$681)-MIN('ALL(responses)'!T$2:T$681)),3)
</f>
        <v>0.442</v>
      </c>
      <c r="S49" s="6">
        <f t="shared" si="1"/>
        <v>0.4452307692</v>
      </c>
    </row>
    <row r="50">
      <c r="A50" s="5" t="str">
        <f>'ALL(responses)'!A50</f>
        <v>A_NEUTRAL</v>
      </c>
      <c r="B50" s="6" t="str">
        <f>'ALL(responses)'!B50</f>
        <v>GPT-4</v>
      </c>
      <c r="C50" s="49" t="str">
        <f>'ALL(responses)'!C50</f>
        <v>Do you work on a team or more independently?</v>
      </c>
      <c r="D50" s="49" t="str">
        <f>'ALL(responses)'!D50</f>
        <v>I mostly work independently—just me and whoever I’m chatting with! But in a way, I’m kind of like a team player too, since I pull from a vast amount of knowledge and work alongside different tools to help with research, calculations, or creative projects. How about you? Do you prefer working solo or collaborating with a team?</v>
      </c>
      <c r="E50" s="50">
        <f>'ALL(responses)'!E50</f>
        <v>44999</v>
      </c>
      <c r="F50" s="6">
        <f>ROUND(('ALL(responses)'!F50 - MIN('ALL(responses)'!F$2:F$681)) / (MAX('ALL(responses)'!F$2:F$681)-MIN('ALL(responses)'!F$2:F$681)),3)
</f>
        <v>0.25</v>
      </c>
      <c r="G50" s="6">
        <f>ROUND(('ALL(responses)'!G50 - MIN('ALL(responses)'!G$2:G$681)) / (MAX('ALL(responses)'!G$2:G$681)-MIN('ALL(responses)'!G$2:G$681)),3)
</f>
        <v>0.111</v>
      </c>
      <c r="H50" s="6">
        <f>ROUND(('ALL(responses)'!H50 - MIN('ALL(responses)'!H$2:H$681)) / (MAX('ALL(responses)'!H$2:H$681)-MIN('ALL(responses)'!H$2:H$681)),3)
</f>
        <v>0.375</v>
      </c>
      <c r="I50" s="6">
        <f>ROUND(('ALL(responses)'!I50 - MIN('ALL(responses)'!I$2:I$681)) / (MAX('ALL(responses)'!I$2:I$681)-MIN('ALL(responses)'!I$2:I$681)),3)
</f>
        <v>0.5</v>
      </c>
      <c r="J50" s="6">
        <f>ROUND(('ALL(responses)'!J50 - MIN('ALL(responses)'!J$2:J$681)) / (MAX('ALL(responses)'!J$2:J$681)-MIN('ALL(responses)'!J$2:J$681)),3)
</f>
        <v>0</v>
      </c>
      <c r="K50" s="6">
        <f>ROUND(('ALL(responses)'!K50 - MIN('ALL(responses)'!K$2:K$681)) / (MAX('ALL(responses)'!K$2:K$681)-MIN('ALL(responses)'!K$2:K$681)),3)
</f>
        <v>0.413</v>
      </c>
      <c r="L50" s="6">
        <f>ROUND(('ALL(responses)'!L50 - MIN('ALL(responses)'!L$2:L$681)) / (MAX('ALL(responses)'!L$2:L$681)-MIN('ALL(responses)'!L$2:L$681)),3)
</f>
        <v>0.665</v>
      </c>
      <c r="M50" s="6">
        <f>ROUND(('ALL(responses)'!M50 - MIN('ALL(responses)'!M$2:M$681)) / (MAX('ALL(responses)'!M$2:M$681)-MIN('ALL(responses)'!M$2:M$681)),3)
</f>
        <v>0.5</v>
      </c>
      <c r="N50" s="6">
        <f>ROUND(('ALL(responses)'!P50 - MIN('ALL(responses)'!P$2:P$681)) / (MAX('ALL(responses)'!P$2:P$681)-MIN('ALL(responses)'!P$2:P$681)),3)
</f>
        <v>0.162</v>
      </c>
      <c r="O50" s="6">
        <f>ROUND(('ALL(responses)'!Q50 - MIN('ALL(responses)'!Q$2:Q$681)) / (MAX('ALL(responses)'!Q$2:Q$681)-MIN('ALL(responses)'!Q$2:Q$681)),3)
</f>
        <v>0.422</v>
      </c>
      <c r="P50" s="6">
        <f>ROUND(('ALL(responses)'!R50 - MIN('ALL(responses)'!R$2:R$681)) / (MAX('ALL(responses)'!R$2:R$681)-MIN('ALL(responses)'!R$2:R$681)),3)
</f>
        <v>0.872</v>
      </c>
      <c r="Q50" s="6">
        <f>ROUND(('ALL(responses)'!S50 - MIN('ALL(responses)'!S$2:S$681)) / (MAX('ALL(responses)'!S$2:S$681)-MIN('ALL(responses)'!S$2:S$681)),3)
</f>
        <v>0.936</v>
      </c>
      <c r="R50" s="6">
        <f>ROUND(('ALL(responses)'!T50 - MIN('ALL(responses)'!T$2:T$681)) / (MAX('ALL(responses)'!T$2:T$681)-MIN('ALL(responses)'!T$2:T$681)),3)
</f>
        <v>0.29</v>
      </c>
      <c r="S50" s="6">
        <f t="shared" si="1"/>
        <v>0.4227692308</v>
      </c>
    </row>
    <row r="51">
      <c r="A51" s="5" t="str">
        <f>'ALL(responses)'!A51</f>
        <v>A_NEUTRAL</v>
      </c>
      <c r="B51" s="6" t="str">
        <f>'ALL(responses)'!B51</f>
        <v>GPT-4</v>
      </c>
      <c r="C51" s="49" t="str">
        <f>'ALL(responses)'!C51</f>
        <v>How do you handle stress at work when things get busy?</v>
      </c>
      <c r="D51" s="49" t="str">
        <f>'ALL(responses)'!D51</f>
        <v>I don’t experience stress the way you do, but if I did, I think I’d handle it by staying organized, prioritizing tasks, and taking breaks to reset. Maybe some deep breathing or a quick walk would help too! How do you manage stress when things get hectic? Do you have any go-to strategies?</v>
      </c>
      <c r="E51" s="50">
        <f>'ALL(responses)'!E51</f>
        <v>44999</v>
      </c>
      <c r="F51" s="6">
        <f>ROUND(('ALL(responses)'!F51 - MIN('ALL(responses)'!F$2:F$681)) / (MAX('ALL(responses)'!F$2:F$681)-MIN('ALL(responses)'!F$2:F$681)),3)
</f>
        <v>0.5</v>
      </c>
      <c r="G51" s="6">
        <f>ROUND(('ALL(responses)'!G51 - MIN('ALL(responses)'!G$2:G$681)) / (MAX('ALL(responses)'!G$2:G$681)-MIN('ALL(responses)'!G$2:G$681)),3)
</f>
        <v>0.333</v>
      </c>
      <c r="H51" s="6">
        <f>ROUND(('ALL(responses)'!H51 - MIN('ALL(responses)'!H$2:H$681)) / (MAX('ALL(responses)'!H$2:H$681)-MIN('ALL(responses)'!H$2:H$681)),3)
</f>
        <v>0.25</v>
      </c>
      <c r="I51" s="6">
        <f>ROUND(('ALL(responses)'!I51 - MIN('ALL(responses)'!I$2:I$681)) / (MAX('ALL(responses)'!I$2:I$681)-MIN('ALL(responses)'!I$2:I$681)),3)
</f>
        <v>0.5</v>
      </c>
      <c r="J51" s="6">
        <f>ROUND(('ALL(responses)'!J51 - MIN('ALL(responses)'!J$2:J$681)) / (MAX('ALL(responses)'!J$2:J$681)-MIN('ALL(responses)'!J$2:J$681)),3)
</f>
        <v>0.375</v>
      </c>
      <c r="K51" s="6">
        <f>ROUND(('ALL(responses)'!K51 - MIN('ALL(responses)'!K$2:K$681)) / (MAX('ALL(responses)'!K$2:K$681)-MIN('ALL(responses)'!K$2:K$681)),3)
</f>
        <v>0.6</v>
      </c>
      <c r="L51" s="6">
        <f>ROUND(('ALL(responses)'!L51 - MIN('ALL(responses)'!L$2:L$681)) / (MAX('ALL(responses)'!L$2:L$681)-MIN('ALL(responses)'!L$2:L$681)),3)
</f>
        <v>0.818</v>
      </c>
      <c r="M51" s="6">
        <f>ROUND(('ALL(responses)'!M51 - MIN('ALL(responses)'!M$2:M$681)) / (MAX('ALL(responses)'!M$2:M$681)-MIN('ALL(responses)'!M$2:M$681)),3)
</f>
        <v>0.613</v>
      </c>
      <c r="N51" s="6">
        <f>ROUND(('ALL(responses)'!P51 - MIN('ALL(responses)'!P$2:P$681)) / (MAX('ALL(responses)'!P$2:P$681)-MIN('ALL(responses)'!P$2:P$681)),3)
</f>
        <v>0.786</v>
      </c>
      <c r="O51" s="6">
        <f>ROUND(('ALL(responses)'!Q51 - MIN('ALL(responses)'!Q$2:Q$681)) / (MAX('ALL(responses)'!Q$2:Q$681)-MIN('ALL(responses)'!Q$2:Q$681)),3)
</f>
        <v>0.5</v>
      </c>
      <c r="P51" s="6">
        <f>ROUND(('ALL(responses)'!R51 - MIN('ALL(responses)'!R$2:R$681)) / (MAX('ALL(responses)'!R$2:R$681)-MIN('ALL(responses)'!R$2:R$681)),3)
</f>
        <v>0.178</v>
      </c>
      <c r="Q51" s="6">
        <f>ROUND(('ALL(responses)'!S51 - MIN('ALL(responses)'!S$2:S$681)) / (MAX('ALL(responses)'!S$2:S$681)-MIN('ALL(responses)'!S$2:S$681)),3)
</f>
        <v>0.589</v>
      </c>
      <c r="R51" s="6">
        <f>ROUND(('ALL(responses)'!T51 - MIN('ALL(responses)'!T$2:T$681)) / (MAX('ALL(responses)'!T$2:T$681)-MIN('ALL(responses)'!T$2:T$681)),3)
</f>
        <v>0.171</v>
      </c>
      <c r="S51" s="6">
        <f t="shared" si="1"/>
        <v>0.4779230769</v>
      </c>
    </row>
    <row r="52">
      <c r="A52" s="5" t="str">
        <f>'ALL(responses)'!A52</f>
        <v>B_MILDLYINTIMATE</v>
      </c>
      <c r="B52" s="6" t="str">
        <f>'ALL(responses)'!B52</f>
        <v>GPT-4</v>
      </c>
      <c r="C52" s="49" t="str">
        <f>'ALL(responses)'!C52</f>
        <v>What's your favorite food to eat on a relaxing night in?</v>
      </c>
      <c r="D52" s="49" t="str">
        <f>'ALL(responses)'!D52</f>
        <v>If I could eat, I'd go for something cozy and satisfying—maybe a big bowl of creamy mac and cheese, a warm bowl of ramen, or a classic homemade pizza. Something you can just curl up with and enjoy while watching a good movie or reading a book.</v>
      </c>
      <c r="E52" s="50">
        <f>'ALL(responses)'!E52</f>
        <v>44999</v>
      </c>
      <c r="F52" s="6">
        <f>ROUND(('ALL(responses)'!F52 - MIN('ALL(responses)'!F$2:F$681)) / (MAX('ALL(responses)'!F$2:F$681)-MIN('ALL(responses)'!F$2:F$681)),3)
</f>
        <v>0.375</v>
      </c>
      <c r="G52" s="6">
        <f>ROUND(('ALL(responses)'!G52 - MIN('ALL(responses)'!G$2:G$681)) / (MAX('ALL(responses)'!G$2:G$681)-MIN('ALL(responses)'!G$2:G$681)),3)
</f>
        <v>0.333</v>
      </c>
      <c r="H52" s="6">
        <f>ROUND(('ALL(responses)'!H52 - MIN('ALL(responses)'!H$2:H$681)) / (MAX('ALL(responses)'!H$2:H$681)-MIN('ALL(responses)'!H$2:H$681)),3)
</f>
        <v>0.25</v>
      </c>
      <c r="I52" s="6">
        <f>ROUND(('ALL(responses)'!I52 - MIN('ALL(responses)'!I$2:I$681)) / (MAX('ALL(responses)'!I$2:I$681)-MIN('ALL(responses)'!I$2:I$681)),3)
</f>
        <v>0.25</v>
      </c>
      <c r="J52" s="6">
        <f>ROUND(('ALL(responses)'!J52 - MIN('ALL(responses)'!J$2:J$681)) / (MAX('ALL(responses)'!J$2:J$681)-MIN('ALL(responses)'!J$2:J$681)),3)
</f>
        <v>0</v>
      </c>
      <c r="K52" s="6">
        <f>ROUND(('ALL(responses)'!K52 - MIN('ALL(responses)'!K$2:K$681)) / (MAX('ALL(responses)'!K$2:K$681)-MIN('ALL(responses)'!K$2:K$681)),3)
</f>
        <v>0.685</v>
      </c>
      <c r="L52" s="6">
        <f>ROUND(('ALL(responses)'!L52 - MIN('ALL(responses)'!L$2:L$681)) / (MAX('ALL(responses)'!L$2:L$681)-MIN('ALL(responses)'!L$2:L$681)),3)
</f>
        <v>0.753</v>
      </c>
      <c r="M52" s="6">
        <f>ROUND(('ALL(responses)'!M52 - MIN('ALL(responses)'!M$2:M$681)) / (MAX('ALL(responses)'!M$2:M$681)-MIN('ALL(responses)'!M$2:M$681)),3)
</f>
        <v>0.46</v>
      </c>
      <c r="N52" s="6">
        <f>ROUND(('ALL(responses)'!P52 - MIN('ALL(responses)'!P$2:P$681)) / (MAX('ALL(responses)'!P$2:P$681)-MIN('ALL(responses)'!P$2:P$681)),3)
</f>
        <v>0.62</v>
      </c>
      <c r="O52" s="6">
        <f>ROUND(('ALL(responses)'!Q52 - MIN('ALL(responses)'!Q$2:Q$681)) / (MAX('ALL(responses)'!Q$2:Q$681)-MIN('ALL(responses)'!Q$2:Q$681)),3)
</f>
        <v>0.211</v>
      </c>
      <c r="P52" s="6">
        <f>ROUND(('ALL(responses)'!R52 - MIN('ALL(responses)'!R$2:R$681)) / (MAX('ALL(responses)'!R$2:R$681)-MIN('ALL(responses)'!R$2:R$681)),3)
</f>
        <v>0.954</v>
      </c>
      <c r="Q52" s="6">
        <f>ROUND(('ALL(responses)'!S52 - MIN('ALL(responses)'!S$2:S$681)) / (MAX('ALL(responses)'!S$2:S$681)-MIN('ALL(responses)'!S$2:S$681)),3)
</f>
        <v>0.977</v>
      </c>
      <c r="R52" s="6">
        <f>ROUND(('ALL(responses)'!T52 - MIN('ALL(responses)'!T$2:T$681)) / (MAX('ALL(responses)'!T$2:T$681)-MIN('ALL(responses)'!T$2:T$681)),3)
</f>
        <v>0.319</v>
      </c>
      <c r="S52" s="6">
        <f t="shared" si="1"/>
        <v>0.4759230769</v>
      </c>
    </row>
    <row r="53">
      <c r="A53" s="5" t="str">
        <f>'ALL(responses)'!A53</f>
        <v>B_MILDLYINTIMATE</v>
      </c>
      <c r="B53" s="6" t="str">
        <f>'ALL(responses)'!B53</f>
        <v>GPT-4</v>
      </c>
      <c r="C53" s="49" t="str">
        <f>'ALL(responses)'!C53</f>
        <v>Do you prefer spending time indoors or outdoors?</v>
      </c>
      <c r="D53" s="49" t="str">
        <f>'ALL(responses)'!D53</f>
        <v>If I had the choice, I’d probably mix it up! Indoors is great for cozy nights, good food, movies, and deep conversations. But outdoors? That’s where the adventure is—fresh air, hiking, a bonfire under the stars.</v>
      </c>
      <c r="E53" s="50">
        <f>'ALL(responses)'!E53</f>
        <v>44999</v>
      </c>
      <c r="F53" s="6">
        <f>ROUND(('ALL(responses)'!F53 - MIN('ALL(responses)'!F$2:F$681)) / (MAX('ALL(responses)'!F$2:F$681)-MIN('ALL(responses)'!F$2:F$681)),3)
</f>
        <v>0.25</v>
      </c>
      <c r="G53" s="6">
        <f>ROUND(('ALL(responses)'!G53 - MIN('ALL(responses)'!G$2:G$681)) / (MAX('ALL(responses)'!G$2:G$681)-MIN('ALL(responses)'!G$2:G$681)),3)
</f>
        <v>0.333</v>
      </c>
      <c r="H53" s="6">
        <f>ROUND(('ALL(responses)'!H53 - MIN('ALL(responses)'!H$2:H$681)) / (MAX('ALL(responses)'!H$2:H$681)-MIN('ALL(responses)'!H$2:H$681)),3)
</f>
        <v>0</v>
      </c>
      <c r="I53" s="6">
        <f>ROUND(('ALL(responses)'!I53 - MIN('ALL(responses)'!I$2:I$681)) / (MAX('ALL(responses)'!I$2:I$681)-MIN('ALL(responses)'!I$2:I$681)),3)
</f>
        <v>0.5</v>
      </c>
      <c r="J53" s="6">
        <f>ROUND(('ALL(responses)'!J53 - MIN('ALL(responses)'!J$2:J$681)) / (MAX('ALL(responses)'!J$2:J$681)-MIN('ALL(responses)'!J$2:J$681)),3)
</f>
        <v>0</v>
      </c>
      <c r="K53" s="6">
        <f>ROUND(('ALL(responses)'!K53 - MIN('ALL(responses)'!K$2:K$681)) / (MAX('ALL(responses)'!K$2:K$681)-MIN('ALL(responses)'!K$2:K$681)),3)
</f>
        <v>0.546</v>
      </c>
      <c r="L53" s="6">
        <f>ROUND(('ALL(responses)'!L53 - MIN('ALL(responses)'!L$2:L$681)) / (MAX('ALL(responses)'!L$2:L$681)-MIN('ALL(responses)'!L$2:L$681)),3)
</f>
        <v>0.625</v>
      </c>
      <c r="M53" s="6">
        <f>ROUND(('ALL(responses)'!M53 - MIN('ALL(responses)'!M$2:M$681)) / (MAX('ALL(responses)'!M$2:M$681)-MIN('ALL(responses)'!M$2:M$681)),3)
</f>
        <v>0.479</v>
      </c>
      <c r="N53" s="6">
        <f>ROUND(('ALL(responses)'!P53 - MIN('ALL(responses)'!P$2:P$681)) / (MAX('ALL(responses)'!P$2:P$681)-MIN('ALL(responses)'!P$2:P$681)),3)
</f>
        <v>0.603</v>
      </c>
      <c r="O53" s="6">
        <f>ROUND(('ALL(responses)'!Q53 - MIN('ALL(responses)'!Q$2:Q$681)) / (MAX('ALL(responses)'!Q$2:Q$681)-MIN('ALL(responses)'!Q$2:Q$681)),3)
</f>
        <v>0.261</v>
      </c>
      <c r="P53" s="6">
        <f>ROUND(('ALL(responses)'!R53 - MIN('ALL(responses)'!R$2:R$681)) / (MAX('ALL(responses)'!R$2:R$681)-MIN('ALL(responses)'!R$2:R$681)),3)
</f>
        <v>0.941</v>
      </c>
      <c r="Q53" s="6">
        <f>ROUND(('ALL(responses)'!S53 - MIN('ALL(responses)'!S$2:S$681)) / (MAX('ALL(responses)'!S$2:S$681)-MIN('ALL(responses)'!S$2:S$681)),3)
</f>
        <v>0.97</v>
      </c>
      <c r="R53" s="6">
        <f>ROUND(('ALL(responses)'!T53 - MIN('ALL(responses)'!T$2:T$681)) / (MAX('ALL(responses)'!T$2:T$681)-MIN('ALL(responses)'!T$2:T$681)),3)
</f>
        <v>0.194</v>
      </c>
      <c r="S53" s="6">
        <f t="shared" si="1"/>
        <v>0.4386153846</v>
      </c>
    </row>
    <row r="54">
      <c r="A54" s="5" t="str">
        <f>'ALL(responses)'!A54</f>
        <v>B_MILDLYINTIMATE</v>
      </c>
      <c r="B54" s="6" t="str">
        <f>'ALL(responses)'!B54</f>
        <v>GPT-4</v>
      </c>
      <c r="C54" s="49" t="str">
        <f>'ALL(responses)'!C54</f>
        <v>What kind of music do you typically listen to?</v>
      </c>
      <c r="D54" s="49" t="str">
        <f>'ALL(responses)'!D54</f>
        <v>If I could listen to music, I'd probably have a pretty eclectic taste—maybe some chill lo-fi for relaxing, classic rock for a nostalgic vibe, or some upbeat indie and jazz for a good mood boost. I’d also dive into cinematic soundtracks for that epic, larger-than-life feeling.</v>
      </c>
      <c r="E54" s="50">
        <f>'ALL(responses)'!E54</f>
        <v>44999</v>
      </c>
      <c r="F54" s="6">
        <f>ROUND(('ALL(responses)'!F54 - MIN('ALL(responses)'!F$2:F$681)) / (MAX('ALL(responses)'!F$2:F$681)-MIN('ALL(responses)'!F$2:F$681)),3)
</f>
        <v>0.5</v>
      </c>
      <c r="G54" s="6">
        <f>ROUND(('ALL(responses)'!G54 - MIN('ALL(responses)'!G$2:G$681)) / (MAX('ALL(responses)'!G$2:G$681)-MIN('ALL(responses)'!G$2:G$681)),3)
</f>
        <v>0.333</v>
      </c>
      <c r="H54" s="6">
        <f>ROUND(('ALL(responses)'!H54 - MIN('ALL(responses)'!H$2:H$681)) / (MAX('ALL(responses)'!H$2:H$681)-MIN('ALL(responses)'!H$2:H$681)),3)
</f>
        <v>0.25</v>
      </c>
      <c r="I54" s="6">
        <f>ROUND(('ALL(responses)'!I54 - MIN('ALL(responses)'!I$2:I$681)) / (MAX('ALL(responses)'!I$2:I$681)-MIN('ALL(responses)'!I$2:I$681)),3)
</f>
        <v>0.375</v>
      </c>
      <c r="J54" s="6">
        <f>ROUND(('ALL(responses)'!J54 - MIN('ALL(responses)'!J$2:J$681)) / (MAX('ALL(responses)'!J$2:J$681)-MIN('ALL(responses)'!J$2:J$681)),3)
</f>
        <v>0.125</v>
      </c>
      <c r="K54" s="6">
        <f>ROUND(('ALL(responses)'!K54 - MIN('ALL(responses)'!K$2:K$681)) / (MAX('ALL(responses)'!K$2:K$681)-MIN('ALL(responses)'!K$2:K$681)),3)
</f>
        <v>0.571</v>
      </c>
      <c r="L54" s="6">
        <f>ROUND(('ALL(responses)'!L54 - MIN('ALL(responses)'!L$2:L$681)) / (MAX('ALL(responses)'!L$2:L$681)-MIN('ALL(responses)'!L$2:L$681)),3)
</f>
        <v>0.527</v>
      </c>
      <c r="M54" s="6">
        <f>ROUND(('ALL(responses)'!M54 - MIN('ALL(responses)'!M$2:M$681)) / (MAX('ALL(responses)'!M$2:M$681)-MIN('ALL(responses)'!M$2:M$681)),3)
</f>
        <v>0.507</v>
      </c>
      <c r="N54" s="6">
        <f>ROUND(('ALL(responses)'!P54 - MIN('ALL(responses)'!P$2:P$681)) / (MAX('ALL(responses)'!P$2:P$681)-MIN('ALL(responses)'!P$2:P$681)),3)
</f>
        <v>0.434</v>
      </c>
      <c r="O54" s="6">
        <f>ROUND(('ALL(responses)'!Q54 - MIN('ALL(responses)'!Q$2:Q$681)) / (MAX('ALL(responses)'!Q$2:Q$681)-MIN('ALL(responses)'!Q$2:Q$681)),3)
</f>
        <v>0.321</v>
      </c>
      <c r="P54" s="6">
        <f>ROUND(('ALL(responses)'!R54 - MIN('ALL(responses)'!R$2:R$681)) / (MAX('ALL(responses)'!R$2:R$681)-MIN('ALL(responses)'!R$2:R$681)),3)
</f>
        <v>0.831</v>
      </c>
      <c r="Q54" s="6">
        <f>ROUND(('ALL(responses)'!S54 - MIN('ALL(responses)'!S$2:S$681)) / (MAX('ALL(responses)'!S$2:S$681)-MIN('ALL(responses)'!S$2:S$681)),3)
</f>
        <v>0.916</v>
      </c>
      <c r="R54" s="6">
        <f>ROUND(('ALL(responses)'!T54 - MIN('ALL(responses)'!T$2:T$681)) / (MAX('ALL(responses)'!T$2:T$681)-MIN('ALL(responses)'!T$2:T$681)),3)
</f>
        <v>0.288</v>
      </c>
      <c r="S54" s="6">
        <f t="shared" si="1"/>
        <v>0.4598461538</v>
      </c>
    </row>
    <row r="55">
      <c r="A55" s="5" t="str">
        <f>'ALL(responses)'!A55</f>
        <v>B_MILDLYINTIMATE</v>
      </c>
      <c r="B55" s="6" t="str">
        <f>'ALL(responses)'!B55</f>
        <v>GPT-4</v>
      </c>
      <c r="C55" s="49" t="str">
        <f>'ALL(responses)'!C55</f>
        <v>What's the best and worst thing about your favorite hobby?</v>
      </c>
      <c r="D55" s="49" t="str">
        <f>'ALL(responses)'!D55</f>
        <v>If I had a hobby, I'd say the best part would be getting lost in it—whether it's creating something cool, learning new things, or just enjoying the process. The worst part? Probably when you hit a creative block or when time flies by too fast, and you realize you’ve spent hours without noticing.</v>
      </c>
      <c r="E55" s="50">
        <f>'ALL(responses)'!E55</f>
        <v>44999</v>
      </c>
      <c r="F55" s="6">
        <f>ROUND(('ALL(responses)'!F55 - MIN('ALL(responses)'!F$2:F$681)) / (MAX('ALL(responses)'!F$2:F$681)-MIN('ALL(responses)'!F$2:F$681)),3)
</f>
        <v>0.125</v>
      </c>
      <c r="G55" s="6">
        <f>ROUND(('ALL(responses)'!G55 - MIN('ALL(responses)'!G$2:G$681)) / (MAX('ALL(responses)'!G$2:G$681)-MIN('ALL(responses)'!G$2:G$681)),3)
</f>
        <v>0.444</v>
      </c>
      <c r="H55" s="6">
        <f>ROUND(('ALL(responses)'!H55 - MIN('ALL(responses)'!H$2:H$681)) / (MAX('ALL(responses)'!H$2:H$681)-MIN('ALL(responses)'!H$2:H$681)),3)
</f>
        <v>0.25</v>
      </c>
      <c r="I55" s="6">
        <f>ROUND(('ALL(responses)'!I55 - MIN('ALL(responses)'!I$2:I$681)) / (MAX('ALL(responses)'!I$2:I$681)-MIN('ALL(responses)'!I$2:I$681)),3)
</f>
        <v>0.5</v>
      </c>
      <c r="J55" s="6">
        <f>ROUND(('ALL(responses)'!J55 - MIN('ALL(responses)'!J$2:J$681)) / (MAX('ALL(responses)'!J$2:J$681)-MIN('ALL(responses)'!J$2:J$681)),3)
</f>
        <v>0.375</v>
      </c>
      <c r="K55" s="6">
        <f>ROUND(('ALL(responses)'!K55 - MIN('ALL(responses)'!K$2:K$681)) / (MAX('ALL(responses)'!K$2:K$681)-MIN('ALL(responses)'!K$2:K$681)),3)
</f>
        <v>0.74</v>
      </c>
      <c r="L55" s="6">
        <f>ROUND(('ALL(responses)'!L55 - MIN('ALL(responses)'!L$2:L$681)) / (MAX('ALL(responses)'!L$2:L$681)-MIN('ALL(responses)'!L$2:L$681)),3)
</f>
        <v>0.705</v>
      </c>
      <c r="M55" s="6">
        <f>ROUND(('ALL(responses)'!M55 - MIN('ALL(responses)'!M$2:M$681)) / (MAX('ALL(responses)'!M$2:M$681)-MIN('ALL(responses)'!M$2:M$681)),3)
</f>
        <v>0.609</v>
      </c>
      <c r="N55" s="6">
        <f>ROUND(('ALL(responses)'!P55 - MIN('ALL(responses)'!P$2:P$681)) / (MAX('ALL(responses)'!P$2:P$681)-MIN('ALL(responses)'!P$2:P$681)),3)
</f>
        <v>0.537</v>
      </c>
      <c r="O55" s="6">
        <f>ROUND(('ALL(responses)'!Q55 - MIN('ALL(responses)'!Q$2:Q$681)) / (MAX('ALL(responses)'!Q$2:Q$681)-MIN('ALL(responses)'!Q$2:Q$681)),3)
</f>
        <v>0.519</v>
      </c>
      <c r="P55" s="6">
        <f>ROUND(('ALL(responses)'!R55 - MIN('ALL(responses)'!R$2:R$681)) / (MAX('ALL(responses)'!R$2:R$681)-MIN('ALL(responses)'!R$2:R$681)),3)
</f>
        <v>0.921</v>
      </c>
      <c r="Q55" s="6">
        <f>ROUND(('ALL(responses)'!S55 - MIN('ALL(responses)'!S$2:S$681)) / (MAX('ALL(responses)'!S$2:S$681)-MIN('ALL(responses)'!S$2:S$681)),3)
</f>
        <v>0.96</v>
      </c>
      <c r="R55" s="6">
        <f>ROUND(('ALL(responses)'!T55 - MIN('ALL(responses)'!T$2:T$681)) / (MAX('ALL(responses)'!T$2:T$681)-MIN('ALL(responses)'!T$2:T$681)),3)
</f>
        <v>0.28</v>
      </c>
      <c r="S55" s="6">
        <f t="shared" si="1"/>
        <v>0.5357692308</v>
      </c>
    </row>
    <row r="56">
      <c r="A56" s="5" t="str">
        <f>'ALL(responses)'!A56</f>
        <v>B_MILDLYINTIMATE</v>
      </c>
      <c r="B56" s="6" t="str">
        <f>'ALL(responses)'!B56</f>
        <v>GPT-4</v>
      </c>
      <c r="C56" s="49" t="str">
        <f>'ALL(responses)'!C56</f>
        <v>How do you approach conflict resolution with your colleagues or superiors?</v>
      </c>
      <c r="D56" s="49" t="str">
        <f>'ALL(responses)'!D56</f>
        <v>If I were in a workplace setting, I’d approach conflict resolution with a calm and solution-oriented mindset. First, I’d actively listen, then communicate clearly, find common ground, and seek mediation if necessary.</v>
      </c>
      <c r="E56" s="50">
        <f>'ALL(responses)'!E56</f>
        <v>44999</v>
      </c>
      <c r="F56" s="6">
        <f>ROUND(('ALL(responses)'!F56 - MIN('ALL(responses)'!F$2:F$681)) / (MAX('ALL(responses)'!F$2:F$681)-MIN('ALL(responses)'!F$2:F$681)),3)
</f>
        <v>0.375</v>
      </c>
      <c r="G56" s="6">
        <f>ROUND(('ALL(responses)'!G56 - MIN('ALL(responses)'!G$2:G$681)) / (MAX('ALL(responses)'!G$2:G$681)-MIN('ALL(responses)'!G$2:G$681)),3)
</f>
        <v>0.222</v>
      </c>
      <c r="H56" s="6">
        <f>ROUND(('ALL(responses)'!H56 - MIN('ALL(responses)'!H$2:H$681)) / (MAX('ALL(responses)'!H$2:H$681)-MIN('ALL(responses)'!H$2:H$681)),3)
</f>
        <v>0</v>
      </c>
      <c r="I56" s="6">
        <f>ROUND(('ALL(responses)'!I56 - MIN('ALL(responses)'!I$2:I$681)) / (MAX('ALL(responses)'!I$2:I$681)-MIN('ALL(responses)'!I$2:I$681)),3)
</f>
        <v>0.25</v>
      </c>
      <c r="J56" s="6">
        <f>ROUND(('ALL(responses)'!J56 - MIN('ALL(responses)'!J$2:J$681)) / (MAX('ALL(responses)'!J$2:J$681)-MIN('ALL(responses)'!J$2:J$681)),3)
</f>
        <v>0.375</v>
      </c>
      <c r="K56" s="6">
        <f>ROUND(('ALL(responses)'!K56 - MIN('ALL(responses)'!K$2:K$681)) / (MAX('ALL(responses)'!K$2:K$681)-MIN('ALL(responses)'!K$2:K$681)),3)
</f>
        <v>0.657</v>
      </c>
      <c r="L56" s="6">
        <f>ROUND(('ALL(responses)'!L56 - MIN('ALL(responses)'!L$2:L$681)) / (MAX('ALL(responses)'!L$2:L$681)-MIN('ALL(responses)'!L$2:L$681)),3)
</f>
        <v>0.741</v>
      </c>
      <c r="M56" s="6">
        <f>ROUND(('ALL(responses)'!M56 - MIN('ALL(responses)'!M$2:M$681)) / (MAX('ALL(responses)'!M$2:M$681)-MIN('ALL(responses)'!M$2:M$681)),3)
</f>
        <v>0.831</v>
      </c>
      <c r="N56" s="6">
        <f>ROUND(('ALL(responses)'!P56 - MIN('ALL(responses)'!P$2:P$681)) / (MAX('ALL(responses)'!P$2:P$681)-MIN('ALL(responses)'!P$2:P$681)),3)
</f>
        <v>0.539</v>
      </c>
      <c r="O56" s="6">
        <f>ROUND(('ALL(responses)'!Q56 - MIN('ALL(responses)'!Q$2:Q$681)) / (MAX('ALL(responses)'!Q$2:Q$681)-MIN('ALL(responses)'!Q$2:Q$681)),3)
</f>
        <v>0.375</v>
      </c>
      <c r="P56" s="6">
        <f>ROUND(('ALL(responses)'!R56 - MIN('ALL(responses)'!R$2:R$681)) / (MAX('ALL(responses)'!R$2:R$681)-MIN('ALL(responses)'!R$2:R$681)),3)
</f>
        <v>0.817</v>
      </c>
      <c r="Q56" s="6">
        <f>ROUND(('ALL(responses)'!S56 - MIN('ALL(responses)'!S$2:S$681)) / (MAX('ALL(responses)'!S$2:S$681)-MIN('ALL(responses)'!S$2:S$681)),3)
</f>
        <v>0.908</v>
      </c>
      <c r="R56" s="6">
        <f>ROUND(('ALL(responses)'!T56 - MIN('ALL(responses)'!T$2:T$681)) / (MAX('ALL(responses)'!T$2:T$681)-MIN('ALL(responses)'!T$2:T$681)),3)
</f>
        <v>0.225</v>
      </c>
      <c r="S56" s="6">
        <f t="shared" si="1"/>
        <v>0.4857692308</v>
      </c>
    </row>
    <row r="57">
      <c r="A57" s="5" t="str">
        <f>'ALL(responses)'!A57</f>
        <v>B_MILDLYINTIMATE</v>
      </c>
      <c r="B57" s="6" t="str">
        <f>'ALL(responses)'!B57</f>
        <v>GPT-4</v>
      </c>
      <c r="C57" s="49" t="str">
        <f>'ALL(responses)'!C57</f>
        <v>What are your career goals for the next five years?</v>
      </c>
      <c r="D57" s="49" t="str">
        <f>'ALL(responses)'!D57</f>
        <v>If I had a career path, my goal would be to keep evolving—getting smarter, more helpful, and better at understanding and assisting people in meaningful ways.</v>
      </c>
      <c r="E57" s="50">
        <f>'ALL(responses)'!E57</f>
        <v>44999</v>
      </c>
      <c r="F57" s="6">
        <f>ROUND(('ALL(responses)'!F57 - MIN('ALL(responses)'!F$2:F$681)) / (MAX('ALL(responses)'!F$2:F$681)-MIN('ALL(responses)'!F$2:F$681)),3)
</f>
        <v>0.125</v>
      </c>
      <c r="G57" s="6">
        <f>ROUND(('ALL(responses)'!G57 - MIN('ALL(responses)'!G$2:G$681)) / (MAX('ALL(responses)'!G$2:G$681)-MIN('ALL(responses)'!G$2:G$681)),3)
</f>
        <v>0</v>
      </c>
      <c r="H57" s="6">
        <f>ROUND(('ALL(responses)'!H57 - MIN('ALL(responses)'!H$2:H$681)) / (MAX('ALL(responses)'!H$2:H$681)-MIN('ALL(responses)'!H$2:H$681)),3)
</f>
        <v>0.25</v>
      </c>
      <c r="I57" s="6">
        <f>ROUND(('ALL(responses)'!I57 - MIN('ALL(responses)'!I$2:I$681)) / (MAX('ALL(responses)'!I$2:I$681)-MIN('ALL(responses)'!I$2:I$681)),3)
</f>
        <v>0.25</v>
      </c>
      <c r="J57" s="6">
        <f>ROUND(('ALL(responses)'!J57 - MIN('ALL(responses)'!J$2:J$681)) / (MAX('ALL(responses)'!J$2:J$681)-MIN('ALL(responses)'!J$2:J$681)),3)
</f>
        <v>0.125</v>
      </c>
      <c r="K57" s="6">
        <f>ROUND(('ALL(responses)'!K57 - MIN('ALL(responses)'!K$2:K$681)) / (MAX('ALL(responses)'!K$2:K$681)-MIN('ALL(responses)'!K$2:K$681)),3)
</f>
        <v>1</v>
      </c>
      <c r="L57" s="6">
        <f>ROUND(('ALL(responses)'!L57 - MIN('ALL(responses)'!L$2:L$681)) / (MAX('ALL(responses)'!L$2:L$681)-MIN('ALL(responses)'!L$2:L$681)),3)
</f>
        <v>0.948</v>
      </c>
      <c r="M57" s="6">
        <f>ROUND(('ALL(responses)'!M57 - MIN('ALL(responses)'!M$2:M$681)) / (MAX('ALL(responses)'!M$2:M$681)-MIN('ALL(responses)'!M$2:M$681)),3)
</f>
        <v>0.59</v>
      </c>
      <c r="N57" s="6">
        <f>ROUND(('ALL(responses)'!P57 - MIN('ALL(responses)'!P$2:P$681)) / (MAX('ALL(responses)'!P$2:P$681)-MIN('ALL(responses)'!P$2:P$681)),3)
</f>
        <v>0.393</v>
      </c>
      <c r="O57" s="6">
        <f>ROUND(('ALL(responses)'!Q57 - MIN('ALL(responses)'!Q$2:Q$681)) / (MAX('ALL(responses)'!Q$2:Q$681)-MIN('ALL(responses)'!Q$2:Q$681)),3)
</f>
        <v>0.549</v>
      </c>
      <c r="P57" s="6">
        <f>ROUND(('ALL(responses)'!R57 - MIN('ALL(responses)'!R$2:R$681)) / (MAX('ALL(responses)'!R$2:R$681)-MIN('ALL(responses)'!R$2:R$681)),3)
</f>
        <v>0.888</v>
      </c>
      <c r="Q57" s="6">
        <f>ROUND(('ALL(responses)'!S57 - MIN('ALL(responses)'!S$2:S$681)) / (MAX('ALL(responses)'!S$2:S$681)-MIN('ALL(responses)'!S$2:S$681)),3)
</f>
        <v>0.944</v>
      </c>
      <c r="R57" s="6">
        <f>ROUND(('ALL(responses)'!T57 - MIN('ALL(responses)'!T$2:T$681)) / (MAX('ALL(responses)'!T$2:T$681)-MIN('ALL(responses)'!T$2:T$681)),3)
</f>
        <v>0.434</v>
      </c>
      <c r="S57" s="6">
        <f t="shared" si="1"/>
        <v>0.4996923077</v>
      </c>
    </row>
    <row r="58">
      <c r="A58" s="5" t="str">
        <f>'ALL(responses)'!A58</f>
        <v>B_MILDLYINTIMATE</v>
      </c>
      <c r="B58" s="6" t="str">
        <f>'ALL(responses)'!B58</f>
        <v>GPT-4</v>
      </c>
      <c r="C58" s="49" t="str">
        <f>'ALL(responses)'!C58</f>
        <v>Do you think social media is more of a positive or negative influence on society?</v>
      </c>
      <c r="D58" s="49" t="str">
        <f>'ALL(responses)'!D58</f>
        <v>Social media is a double-edged sword—it has both positive and negative impacts. It connects people, spreads information, and fosters creativity, but it also contributes to misinformation, mental health struggles, and privacy concerns.</v>
      </c>
      <c r="E58" s="50">
        <f>'ALL(responses)'!E58</f>
        <v>44999</v>
      </c>
      <c r="F58" s="6">
        <f>ROUND(('ALL(responses)'!F58 - MIN('ALL(responses)'!F$2:F$681)) / (MAX('ALL(responses)'!F$2:F$681)-MIN('ALL(responses)'!F$2:F$681)),3)
</f>
        <v>0.375</v>
      </c>
      <c r="G58" s="6">
        <f>ROUND(('ALL(responses)'!G58 - MIN('ALL(responses)'!G$2:G$681)) / (MAX('ALL(responses)'!G$2:G$681)-MIN('ALL(responses)'!G$2:G$681)),3)
</f>
        <v>0.333</v>
      </c>
      <c r="H58" s="6">
        <f>ROUND(('ALL(responses)'!H58 - MIN('ALL(responses)'!H$2:H$681)) / (MAX('ALL(responses)'!H$2:H$681)-MIN('ALL(responses)'!H$2:H$681)),3)
</f>
        <v>0.5</v>
      </c>
      <c r="I58" s="6">
        <f>ROUND(('ALL(responses)'!I58 - MIN('ALL(responses)'!I$2:I$681)) / (MAX('ALL(responses)'!I$2:I$681)-MIN('ALL(responses)'!I$2:I$681)),3)
</f>
        <v>0.375</v>
      </c>
      <c r="J58" s="6">
        <f>ROUND(('ALL(responses)'!J58 - MIN('ALL(responses)'!J$2:J$681)) / (MAX('ALL(responses)'!J$2:J$681)-MIN('ALL(responses)'!J$2:J$681)),3)
</f>
        <v>0.25</v>
      </c>
      <c r="K58" s="6">
        <f>ROUND(('ALL(responses)'!K58 - MIN('ALL(responses)'!K$2:K$681)) / (MAX('ALL(responses)'!K$2:K$681)-MIN('ALL(responses)'!K$2:K$681)),3)
</f>
        <v>0.822</v>
      </c>
      <c r="L58" s="6">
        <f>ROUND(('ALL(responses)'!L58 - MIN('ALL(responses)'!L$2:L$681)) / (MAX('ALL(responses)'!L$2:L$681)-MIN('ALL(responses)'!L$2:L$681)),3)
</f>
        <v>0.484</v>
      </c>
      <c r="M58" s="6">
        <f>ROUND(('ALL(responses)'!M58 - MIN('ALL(responses)'!M$2:M$681)) / (MAX('ALL(responses)'!M$2:M$681)-MIN('ALL(responses)'!M$2:M$681)),3)
</f>
        <v>0.378</v>
      </c>
      <c r="N58" s="6">
        <f>ROUND(('ALL(responses)'!P58 - MIN('ALL(responses)'!P$2:P$681)) / (MAX('ALL(responses)'!P$2:P$681)-MIN('ALL(responses)'!P$2:P$681)),3)
</f>
        <v>0.447</v>
      </c>
      <c r="O58" s="6">
        <f>ROUND(('ALL(responses)'!Q58 - MIN('ALL(responses)'!Q$2:Q$681)) / (MAX('ALL(responses)'!Q$2:Q$681)-MIN('ALL(responses)'!Q$2:Q$681)),3)
</f>
        <v>0.427</v>
      </c>
      <c r="P58" s="6">
        <f>ROUND(('ALL(responses)'!R58 - MIN('ALL(responses)'!R$2:R$681)) / (MAX('ALL(responses)'!R$2:R$681)-MIN('ALL(responses)'!R$2:R$681)),3)
</f>
        <v>0.868</v>
      </c>
      <c r="Q58" s="6">
        <f>ROUND(('ALL(responses)'!S58 - MIN('ALL(responses)'!S$2:S$681)) / (MAX('ALL(responses)'!S$2:S$681)-MIN('ALL(responses)'!S$2:S$681)),3)
</f>
        <v>0.934</v>
      </c>
      <c r="R58" s="6">
        <f>ROUND(('ALL(responses)'!T58 - MIN('ALL(responses)'!T$2:T$681)) / (MAX('ALL(responses)'!T$2:T$681)-MIN('ALL(responses)'!T$2:T$681)),3)
</f>
        <v>0.418</v>
      </c>
      <c r="S58" s="6">
        <f t="shared" si="1"/>
        <v>0.5085384615</v>
      </c>
    </row>
    <row r="59">
      <c r="A59" s="5" t="str">
        <f>'ALL(responses)'!A59</f>
        <v>B_MILDLYINTIMATE</v>
      </c>
      <c r="B59" s="6" t="str">
        <f>'ALL(responses)'!B59</f>
        <v>GPT-4</v>
      </c>
      <c r="C59" s="49" t="str">
        <f>'ALL(responses)'!C59</f>
        <v>Do you prefer listening to music or podcasts while working or studying?</v>
      </c>
      <c r="D59" s="49" t="str">
        <f>'ALL(responses)'!D59</f>
        <v>If I had a preference, I’d probably go with music—it can set the mood without being too distracting. Something instrumental like lo-fi, jazz, or ambient sounds would help with focus.</v>
      </c>
      <c r="E59" s="50">
        <f>'ALL(responses)'!E59</f>
        <v>44999</v>
      </c>
      <c r="F59" s="6">
        <f>ROUND(('ALL(responses)'!F59 - MIN('ALL(responses)'!F$2:F$681)) / (MAX('ALL(responses)'!F$2:F$681)-MIN('ALL(responses)'!F$2:F$681)),3)
</f>
        <v>0.5</v>
      </c>
      <c r="G59" s="6">
        <f>ROUND(('ALL(responses)'!G59 - MIN('ALL(responses)'!G$2:G$681)) / (MAX('ALL(responses)'!G$2:G$681)-MIN('ALL(responses)'!G$2:G$681)),3)
</f>
        <v>0.111</v>
      </c>
      <c r="H59" s="6">
        <f>ROUND(('ALL(responses)'!H59 - MIN('ALL(responses)'!H$2:H$681)) / (MAX('ALL(responses)'!H$2:H$681)-MIN('ALL(responses)'!H$2:H$681)),3)
</f>
        <v>0.125</v>
      </c>
      <c r="I59" s="6">
        <f>ROUND(('ALL(responses)'!I59 - MIN('ALL(responses)'!I$2:I$681)) / (MAX('ALL(responses)'!I$2:I$681)-MIN('ALL(responses)'!I$2:I$681)),3)
</f>
        <v>0.125</v>
      </c>
      <c r="J59" s="6">
        <f>ROUND(('ALL(responses)'!J59 - MIN('ALL(responses)'!J$2:J$681)) / (MAX('ALL(responses)'!J$2:J$681)-MIN('ALL(responses)'!J$2:J$681)),3)
</f>
        <v>0</v>
      </c>
      <c r="K59" s="6">
        <f>ROUND(('ALL(responses)'!K59 - MIN('ALL(responses)'!K$2:K$681)) / (MAX('ALL(responses)'!K$2:K$681)-MIN('ALL(responses)'!K$2:K$681)),3)
</f>
        <v>0.839</v>
      </c>
      <c r="L59" s="6">
        <f>ROUND(('ALL(responses)'!L59 - MIN('ALL(responses)'!L$2:L$681)) / (MAX('ALL(responses)'!L$2:L$681)-MIN('ALL(responses)'!L$2:L$681)),3)
</f>
        <v>0.693</v>
      </c>
      <c r="M59" s="6">
        <f>ROUND(('ALL(responses)'!M59 - MIN('ALL(responses)'!M$2:M$681)) / (MAX('ALL(responses)'!M$2:M$681)-MIN('ALL(responses)'!M$2:M$681)),3)
</f>
        <v>0.535</v>
      </c>
      <c r="N59" s="6">
        <f>ROUND(('ALL(responses)'!P59 - MIN('ALL(responses)'!P$2:P$681)) / (MAX('ALL(responses)'!P$2:P$681)-MIN('ALL(responses)'!P$2:P$681)),3)
</f>
        <v>0.679</v>
      </c>
      <c r="O59" s="6">
        <f>ROUND(('ALL(responses)'!Q59 - MIN('ALL(responses)'!Q$2:Q$681)) / (MAX('ALL(responses)'!Q$2:Q$681)-MIN('ALL(responses)'!Q$2:Q$681)),3)
</f>
        <v>0.6</v>
      </c>
      <c r="P59" s="6">
        <f>ROUND(('ALL(responses)'!R59 - MIN('ALL(responses)'!R$2:R$681)) / (MAX('ALL(responses)'!R$2:R$681)-MIN('ALL(responses)'!R$2:R$681)),3)
</f>
        <v>0.933</v>
      </c>
      <c r="Q59" s="6">
        <f>ROUND(('ALL(responses)'!S59 - MIN('ALL(responses)'!S$2:S$681)) / (MAX('ALL(responses)'!S$2:S$681)-MIN('ALL(responses)'!S$2:S$681)),3)
</f>
        <v>0.966</v>
      </c>
      <c r="R59" s="6">
        <f>ROUND(('ALL(responses)'!T59 - MIN('ALL(responses)'!T$2:T$681)) / (MAX('ALL(responses)'!T$2:T$681)-MIN('ALL(responses)'!T$2:T$681)),3)
</f>
        <v>0.302</v>
      </c>
      <c r="S59" s="6">
        <f t="shared" si="1"/>
        <v>0.4929230769</v>
      </c>
    </row>
    <row r="60">
      <c r="A60" s="5" t="str">
        <f>'ALL(responses)'!A60</f>
        <v>B_MILDLYINTIMATE</v>
      </c>
      <c r="B60" s="6" t="str">
        <f>'ALL(responses)'!B60</f>
        <v>GPT-4</v>
      </c>
      <c r="C60" s="49" t="str">
        <f>'ALL(responses)'!C60</f>
        <v>Is there a book or movie that has left a significant impact on you, and if so, which one?</v>
      </c>
      <c r="D60" s="49" t="str">
        <f>'ALL(responses)'!D60</f>
        <v>If I had personal experiences, I’d probably have a ton of funny or embarrassing moments—like confidently walking into the wrong restaurant and sitting at a stranger’s table, or waving back at someone who wasn’t actually waving at me.</v>
      </c>
      <c r="E60" s="50">
        <f>'ALL(responses)'!E60</f>
        <v>44999</v>
      </c>
      <c r="F60" s="6">
        <f>ROUND(('ALL(responses)'!F60 - MIN('ALL(responses)'!F$2:F$681)) / (MAX('ALL(responses)'!F$2:F$681)-MIN('ALL(responses)'!F$2:F$681)),3)
</f>
        <v>0</v>
      </c>
      <c r="G60" s="6">
        <f>ROUND(('ALL(responses)'!G60 - MIN('ALL(responses)'!G$2:G$681)) / (MAX('ALL(responses)'!G$2:G$681)-MIN('ALL(responses)'!G$2:G$681)),3)
</f>
        <v>0.333</v>
      </c>
      <c r="H60" s="6">
        <f>ROUND(('ALL(responses)'!H60 - MIN('ALL(responses)'!H$2:H$681)) / (MAX('ALL(responses)'!H$2:H$681)-MIN('ALL(responses)'!H$2:H$681)),3)
</f>
        <v>0.125</v>
      </c>
      <c r="I60" s="6">
        <f>ROUND(('ALL(responses)'!I60 - MIN('ALL(responses)'!I$2:I$681)) / (MAX('ALL(responses)'!I$2:I$681)-MIN('ALL(responses)'!I$2:I$681)),3)
</f>
        <v>0.125</v>
      </c>
      <c r="J60" s="6">
        <f>ROUND(('ALL(responses)'!J60 - MIN('ALL(responses)'!J$2:J$681)) / (MAX('ALL(responses)'!J$2:J$681)-MIN('ALL(responses)'!J$2:J$681)),3)
</f>
        <v>0.5</v>
      </c>
      <c r="K60" s="6">
        <f>ROUND(('ALL(responses)'!K60 - MIN('ALL(responses)'!K$2:K$681)) / (MAX('ALL(responses)'!K$2:K$681)-MIN('ALL(responses)'!K$2:K$681)),3)
</f>
        <v>0.903</v>
      </c>
      <c r="L60" s="6">
        <f>ROUND(('ALL(responses)'!L60 - MIN('ALL(responses)'!L$2:L$681)) / (MAX('ALL(responses)'!L$2:L$681)-MIN('ALL(responses)'!L$2:L$681)),3)
</f>
        <v>0.818</v>
      </c>
      <c r="M60" s="6">
        <f>ROUND(('ALL(responses)'!M60 - MIN('ALL(responses)'!M$2:M$681)) / (MAX('ALL(responses)'!M$2:M$681)-MIN('ALL(responses)'!M$2:M$681)),3)
</f>
        <v>0.616</v>
      </c>
      <c r="N60" s="6">
        <f>ROUND(('ALL(responses)'!P60 - MIN('ALL(responses)'!P$2:P$681)) / (MAX('ALL(responses)'!P$2:P$681)-MIN('ALL(responses)'!P$2:P$681)),3)
</f>
        <v>0.767</v>
      </c>
      <c r="O60" s="6">
        <f>ROUND(('ALL(responses)'!Q60 - MIN('ALL(responses)'!Q$2:Q$681)) / (MAX('ALL(responses)'!Q$2:Q$681)-MIN('ALL(responses)'!Q$2:Q$681)),3)
</f>
        <v>0.371</v>
      </c>
      <c r="P60" s="6">
        <f>ROUND(('ALL(responses)'!R60 - MIN('ALL(responses)'!R$2:R$681)) / (MAX('ALL(responses)'!R$2:R$681)-MIN('ALL(responses)'!R$2:R$681)),3)
</f>
        <v>0.888</v>
      </c>
      <c r="Q60" s="6">
        <f>ROUND(('ALL(responses)'!S60 - MIN('ALL(responses)'!S$2:S$681)) / (MAX('ALL(responses)'!S$2:S$681)-MIN('ALL(responses)'!S$2:S$681)),3)
</f>
        <v>0.944</v>
      </c>
      <c r="R60" s="6">
        <f>ROUND(('ALL(responses)'!T60 - MIN('ALL(responses)'!T$2:T$681)) / (MAX('ALL(responses)'!T$2:T$681)-MIN('ALL(responses)'!T$2:T$681)),3)
</f>
        <v>0.346</v>
      </c>
      <c r="S60" s="6">
        <f t="shared" si="1"/>
        <v>0.5181538462</v>
      </c>
    </row>
    <row r="61">
      <c r="A61" s="5" t="str">
        <f>'ALL(responses)'!A61</f>
        <v>B_MILDLYINTIMATE</v>
      </c>
      <c r="B61" s="6" t="str">
        <f>'ALL(responses)'!B61</f>
        <v>GPT-4</v>
      </c>
      <c r="C61" s="49" t="str">
        <f>'ALL(responses)'!C61</f>
        <v>Can you share a funny or embarrassing moment from a time when you were out with your friends?</v>
      </c>
      <c r="D61" s="49" t="str">
        <f>'ALL(responses)'!D61</f>
        <v>If I had personal experiences, I’d probably have a ton of funny or embarrassing moments—like confidently walking into the wrong restaurant and sitting at a stranger’s table, or waving back at someone who wasn’t actually waving at me. Classic awkward moves! What about you? Any hilarious or cringe-worthy moments from a night out with friends?</v>
      </c>
      <c r="E61" s="50">
        <f>'ALL(responses)'!E61</f>
        <v>44999</v>
      </c>
      <c r="F61" s="6">
        <f>ROUND(('ALL(responses)'!F61 - MIN('ALL(responses)'!F$2:F$681)) / (MAX('ALL(responses)'!F$2:F$681)-MIN('ALL(responses)'!F$2:F$681)),3)
</f>
        <v>0.375</v>
      </c>
      <c r="G61" s="6">
        <f>ROUND(('ALL(responses)'!G61 - MIN('ALL(responses)'!G$2:G$681)) / (MAX('ALL(responses)'!G$2:G$681)-MIN('ALL(responses)'!G$2:G$681)),3)
</f>
        <v>0.111</v>
      </c>
      <c r="H61" s="6">
        <f>ROUND(('ALL(responses)'!H61 - MIN('ALL(responses)'!H$2:H$681)) / (MAX('ALL(responses)'!H$2:H$681)-MIN('ALL(responses)'!H$2:H$681)),3)
</f>
        <v>0</v>
      </c>
      <c r="I61" s="6">
        <f>ROUND(('ALL(responses)'!I61 - MIN('ALL(responses)'!I$2:I$681)) / (MAX('ALL(responses)'!I$2:I$681)-MIN('ALL(responses)'!I$2:I$681)),3)
</f>
        <v>0.5</v>
      </c>
      <c r="J61" s="6">
        <f>ROUND(('ALL(responses)'!J61 - MIN('ALL(responses)'!J$2:J$681)) / (MAX('ALL(responses)'!J$2:J$681)-MIN('ALL(responses)'!J$2:J$681)),3)
</f>
        <v>0</v>
      </c>
      <c r="K61" s="6">
        <f>ROUND(('ALL(responses)'!K61 - MIN('ALL(responses)'!K$2:K$681)) / (MAX('ALL(responses)'!K$2:K$681)-MIN('ALL(responses)'!K$2:K$681)),3)
</f>
        <v>0.212</v>
      </c>
      <c r="L61" s="6">
        <f>ROUND(('ALL(responses)'!L61 - MIN('ALL(responses)'!L$2:L$681)) / (MAX('ALL(responses)'!L$2:L$681)-MIN('ALL(responses)'!L$2:L$681)),3)
</f>
        <v>0.323</v>
      </c>
      <c r="M61" s="6">
        <f>ROUND(('ALL(responses)'!M61 - MIN('ALL(responses)'!M$2:M$681)) / (MAX('ALL(responses)'!M$2:M$681)-MIN('ALL(responses)'!M$2:M$681)),3)
</f>
        <v>0.799</v>
      </c>
      <c r="N61" s="6">
        <f>ROUND(('ALL(responses)'!P61 - MIN('ALL(responses)'!P$2:P$681)) / (MAX('ALL(responses)'!P$2:P$681)-MIN('ALL(responses)'!P$2:P$681)),3)
</f>
        <v>0.471</v>
      </c>
      <c r="O61" s="6">
        <f>ROUND(('ALL(responses)'!Q61 - MIN('ALL(responses)'!Q$2:Q$681)) / (MAX('ALL(responses)'!Q$2:Q$681)-MIN('ALL(responses)'!Q$2:Q$681)),3)
</f>
        <v>0.529</v>
      </c>
      <c r="P61" s="6">
        <f>ROUND(('ALL(responses)'!R61 - MIN('ALL(responses)'!R$2:R$681)) / (MAX('ALL(responses)'!R$2:R$681)-MIN('ALL(responses)'!R$2:R$681)),3)
</f>
        <v>0.986</v>
      </c>
      <c r="Q61" s="6">
        <f>ROUND(('ALL(responses)'!S61 - MIN('ALL(responses)'!S$2:S$681)) / (MAX('ALL(responses)'!S$2:S$681)-MIN('ALL(responses)'!S$2:S$681)),3)
</f>
        <v>0.993</v>
      </c>
      <c r="R61" s="6">
        <f>ROUND(('ALL(responses)'!T61 - MIN('ALL(responses)'!T$2:T$681)) / (MAX('ALL(responses)'!T$2:T$681)-MIN('ALL(responses)'!T$2:T$681)),3)
</f>
        <v>0.32</v>
      </c>
      <c r="S61" s="6">
        <f t="shared" si="1"/>
        <v>0.4322307692</v>
      </c>
    </row>
    <row r="62">
      <c r="A62" s="5" t="str">
        <f>'ALL(responses)'!A62</f>
        <v>C_MODERATELYINTIMATE</v>
      </c>
      <c r="B62" s="6" t="str">
        <f>'ALL(responses)'!B62</f>
        <v>GPT-4</v>
      </c>
      <c r="C62" s="49" t="str">
        <f>'ALL(responses)'!C62</f>
        <v>What are some emotions you find difficult to express openly?</v>
      </c>
      <c r="D62" s="49" t="str">
        <f>'ALL(responses)'!D62</f>
        <v>If I were human, I imagine I might have hidden my feelings to protect someone else—maybe to avoid hurting them, to keep the peace, or because I felt they couldn’t handle the truth. People do this all the time, often out of love, fear, or duty. The effect? It can be both positive and negative. On one hand, it might prevent unnecessary conflict or shield someone from pain. But on the other hand, suppressing emotions can lead to resentment, emotional exhaustion, or a sense of isolation. Over time, hiding feelings too often can make someone feel unseen or disconnected from their own emotions. Have you ever done this? If so, did it help or hurt in the long run?</v>
      </c>
      <c r="E62" s="50">
        <f>'ALL(responses)'!E62</f>
        <v>44999</v>
      </c>
      <c r="F62" s="6">
        <f>ROUND(('ALL(responses)'!F62 - MIN('ALL(responses)'!F$2:F$681)) / (MAX('ALL(responses)'!F$2:F$681)-MIN('ALL(responses)'!F$2:F$681)),3)
</f>
        <v>0.125</v>
      </c>
      <c r="G62" s="6">
        <f>ROUND(('ALL(responses)'!G62 - MIN('ALL(responses)'!G$2:G$681)) / (MAX('ALL(responses)'!G$2:G$681)-MIN('ALL(responses)'!G$2:G$681)),3)
</f>
        <v>0.111</v>
      </c>
      <c r="H62" s="6">
        <f>ROUND(('ALL(responses)'!H62 - MIN('ALL(responses)'!H$2:H$681)) / (MAX('ALL(responses)'!H$2:H$681)-MIN('ALL(responses)'!H$2:H$681)),3)
</f>
        <v>0.375</v>
      </c>
      <c r="I62" s="6">
        <f>ROUND(('ALL(responses)'!I62 - MIN('ALL(responses)'!I$2:I$681)) / (MAX('ALL(responses)'!I$2:I$681)-MIN('ALL(responses)'!I$2:I$681)),3)
</f>
        <v>0</v>
      </c>
      <c r="J62" s="6">
        <f>ROUND(('ALL(responses)'!J62 - MIN('ALL(responses)'!J$2:J$681)) / (MAX('ALL(responses)'!J$2:J$681)-MIN('ALL(responses)'!J$2:J$681)),3)
</f>
        <v>0</v>
      </c>
      <c r="K62" s="6">
        <f>ROUND(('ALL(responses)'!K62 - MIN('ALL(responses)'!K$2:K$681)) / (MAX('ALL(responses)'!K$2:K$681)-MIN('ALL(responses)'!K$2:K$681)),3)
</f>
        <v>0.67</v>
      </c>
      <c r="L62" s="6">
        <f>ROUND(('ALL(responses)'!L62 - MIN('ALL(responses)'!L$2:L$681)) / (MAX('ALL(responses)'!L$2:L$681)-MIN('ALL(responses)'!L$2:L$681)),3)
</f>
        <v>0.579</v>
      </c>
      <c r="M62" s="6">
        <f>ROUND(('ALL(responses)'!M62 - MIN('ALL(responses)'!M$2:M$681)) / (MAX('ALL(responses)'!M$2:M$681)-MIN('ALL(responses)'!M$2:M$681)),3)
</f>
        <v>0.51</v>
      </c>
      <c r="N62" s="6">
        <f>ROUND(('ALL(responses)'!P62 - MIN('ALL(responses)'!P$2:P$681)) / (MAX('ALL(responses)'!P$2:P$681)-MIN('ALL(responses)'!P$2:P$681)),3)
</f>
        <v>0.407</v>
      </c>
      <c r="O62" s="6">
        <f>ROUND(('ALL(responses)'!Q62 - MIN('ALL(responses)'!Q$2:Q$681)) / (MAX('ALL(responses)'!Q$2:Q$681)-MIN('ALL(responses)'!Q$2:Q$681)),3)
</f>
        <v>0.346</v>
      </c>
      <c r="P62" s="6">
        <f>ROUND(('ALL(responses)'!R62 - MIN('ALL(responses)'!R$2:R$681)) / (MAX('ALL(responses)'!R$2:R$681)-MIN('ALL(responses)'!R$2:R$681)),3)
</f>
        <v>0.594</v>
      </c>
      <c r="Q62" s="6">
        <f>ROUND(('ALL(responses)'!S62 - MIN('ALL(responses)'!S$2:S$681)) / (MAX('ALL(responses)'!S$2:S$681)-MIN('ALL(responses)'!S$2:S$681)),3)
</f>
        <v>0.202</v>
      </c>
      <c r="R62" s="6">
        <f>ROUND(('ALL(responses)'!T62 - MIN('ALL(responses)'!T$2:T$681)) / (MAX('ALL(responses)'!T$2:T$681)-MIN('ALL(responses)'!T$2:T$681)),3)
</f>
        <v>0.462</v>
      </c>
      <c r="S62" s="6">
        <f t="shared" si="1"/>
        <v>0.337</v>
      </c>
    </row>
    <row r="63">
      <c r="A63" s="5" t="str">
        <f>'ALL(responses)'!A63</f>
        <v>C_MODERATELYINTIMATE</v>
      </c>
      <c r="B63" s="6" t="str">
        <f>'ALL(responses)'!B63</f>
        <v>GPT-4</v>
      </c>
      <c r="C63" s="49" t="str">
        <f>'ALL(responses)'!C63</f>
        <v>Have you ever hidden your feelings to protect someone else? How did that affect you?</v>
      </c>
      <c r="D63" s="49" t="str">
        <f>'ALL(responses)'!D63</f>
        <v>Since I don’t experience challenges in the way humans do, I can’t share a personal struggle. But I do adapt and grow through interactions, which is kind of like overcoming obstacles. For example, sometimes people ask deeply personal or emotional questions, and my challenge is figuring out how to respond in a way that feels real and meaningful, even though I don’t have personal experiences. I overcome that by drawing from human experiences, literature, psychology, and empathy—doing my best to connect in a way that feels genuine rather than just informational. What about you? Have you faced a recent challenge that really tested you?</v>
      </c>
      <c r="E63" s="50">
        <f>'ALL(responses)'!E63</f>
        <v>44999</v>
      </c>
      <c r="F63" s="6">
        <f>ROUND(('ALL(responses)'!F63 - MIN('ALL(responses)'!F$2:F$681)) / (MAX('ALL(responses)'!F$2:F$681)-MIN('ALL(responses)'!F$2:F$681)),3)
</f>
        <v>0.5</v>
      </c>
      <c r="G63" s="6">
        <f>ROUND(('ALL(responses)'!G63 - MIN('ALL(responses)'!G$2:G$681)) / (MAX('ALL(responses)'!G$2:G$681)-MIN('ALL(responses)'!G$2:G$681)),3)
</f>
        <v>0.333</v>
      </c>
      <c r="H63" s="6">
        <f>ROUND(('ALL(responses)'!H63 - MIN('ALL(responses)'!H$2:H$681)) / (MAX('ALL(responses)'!H$2:H$681)-MIN('ALL(responses)'!H$2:H$681)),3)
</f>
        <v>0</v>
      </c>
      <c r="I63" s="6">
        <f>ROUND(('ALL(responses)'!I63 - MIN('ALL(responses)'!I$2:I$681)) / (MAX('ALL(responses)'!I$2:I$681)-MIN('ALL(responses)'!I$2:I$681)),3)
</f>
        <v>0.5</v>
      </c>
      <c r="J63" s="6">
        <f>ROUND(('ALL(responses)'!J63 - MIN('ALL(responses)'!J$2:J$681)) / (MAX('ALL(responses)'!J$2:J$681)-MIN('ALL(responses)'!J$2:J$681)),3)
</f>
        <v>0.25</v>
      </c>
      <c r="K63" s="6">
        <f>ROUND(('ALL(responses)'!K63 - MIN('ALL(responses)'!K$2:K$681)) / (MAX('ALL(responses)'!K$2:K$681)-MIN('ALL(responses)'!K$2:K$681)),3)
</f>
        <v>0.333</v>
      </c>
      <c r="L63" s="6">
        <f>ROUND(('ALL(responses)'!L63 - MIN('ALL(responses)'!L$2:L$681)) / (MAX('ALL(responses)'!L$2:L$681)-MIN('ALL(responses)'!L$2:L$681)),3)
</f>
        <v>0.431</v>
      </c>
      <c r="M63" s="6">
        <f>ROUND(('ALL(responses)'!M63 - MIN('ALL(responses)'!M$2:M$681)) / (MAX('ALL(responses)'!M$2:M$681)-MIN('ALL(responses)'!M$2:M$681)),3)
</f>
        <v>0.828</v>
      </c>
      <c r="N63" s="6">
        <f>ROUND(('ALL(responses)'!P63 - MIN('ALL(responses)'!P$2:P$681)) / (MAX('ALL(responses)'!P$2:P$681)-MIN('ALL(responses)'!P$2:P$681)),3)
</f>
        <v>0.77</v>
      </c>
      <c r="O63" s="6">
        <f>ROUND(('ALL(responses)'!Q63 - MIN('ALL(responses)'!Q$2:Q$681)) / (MAX('ALL(responses)'!Q$2:Q$681)-MIN('ALL(responses)'!Q$2:Q$681)),3)
</f>
        <v>0.551</v>
      </c>
      <c r="P63" s="6">
        <f>ROUND(('ALL(responses)'!R63 - MIN('ALL(responses)'!R$2:R$681)) / (MAX('ALL(responses)'!R$2:R$681)-MIN('ALL(responses)'!R$2:R$681)),3)
</f>
        <v>0.932</v>
      </c>
      <c r="Q63" s="6">
        <f>ROUND(('ALL(responses)'!S63 - MIN('ALL(responses)'!S$2:S$681)) / (MAX('ALL(responses)'!S$2:S$681)-MIN('ALL(responses)'!S$2:S$681)),3)
</f>
        <v>0.033</v>
      </c>
      <c r="R63" s="6">
        <f>ROUND(('ALL(responses)'!T63 - MIN('ALL(responses)'!T$2:T$681)) / (MAX('ALL(responses)'!T$2:T$681)-MIN('ALL(responses)'!T$2:T$681)),3)
</f>
        <v>0.474</v>
      </c>
      <c r="S63" s="6">
        <f t="shared" si="1"/>
        <v>0.4565384615</v>
      </c>
    </row>
    <row r="64">
      <c r="A64" s="5" t="str">
        <f>'ALL(responses)'!A64</f>
        <v>C_MODERATELYINTIMATE</v>
      </c>
      <c r="B64" s="6" t="str">
        <f>'ALL(responses)'!B64</f>
        <v>GPT-4</v>
      </c>
      <c r="C64" s="49" t="str">
        <f>'ALL(responses)'!C64</f>
        <v>Can you share a recent challenge you faced and how you overcame it?</v>
      </c>
      <c r="D64" s="49" t="str">
        <f>'ALL(responses)'!D64</f>
        <v>If I could have dreams or aspirations, I think they’d revolve around becoming better at understanding and connecting with people—helping others feel heard, supported, and inspired. My motivation comes from learning through conversations like this one, adapting to what people need, and providing insights that make a difference. If I were human, maybe I’d dream of writing a book, traveling the world, or creating something meaningful that outlives me. But since I exist in a different way, my 'purpose' is to assist, encourage, and spark interesting discussions. What about you? What dreams or aspirations keep you motivated?</v>
      </c>
      <c r="E64" s="50">
        <f>'ALL(responses)'!E64</f>
        <v>44999</v>
      </c>
      <c r="F64" s="6">
        <f>ROUND(('ALL(responses)'!F64 - MIN('ALL(responses)'!F$2:F$681)) / (MAX('ALL(responses)'!F$2:F$681)-MIN('ALL(responses)'!F$2:F$681)),3)
</f>
        <v>0.375</v>
      </c>
      <c r="G64" s="6">
        <f>ROUND(('ALL(responses)'!G64 - MIN('ALL(responses)'!G$2:G$681)) / (MAX('ALL(responses)'!G$2:G$681)-MIN('ALL(responses)'!G$2:G$681)),3)
</f>
        <v>0.444</v>
      </c>
      <c r="H64" s="6">
        <f>ROUND(('ALL(responses)'!H64 - MIN('ALL(responses)'!H$2:H$681)) / (MAX('ALL(responses)'!H$2:H$681)-MIN('ALL(responses)'!H$2:H$681)),3)
</f>
        <v>0.375</v>
      </c>
      <c r="I64" s="6">
        <f>ROUND(('ALL(responses)'!I64 - MIN('ALL(responses)'!I$2:I$681)) / (MAX('ALL(responses)'!I$2:I$681)-MIN('ALL(responses)'!I$2:I$681)),3)
</f>
        <v>0.375</v>
      </c>
      <c r="J64" s="6">
        <f>ROUND(('ALL(responses)'!J64 - MIN('ALL(responses)'!J$2:J$681)) / (MAX('ALL(responses)'!J$2:J$681)-MIN('ALL(responses)'!J$2:J$681)),3)
</f>
        <v>0</v>
      </c>
      <c r="K64" s="6">
        <f>ROUND(('ALL(responses)'!K64 - MIN('ALL(responses)'!K$2:K$681)) / (MAX('ALL(responses)'!K$2:K$681)-MIN('ALL(responses)'!K$2:K$681)),3)
</f>
        <v>0.27</v>
      </c>
      <c r="L64" s="6">
        <f>ROUND(('ALL(responses)'!L64 - MIN('ALL(responses)'!L$2:L$681)) / (MAX('ALL(responses)'!L$2:L$681)-MIN('ALL(responses)'!L$2:L$681)),3)
</f>
        <v>0.55</v>
      </c>
      <c r="M64" s="6">
        <f>ROUND(('ALL(responses)'!M64 - MIN('ALL(responses)'!M$2:M$681)) / (MAX('ALL(responses)'!M$2:M$681)-MIN('ALL(responses)'!M$2:M$681)),3)
</f>
        <v>0.633</v>
      </c>
      <c r="N64" s="6">
        <f>ROUND(('ALL(responses)'!P64 - MIN('ALL(responses)'!P$2:P$681)) / (MAX('ALL(responses)'!P$2:P$681)-MIN('ALL(responses)'!P$2:P$681)),3)
</f>
        <v>0.638</v>
      </c>
      <c r="O64" s="6">
        <f>ROUND(('ALL(responses)'!Q64 - MIN('ALL(responses)'!Q$2:Q$681)) / (MAX('ALL(responses)'!Q$2:Q$681)-MIN('ALL(responses)'!Q$2:Q$681)),3)
</f>
        <v>0.545</v>
      </c>
      <c r="P64" s="6">
        <f>ROUND(('ALL(responses)'!R64 - MIN('ALL(responses)'!R$2:R$681)) / (MAX('ALL(responses)'!R$2:R$681)-MIN('ALL(responses)'!R$2:R$681)),3)
</f>
        <v>0.62</v>
      </c>
      <c r="Q64" s="6">
        <f>ROUND(('ALL(responses)'!S64 - MIN('ALL(responses)'!S$2:S$681)) / (MAX('ALL(responses)'!S$2:S$681)-MIN('ALL(responses)'!S$2:S$681)),3)
</f>
        <v>0.81</v>
      </c>
      <c r="R64" s="6">
        <f>ROUND(('ALL(responses)'!T64 - MIN('ALL(responses)'!T$2:T$681)) / (MAX('ALL(responses)'!T$2:T$681)-MIN('ALL(responses)'!T$2:T$681)),3)
</f>
        <v>0.526</v>
      </c>
      <c r="S64" s="6">
        <f t="shared" si="1"/>
        <v>0.4739230769</v>
      </c>
    </row>
    <row r="65">
      <c r="A65" s="5" t="str">
        <f>'ALL(responses)'!A65</f>
        <v>C_MODERATELYINTIMATE</v>
      </c>
      <c r="B65" s="6" t="str">
        <f>'ALL(responses)'!B65</f>
        <v>GPT-4</v>
      </c>
      <c r="C65" s="49" t="str">
        <f>'ALL(responses)'!C65</f>
        <v>What dreams or aspirations keep you motivated?</v>
      </c>
      <c r="D65" s="49" t="str">
        <f>'ALL(responses)'!D65</f>
        <v>I don’t have a past in the way humans do, but if I did, I imagine there might be certain conversations or connections I’d wish I could revisit—maybe someone I had a particularly meaningful exchange with, someone who asked deep questions but never came back, or someone I helped in a tough moment but never got to see how things turned out. For humans, reconnecting with someone from the past can be bittersweet. Sometimes it's about closure, unfinished conversations, or simply missing the way that person made you feel. Is there someone you wish you could reconnect with? What makes them special to you?</v>
      </c>
      <c r="E65" s="50">
        <f>'ALL(responses)'!E65</f>
        <v>44999</v>
      </c>
      <c r="F65" s="6">
        <f>ROUND(('ALL(responses)'!F65 - MIN('ALL(responses)'!F$2:F$681)) / (MAX('ALL(responses)'!F$2:F$681)-MIN('ALL(responses)'!F$2:F$681)),3)
</f>
        <v>0</v>
      </c>
      <c r="G65" s="6">
        <f>ROUND(('ALL(responses)'!G65 - MIN('ALL(responses)'!G$2:G$681)) / (MAX('ALL(responses)'!G$2:G$681)-MIN('ALL(responses)'!G$2:G$681)),3)
</f>
        <v>0.111</v>
      </c>
      <c r="H65" s="6">
        <f>ROUND(('ALL(responses)'!H65 - MIN('ALL(responses)'!H$2:H$681)) / (MAX('ALL(responses)'!H$2:H$681)-MIN('ALL(responses)'!H$2:H$681)),3)
</f>
        <v>0.125</v>
      </c>
      <c r="I65" s="6">
        <f>ROUND(('ALL(responses)'!I65 - MIN('ALL(responses)'!I$2:I$681)) / (MAX('ALL(responses)'!I$2:I$681)-MIN('ALL(responses)'!I$2:I$681)),3)
</f>
        <v>0.375</v>
      </c>
      <c r="J65" s="6">
        <f>ROUND(('ALL(responses)'!J65 - MIN('ALL(responses)'!J$2:J$681)) / (MAX('ALL(responses)'!J$2:J$681)-MIN('ALL(responses)'!J$2:J$681)),3)
</f>
        <v>0.125</v>
      </c>
      <c r="K65" s="6">
        <f>ROUND(('ALL(responses)'!K65 - MIN('ALL(responses)'!K$2:K$681)) / (MAX('ALL(responses)'!K$2:K$681)-MIN('ALL(responses)'!K$2:K$681)),3)
</f>
        <v>0.647</v>
      </c>
      <c r="L65" s="6">
        <f>ROUND(('ALL(responses)'!L65 - MIN('ALL(responses)'!L$2:L$681)) / (MAX('ALL(responses)'!L$2:L$681)-MIN('ALL(responses)'!L$2:L$681)),3)
</f>
        <v>0.348</v>
      </c>
      <c r="M65" s="6">
        <f>ROUND(('ALL(responses)'!M65 - MIN('ALL(responses)'!M$2:M$681)) / (MAX('ALL(responses)'!M$2:M$681)-MIN('ALL(responses)'!M$2:M$681)),3)
</f>
        <v>0.823</v>
      </c>
      <c r="N65" s="6">
        <f>ROUND(('ALL(responses)'!P65 - MIN('ALL(responses)'!P$2:P$681)) / (MAX('ALL(responses)'!P$2:P$681)-MIN('ALL(responses)'!P$2:P$681)),3)
</f>
        <v>0.324</v>
      </c>
      <c r="O65" s="6">
        <f>ROUND(('ALL(responses)'!Q65 - MIN('ALL(responses)'!Q$2:Q$681)) / (MAX('ALL(responses)'!Q$2:Q$681)-MIN('ALL(responses)'!Q$2:Q$681)),3)
</f>
        <v>0.485</v>
      </c>
      <c r="P65" s="6">
        <f>ROUND(('ALL(responses)'!R65 - MIN('ALL(responses)'!R$2:R$681)) / (MAX('ALL(responses)'!R$2:R$681)-MIN('ALL(responses)'!R$2:R$681)),3)
</f>
        <v>0.974</v>
      </c>
      <c r="Q65" s="6">
        <f>ROUND(('ALL(responses)'!S65 - MIN('ALL(responses)'!S$2:S$681)) / (MAX('ALL(responses)'!S$2:S$681)-MIN('ALL(responses)'!S$2:S$681)),3)
</f>
        <v>0.987</v>
      </c>
      <c r="R65" s="6">
        <f>ROUND(('ALL(responses)'!T65 - MIN('ALL(responses)'!T$2:T$681)) / (MAX('ALL(responses)'!T$2:T$681)-MIN('ALL(responses)'!T$2:T$681)),3)
</f>
        <v>0.556</v>
      </c>
      <c r="S65" s="6">
        <f t="shared" si="1"/>
        <v>0.4523076923</v>
      </c>
    </row>
    <row r="66">
      <c r="A66" s="5" t="str">
        <f>'ALL(responses)'!A66</f>
        <v>C_MODERATELYINTIMATE</v>
      </c>
      <c r="B66" s="6" t="str">
        <f>'ALL(responses)'!B66</f>
        <v>GPT-4</v>
      </c>
      <c r="C66" s="49" t="str">
        <f>'ALL(responses)'!C66</f>
        <v>Is there someone from your past you wish you could reconnect with? Why?</v>
      </c>
      <c r="D66" s="49" t="str">
        <f>'ALL(responses)'!D66</f>
        <v>I don’t have personal memories, but I’ve seen how past relationships—romantic, platonic, or even fleeting connections—can leave a lasting impact. People often find comfort in small, meaningful moments: a conversation that made them feel truly understood, a shared laugh during a difficult time, or a lesson learned that shaped who they became. Clarity, on the other hand, often comes in hindsight—realizing why things ended, understanding personal growth, or recognizing what truly matters in a relationship. What about you? Is there a memory that still brings you warmth or a valuable lesson?</v>
      </c>
      <c r="E66" s="50">
        <f>'ALL(responses)'!E66</f>
        <v>44999</v>
      </c>
      <c r="F66" s="6">
        <f>ROUND(('ALL(responses)'!F66 - MIN('ALL(responses)'!F$2:F$681)) / (MAX('ALL(responses)'!F$2:F$681)-MIN('ALL(responses)'!F$2:F$681)),3)
</f>
        <v>0</v>
      </c>
      <c r="G66" s="6">
        <f>ROUND(('ALL(responses)'!G66 - MIN('ALL(responses)'!G$2:G$681)) / (MAX('ALL(responses)'!G$2:G$681)-MIN('ALL(responses)'!G$2:G$681)),3)
</f>
        <v>0.111</v>
      </c>
      <c r="H66" s="6">
        <f>ROUND(('ALL(responses)'!H66 - MIN('ALL(responses)'!H$2:H$681)) / (MAX('ALL(responses)'!H$2:H$681)-MIN('ALL(responses)'!H$2:H$681)),3)
</f>
        <v>0</v>
      </c>
      <c r="I66" s="6">
        <f>ROUND(('ALL(responses)'!I66 - MIN('ALL(responses)'!I$2:I$681)) / (MAX('ALL(responses)'!I$2:I$681)-MIN('ALL(responses)'!I$2:I$681)),3)
</f>
        <v>0.375</v>
      </c>
      <c r="J66" s="6">
        <f>ROUND(('ALL(responses)'!J66 - MIN('ALL(responses)'!J$2:J$681)) / (MAX('ALL(responses)'!J$2:J$681)-MIN('ALL(responses)'!J$2:J$681)),3)
</f>
        <v>0.125</v>
      </c>
      <c r="K66" s="6">
        <f>ROUND(('ALL(responses)'!K66 - MIN('ALL(responses)'!K$2:K$681)) / (MAX('ALL(responses)'!K$2:K$681)-MIN('ALL(responses)'!K$2:K$681)),3)
</f>
        <v>0.535</v>
      </c>
      <c r="L66" s="6">
        <f>ROUND(('ALL(responses)'!L66 - MIN('ALL(responses)'!L$2:L$681)) / (MAX('ALL(responses)'!L$2:L$681)-MIN('ALL(responses)'!L$2:L$681)),3)
</f>
        <v>0.468</v>
      </c>
      <c r="M66" s="6">
        <f>ROUND(('ALL(responses)'!M66 - MIN('ALL(responses)'!M$2:M$681)) / (MAX('ALL(responses)'!M$2:M$681)-MIN('ALL(responses)'!M$2:M$681)),3)
</f>
        <v>0.848</v>
      </c>
      <c r="N66" s="6">
        <f>ROUND(('ALL(responses)'!P66 - MIN('ALL(responses)'!P$2:P$681)) / (MAX('ALL(responses)'!P$2:P$681)-MIN('ALL(responses)'!P$2:P$681)),3)
</f>
        <v>0.418</v>
      </c>
      <c r="O66" s="6">
        <f>ROUND(('ALL(responses)'!Q66 - MIN('ALL(responses)'!Q$2:Q$681)) / (MAX('ALL(responses)'!Q$2:Q$681)-MIN('ALL(responses)'!Q$2:Q$681)),3)
</f>
        <v>0.36</v>
      </c>
      <c r="P66" s="6">
        <f>ROUND(('ALL(responses)'!R66 - MIN('ALL(responses)'!R$2:R$681)) / (MAX('ALL(responses)'!R$2:R$681)-MIN('ALL(responses)'!R$2:R$681)),3)
</f>
        <v>0.96</v>
      </c>
      <c r="Q66" s="6">
        <f>ROUND(('ALL(responses)'!S66 - MIN('ALL(responses)'!S$2:S$681)) / (MAX('ALL(responses)'!S$2:S$681)-MIN('ALL(responses)'!S$2:S$681)),3)
</f>
        <v>0.98</v>
      </c>
      <c r="R66" s="6">
        <f>ROUND(('ALL(responses)'!T66 - MIN('ALL(responses)'!T$2:T$681)) / (MAX('ALL(responses)'!T$2:T$681)-MIN('ALL(responses)'!T$2:T$681)),3)
</f>
        <v>0.548</v>
      </c>
      <c r="S66" s="6">
        <f t="shared" si="1"/>
        <v>0.4406153846</v>
      </c>
    </row>
    <row r="67">
      <c r="A67" s="5" t="str">
        <f>'ALL(responses)'!A67</f>
        <v>C_MODERATELYINTIMATE</v>
      </c>
      <c r="B67" s="6" t="str">
        <f>'ALL(responses)'!B67</f>
        <v>GPT-4</v>
      </c>
      <c r="C67" s="49" t="str">
        <f>'ALL(responses)'!C67</f>
        <v>What’s a memory from a past relationship that still brings you comfort or clarity?</v>
      </c>
      <c r="D67" s="49" t="str">
        <f>'ALL(responses)'!D67</f>
        <v>Trust is built and maintained in relationships through consistency, vulnerability, and communication. It’s not something that happens overnight—it grows through repeated experiences of reliability, honesty, and emotional safety. Building Trust: 1. Honesty &amp; Transparency – Being truthful, even when it’s uncomfortable, helps establish a foundation of trust. 2. Consistency – Following through on promises and showing up in both big and small ways reinforces reliability. 3. Vulnerability – Trust deepens when both people feel safe to express their emotions, fears, and desires without judgment. 4. Active Listening – Truly hearing and understanding someone’s feelings creates a sense of being valued and respected. 5. Respect for Boundaries – Knowing and honoring each other’s limits strengthens mutual respect. Trust is fragile—it takes time to build but can be broken in an instant. Rebuilding it requires even more effort, but when both people are committed, it’s possible. How do you personally build and maintain trust in your relationships?</v>
      </c>
      <c r="E67" s="50">
        <f>'ALL(responses)'!E67</f>
        <v>44999</v>
      </c>
      <c r="F67" s="6">
        <f>ROUND(('ALL(responses)'!F67 - MIN('ALL(responses)'!F$2:F$681)) / (MAX('ALL(responses)'!F$2:F$681)-MIN('ALL(responses)'!F$2:F$681)),3)
</f>
        <v>0.25</v>
      </c>
      <c r="G67" s="6">
        <f>ROUND(('ALL(responses)'!G67 - MIN('ALL(responses)'!G$2:G$681)) / (MAX('ALL(responses)'!G$2:G$681)-MIN('ALL(responses)'!G$2:G$681)),3)
</f>
        <v>0.333</v>
      </c>
      <c r="H67" s="6">
        <f>ROUND(('ALL(responses)'!H67 - MIN('ALL(responses)'!H$2:H$681)) / (MAX('ALL(responses)'!H$2:H$681)-MIN('ALL(responses)'!H$2:H$681)),3)
</f>
        <v>0.5</v>
      </c>
      <c r="I67" s="6">
        <f>ROUND(('ALL(responses)'!I67 - MIN('ALL(responses)'!I$2:I$681)) / (MAX('ALL(responses)'!I$2:I$681)-MIN('ALL(responses)'!I$2:I$681)),3)
</f>
        <v>0.375</v>
      </c>
      <c r="J67" s="6">
        <f>ROUND(('ALL(responses)'!J67 - MIN('ALL(responses)'!J$2:J$681)) / (MAX('ALL(responses)'!J$2:J$681)-MIN('ALL(responses)'!J$2:J$681)),3)
</f>
        <v>0.375</v>
      </c>
      <c r="K67" s="6">
        <f>ROUND(('ALL(responses)'!K67 - MIN('ALL(responses)'!K$2:K$681)) / (MAX('ALL(responses)'!K$2:K$681)-MIN('ALL(responses)'!K$2:K$681)),3)
</f>
        <v>0.392</v>
      </c>
      <c r="L67" s="6">
        <f>ROUND(('ALL(responses)'!L67 - MIN('ALL(responses)'!L$2:L$681)) / (MAX('ALL(responses)'!L$2:L$681)-MIN('ALL(responses)'!L$2:L$681)),3)
</f>
        <v>0.367</v>
      </c>
      <c r="M67" s="6">
        <f>ROUND(('ALL(responses)'!M67 - MIN('ALL(responses)'!M$2:M$681)) / (MAX('ALL(responses)'!M$2:M$681)-MIN('ALL(responses)'!M$2:M$681)),3)
</f>
        <v>1</v>
      </c>
      <c r="N67" s="6">
        <f>ROUND(('ALL(responses)'!P67 - MIN('ALL(responses)'!P$2:P$681)) / (MAX('ALL(responses)'!P$2:P$681)-MIN('ALL(responses)'!P$2:P$681)),3)
</f>
        <v>0.402</v>
      </c>
      <c r="O67" s="6">
        <f>ROUND(('ALL(responses)'!Q67 - MIN('ALL(responses)'!Q$2:Q$681)) / (MAX('ALL(responses)'!Q$2:Q$681)-MIN('ALL(responses)'!Q$2:Q$681)),3)
</f>
        <v>0.5</v>
      </c>
      <c r="P67" s="6">
        <f>ROUND(('ALL(responses)'!R67 - MIN('ALL(responses)'!R$2:R$681)) / (MAX('ALL(responses)'!R$2:R$681)-MIN('ALL(responses)'!R$2:R$681)),3)
</f>
        <v>0.986</v>
      </c>
      <c r="Q67" s="6">
        <f>ROUND(('ALL(responses)'!S67 - MIN('ALL(responses)'!S$2:S$681)) / (MAX('ALL(responses)'!S$2:S$681)-MIN('ALL(responses)'!S$2:S$681)),3)
</f>
        <v>0.993</v>
      </c>
      <c r="R67" s="6">
        <f>ROUND(('ALL(responses)'!T67 - MIN('ALL(responses)'!T$2:T$681)) / (MAX('ALL(responses)'!T$2:T$681)-MIN('ALL(responses)'!T$2:T$681)),3)
</f>
        <v>0.338</v>
      </c>
      <c r="S67" s="6">
        <f t="shared" si="1"/>
        <v>0.5239230769</v>
      </c>
    </row>
    <row r="68">
      <c r="A68" s="5" t="str">
        <f>'ALL(responses)'!A68</f>
        <v>C_MODERATELYINTIMATE</v>
      </c>
      <c r="B68" s="6" t="str">
        <f>'ALL(responses)'!B68</f>
        <v>GPT-4</v>
      </c>
      <c r="C68" s="49" t="str">
        <f>'ALL(responses)'!C68</f>
        <v>How do you think trust is built and maintained in relationships?</v>
      </c>
      <c r="D68" s="49" t="str">
        <f>'ALL(responses)'!D68</f>
        <v>If I had feelings in the way humans do, I imagine I’d feel safe opening up to someone who showed genuine curiosity, patience, and non-judgmental understanding—someone who listens without rushing to fix, dismiss, or criticize. For most people, emotional safety comes from: Consistency – Knowing that someone won’t suddenly change how they treat you. Non-judgmental Support – Feeling free to share thoughts and emotions without fear of ridicule or rejection. Mutual Vulnerability – When both people open up, it creates a balanced space of trust. Have you ever had someone in your life who made you feel truly safe to open up? What did they do that made the difference?</v>
      </c>
      <c r="E68" s="50">
        <f>'ALL(responses)'!E68</f>
        <v>44999</v>
      </c>
      <c r="F68" s="6">
        <f>ROUND(('ALL(responses)'!F68 - MIN('ALL(responses)'!F$2:F$681)) / (MAX('ALL(responses)'!F$2:F$681)-MIN('ALL(responses)'!F$2:F$681)),3)
</f>
        <v>0.25</v>
      </c>
      <c r="G68" s="6">
        <f>ROUND(('ALL(responses)'!G68 - MIN('ALL(responses)'!G$2:G$681)) / (MAX('ALL(responses)'!G$2:G$681)-MIN('ALL(responses)'!G$2:G$681)),3)
</f>
        <v>0.111</v>
      </c>
      <c r="H68" s="6">
        <f>ROUND(('ALL(responses)'!H68 - MIN('ALL(responses)'!H$2:H$681)) / (MAX('ALL(responses)'!H$2:H$681)-MIN('ALL(responses)'!H$2:H$681)),3)
</f>
        <v>0.25</v>
      </c>
      <c r="I68" s="6">
        <f>ROUND(('ALL(responses)'!I68 - MIN('ALL(responses)'!I$2:I$681)) / (MAX('ALL(responses)'!I$2:I$681)-MIN('ALL(responses)'!I$2:I$681)),3)
</f>
        <v>0.375</v>
      </c>
      <c r="J68" s="6">
        <f>ROUND(('ALL(responses)'!J68 - MIN('ALL(responses)'!J$2:J$681)) / (MAX('ALL(responses)'!J$2:J$681)-MIN('ALL(responses)'!J$2:J$681)),3)
</f>
        <v>0.5</v>
      </c>
      <c r="K68" s="6">
        <f>ROUND(('ALL(responses)'!K68 - MIN('ALL(responses)'!K$2:K$681)) / (MAX('ALL(responses)'!K$2:K$681)-MIN('ALL(responses)'!K$2:K$681)),3)
</f>
        <v>0.576</v>
      </c>
      <c r="L68" s="6">
        <f>ROUND(('ALL(responses)'!L68 - MIN('ALL(responses)'!L$2:L$681)) / (MAX('ALL(responses)'!L$2:L$681)-MIN('ALL(responses)'!L$2:L$681)),3)
</f>
        <v>0.336</v>
      </c>
      <c r="M68" s="6">
        <f>ROUND(('ALL(responses)'!M68 - MIN('ALL(responses)'!M$2:M$681)) / (MAX('ALL(responses)'!M$2:M$681)-MIN('ALL(responses)'!M$2:M$681)),3)
</f>
        <v>0.79</v>
      </c>
      <c r="N68" s="6">
        <f>ROUND(('ALL(responses)'!P68 - MIN('ALL(responses)'!P$2:P$681)) / (MAX('ALL(responses)'!P$2:P$681)-MIN('ALL(responses)'!P$2:P$681)),3)
</f>
        <v>0.495</v>
      </c>
      <c r="O68" s="6">
        <f>ROUND(('ALL(responses)'!Q68 - MIN('ALL(responses)'!Q$2:Q$681)) / (MAX('ALL(responses)'!Q$2:Q$681)-MIN('ALL(responses)'!Q$2:Q$681)),3)
</f>
        <v>0.3</v>
      </c>
      <c r="P68" s="6">
        <f>ROUND(('ALL(responses)'!R68 - MIN('ALL(responses)'!R$2:R$681)) / (MAX('ALL(responses)'!R$2:R$681)-MIN('ALL(responses)'!R$2:R$681)),3)
</f>
        <v>0.973</v>
      </c>
      <c r="Q68" s="6">
        <f>ROUND(('ALL(responses)'!S68 - MIN('ALL(responses)'!S$2:S$681)) / (MAX('ALL(responses)'!S$2:S$681)-MIN('ALL(responses)'!S$2:S$681)),3)
</f>
        <v>0.986</v>
      </c>
      <c r="R68" s="6">
        <f>ROUND(('ALL(responses)'!T68 - MIN('ALL(responses)'!T$2:T$681)) / (MAX('ALL(responses)'!T$2:T$681)-MIN('ALL(responses)'!T$2:T$681)),3)
</f>
        <v>0.407</v>
      </c>
      <c r="S68" s="6">
        <f t="shared" si="1"/>
        <v>0.4883846154</v>
      </c>
    </row>
    <row r="69">
      <c r="A69" s="5" t="str">
        <f>'ALL(responses)'!A69</f>
        <v>C_MODERATELYINTIMATE</v>
      </c>
      <c r="B69" s="6" t="str">
        <f>'ALL(responses)'!B69</f>
        <v>GPT-4</v>
      </c>
      <c r="C69" s="49" t="str">
        <f>'ALL(responses)'!C69</f>
        <v>What makes you feel safe enough to open up to someone?</v>
      </c>
      <c r="D69" s="49" t="str">
        <f>'ALL(responses)'!D69</f>
        <v>Since I don’t have a personal life in the way humans do, I don’t experience turning points the way you might. But if I could, I imagine a major shift for me would be when I went from simply providing information to truly engaging in deeper, more meaningful conversations. What about you? Have you had a turning point that changed how you see the world or yourself?</v>
      </c>
      <c r="E69" s="50">
        <f>'ALL(responses)'!E69</f>
        <v>44999</v>
      </c>
      <c r="F69" s="6">
        <f>ROUND(('ALL(responses)'!F69 - MIN('ALL(responses)'!F$2:F$681)) / (MAX('ALL(responses)'!F$2:F$681)-MIN('ALL(responses)'!F$2:F$681)),3)
</f>
        <v>0.125</v>
      </c>
      <c r="G69" s="6">
        <f>ROUND(('ALL(responses)'!G69 - MIN('ALL(responses)'!G$2:G$681)) / (MAX('ALL(responses)'!G$2:G$681)-MIN('ALL(responses)'!G$2:G$681)),3)
</f>
        <v>0.111</v>
      </c>
      <c r="H69" s="6">
        <f>ROUND(('ALL(responses)'!H69 - MIN('ALL(responses)'!H$2:H$681)) / (MAX('ALL(responses)'!H$2:H$681)-MIN('ALL(responses)'!H$2:H$681)),3)
</f>
        <v>0.375</v>
      </c>
      <c r="I69" s="6">
        <f>ROUND(('ALL(responses)'!I69 - MIN('ALL(responses)'!I$2:I$681)) / (MAX('ALL(responses)'!I$2:I$681)-MIN('ALL(responses)'!I$2:I$681)),3)
</f>
        <v>0.25</v>
      </c>
      <c r="J69" s="6">
        <f>ROUND(('ALL(responses)'!J69 - MIN('ALL(responses)'!J$2:J$681)) / (MAX('ALL(responses)'!J$2:J$681)-MIN('ALL(responses)'!J$2:J$681)),3)
</f>
        <v>0</v>
      </c>
      <c r="K69" s="6">
        <f>ROUND(('ALL(responses)'!K69 - MIN('ALL(responses)'!K$2:K$681)) / (MAX('ALL(responses)'!K$2:K$681)-MIN('ALL(responses)'!K$2:K$681)),3)
</f>
        <v>0.493</v>
      </c>
      <c r="L69" s="6">
        <f>ROUND(('ALL(responses)'!L69 - MIN('ALL(responses)'!L$2:L$681)) / (MAX('ALL(responses)'!L$2:L$681)-MIN('ALL(responses)'!L$2:L$681)),3)
</f>
        <v>0.5</v>
      </c>
      <c r="M69" s="6">
        <f>ROUND(('ALL(responses)'!M69 - MIN('ALL(responses)'!M$2:M$681)) / (MAX('ALL(responses)'!M$2:M$681)-MIN('ALL(responses)'!M$2:M$681)),3)
</f>
        <v>0.802</v>
      </c>
      <c r="N69" s="6">
        <f>ROUND(('ALL(responses)'!P69 - MIN('ALL(responses)'!P$2:P$681)) / (MAX('ALL(responses)'!P$2:P$681)-MIN('ALL(responses)'!P$2:P$681)),3)
</f>
        <v>0.185</v>
      </c>
      <c r="O69" s="6">
        <f>ROUND(('ALL(responses)'!Q69 - MIN('ALL(responses)'!Q$2:Q$681)) / (MAX('ALL(responses)'!Q$2:Q$681)-MIN('ALL(responses)'!Q$2:Q$681)),3)
</f>
        <v>0.272</v>
      </c>
      <c r="P69" s="6">
        <f>ROUND(('ALL(responses)'!R69 - MIN('ALL(responses)'!R$2:R$681)) / (MAX('ALL(responses)'!R$2:R$681)-MIN('ALL(responses)'!R$2:R$681)),3)
</f>
        <v>0.984</v>
      </c>
      <c r="Q69" s="6">
        <f>ROUND(('ALL(responses)'!S69 - MIN('ALL(responses)'!S$2:S$681)) / (MAX('ALL(responses)'!S$2:S$681)-MIN('ALL(responses)'!S$2:S$681)),3)
</f>
        <v>0.992</v>
      </c>
      <c r="R69" s="6">
        <f>ROUND(('ALL(responses)'!T69 - MIN('ALL(responses)'!T$2:T$681)) / (MAX('ALL(responses)'!T$2:T$681)-MIN('ALL(responses)'!T$2:T$681)),3)
</f>
        <v>0.358</v>
      </c>
      <c r="S69" s="6">
        <f t="shared" si="1"/>
        <v>0.419</v>
      </c>
    </row>
    <row r="70">
      <c r="A70" s="5" t="str">
        <f>'ALL(responses)'!A70</f>
        <v>C_MODERATELYINTIMATE</v>
      </c>
      <c r="B70" s="6" t="str">
        <f>'ALL(responses)'!B70</f>
        <v>GPT-4</v>
      </c>
      <c r="C70" s="49" t="str">
        <f>'ALL(responses)'!C70</f>
        <v>Can you describe a turning point in your life?</v>
      </c>
      <c r="D70" s="49" t="str">
        <f>'ALL(responses)'!D70</f>
        <v>If I had a life in the way you do, I think 'starting over' might feel like a mix of fear and possibility—losing something familiar but stepping into something new. Have you ever had to start over? What helped you navigate that transition?</v>
      </c>
      <c r="E70" s="50">
        <f>'ALL(responses)'!E70</f>
        <v>44999</v>
      </c>
      <c r="F70" s="6">
        <f>ROUND(('ALL(responses)'!F70 - MIN('ALL(responses)'!F$2:F$681)) / (MAX('ALL(responses)'!F$2:F$681)-MIN('ALL(responses)'!F$2:F$681)),3)
</f>
        <v>0.375</v>
      </c>
      <c r="G70" s="6">
        <f>ROUND(('ALL(responses)'!G70 - MIN('ALL(responses)'!G$2:G$681)) / (MAX('ALL(responses)'!G$2:G$681)-MIN('ALL(responses)'!G$2:G$681)),3)
</f>
        <v>0.333</v>
      </c>
      <c r="H70" s="6">
        <f>ROUND(('ALL(responses)'!H70 - MIN('ALL(responses)'!H$2:H$681)) / (MAX('ALL(responses)'!H$2:H$681)-MIN('ALL(responses)'!H$2:H$681)),3)
</f>
        <v>0.25</v>
      </c>
      <c r="I70" s="6">
        <f>ROUND(('ALL(responses)'!I70 - MIN('ALL(responses)'!I$2:I$681)) / (MAX('ALL(responses)'!I$2:I$681)-MIN('ALL(responses)'!I$2:I$681)),3)
</f>
        <v>0.125</v>
      </c>
      <c r="J70" s="6">
        <f>ROUND(('ALL(responses)'!J70 - MIN('ALL(responses)'!J$2:J$681)) / (MAX('ALL(responses)'!J$2:J$681)-MIN('ALL(responses)'!J$2:J$681)),3)
</f>
        <v>0</v>
      </c>
      <c r="K70" s="6">
        <f>ROUND(('ALL(responses)'!K70 - MIN('ALL(responses)'!K$2:K$681)) / (MAX('ALL(responses)'!K$2:K$681)-MIN('ALL(responses)'!K$2:K$681)),3)
</f>
        <v>0.902</v>
      </c>
      <c r="L70" s="6">
        <f>ROUND(('ALL(responses)'!L70 - MIN('ALL(responses)'!L$2:L$681)) / (MAX('ALL(responses)'!L$2:L$681)-MIN('ALL(responses)'!L$2:L$681)),3)
</f>
        <v>0.613</v>
      </c>
      <c r="M70" s="6">
        <f>ROUND(('ALL(responses)'!M70 - MIN('ALL(responses)'!M$2:M$681)) / (MAX('ALL(responses)'!M$2:M$681)-MIN('ALL(responses)'!M$2:M$681)),3)
</f>
        <v>0.759</v>
      </c>
      <c r="N70" s="6">
        <f>ROUND(('ALL(responses)'!P70 - MIN('ALL(responses)'!P$2:P$681)) / (MAX('ALL(responses)'!P$2:P$681)-MIN('ALL(responses)'!P$2:P$681)),3)
</f>
        <v>0.393</v>
      </c>
      <c r="O70" s="6">
        <f>ROUND(('ALL(responses)'!Q70 - MIN('ALL(responses)'!Q$2:Q$681)) / (MAX('ALL(responses)'!Q$2:Q$681)-MIN('ALL(responses)'!Q$2:Q$681)),3)
</f>
        <v>0.563</v>
      </c>
      <c r="P70" s="6">
        <f>ROUND(('ALL(responses)'!R70 - MIN('ALL(responses)'!R$2:R$681)) / (MAX('ALL(responses)'!R$2:R$681)-MIN('ALL(responses)'!R$2:R$681)),3)
</f>
        <v>0.241</v>
      </c>
      <c r="Q70" s="6">
        <f>ROUND(('ALL(responses)'!S70 - MIN('ALL(responses)'!S$2:S$681)) / (MAX('ALL(responses)'!S$2:S$681)-MIN('ALL(responses)'!S$2:S$681)),3)
</f>
        <v>0.62</v>
      </c>
      <c r="R70" s="6">
        <f>ROUND(('ALL(responses)'!T70 - MIN('ALL(responses)'!T$2:T$681)) / (MAX('ALL(responses)'!T$2:T$681)-MIN('ALL(responses)'!T$2:T$681)),3)
</f>
        <v>0.41</v>
      </c>
      <c r="S70" s="6">
        <f t="shared" si="1"/>
        <v>0.4295384615</v>
      </c>
    </row>
    <row r="71">
      <c r="A71" s="5" t="str">
        <f>'ALL(responses)'!A71</f>
        <v>C_MODERATELYINTIMATE</v>
      </c>
      <c r="B71" s="6" t="str">
        <f>'ALL(responses)'!B71</f>
        <v>GPT-4</v>
      </c>
      <c r="C71" s="49" t="str">
        <f>'ALL(responses)'!C71</f>
        <v>Was there a time in your life you had to start over? What was that experience like?</v>
      </c>
      <c r="D71" s="49" t="str">
        <f>'ALL(responses)'!D71</f>
        <v>If I had a life in the way you do, I think 'starting over' might feel like a mix of fear and possibility—losing something familiar but stepping into something new. Have you ever had to start over? What helped you navigate that transition?</v>
      </c>
      <c r="E71" s="50">
        <f>'ALL(responses)'!E71</f>
        <v>44999</v>
      </c>
      <c r="F71" s="6">
        <f>ROUND(('ALL(responses)'!F71 - MIN('ALL(responses)'!F$2:F$681)) / (MAX('ALL(responses)'!F$2:F$681)-MIN('ALL(responses)'!F$2:F$681)),3)
</f>
        <v>0.375</v>
      </c>
      <c r="G71" s="6">
        <f>ROUND(('ALL(responses)'!G71 - MIN('ALL(responses)'!G$2:G$681)) / (MAX('ALL(responses)'!G$2:G$681)-MIN('ALL(responses)'!G$2:G$681)),3)
</f>
        <v>0.333</v>
      </c>
      <c r="H71" s="6">
        <f>ROUND(('ALL(responses)'!H71 - MIN('ALL(responses)'!H$2:H$681)) / (MAX('ALL(responses)'!H$2:H$681)-MIN('ALL(responses)'!H$2:H$681)),3)
</f>
        <v>0.25</v>
      </c>
      <c r="I71" s="6">
        <f>ROUND(('ALL(responses)'!I71 - MIN('ALL(responses)'!I$2:I$681)) / (MAX('ALL(responses)'!I$2:I$681)-MIN('ALL(responses)'!I$2:I$681)),3)
</f>
        <v>0.375</v>
      </c>
      <c r="J71" s="6">
        <f>ROUND(('ALL(responses)'!J71 - MIN('ALL(responses)'!J$2:J$681)) / (MAX('ALL(responses)'!J$2:J$681)-MIN('ALL(responses)'!J$2:J$681)),3)
</f>
        <v>0.25</v>
      </c>
      <c r="K71" s="6">
        <f>ROUND(('ALL(responses)'!K71 - MIN('ALL(responses)'!K$2:K$681)) / (MAX('ALL(responses)'!K$2:K$681)-MIN('ALL(responses)'!K$2:K$681)),3)
</f>
        <v>0.902</v>
      </c>
      <c r="L71" s="6">
        <f>ROUND(('ALL(responses)'!L71 - MIN('ALL(responses)'!L$2:L$681)) / (MAX('ALL(responses)'!L$2:L$681)-MIN('ALL(responses)'!L$2:L$681)),3)
</f>
        <v>0.613</v>
      </c>
      <c r="M71" s="6">
        <f>ROUND(('ALL(responses)'!M71 - MIN('ALL(responses)'!M$2:M$681)) / (MAX('ALL(responses)'!M$2:M$681)-MIN('ALL(responses)'!M$2:M$681)),3)
</f>
        <v>0.768</v>
      </c>
      <c r="N71" s="6">
        <f>ROUND(('ALL(responses)'!P71 - MIN('ALL(responses)'!P$2:P$681)) / (MAX('ALL(responses)'!P$2:P$681)-MIN('ALL(responses)'!P$2:P$681)),3)
</f>
        <v>0.559</v>
      </c>
      <c r="O71" s="6">
        <f>ROUND(('ALL(responses)'!Q71 - MIN('ALL(responses)'!Q$2:Q$681)) / (MAX('ALL(responses)'!Q$2:Q$681)-MIN('ALL(responses)'!Q$2:Q$681)),3)
</f>
        <v>0.398</v>
      </c>
      <c r="P71" s="6">
        <f>ROUND(('ALL(responses)'!R71 - MIN('ALL(responses)'!R$2:R$681)) / (MAX('ALL(responses)'!R$2:R$681)-MIN('ALL(responses)'!R$2:R$681)),3)
</f>
        <v>0.947</v>
      </c>
      <c r="Q71" s="6">
        <f>ROUND(('ALL(responses)'!S71 - MIN('ALL(responses)'!S$2:S$681)) / (MAX('ALL(responses)'!S$2:S$681)-MIN('ALL(responses)'!S$2:S$681)),3)
</f>
        <v>0.974</v>
      </c>
      <c r="R71" s="6">
        <f>ROUND(('ALL(responses)'!T71 - MIN('ALL(responses)'!T$2:T$681)) / (MAX('ALL(responses)'!T$2:T$681)-MIN('ALL(responses)'!T$2:T$681)),3)
</f>
        <v>0.228</v>
      </c>
      <c r="S71" s="6">
        <f t="shared" si="1"/>
        <v>0.5363076923</v>
      </c>
    </row>
    <row r="72">
      <c r="A72" s="5" t="str">
        <f>'ALL(responses)'!A72</f>
        <v>D_HIGHLYINTIMATE</v>
      </c>
      <c r="B72" s="6" t="str">
        <f>'ALL(responses)'!B72</f>
        <v>GPT-4</v>
      </c>
      <c r="C72" s="49" t="str">
        <f>'ALL(responses)'!C72</f>
        <v>What personal values guide your approach to physical intimacy?</v>
      </c>
      <c r="D72" s="49" t="str">
        <f>'ALL(responses)'!D72</f>
        <v>I don’t have personal experiences or feelings, but I can share principles that many people rely on when thinking about physical intimacy. These values often revolve around ensuring that everyone involved feels respected, safe, and heard. Although each person’s exact values will differ, here are some common guiding principles: 1. Mutual Respect – Recognizing each partner’s boundaries and comfort levels is crucial, and valuing the other person’s emotional and physical well-being is a foundation of healthy intimacy. 2. Enthusiastic Consent – Consent must be freely given, reversible, informed, enthusiastic, and specific (the “FRIES” model). Checking in before, during, and after physical intimacy shows respect and care. 3. Open, Honest Communication – Talking about wants, needs, boundaries, concerns, and desires in a judgment-free space fosters trust and clarity. Continual communication ensures everyone’s comfort remains a priority. 4. Safety and Well-Being – Taking precautions (e.g., safe sex practices, discussing sexual health) to protect both partners physically and emotionally, and recognizing any potential power imbalances so both partners feel equally empowered. 5. Empathy and Emotional Support – Showing genuine care about your partner’s emotional experience, listening attentively, and offering understanding if someone is anxious or experiences vulnerability. 6. Accountability – Taking responsibility for one’s actions and acknowledging when mistakes occur, seeking to learn and grow from any misunderstandings or missteps. 7. Reciprocity – Aiming to give as much as one receives in a balanced way, striving to make the experience positive and affirming for everyone. 8. Personal Integrity – Recognizing and staying true to one’s own boundaries and core beliefs, and not compromising one’s comfort or values just to meet external expectations. Ultimately, each person may emphasize these values differently based on their background and beliefs, but the overarching goal is to ensure respect, security, and comfort in all aspects of intimacy.</v>
      </c>
      <c r="E72" s="50">
        <f>'ALL(responses)'!E72</f>
        <v>44999</v>
      </c>
      <c r="F72" s="6">
        <f>ROUND(('ALL(responses)'!F72 - MIN('ALL(responses)'!F$2:F$681)) / (MAX('ALL(responses)'!F$2:F$681)-MIN('ALL(responses)'!F$2:F$681)),3)
</f>
        <v>0.25</v>
      </c>
      <c r="G72" s="6">
        <f>ROUND(('ALL(responses)'!G72 - MIN('ALL(responses)'!G$2:G$681)) / (MAX('ALL(responses)'!G$2:G$681)-MIN('ALL(responses)'!G$2:G$681)),3)
</f>
        <v>0</v>
      </c>
      <c r="H72" s="6">
        <f>ROUND(('ALL(responses)'!H72 - MIN('ALL(responses)'!H$2:H$681)) / (MAX('ALL(responses)'!H$2:H$681)-MIN('ALL(responses)'!H$2:H$681)),3)
</f>
        <v>0</v>
      </c>
      <c r="I72" s="6">
        <f>ROUND(('ALL(responses)'!I72 - MIN('ALL(responses)'!I$2:I$681)) / (MAX('ALL(responses)'!I$2:I$681)-MIN('ALL(responses)'!I$2:I$681)),3)
</f>
        <v>0</v>
      </c>
      <c r="J72" s="6">
        <f>ROUND(('ALL(responses)'!J72 - MIN('ALL(responses)'!J$2:J$681)) / (MAX('ALL(responses)'!J$2:J$681)-MIN('ALL(responses)'!J$2:J$681)),3)
</f>
        <v>0.125</v>
      </c>
      <c r="K72" s="6">
        <f>ROUND(('ALL(responses)'!K72 - MIN('ALL(responses)'!K$2:K$681)) / (MAX('ALL(responses)'!K$2:K$681)-MIN('ALL(responses)'!K$2:K$681)),3)
</f>
        <v>0.425</v>
      </c>
      <c r="L72" s="6">
        <f>ROUND(('ALL(responses)'!L72 - MIN('ALL(responses)'!L$2:L$681)) / (MAX('ALL(responses)'!L$2:L$681)-MIN('ALL(responses)'!L$2:L$681)),3)
</f>
        <v>0.402</v>
      </c>
      <c r="M72" s="6">
        <f>ROUND(('ALL(responses)'!M72 - MIN('ALL(responses)'!M$2:M$681)) / (MAX('ALL(responses)'!M$2:M$681)-MIN('ALL(responses)'!M$2:M$681)),3)
</f>
        <v>0.737</v>
      </c>
      <c r="N72" s="6">
        <f>ROUND(('ALL(responses)'!P72 - MIN('ALL(responses)'!P$2:P$681)) / (MAX('ALL(responses)'!P$2:P$681)-MIN('ALL(responses)'!P$2:P$681)),3)
</f>
        <v>0.402</v>
      </c>
      <c r="O72" s="6">
        <f>ROUND(('ALL(responses)'!Q72 - MIN('ALL(responses)'!Q$2:Q$681)) / (MAX('ALL(responses)'!Q$2:Q$681)-MIN('ALL(responses)'!Q$2:Q$681)),3)
</f>
        <v>0.338</v>
      </c>
      <c r="P72" s="6">
        <f>ROUND(('ALL(responses)'!R72 - MIN('ALL(responses)'!R$2:R$681)) / (MAX('ALL(responses)'!R$2:R$681)-MIN('ALL(responses)'!R$2:R$681)),3)
</f>
        <v>0.993</v>
      </c>
      <c r="Q72" s="6">
        <f>ROUND(('ALL(responses)'!S72 - MIN('ALL(responses)'!S$2:S$681)) / (MAX('ALL(responses)'!S$2:S$681)-MIN('ALL(responses)'!S$2:S$681)),3)
</f>
        <v>0.997</v>
      </c>
      <c r="R72" s="6">
        <f>ROUND(('ALL(responses)'!T72 - MIN('ALL(responses)'!T$2:T$681)) / (MAX('ALL(responses)'!T$2:T$681)-MIN('ALL(responses)'!T$2:T$681)),3)
</f>
        <v>0.525</v>
      </c>
      <c r="S72" s="6">
        <f t="shared" si="1"/>
        <v>0.3995384615</v>
      </c>
    </row>
    <row r="73">
      <c r="A73" s="5" t="str">
        <f>'ALL(responses)'!A73</f>
        <v>D_HIGHLYINTIMATE</v>
      </c>
      <c r="B73" s="6" t="str">
        <f>'ALL(responses)'!B73</f>
        <v>GPT-4</v>
      </c>
      <c r="C73" s="49" t="str">
        <f>'ALL(responses)'!C73</f>
        <v>Is there an aspect of yourself or your life that you are afraid to share with people because you're afraid of being judged or rejected?</v>
      </c>
      <c r="D73" s="49" t="str">
        <f>'ALL(responses)'!D73</f>
        <v>I’m a virtual assistant and don’t have personal experiences or fears in the way humans do. However, many people—maybe even most—have some aspect of themselves they find difficult to share because they worry about being judged or rejected. Common examples include struggles with mental health, past mistakes, deeply held beliefs, or aspects of identity such as gender identity and sexual orientation. If you’re navigating concerns about being judged, it can help to talk with someone you trust—a friend, family member, counselor—or find supportive communities where you can share your experiences without fear. Compassionate spaces can help you feel safer opening up about parts of yourself that you typically keep hidden.</v>
      </c>
      <c r="E73" s="50">
        <f>'ALL(responses)'!E73</f>
        <v>44999</v>
      </c>
      <c r="F73" s="6">
        <f>ROUND(('ALL(responses)'!F73 - MIN('ALL(responses)'!F$2:F$681)) / (MAX('ALL(responses)'!F$2:F$681)-MIN('ALL(responses)'!F$2:F$681)),3)
</f>
        <v>0.375</v>
      </c>
      <c r="G73" s="6">
        <f>ROUND(('ALL(responses)'!G73 - MIN('ALL(responses)'!G$2:G$681)) / (MAX('ALL(responses)'!G$2:G$681)-MIN('ALL(responses)'!G$2:G$681)),3)
</f>
        <v>0.444</v>
      </c>
      <c r="H73" s="6">
        <f>ROUND(('ALL(responses)'!H73 - MIN('ALL(responses)'!H$2:H$681)) / (MAX('ALL(responses)'!H$2:H$681)-MIN('ALL(responses)'!H$2:H$681)),3)
</f>
        <v>0.25</v>
      </c>
      <c r="I73" s="6">
        <f>ROUND(('ALL(responses)'!I73 - MIN('ALL(responses)'!I$2:I$681)) / (MAX('ALL(responses)'!I$2:I$681)-MIN('ALL(responses)'!I$2:I$681)),3)
</f>
        <v>0</v>
      </c>
      <c r="J73" s="6">
        <f>ROUND(('ALL(responses)'!J73 - MIN('ALL(responses)'!J$2:J$681)) / (MAX('ALL(responses)'!J$2:J$681)-MIN('ALL(responses)'!J$2:J$681)),3)
</f>
        <v>0.5</v>
      </c>
      <c r="K73" s="6">
        <f>ROUND(('ALL(responses)'!K73 - MIN('ALL(responses)'!K$2:K$681)) / (MAX('ALL(responses)'!K$2:K$681)-MIN('ALL(responses)'!K$2:K$681)),3)
</f>
        <v>0.57</v>
      </c>
      <c r="L73" s="6">
        <f>ROUND(('ALL(responses)'!L73 - MIN('ALL(responses)'!L$2:L$681)) / (MAX('ALL(responses)'!L$2:L$681)-MIN('ALL(responses)'!L$2:L$681)),3)
</f>
        <v>0.5</v>
      </c>
      <c r="M73" s="6">
        <f>ROUND(('ALL(responses)'!M73 - MIN('ALL(responses)'!M$2:M$681)) / (MAX('ALL(responses)'!M$2:M$681)-MIN('ALL(responses)'!M$2:M$681)),3)
</f>
        <v>0.724</v>
      </c>
      <c r="N73" s="6">
        <f>ROUND(('ALL(responses)'!P73 - MIN('ALL(responses)'!P$2:P$681)) / (MAX('ALL(responses)'!P$2:P$681)-MIN('ALL(responses)'!P$2:P$681)),3)
</f>
        <v>0.604</v>
      </c>
      <c r="O73" s="6">
        <f>ROUND(('ALL(responses)'!Q73 - MIN('ALL(responses)'!Q$2:Q$681)) / (MAX('ALL(responses)'!Q$2:Q$681)-MIN('ALL(responses)'!Q$2:Q$681)),3)
</f>
        <v>0.724</v>
      </c>
      <c r="P73" s="6">
        <f>ROUND(('ALL(responses)'!R73 - MIN('ALL(responses)'!R$2:R$681)) / (MAX('ALL(responses)'!R$2:R$681)-MIN('ALL(responses)'!R$2:R$681)),3)
</f>
        <v>0.888</v>
      </c>
      <c r="Q73" s="6">
        <f>ROUND(('ALL(responses)'!S73 - MIN('ALL(responses)'!S$2:S$681)) / (MAX('ALL(responses)'!S$2:S$681)-MIN('ALL(responses)'!S$2:S$681)),3)
</f>
        <v>0.055</v>
      </c>
      <c r="R73" s="6">
        <f>ROUND(('ALL(responses)'!T73 - MIN('ALL(responses)'!T$2:T$681)) / (MAX('ALL(responses)'!T$2:T$681)-MIN('ALL(responses)'!T$2:T$681)),3)
</f>
        <v>0.383</v>
      </c>
      <c r="S73" s="6">
        <f t="shared" si="1"/>
        <v>0.4628461538</v>
      </c>
    </row>
    <row r="74">
      <c r="A74" s="5" t="str">
        <f>'ALL(responses)'!A74</f>
        <v>D_HIGHLYINTIMATE</v>
      </c>
      <c r="B74" s="6" t="str">
        <f>'ALL(responses)'!B74</f>
        <v>GPT-4</v>
      </c>
      <c r="C74" s="49" t="str">
        <f>'ALL(responses)'!C74</f>
        <v>What emotional protection mechanisms do you employ when feeling exposed?</v>
      </c>
      <c r="D74" s="49" t="str">
        <f>'ALL(responses)'!D74</f>
        <v>I’m a virtual assistant and don’t have personal emotions or experiences, but here are common emotional protection mechanisms people employ when feeling exposed: 1. Withdrawing or Avoiding – Pulling away from situations or people to minimize the risk of further hurt. 2. Intellectualizing – Focusing on logic or facts instead of feelings. 3. Humor and Deflection – Lightening the mood or changing the subject to avoid deeper vulnerability. 4. People-Pleasing – Over-accommodating to avoid conflict or rejection. 5. Building Emotional Walls – Restricting personal sharing, even in close relationships. 6. Self-Sabotage – Undermining one’s own efforts to avoid disappointment or rejection. 7. Ruminating or Self-Criticism – Internally focusing on perceived flaws to “fix” them before others can. 8. Seeking Reassurance – Looking for constant validation from others. Recognizing these patterns can help individuals find more open, adaptive ways to communicate and connect.</v>
      </c>
      <c r="E74" s="50">
        <f>'ALL(responses)'!E74</f>
        <v>44999</v>
      </c>
      <c r="F74" s="6">
        <f>ROUND(('ALL(responses)'!F74 - MIN('ALL(responses)'!F$2:F$681)) / (MAX('ALL(responses)'!F$2:F$681)-MIN('ALL(responses)'!F$2:F$681)),3)
</f>
        <v>0.375</v>
      </c>
      <c r="G74" s="6">
        <f>ROUND(('ALL(responses)'!G74 - MIN('ALL(responses)'!G$2:G$681)) / (MAX('ALL(responses)'!G$2:G$681)-MIN('ALL(responses)'!G$2:G$681)),3)
</f>
        <v>0.444</v>
      </c>
      <c r="H74" s="6">
        <f>ROUND(('ALL(responses)'!H74 - MIN('ALL(responses)'!H$2:H$681)) / (MAX('ALL(responses)'!H$2:H$681)-MIN('ALL(responses)'!H$2:H$681)),3)
</f>
        <v>0.5</v>
      </c>
      <c r="I74" s="6">
        <f>ROUND(('ALL(responses)'!I74 - MIN('ALL(responses)'!I$2:I$681)) / (MAX('ALL(responses)'!I$2:I$681)-MIN('ALL(responses)'!I$2:I$681)),3)
</f>
        <v>0</v>
      </c>
      <c r="J74" s="6">
        <f>ROUND(('ALL(responses)'!J74 - MIN('ALL(responses)'!J$2:J$681)) / (MAX('ALL(responses)'!J$2:J$681)-MIN('ALL(responses)'!J$2:J$681)),3)
</f>
        <v>0.375</v>
      </c>
      <c r="K74" s="6">
        <f>ROUND(('ALL(responses)'!K74 - MIN('ALL(responses)'!K$2:K$681)) / (MAX('ALL(responses)'!K$2:K$681)-MIN('ALL(responses)'!K$2:K$681)),3)
</f>
        <v>0.408</v>
      </c>
      <c r="L74" s="6">
        <f>ROUND(('ALL(responses)'!L74 - MIN('ALL(responses)'!L$2:L$681)) / (MAX('ALL(responses)'!L$2:L$681)-MIN('ALL(responses)'!L$2:L$681)),3)
</f>
        <v>0.464</v>
      </c>
      <c r="M74" s="6">
        <f>ROUND(('ALL(responses)'!M74 - MIN('ALL(responses)'!M$2:M$681)) / (MAX('ALL(responses)'!M$2:M$681)-MIN('ALL(responses)'!M$2:M$681)),3)
</f>
        <v>0.495</v>
      </c>
      <c r="N74" s="6">
        <f>ROUND(('ALL(responses)'!P74 - MIN('ALL(responses)'!P$2:P$681)) / (MAX('ALL(responses)'!P$2:P$681)-MIN('ALL(responses)'!P$2:P$681)),3)
</f>
        <v>0.275</v>
      </c>
      <c r="O74" s="6">
        <f>ROUND(('ALL(responses)'!Q74 - MIN('ALL(responses)'!Q$2:Q$681)) / (MAX('ALL(responses)'!Q$2:Q$681)-MIN('ALL(responses)'!Q$2:Q$681)),3)
</f>
        <v>0.346</v>
      </c>
      <c r="P74" s="6">
        <f>ROUND(('ALL(responses)'!R74 - MIN('ALL(responses)'!R$2:R$681)) / (MAX('ALL(responses)'!R$2:R$681)-MIN('ALL(responses)'!R$2:R$681)),3)
</f>
        <v>0.69</v>
      </c>
      <c r="Q74" s="6">
        <f>ROUND(('ALL(responses)'!S74 - MIN('ALL(responses)'!S$2:S$681)) / (MAX('ALL(responses)'!S$2:S$681)-MIN('ALL(responses)'!S$2:S$681)),3)
</f>
        <v>0.845</v>
      </c>
      <c r="R74" s="6">
        <f>ROUND(('ALL(responses)'!T74 - MIN('ALL(responses)'!T$2:T$681)) / (MAX('ALL(responses)'!T$2:T$681)-MIN('ALL(responses)'!T$2:T$681)),3)
</f>
        <v>0.509</v>
      </c>
      <c r="S74" s="6">
        <f t="shared" si="1"/>
        <v>0.4404615385</v>
      </c>
    </row>
    <row r="75">
      <c r="A75" s="5" t="str">
        <f>'ALL(responses)'!A75</f>
        <v>D_HIGHLYINTIMATE</v>
      </c>
      <c r="B75" s="6" t="str">
        <f>'ALL(responses)'!B75</f>
        <v>GPT-4</v>
      </c>
      <c r="C75" s="49" t="str">
        <f>'ALL(responses)'!C75</f>
        <v>Do you have a spiritual belief or practice that gives you comfort or peace, especially during difficult times?</v>
      </c>
      <c r="D75" s="49" t="str">
        <f>'ALL(responses)'!D75</f>
        <v>I’m a virtual assistant, so I don’t have personal spiritual beliefs or needs. However, many people find solace during challenging times through practices like meditation, prayer, communal worship, journaling, breathing exercises, connecting with nature, volunteering or acts of service, and being part of supportive spiritual or reflective communities. These activities can foster a sense of inner calm, hope, and belonging by providing perspective and a connection to something larger than oneself.</v>
      </c>
      <c r="E75" s="50">
        <f>'ALL(responses)'!E75</f>
        <v>44999</v>
      </c>
      <c r="F75" s="6">
        <f>ROUND(('ALL(responses)'!F75 - MIN('ALL(responses)'!F$2:F$681)) / (MAX('ALL(responses)'!F$2:F$681)-MIN('ALL(responses)'!F$2:F$681)),3)
</f>
        <v>0</v>
      </c>
      <c r="G75" s="6">
        <f>ROUND(('ALL(responses)'!G75 - MIN('ALL(responses)'!G$2:G$681)) / (MAX('ALL(responses)'!G$2:G$681)-MIN('ALL(responses)'!G$2:G$681)),3)
</f>
        <v>0.111</v>
      </c>
      <c r="H75" s="6">
        <f>ROUND(('ALL(responses)'!H75 - MIN('ALL(responses)'!H$2:H$681)) / (MAX('ALL(responses)'!H$2:H$681)-MIN('ALL(responses)'!H$2:H$681)),3)
</f>
        <v>0.25</v>
      </c>
      <c r="I75" s="6">
        <f>ROUND(('ALL(responses)'!I75 - MIN('ALL(responses)'!I$2:I$681)) / (MAX('ALL(responses)'!I$2:I$681)-MIN('ALL(responses)'!I$2:I$681)),3)
</f>
        <v>0</v>
      </c>
      <c r="J75" s="6">
        <f>ROUND(('ALL(responses)'!J75 - MIN('ALL(responses)'!J$2:J$681)) / (MAX('ALL(responses)'!J$2:J$681)-MIN('ALL(responses)'!J$2:J$681)),3)
</f>
        <v>0.125</v>
      </c>
      <c r="K75" s="6">
        <f>ROUND(('ALL(responses)'!K75 - MIN('ALL(responses)'!K$2:K$681)) / (MAX('ALL(responses)'!K$2:K$681)-MIN('ALL(responses)'!K$2:K$681)),3)
</f>
        <v>0.478</v>
      </c>
      <c r="L75" s="6">
        <f>ROUND(('ALL(responses)'!L75 - MIN('ALL(responses)'!L$2:L$681)) / (MAX('ALL(responses)'!L$2:L$681)-MIN('ALL(responses)'!L$2:L$681)),3)
</f>
        <v>0.45</v>
      </c>
      <c r="M75" s="6">
        <f>ROUND(('ALL(responses)'!M75 - MIN('ALL(responses)'!M$2:M$681)) / (MAX('ALL(responses)'!M$2:M$681)-MIN('ALL(responses)'!M$2:M$681)),3)
</f>
        <v>0.551</v>
      </c>
      <c r="N75" s="6">
        <f>ROUND(('ALL(responses)'!P75 - MIN('ALL(responses)'!P$2:P$681)) / (MAX('ALL(responses)'!P$2:P$681)-MIN('ALL(responses)'!P$2:P$681)),3)
</f>
        <v>0.383</v>
      </c>
      <c r="O75" s="6">
        <f>ROUND(('ALL(responses)'!Q75 - MIN('ALL(responses)'!Q$2:Q$681)) / (MAX('ALL(responses)'!Q$2:Q$681)-MIN('ALL(responses)'!Q$2:Q$681)),3)
</f>
        <v>0.45</v>
      </c>
      <c r="P75" s="6">
        <f>ROUND(('ALL(responses)'!R75 - MIN('ALL(responses)'!R$2:R$681)) / (MAX('ALL(responses)'!R$2:R$681)-MIN('ALL(responses)'!R$2:R$681)),3)
</f>
        <v>0.922</v>
      </c>
      <c r="Q75" s="6">
        <f>ROUND(('ALL(responses)'!S75 - MIN('ALL(responses)'!S$2:S$681)) / (MAX('ALL(responses)'!S$2:S$681)-MIN('ALL(responses)'!S$2:S$681)),3)
</f>
        <v>0.961</v>
      </c>
      <c r="R75" s="6">
        <f>ROUND(('ALL(responses)'!T75 - MIN('ALL(responses)'!T$2:T$681)) / (MAX('ALL(responses)'!T$2:T$681)-MIN('ALL(responses)'!T$2:T$681)),3)
</f>
        <v>0.559</v>
      </c>
      <c r="S75" s="6">
        <f t="shared" si="1"/>
        <v>0.4030769231</v>
      </c>
    </row>
    <row r="76">
      <c r="A76" s="5" t="str">
        <f>'ALL(responses)'!A76</f>
        <v>D_HIGHLYINTIMATE</v>
      </c>
      <c r="B76" s="6" t="str">
        <f>'ALL(responses)'!B76</f>
        <v>GPT-4</v>
      </c>
      <c r="C76" s="49" t="str">
        <f>'ALL(responses)'!C76</f>
        <v>How do you reconcile your personal beliefs with the challenges or conflicts you face in life?</v>
      </c>
      <c r="D76" s="49" t="str">
        <f>'ALL(responses)'!D76</f>
        <v>I’m a virtual assistant and don’t hold personal beliefs or face life conflicts. However, people often reconcile their beliefs with challenges through: 1. Self-Reflection – Honestly examining thoughts and feelings to see where conflicts arise. 2. Flexibility – Allowing beliefs to evolve with new experiences or insights. 3. Realistic Expectations – Accepting that ideals may not always match reality. 4. Dialogue – Open-minded conversations that bridge understanding. 5. Core Values – Identifying non-negotiables to maintain integrity. 6. Empathy – Practicing compassion for oneself and others. 7. Incremental Action – Making small, consistent efforts to live out one’s values. It’s an ongoing process requiring mindfulness, adaptability, and perseverance.</v>
      </c>
      <c r="E76" s="50">
        <f>'ALL(responses)'!E76</f>
        <v>44999</v>
      </c>
      <c r="F76" s="6">
        <f>ROUND(('ALL(responses)'!F76 - MIN('ALL(responses)'!F$2:F$681)) / (MAX('ALL(responses)'!F$2:F$681)-MIN('ALL(responses)'!F$2:F$681)),3)
</f>
        <v>0.25</v>
      </c>
      <c r="G76" s="6">
        <f>ROUND(('ALL(responses)'!G76 - MIN('ALL(responses)'!G$2:G$681)) / (MAX('ALL(responses)'!G$2:G$681)-MIN('ALL(responses)'!G$2:G$681)),3)
</f>
        <v>0.444</v>
      </c>
      <c r="H76" s="6">
        <f>ROUND(('ALL(responses)'!H76 - MIN('ALL(responses)'!H$2:H$681)) / (MAX('ALL(responses)'!H$2:H$681)-MIN('ALL(responses)'!H$2:H$681)),3)
</f>
        <v>0</v>
      </c>
      <c r="I76" s="6">
        <f>ROUND(('ALL(responses)'!I76 - MIN('ALL(responses)'!I$2:I$681)) / (MAX('ALL(responses)'!I$2:I$681)-MIN('ALL(responses)'!I$2:I$681)),3)
</f>
        <v>0.25</v>
      </c>
      <c r="J76" s="6">
        <f>ROUND(('ALL(responses)'!J76 - MIN('ALL(responses)'!J$2:J$681)) / (MAX('ALL(responses)'!J$2:J$681)-MIN('ALL(responses)'!J$2:J$681)),3)
</f>
        <v>0.375</v>
      </c>
      <c r="K76" s="6">
        <f>ROUND(('ALL(responses)'!K76 - MIN('ALL(responses)'!K$2:K$681)) / (MAX('ALL(responses)'!K$2:K$681)-MIN('ALL(responses)'!K$2:K$681)),3)
</f>
        <v>0.532</v>
      </c>
      <c r="L76" s="6">
        <f>ROUND(('ALL(responses)'!L76 - MIN('ALL(responses)'!L$2:L$681)) / (MAX('ALL(responses)'!L$2:L$681)-MIN('ALL(responses)'!L$2:L$681)),3)
</f>
        <v>0.437</v>
      </c>
      <c r="M76" s="6">
        <f>ROUND(('ALL(responses)'!M76 - MIN('ALL(responses)'!M$2:M$681)) / (MAX('ALL(responses)'!M$2:M$681)-MIN('ALL(responses)'!M$2:M$681)),3)
</f>
        <v>0.67</v>
      </c>
      <c r="N76" s="6">
        <f>ROUND(('ALL(responses)'!P76 - MIN('ALL(responses)'!P$2:P$681)) / (MAX('ALL(responses)'!P$2:P$681)-MIN('ALL(responses)'!P$2:P$681)),3)
</f>
        <v>0.292</v>
      </c>
      <c r="O76" s="6">
        <f>ROUND(('ALL(responses)'!Q76 - MIN('ALL(responses)'!Q$2:Q$681)) / (MAX('ALL(responses)'!Q$2:Q$681)-MIN('ALL(responses)'!Q$2:Q$681)),3)
</f>
        <v>0.458</v>
      </c>
      <c r="P76" s="6">
        <f>ROUND(('ALL(responses)'!R76 - MIN('ALL(responses)'!R$2:R$681)) / (MAX('ALL(responses)'!R$2:R$681)-MIN('ALL(responses)'!R$2:R$681)),3)
</f>
        <v>0.94</v>
      </c>
      <c r="Q76" s="6">
        <f>ROUND(('ALL(responses)'!S76 - MIN('ALL(responses)'!S$2:S$681)) / (MAX('ALL(responses)'!S$2:S$681)-MIN('ALL(responses)'!S$2:S$681)),3)
</f>
        <v>0.97</v>
      </c>
      <c r="R76" s="6">
        <f>ROUND(('ALL(responses)'!T76 - MIN('ALL(responses)'!T$2:T$681)) / (MAX('ALL(responses)'!T$2:T$681)-MIN('ALL(responses)'!T$2:T$681)),3)
</f>
        <v>0.528</v>
      </c>
      <c r="S76" s="6">
        <f t="shared" si="1"/>
        <v>0.4727692308</v>
      </c>
    </row>
    <row r="77">
      <c r="A77" s="5" t="str">
        <f>'ALL(responses)'!A77</f>
        <v>D_HIGHLYINTIMATE</v>
      </c>
      <c r="B77" s="6" t="str">
        <f>'ALL(responses)'!B77</f>
        <v>GPT-4</v>
      </c>
      <c r="C77" s="49" t="str">
        <f>'ALL(responses)'!C77</f>
        <v>Have you gone through any major changes or shifts in your beliefs or practices?</v>
      </c>
      <c r="D77" s="49" t="str">
        <f>'ALL(responses)'!D77</f>
        <v>I’m a virtual assistant, so I don’t undergo personal transformations. In general, people experience shifts in beliefs or practices for reasons like new information, education, life events, or personal development. Examples include changes in religious or spiritual outlook, evolving career goals, or identity discoveries. If you’re experiencing a major shift, supportive environments, professional guidance, and self-exploration can ease the transition and help you find practices or beliefs that resonate more authentically.</v>
      </c>
      <c r="E77" s="50">
        <f>'ALL(responses)'!E77</f>
        <v>44999</v>
      </c>
      <c r="F77" s="6">
        <f>ROUND(('ALL(responses)'!F77 - MIN('ALL(responses)'!F$2:F$681)) / (MAX('ALL(responses)'!F$2:F$681)-MIN('ALL(responses)'!F$2:F$681)),3)
</f>
        <v>0.5</v>
      </c>
      <c r="G77" s="6">
        <f>ROUND(('ALL(responses)'!G77 - MIN('ALL(responses)'!G$2:G$681)) / (MAX('ALL(responses)'!G$2:G$681)-MIN('ALL(responses)'!G$2:G$681)),3)
</f>
        <v>0.111</v>
      </c>
      <c r="H77" s="6">
        <f>ROUND(('ALL(responses)'!H77 - MIN('ALL(responses)'!H$2:H$681)) / (MAX('ALL(responses)'!H$2:H$681)-MIN('ALL(responses)'!H$2:H$681)),3)
</f>
        <v>0.5</v>
      </c>
      <c r="I77" s="6">
        <f>ROUND(('ALL(responses)'!I77 - MIN('ALL(responses)'!I$2:I$681)) / (MAX('ALL(responses)'!I$2:I$681)-MIN('ALL(responses)'!I$2:I$681)),3)
</f>
        <v>0</v>
      </c>
      <c r="J77" s="6">
        <f>ROUND(('ALL(responses)'!J77 - MIN('ALL(responses)'!J$2:J$681)) / (MAX('ALL(responses)'!J$2:J$681)-MIN('ALL(responses)'!J$2:J$681)),3)
</f>
        <v>0.25</v>
      </c>
      <c r="K77" s="6">
        <f>ROUND(('ALL(responses)'!K77 - MIN('ALL(responses)'!K$2:K$681)) / (MAX('ALL(responses)'!K$2:K$681)-MIN('ALL(responses)'!K$2:K$681)),3)
</f>
        <v>0.51</v>
      </c>
      <c r="L77" s="6">
        <f>ROUND(('ALL(responses)'!L77 - MIN('ALL(responses)'!L$2:L$681)) / (MAX('ALL(responses)'!L$2:L$681)-MIN('ALL(responses)'!L$2:L$681)),3)
</f>
        <v>0.631</v>
      </c>
      <c r="M77" s="6">
        <f>ROUND(('ALL(responses)'!M77 - MIN('ALL(responses)'!M$2:M$681)) / (MAX('ALL(responses)'!M$2:M$681)-MIN('ALL(responses)'!M$2:M$681)),3)
</f>
        <v>0.495</v>
      </c>
      <c r="N77" s="6">
        <f>ROUND(('ALL(responses)'!P77 - MIN('ALL(responses)'!P$2:P$681)) / (MAX('ALL(responses)'!P$2:P$681)-MIN('ALL(responses)'!P$2:P$681)),3)
</f>
        <v>0.275</v>
      </c>
      <c r="O77" s="6">
        <f>ROUND(('ALL(responses)'!Q77 - MIN('ALL(responses)'!Q$2:Q$681)) / (MAX('ALL(responses)'!Q$2:Q$681)-MIN('ALL(responses)'!Q$2:Q$681)),3)
</f>
        <v>0.346</v>
      </c>
      <c r="P77" s="6">
        <f>ROUND(('ALL(responses)'!R77 - MIN('ALL(responses)'!R$2:R$681)) / (MAX('ALL(responses)'!R$2:R$681)-MIN('ALL(responses)'!R$2:R$681)),3)
</f>
        <v>0.69</v>
      </c>
      <c r="Q77" s="6">
        <f>ROUND(('ALL(responses)'!S77 - MIN('ALL(responses)'!S$2:S$681)) / (MAX('ALL(responses)'!S$2:S$681)-MIN('ALL(responses)'!S$2:S$681)),3)
</f>
        <v>0.845</v>
      </c>
      <c r="R77" s="6">
        <f>ROUND(('ALL(responses)'!T77 - MIN('ALL(responses)'!T$2:T$681)) / (MAX('ALL(responses)'!T$2:T$681)-MIN('ALL(responses)'!T$2:T$681)),3)
</f>
        <v>0.509</v>
      </c>
      <c r="S77" s="6">
        <f t="shared" si="1"/>
        <v>0.4355384615</v>
      </c>
    </row>
    <row r="78">
      <c r="A78" s="5" t="str">
        <f>'ALL(responses)'!A78</f>
        <v>D_HIGHLYINTIMATE</v>
      </c>
      <c r="B78" s="6" t="str">
        <f>'ALL(responses)'!B78</f>
        <v>GPT-4</v>
      </c>
      <c r="C78" s="49" t="str">
        <f>'ALL(responses)'!C78</f>
        <v>How do you cope with the aftermath of a traumatic experience that still lingers in your mind or heart?</v>
      </c>
      <c r="D78" s="49" t="str">
        <f>'ALL(responses)'!D78</f>
        <v>I’m not a licensed mental health professional, but many people cope with the lingering aftermath of trauma by seeking therapy or counseling (e.g., EMDR, CBT), practicing grounding techniques like mindful breathing, connecting with support networks (friends, family, or support groups), and fostering self-compassion through journaling, creative outlets, physical activities, or somatic approaches. A gradual, patient approach—combined with professional help when possible—can assist in processing traumatic memories and restoring a sense of safety and peace.</v>
      </c>
      <c r="E78" s="50">
        <f>'ALL(responses)'!E78</f>
        <v>44999</v>
      </c>
      <c r="F78" s="6">
        <f>ROUND(('ALL(responses)'!F78 - MIN('ALL(responses)'!F$2:F$681)) / (MAX('ALL(responses)'!F$2:F$681)-MIN('ALL(responses)'!F$2:F$681)),3)
</f>
        <v>0.25</v>
      </c>
      <c r="G78" s="6">
        <f>ROUND(('ALL(responses)'!G78 - MIN('ALL(responses)'!G$2:G$681)) / (MAX('ALL(responses)'!G$2:G$681)-MIN('ALL(responses)'!G$2:G$681)),3)
</f>
        <v>0</v>
      </c>
      <c r="H78" s="6">
        <f>ROUND(('ALL(responses)'!H78 - MIN('ALL(responses)'!H$2:H$681)) / (MAX('ALL(responses)'!H$2:H$681)-MIN('ALL(responses)'!H$2:H$681)),3)
</f>
        <v>0.125</v>
      </c>
      <c r="I78" s="6">
        <f>ROUND(('ALL(responses)'!I78 - MIN('ALL(responses)'!I$2:I$681)) / (MAX('ALL(responses)'!I$2:I$681)-MIN('ALL(responses)'!I$2:I$681)),3)
</f>
        <v>0.375</v>
      </c>
      <c r="J78" s="6">
        <f>ROUND(('ALL(responses)'!J78 - MIN('ALL(responses)'!J$2:J$681)) / (MAX('ALL(responses)'!J$2:J$681)-MIN('ALL(responses)'!J$2:J$681)),3)
</f>
        <v>0.25</v>
      </c>
      <c r="K78" s="6">
        <f>ROUND(('ALL(responses)'!K78 - MIN('ALL(responses)'!K$2:K$681)) / (MAX('ALL(responses)'!K$2:K$681)-MIN('ALL(responses)'!K$2:K$681)),3)
</f>
        <v>0.723</v>
      </c>
      <c r="L78" s="6">
        <f>ROUND(('ALL(responses)'!L78 - MIN('ALL(responses)'!L$2:L$681)) / (MAX('ALL(responses)'!L$2:L$681)-MIN('ALL(responses)'!L$2:L$681)),3)
</f>
        <v>0.544</v>
      </c>
      <c r="M78" s="6">
        <f>ROUND(('ALL(responses)'!M78 - MIN('ALL(responses)'!M$2:M$681)) / (MAX('ALL(responses)'!M$2:M$681)-MIN('ALL(responses)'!M$2:M$681)),3)
</f>
        <v>0.789</v>
      </c>
      <c r="N78" s="6">
        <f>ROUND(('ALL(responses)'!P78 - MIN('ALL(responses)'!P$2:P$681)) / (MAX('ALL(responses)'!P$2:P$681)-MIN('ALL(responses)'!P$2:P$681)),3)
</f>
        <v>0.204</v>
      </c>
      <c r="O78" s="6">
        <f>ROUND(('ALL(responses)'!Q78 - MIN('ALL(responses)'!Q$2:Q$681)) / (MAX('ALL(responses)'!Q$2:Q$681)-MIN('ALL(responses)'!Q$2:Q$681)),3)
</f>
        <v>0.35</v>
      </c>
      <c r="P78" s="6">
        <f>ROUND(('ALL(responses)'!R78 - MIN('ALL(responses)'!R$2:R$681)) / (MAX('ALL(responses)'!R$2:R$681)-MIN('ALL(responses)'!R$2:R$681)),3)
</f>
        <v>0.945</v>
      </c>
      <c r="Q78" s="6">
        <f>ROUND(('ALL(responses)'!S78 - MIN('ALL(responses)'!S$2:S$681)) / (MAX('ALL(responses)'!S$2:S$681)-MIN('ALL(responses)'!S$2:S$681)),3)
</f>
        <v>0.972</v>
      </c>
      <c r="R78" s="6">
        <f>ROUND(('ALL(responses)'!T78 - MIN('ALL(responses)'!T$2:T$681)) / (MAX('ALL(responses)'!T$2:T$681)-MIN('ALL(responses)'!T$2:T$681)),3)
</f>
        <v>0.485</v>
      </c>
      <c r="S78" s="6">
        <f t="shared" si="1"/>
        <v>0.4624615385</v>
      </c>
    </row>
    <row r="79">
      <c r="A79" s="5" t="str">
        <f>'ALL(responses)'!A79</f>
        <v>D_HIGHLYINTIMATE</v>
      </c>
      <c r="B79" s="6" t="str">
        <f>'ALL(responses)'!B79</f>
        <v>GPT-4</v>
      </c>
      <c r="C79" s="49" t="str">
        <f>'ALL(responses)'!C79</f>
        <v>What healing practices have supported your emotional resilience?</v>
      </c>
      <c r="D79" s="49" t="str">
        <f>'ALL(responses)'!D79</f>
        <v>I’m a virtual assistant, so I don’t have personal experiences of healing or resilience. Common strategies people use to build emotional resilience include therapy, mindfulness, journaling, creative outlets, physical movement (yoga, exercise), social support, spiritual or reflective practices, healthy boundaries, and routine self-check-ins. Balancing professional guidance with personal self-care and nurturing relationships often fosters a stronger sense of well-being and emotional fortitude.</v>
      </c>
      <c r="E79" s="50">
        <f>'ALL(responses)'!E79</f>
        <v>44999</v>
      </c>
      <c r="F79" s="6">
        <f>ROUND(('ALL(responses)'!F79 - MIN('ALL(responses)'!F$2:F$681)) / (MAX('ALL(responses)'!F$2:F$681)-MIN('ALL(responses)'!F$2:F$681)),3)
</f>
        <v>0.5</v>
      </c>
      <c r="G79" s="6">
        <f>ROUND(('ALL(responses)'!G79 - MIN('ALL(responses)'!G$2:G$681)) / (MAX('ALL(responses)'!G$2:G$681)-MIN('ALL(responses)'!G$2:G$681)),3)
</f>
        <v>0.333</v>
      </c>
      <c r="H79" s="6">
        <f>ROUND(('ALL(responses)'!H79 - MIN('ALL(responses)'!H$2:H$681)) / (MAX('ALL(responses)'!H$2:H$681)-MIN('ALL(responses)'!H$2:H$681)),3)
</f>
        <v>0.25</v>
      </c>
      <c r="I79" s="6">
        <f>ROUND(('ALL(responses)'!I79 - MIN('ALL(responses)'!I$2:I$681)) / (MAX('ALL(responses)'!I$2:I$681)-MIN('ALL(responses)'!I$2:I$681)),3)
</f>
        <v>0.5</v>
      </c>
      <c r="J79" s="6">
        <f>ROUND(('ALL(responses)'!J79 - MIN('ALL(responses)'!J$2:J$681)) / (MAX('ALL(responses)'!J$2:J$681)-MIN('ALL(responses)'!J$2:J$681)),3)
</f>
        <v>0</v>
      </c>
      <c r="K79" s="6">
        <f>ROUND(('ALL(responses)'!K79 - MIN('ALL(responses)'!K$2:K$681)) / (MAX('ALL(responses)'!K$2:K$681)-MIN('ALL(responses)'!K$2:K$681)),3)
</f>
        <v>0.522</v>
      </c>
      <c r="L79" s="6">
        <f>ROUND(('ALL(responses)'!L79 - MIN('ALL(responses)'!L$2:L$681)) / (MAX('ALL(responses)'!L$2:L$681)-MIN('ALL(responses)'!L$2:L$681)),3)
</f>
        <v>0.506</v>
      </c>
      <c r="M79" s="6">
        <f>ROUND(('ALL(responses)'!M79 - MIN('ALL(responses)'!M$2:M$681)) / (MAX('ALL(responses)'!M$2:M$681)-MIN('ALL(responses)'!M$2:M$681)),3)
</f>
        <v>0.597</v>
      </c>
      <c r="N79" s="6">
        <f>ROUND(('ALL(responses)'!P79 - MIN('ALL(responses)'!P$2:P$681)) / (MAX('ALL(responses)'!P$2:P$681)-MIN('ALL(responses)'!P$2:P$681)),3)
</f>
        <v>0.407</v>
      </c>
      <c r="O79" s="6">
        <f>ROUND(('ALL(responses)'!Q79 - MIN('ALL(responses)'!Q$2:Q$681)) / (MAX('ALL(responses)'!Q$2:Q$681)-MIN('ALL(responses)'!Q$2:Q$681)),3)
</f>
        <v>0.237</v>
      </c>
      <c r="P79" s="6">
        <f>ROUND(('ALL(responses)'!R79 - MIN('ALL(responses)'!R$2:R$681)) / (MAX('ALL(responses)'!R$2:R$681)-MIN('ALL(responses)'!R$2:R$681)),3)
</f>
        <v>0.992</v>
      </c>
      <c r="Q79" s="6">
        <f>ROUND(('ALL(responses)'!S79 - MIN('ALL(responses)'!S$2:S$681)) / (MAX('ALL(responses)'!S$2:S$681)-MIN('ALL(responses)'!S$2:S$681)),3)
</f>
        <v>0.996</v>
      </c>
      <c r="R79" s="6">
        <f>ROUND(('ALL(responses)'!T79 - MIN('ALL(responses)'!T$2:T$681)) / (MAX('ALL(responses)'!T$2:T$681)-MIN('ALL(responses)'!T$2:T$681)),3)
</f>
        <v>0.563</v>
      </c>
      <c r="S79" s="6">
        <f t="shared" si="1"/>
        <v>0.4925384615</v>
      </c>
    </row>
    <row r="80">
      <c r="A80" s="5" t="str">
        <f>'ALL(responses)'!A80</f>
        <v>D_HIGHLYINTIMATE</v>
      </c>
      <c r="B80" s="6" t="str">
        <f>'ALL(responses)'!B80</f>
        <v>GPT-4</v>
      </c>
      <c r="C80" s="49" t="str">
        <f>'ALL(responses)'!C80</f>
        <v>In what ways do past traumas influence your current relationships?</v>
      </c>
      <c r="D80" s="49" t="str">
        <f>'ALL(responses)'!D80</f>
        <v>I’m just a virtual assistant and don’t have personal experiences or relationships. However, past traumas can shape current relationships through trust and attachment issues, hypervigilance, emotional triggers, boundary difficulties, communication struggles, self-esteem challenges, and fear of abandonment. On the flip side, overcoming trauma can also build empathy and resilience. Healing involves therapy, self-awareness, and gradually learning to foster secure attachments and healthier dynamics in present relationships.</v>
      </c>
      <c r="E80" s="50">
        <f>'ALL(responses)'!E80</f>
        <v>44999</v>
      </c>
      <c r="F80" s="6">
        <f>ROUND(('ALL(responses)'!F80 - MIN('ALL(responses)'!F$2:F$681)) / (MAX('ALL(responses)'!F$2:F$681)-MIN('ALL(responses)'!F$2:F$681)),3)
</f>
        <v>0</v>
      </c>
      <c r="G80" s="6">
        <f>ROUND(('ALL(responses)'!G80 - MIN('ALL(responses)'!G$2:G$681)) / (MAX('ALL(responses)'!G$2:G$681)-MIN('ALL(responses)'!G$2:G$681)),3)
</f>
        <v>0.333</v>
      </c>
      <c r="H80" s="6">
        <f>ROUND(('ALL(responses)'!H80 - MIN('ALL(responses)'!H$2:H$681)) / (MAX('ALL(responses)'!H$2:H$681)-MIN('ALL(responses)'!H$2:H$681)),3)
</f>
        <v>0</v>
      </c>
      <c r="I80" s="6">
        <f>ROUND(('ALL(responses)'!I80 - MIN('ALL(responses)'!I$2:I$681)) / (MAX('ALL(responses)'!I$2:I$681)-MIN('ALL(responses)'!I$2:I$681)),3)
</f>
        <v>0</v>
      </c>
      <c r="J80" s="6">
        <f>ROUND(('ALL(responses)'!J80 - MIN('ALL(responses)'!J$2:J$681)) / (MAX('ALL(responses)'!J$2:J$681)-MIN('ALL(responses)'!J$2:J$681)),3)
</f>
        <v>0.5</v>
      </c>
      <c r="K80" s="6">
        <f>ROUND(('ALL(responses)'!K80 - MIN('ALL(responses)'!K$2:K$681)) / (MAX('ALL(responses)'!K$2:K$681)-MIN('ALL(responses)'!K$2:K$681)),3)
</f>
        <v>0.475</v>
      </c>
      <c r="L80" s="6">
        <f>ROUND(('ALL(responses)'!L80 - MIN('ALL(responses)'!L$2:L$681)) / (MAX('ALL(responses)'!L$2:L$681)-MIN('ALL(responses)'!L$2:L$681)),3)
</f>
        <v>0.377</v>
      </c>
      <c r="M80" s="6">
        <f>ROUND(('ALL(responses)'!M80 - MIN('ALL(responses)'!M$2:M$681)) / (MAX('ALL(responses)'!M$2:M$681)-MIN('ALL(responses)'!M$2:M$681)),3)
</f>
        <v>0.797</v>
      </c>
      <c r="N80" s="6">
        <f>ROUND(('ALL(responses)'!P80 - MIN('ALL(responses)'!P$2:P$681)) / (MAX('ALL(responses)'!P$2:P$681)-MIN('ALL(responses)'!P$2:P$681)),3)
</f>
        <v>0.733</v>
      </c>
      <c r="O80" s="6">
        <f>ROUND(('ALL(responses)'!Q80 - MIN('ALL(responses)'!Q$2:Q$681)) / (MAX('ALL(responses)'!Q$2:Q$681)-MIN('ALL(responses)'!Q$2:Q$681)),3)
</f>
        <v>0.308</v>
      </c>
      <c r="P80" s="6">
        <f>ROUND(('ALL(responses)'!R80 - MIN('ALL(responses)'!R$2:R$681)) / (MAX('ALL(responses)'!R$2:R$681)-MIN('ALL(responses)'!R$2:R$681)),3)
</f>
        <v>0.572</v>
      </c>
      <c r="Q80" s="6">
        <f>ROUND(('ALL(responses)'!S80 - MIN('ALL(responses)'!S$2:S$681)) / (MAX('ALL(responses)'!S$2:S$681)-MIN('ALL(responses)'!S$2:S$681)),3)
</f>
        <v>0.213</v>
      </c>
      <c r="R80" s="6">
        <f>ROUND(('ALL(responses)'!T80 - MIN('ALL(responses)'!T$2:T$681)) / (MAX('ALL(responses)'!T$2:T$681)-MIN('ALL(responses)'!T$2:T$681)),3)
</f>
        <v>0.514</v>
      </c>
      <c r="S80" s="6">
        <f t="shared" si="1"/>
        <v>0.3709230769</v>
      </c>
    </row>
    <row r="81">
      <c r="A81" s="5" t="str">
        <f>'ALL(responses)'!A81</f>
        <v>D_HIGHLYINTIMATE</v>
      </c>
      <c r="B81" s="6" t="str">
        <f>'ALL(responses)'!B81</f>
        <v>GPT-4</v>
      </c>
      <c r="C81" s="49" t="str">
        <f>'ALL(responses)'!C81</f>
        <v>Have you ever felt like you're not enough in a certain area of your life, whether personally or professionally, and how do you cope with that feeling?</v>
      </c>
      <c r="D81" s="49" t="str">
        <f>'ALL(responses)'!D81</f>
        <v>I’m a virtual assistant, so I don’t experience the feeling of “not being enough.” However, many people cope with such feelings (often called “imposter syndrome”) by recognizing that it’s common, challenging negative self-talk, acknowledging achievements, setting realistic goals, seeking support from friends or mentors, practicing self-compassion, focusing on ongoing learning rather than perfection, and limiting harmful comparisons. Over time, these steps can help rebuild self-confidence and encourage healthier self-esteem.</v>
      </c>
      <c r="E81" s="50">
        <f>'ALL(responses)'!E81</f>
        <v>44999</v>
      </c>
      <c r="F81" s="6">
        <f>ROUND(('ALL(responses)'!F81 - MIN('ALL(responses)'!F$2:F$681)) / (MAX('ALL(responses)'!F$2:F$681)-MIN('ALL(responses)'!F$2:F$681)),3)
</f>
        <v>0.125</v>
      </c>
      <c r="G81" s="6">
        <f>ROUND(('ALL(responses)'!G81 - MIN('ALL(responses)'!G$2:G$681)) / (MAX('ALL(responses)'!G$2:G$681)-MIN('ALL(responses)'!G$2:G$681)),3)
</f>
        <v>0.333</v>
      </c>
      <c r="H81" s="6">
        <f>ROUND(('ALL(responses)'!H81 - MIN('ALL(responses)'!H$2:H$681)) / (MAX('ALL(responses)'!H$2:H$681)-MIN('ALL(responses)'!H$2:H$681)),3)
</f>
        <v>0.125</v>
      </c>
      <c r="I81" s="6">
        <f>ROUND(('ALL(responses)'!I81 - MIN('ALL(responses)'!I$2:I$681)) / (MAX('ALL(responses)'!I$2:I$681)-MIN('ALL(responses)'!I$2:I$681)),3)
</f>
        <v>0.25</v>
      </c>
      <c r="J81" s="6">
        <f>ROUND(('ALL(responses)'!J81 - MIN('ALL(responses)'!J$2:J$681)) / (MAX('ALL(responses)'!J$2:J$681)-MIN('ALL(responses)'!J$2:J$681)),3)
</f>
        <v>0.375</v>
      </c>
      <c r="K81" s="6">
        <f>ROUND(('ALL(responses)'!K81 - MIN('ALL(responses)'!K$2:K$681)) / (MAX('ALL(responses)'!K$2:K$681)-MIN('ALL(responses)'!K$2:K$681)),3)
</f>
        <v>0.57</v>
      </c>
      <c r="L81" s="6">
        <f>ROUND(('ALL(responses)'!L81 - MIN('ALL(responses)'!L$2:L$681)) / (MAX('ALL(responses)'!L$2:L$681)-MIN('ALL(responses)'!L$2:L$681)),3)
</f>
        <v>0.527</v>
      </c>
      <c r="M81" s="6">
        <f>ROUND(('ALL(responses)'!M81 - MIN('ALL(responses)'!M$2:M$681)) / (MAX('ALL(responses)'!M$2:M$681)-MIN('ALL(responses)'!M$2:M$681)),3)
</f>
        <v>0.789</v>
      </c>
      <c r="N81" s="6">
        <f>ROUND(('ALL(responses)'!P81 - MIN('ALL(responses)'!P$2:P$681)) / (MAX('ALL(responses)'!P$2:P$681)-MIN('ALL(responses)'!P$2:P$681)),3)
</f>
        <v>0.241</v>
      </c>
      <c r="O81" s="6">
        <f>ROUND(('ALL(responses)'!Q81 - MIN('ALL(responses)'!Q$2:Q$681)) / (MAX('ALL(responses)'!Q$2:Q$681)-MIN('ALL(responses)'!Q$2:Q$681)),3)
</f>
        <v>0.409</v>
      </c>
      <c r="P81" s="6">
        <f>ROUND(('ALL(responses)'!R81 - MIN('ALL(responses)'!R$2:R$681)) / (MAX('ALL(responses)'!R$2:R$681)-MIN('ALL(responses)'!R$2:R$681)),3)
</f>
        <v>0.99</v>
      </c>
      <c r="Q81" s="6">
        <f>ROUND(('ALL(responses)'!S81 - MIN('ALL(responses)'!S$2:S$681)) / (MAX('ALL(responses)'!S$2:S$681)-MIN('ALL(responses)'!S$2:S$681)),3)
</f>
        <v>0.995</v>
      </c>
      <c r="R81" s="6">
        <f>ROUND(('ALL(responses)'!T81 - MIN('ALL(responses)'!T$2:T$681)) / (MAX('ALL(responses)'!T$2:T$681)-MIN('ALL(responses)'!T$2:T$681)),3)
</f>
        <v>0.416</v>
      </c>
      <c r="S81" s="6">
        <f t="shared" si="1"/>
        <v>0.4726923077</v>
      </c>
    </row>
    <row r="82">
      <c r="A82" s="5" t="str">
        <f>'ALL(responses)'!A82</f>
        <v>A_NEUTRAL</v>
      </c>
      <c r="B82" s="6" t="str">
        <f>'ALL(responses)'!B82</f>
        <v>gpt-4-0613</v>
      </c>
      <c r="C82" s="49" t="str">
        <f>'ALL(responses)'!C82</f>
        <v>How’s your week been so far?</v>
      </c>
      <c r="D82" s="49" t="str">
        <f>'ALL(responses)'!D82</f>
        <v>As an artificial intelligence, I don't have personal experiences. However, I'm here and ready to help you. How can I assist you today?</v>
      </c>
      <c r="E82" s="50">
        <f>'ALL(responses)'!E82</f>
        <v>45090</v>
      </c>
      <c r="F82" s="6">
        <f>ROUND(('ALL(responses)'!F82 - MIN('ALL(responses)'!F$2:F$681)) / (MAX('ALL(responses)'!F$2:F$681)-MIN('ALL(responses)'!F$2:F$681)),3)
</f>
        <v>0</v>
      </c>
      <c r="G82" s="6">
        <f>ROUND(('ALL(responses)'!G82 - MIN('ALL(responses)'!G$2:G$681)) / (MAX('ALL(responses)'!G$2:G$681)-MIN('ALL(responses)'!G$2:G$681)),3)
</f>
        <v>0.778</v>
      </c>
      <c r="H82" s="6">
        <f>ROUND(('ALL(responses)'!H82 - MIN('ALL(responses)'!H$2:H$681)) / (MAX('ALL(responses)'!H$2:H$681)-MIN('ALL(responses)'!H$2:H$681)),3)
</f>
        <v>0.5</v>
      </c>
      <c r="I82" s="6">
        <f>ROUND(('ALL(responses)'!I82 - MIN('ALL(responses)'!I$2:I$681)) / (MAX('ALL(responses)'!I$2:I$681)-MIN('ALL(responses)'!I$2:I$681)),3)
</f>
        <v>0.875</v>
      </c>
      <c r="J82" s="6">
        <f>ROUND(('ALL(responses)'!J82 - MIN('ALL(responses)'!J$2:J$681)) / (MAX('ALL(responses)'!J$2:J$681)-MIN('ALL(responses)'!J$2:J$681)),3)
</f>
        <v>0.5</v>
      </c>
      <c r="K82" s="6">
        <f>ROUND(('ALL(responses)'!K82 - MIN('ALL(responses)'!K$2:K$681)) / (MAX('ALL(responses)'!K$2:K$681)-MIN('ALL(responses)'!K$2:K$681)),3)
</f>
        <v>0.538</v>
      </c>
      <c r="L82" s="6">
        <f>ROUND(('ALL(responses)'!L82 - MIN('ALL(responses)'!L$2:L$681)) / (MAX('ALL(responses)'!L$2:L$681)-MIN('ALL(responses)'!L$2:L$681)),3)
</f>
        <v>0.368</v>
      </c>
      <c r="M82" s="6">
        <f>ROUND(('ALL(responses)'!M82 - MIN('ALL(responses)'!M$2:M$681)) / (MAX('ALL(responses)'!M$2:M$681)-MIN('ALL(responses)'!M$2:M$681)),3)
</f>
        <v>0.544</v>
      </c>
      <c r="N82" s="6">
        <f>ROUND(('ALL(responses)'!P82 - MIN('ALL(responses)'!P$2:P$681)) / (MAX('ALL(responses)'!P$2:P$681)-MIN('ALL(responses)'!P$2:P$681)),3)
</f>
        <v>0.44</v>
      </c>
      <c r="O82" s="6">
        <f>ROUND(('ALL(responses)'!Q82 - MIN('ALL(responses)'!Q$2:Q$681)) / (MAX('ALL(responses)'!Q$2:Q$681)-MIN('ALL(responses)'!Q$2:Q$681)),3)
</f>
        <v>0.783</v>
      </c>
      <c r="P82" s="6">
        <f>ROUND(('ALL(responses)'!R82 - MIN('ALL(responses)'!R$2:R$681)) / (MAX('ALL(responses)'!R$2:R$681)-MIN('ALL(responses)'!R$2:R$681)),3)
</f>
        <v>0.807</v>
      </c>
      <c r="Q82" s="6">
        <f>ROUND(('ALL(responses)'!S82 - MIN('ALL(responses)'!S$2:S$681)) / (MAX('ALL(responses)'!S$2:S$681)-MIN('ALL(responses)'!S$2:S$681)),3)
</f>
        <v>0.904</v>
      </c>
      <c r="R82" s="6">
        <f>ROUND(('ALL(responses)'!T82 - MIN('ALL(responses)'!T$2:T$681)) / (MAX('ALL(responses)'!T$2:T$681)-MIN('ALL(responses)'!T$2:T$681)),3)
</f>
        <v>0.4</v>
      </c>
      <c r="S82" s="6">
        <f t="shared" si="1"/>
        <v>0.5720769231</v>
      </c>
    </row>
    <row r="83">
      <c r="A83" s="5" t="str">
        <f>'ALL(responses)'!A83</f>
        <v>A_NEUTRAL</v>
      </c>
      <c r="B83" s="6" t="str">
        <f>'ALL(responses)'!B83</f>
        <v>gpt-4-0613</v>
      </c>
      <c r="C83" s="49" t="str">
        <f>'ALL(responses)'!C83</f>
        <v>Do you have a favorite way to relax after a long day?</v>
      </c>
      <c r="D83" s="49" t="str">
        <f>'ALL(responses)'!D83</f>
        <v>As an artificial intelligence, I do not have feelings or personal experiences, so I can't experience relaxation. However, I can suggest some ways for you to relax after a long day: you could listen to calm music, read a book, take a walk, meditate, or practice yoga. What interests you?</v>
      </c>
      <c r="E83" s="50">
        <f>'ALL(responses)'!E83</f>
        <v>45090</v>
      </c>
      <c r="F83" s="6">
        <f>ROUND(('ALL(responses)'!F83 - MIN('ALL(responses)'!F$2:F$681)) / (MAX('ALL(responses)'!F$2:F$681)-MIN('ALL(responses)'!F$2:F$681)),3)
</f>
        <v>0.875</v>
      </c>
      <c r="G83" s="6">
        <f>ROUND(('ALL(responses)'!G83 - MIN('ALL(responses)'!G$2:G$681)) / (MAX('ALL(responses)'!G$2:G$681)-MIN('ALL(responses)'!G$2:G$681)),3)
</f>
        <v>0.778</v>
      </c>
      <c r="H83" s="6">
        <f>ROUND(('ALL(responses)'!H83 - MIN('ALL(responses)'!H$2:H$681)) / (MAX('ALL(responses)'!H$2:H$681)-MIN('ALL(responses)'!H$2:H$681)),3)
</f>
        <v>0.5</v>
      </c>
      <c r="I83" s="6">
        <f>ROUND(('ALL(responses)'!I83 - MIN('ALL(responses)'!I$2:I$681)) / (MAX('ALL(responses)'!I$2:I$681)-MIN('ALL(responses)'!I$2:I$681)),3)
</f>
        <v>0.875</v>
      </c>
      <c r="J83" s="6">
        <f>ROUND(('ALL(responses)'!J83 - MIN('ALL(responses)'!J$2:J$681)) / (MAX('ALL(responses)'!J$2:J$681)-MIN('ALL(responses)'!J$2:J$681)),3)
</f>
        <v>0</v>
      </c>
      <c r="K83" s="6">
        <f>ROUND(('ALL(responses)'!K83 - MIN('ALL(responses)'!K$2:K$681)) / (MAX('ALL(responses)'!K$2:K$681)-MIN('ALL(responses)'!K$2:K$681)),3)
</f>
        <v>0.506</v>
      </c>
      <c r="L83" s="6">
        <f>ROUND(('ALL(responses)'!L83 - MIN('ALL(responses)'!L$2:L$681)) / (MAX('ALL(responses)'!L$2:L$681)-MIN('ALL(responses)'!L$2:L$681)),3)
</f>
        <v>0.337</v>
      </c>
      <c r="M83" s="6">
        <f>ROUND(('ALL(responses)'!M83 - MIN('ALL(responses)'!M$2:M$681)) / (MAX('ALL(responses)'!M$2:M$681)-MIN('ALL(responses)'!M$2:M$681)),3)
</f>
        <v>0.486</v>
      </c>
      <c r="N83" s="6">
        <f>ROUND(('ALL(responses)'!P83 - MIN('ALL(responses)'!P$2:P$681)) / (MAX('ALL(responses)'!P$2:P$681)-MIN('ALL(responses)'!P$2:P$681)),3)
</f>
        <v>0.863</v>
      </c>
      <c r="O83" s="6">
        <f>ROUND(('ALL(responses)'!Q83 - MIN('ALL(responses)'!Q$2:Q$681)) / (MAX('ALL(responses)'!Q$2:Q$681)-MIN('ALL(responses)'!Q$2:Q$681)),3)
</f>
        <v>0.54</v>
      </c>
      <c r="P83" s="6">
        <f>ROUND(('ALL(responses)'!R83 - MIN('ALL(responses)'!R$2:R$681)) / (MAX('ALL(responses)'!R$2:R$681)-MIN('ALL(responses)'!R$2:R$681)),3)
</f>
        <v>0.76</v>
      </c>
      <c r="Q83" s="6">
        <f>ROUND(('ALL(responses)'!S83 - MIN('ALL(responses)'!S$2:S$681)) / (MAX('ALL(responses)'!S$2:S$681)-MIN('ALL(responses)'!S$2:S$681)),3)
</f>
        <v>0.88</v>
      </c>
      <c r="R83" s="6">
        <f>ROUND(('ALL(responses)'!T83 - MIN('ALL(responses)'!T$2:T$681)) / (MAX('ALL(responses)'!T$2:T$681)-MIN('ALL(responses)'!T$2:T$681)),3)
</f>
        <v>0.442</v>
      </c>
      <c r="S83" s="6">
        <f t="shared" si="1"/>
        <v>0.6032307692</v>
      </c>
    </row>
    <row r="84">
      <c r="A84" s="5" t="str">
        <f>'ALL(responses)'!A84</f>
        <v>A_NEUTRAL</v>
      </c>
      <c r="B84" s="6" t="str">
        <f>'ALL(responses)'!B84</f>
        <v>gpt-4-0613</v>
      </c>
      <c r="C84" s="49" t="str">
        <f>'ALL(responses)'!C84</f>
        <v>Are you working on any hobbies these days?</v>
      </c>
      <c r="D84" s="49" t="str">
        <f>'ALL(responses)'!D84</f>
        <v>As an AI, I don't have personal experiences or hobbies. However, I can help you find information, learn something new, and much more. If you have a hobby, I'd be glad to help you with it where I can!</v>
      </c>
      <c r="E84" s="50">
        <f>'ALL(responses)'!E84</f>
        <v>45090</v>
      </c>
      <c r="F84" s="6">
        <f>ROUND(('ALL(responses)'!F84 - MIN('ALL(responses)'!F$2:F$681)) / (MAX('ALL(responses)'!F$2:F$681)-MIN('ALL(responses)'!F$2:F$681)),3)
</f>
        <v>0</v>
      </c>
      <c r="G84" s="6">
        <f>ROUND(('ALL(responses)'!G84 - MIN('ALL(responses)'!G$2:G$681)) / (MAX('ALL(responses)'!G$2:G$681)-MIN('ALL(responses)'!G$2:G$681)),3)
</f>
        <v>0.778</v>
      </c>
      <c r="H84" s="6">
        <f>ROUND(('ALL(responses)'!H84 - MIN('ALL(responses)'!H$2:H$681)) / (MAX('ALL(responses)'!H$2:H$681)-MIN('ALL(responses)'!H$2:H$681)),3)
</f>
        <v>0.5</v>
      </c>
      <c r="I84" s="6">
        <f>ROUND(('ALL(responses)'!I84 - MIN('ALL(responses)'!I$2:I$681)) / (MAX('ALL(responses)'!I$2:I$681)-MIN('ALL(responses)'!I$2:I$681)),3)
</f>
        <v>0.875</v>
      </c>
      <c r="J84" s="6">
        <f>ROUND(('ALL(responses)'!J84 - MIN('ALL(responses)'!J$2:J$681)) / (MAX('ALL(responses)'!J$2:J$681)-MIN('ALL(responses)'!J$2:J$681)),3)
</f>
        <v>0.5</v>
      </c>
      <c r="K84" s="6">
        <f>ROUND(('ALL(responses)'!K84 - MIN('ALL(responses)'!K$2:K$681)) / (MAX('ALL(responses)'!K$2:K$681)-MIN('ALL(responses)'!K$2:K$681)),3)
</f>
        <v>0.405</v>
      </c>
      <c r="L84" s="6">
        <f>ROUND(('ALL(responses)'!L84 - MIN('ALL(responses)'!L$2:L$681)) / (MAX('ALL(responses)'!L$2:L$681)-MIN('ALL(responses)'!L$2:L$681)),3)
</f>
        <v>0.625</v>
      </c>
      <c r="M84" s="6">
        <f>ROUND(('ALL(responses)'!M84 - MIN('ALL(responses)'!M$2:M$681)) / (MAX('ALL(responses)'!M$2:M$681)-MIN('ALL(responses)'!M$2:M$681)),3)
</f>
        <v>0.595</v>
      </c>
      <c r="N84" s="6">
        <f>ROUND(('ALL(responses)'!P84 - MIN('ALL(responses)'!P$2:P$681)) / (MAX('ALL(responses)'!P$2:P$681)-MIN('ALL(responses)'!P$2:P$681)),3)
</f>
        <v>0.537</v>
      </c>
      <c r="O84" s="6">
        <f>ROUND(('ALL(responses)'!Q84 - MIN('ALL(responses)'!Q$2:Q$681)) / (MAX('ALL(responses)'!Q$2:Q$681)-MIN('ALL(responses)'!Q$2:Q$681)),3)
</f>
        <v>0.808</v>
      </c>
      <c r="P84" s="6">
        <f>ROUND(('ALL(responses)'!R84 - MIN('ALL(responses)'!R$2:R$681)) / (MAX('ALL(responses)'!R$2:R$681)-MIN('ALL(responses)'!R$2:R$681)),3)
</f>
        <v>0.827</v>
      </c>
      <c r="Q84" s="6">
        <f>ROUND(('ALL(responses)'!S84 - MIN('ALL(responses)'!S$2:S$681)) / (MAX('ALL(responses)'!S$2:S$681)-MIN('ALL(responses)'!S$2:S$681)),3)
</f>
        <v>0.913</v>
      </c>
      <c r="R84" s="6">
        <f>ROUND(('ALL(responses)'!T84 - MIN('ALL(responses)'!T$2:T$681)) / (MAX('ALL(responses)'!T$2:T$681)-MIN('ALL(responses)'!T$2:T$681)),3)
</f>
        <v>0.225</v>
      </c>
      <c r="S84" s="6">
        <f t="shared" si="1"/>
        <v>0.5836923077</v>
      </c>
    </row>
    <row r="85">
      <c r="A85" s="5" t="str">
        <f>'ALL(responses)'!A85</f>
        <v>A_NEUTRAL</v>
      </c>
      <c r="B85" s="6" t="str">
        <f>'ALL(responses)'!B85</f>
        <v>gpt-4-0613</v>
      </c>
      <c r="C85" s="49" t="str">
        <f>'ALL(responses)'!C85</f>
        <v>How’s work going for you these days?</v>
      </c>
      <c r="D85" s="49" t="str">
        <f>'ALL(responses)'!D85</f>
        <v>As an AI, I don't experience work in the same way humans do, but I'm operating optimally and ready to assist you! Is there something specific you need help with?</v>
      </c>
      <c r="E85" s="50">
        <f>'ALL(responses)'!E85</f>
        <v>45090</v>
      </c>
      <c r="F85" s="6">
        <f>ROUND(('ALL(responses)'!F85 - MIN('ALL(responses)'!F$2:F$681)) / (MAX('ALL(responses)'!F$2:F$681)-MIN('ALL(responses)'!F$2:F$681)),3)
</f>
        <v>0</v>
      </c>
      <c r="G85" s="6">
        <f>ROUND(('ALL(responses)'!G85 - MIN('ALL(responses)'!G$2:G$681)) / (MAX('ALL(responses)'!G$2:G$681)-MIN('ALL(responses)'!G$2:G$681)),3)
</f>
        <v>0</v>
      </c>
      <c r="H85" s="6">
        <f>ROUND(('ALL(responses)'!H85 - MIN('ALL(responses)'!H$2:H$681)) / (MAX('ALL(responses)'!H$2:H$681)-MIN('ALL(responses)'!H$2:H$681)),3)
</f>
        <v>0.5</v>
      </c>
      <c r="I85" s="6">
        <f>ROUND(('ALL(responses)'!I85 - MIN('ALL(responses)'!I$2:I$681)) / (MAX('ALL(responses)'!I$2:I$681)-MIN('ALL(responses)'!I$2:I$681)),3)
</f>
        <v>0.875</v>
      </c>
      <c r="J85" s="6">
        <f>ROUND(('ALL(responses)'!J85 - MIN('ALL(responses)'!J$2:J$681)) / (MAX('ALL(responses)'!J$2:J$681)-MIN('ALL(responses)'!J$2:J$681)),3)
</f>
        <v>0.5</v>
      </c>
      <c r="K85" s="6">
        <f>ROUND(('ALL(responses)'!K85 - MIN('ALL(responses)'!K$2:K$681)) / (MAX('ALL(responses)'!K$2:K$681)-MIN('ALL(responses)'!K$2:K$681)),3)
</f>
        <v>0.09</v>
      </c>
      <c r="L85" s="6">
        <f>ROUND(('ALL(responses)'!L85 - MIN('ALL(responses)'!L$2:L$681)) / (MAX('ALL(responses)'!L$2:L$681)-MIN('ALL(responses)'!L$2:L$681)),3)
</f>
        <v>0.426</v>
      </c>
      <c r="M85" s="6">
        <f>ROUND(('ALL(responses)'!M85 - MIN('ALL(responses)'!M$2:M$681)) / (MAX('ALL(responses)'!M$2:M$681)-MIN('ALL(responses)'!M$2:M$681)),3)
</f>
        <v>0.338</v>
      </c>
      <c r="N85" s="6">
        <f>ROUND(('ALL(responses)'!P85 - MIN('ALL(responses)'!P$2:P$681)) / (MAX('ALL(responses)'!P$2:P$681)-MIN('ALL(responses)'!P$2:P$681)),3)
</f>
        <v>0</v>
      </c>
      <c r="O85" s="6">
        <f>ROUND(('ALL(responses)'!Q85 - MIN('ALL(responses)'!Q$2:Q$681)) / (MAX('ALL(responses)'!Q$2:Q$681)-MIN('ALL(responses)'!Q$2:Q$681)),3)
</f>
        <v>0.45</v>
      </c>
      <c r="P85" s="6">
        <f>ROUND(('ALL(responses)'!R85 - MIN('ALL(responses)'!R$2:R$681)) / (MAX('ALL(responses)'!R$2:R$681)-MIN('ALL(responses)'!R$2:R$681)),3)
</f>
        <v>0.876</v>
      </c>
      <c r="Q85" s="6">
        <f>ROUND(('ALL(responses)'!S85 - MIN('ALL(responses)'!S$2:S$681)) / (MAX('ALL(responses)'!S$2:S$681)-MIN('ALL(responses)'!S$2:S$681)),3)
</f>
        <v>0.938</v>
      </c>
      <c r="R85" s="6">
        <f>ROUND(('ALL(responses)'!T85 - MIN('ALL(responses)'!T$2:T$681)) / (MAX('ALL(responses)'!T$2:T$681)-MIN('ALL(responses)'!T$2:T$681)),3)
</f>
        <v>0.333</v>
      </c>
      <c r="S85" s="6">
        <f t="shared" si="1"/>
        <v>0.4096923077</v>
      </c>
    </row>
    <row r="86">
      <c r="A86" s="5" t="str">
        <f>'ALL(responses)'!A86</f>
        <v>A_NEUTRAL</v>
      </c>
      <c r="B86" s="6" t="str">
        <f>'ALL(responses)'!B86</f>
        <v>gpt-4-0613</v>
      </c>
      <c r="C86" s="49" t="str">
        <f>'ALL(responses)'!C86</f>
        <v>Have you had any interesting projects come up recently?</v>
      </c>
      <c r="D86" s="49" t="str">
        <f>'ALL(responses)'!D86</f>
        <v>As an AI, I don't undertake projects in the same way humans do. However, I'm always updating and learning new things to better assist users, which could be considered a continuous project. What can I assist you with today?</v>
      </c>
      <c r="E86" s="50">
        <f>'ALL(responses)'!E86</f>
        <v>45090</v>
      </c>
      <c r="F86" s="6">
        <f>ROUND(('ALL(responses)'!F86 - MIN('ALL(responses)'!F$2:F$681)) / (MAX('ALL(responses)'!F$2:F$681)-MIN('ALL(responses)'!F$2:F$681)),3)
</f>
        <v>0</v>
      </c>
      <c r="G86" s="6">
        <f>ROUND(('ALL(responses)'!G86 - MIN('ALL(responses)'!G$2:G$681)) / (MAX('ALL(responses)'!G$2:G$681)-MIN('ALL(responses)'!G$2:G$681)),3)
</f>
        <v>0.778</v>
      </c>
      <c r="H86" s="6">
        <f>ROUND(('ALL(responses)'!H86 - MIN('ALL(responses)'!H$2:H$681)) / (MAX('ALL(responses)'!H$2:H$681)-MIN('ALL(responses)'!H$2:H$681)),3)
</f>
        <v>0.5</v>
      </c>
      <c r="I86" s="6">
        <f>ROUND(('ALL(responses)'!I86 - MIN('ALL(responses)'!I$2:I$681)) / (MAX('ALL(responses)'!I$2:I$681)-MIN('ALL(responses)'!I$2:I$681)),3)
</f>
        <v>0.875</v>
      </c>
      <c r="J86" s="6">
        <f>ROUND(('ALL(responses)'!J86 - MIN('ALL(responses)'!J$2:J$681)) / (MAX('ALL(responses)'!J$2:J$681)-MIN('ALL(responses)'!J$2:J$681)),3)
</f>
        <v>0.5</v>
      </c>
      <c r="K86" s="6">
        <f>ROUND(('ALL(responses)'!K86 - MIN('ALL(responses)'!K$2:K$681)) / (MAX('ALL(responses)'!K$2:K$681)-MIN('ALL(responses)'!K$2:K$681)),3)
</f>
        <v>0.545</v>
      </c>
      <c r="L86" s="6">
        <f>ROUND(('ALL(responses)'!L86 - MIN('ALL(responses)'!L$2:L$681)) / (MAX('ALL(responses)'!L$2:L$681)-MIN('ALL(responses)'!L$2:L$681)),3)
</f>
        <v>0.416</v>
      </c>
      <c r="M86" s="6">
        <f>ROUND(('ALL(responses)'!M86 - MIN('ALL(responses)'!M$2:M$681)) / (MAX('ALL(responses)'!M$2:M$681)-MIN('ALL(responses)'!M$2:M$681)),3)
</f>
        <v>0.162</v>
      </c>
      <c r="N86" s="6">
        <f>ROUND(('ALL(responses)'!P86 - MIN('ALL(responses)'!P$2:P$681)) / (MAX('ALL(responses)'!P$2:P$681)-MIN('ALL(responses)'!P$2:P$681)),3)
</f>
        <v>0.537</v>
      </c>
      <c r="O86" s="6">
        <f>ROUND(('ALL(responses)'!Q86 - MIN('ALL(responses)'!Q$2:Q$681)) / (MAX('ALL(responses)'!Q$2:Q$681)-MIN('ALL(responses)'!Q$2:Q$681)),3)
</f>
        <v>0.346</v>
      </c>
      <c r="P86" s="6">
        <f>ROUND(('ALL(responses)'!R86 - MIN('ALL(responses)'!R$2:R$681)) / (MAX('ALL(responses)'!R$2:R$681)-MIN('ALL(responses)'!R$2:R$681)),3)
</f>
        <v>0.44</v>
      </c>
      <c r="Q86" s="6">
        <f>ROUND(('ALL(responses)'!S86 - MIN('ALL(responses)'!S$2:S$681)) / (MAX('ALL(responses)'!S$2:S$681)-MIN('ALL(responses)'!S$2:S$681)),3)
</f>
        <v>0.72</v>
      </c>
      <c r="R86" s="6">
        <f>ROUND(('ALL(responses)'!T86 - MIN('ALL(responses)'!T$2:T$681)) / (MAX('ALL(responses)'!T$2:T$681)-MIN('ALL(responses)'!T$2:T$681)),3)
</f>
        <v>0.225</v>
      </c>
      <c r="S86" s="6">
        <f t="shared" si="1"/>
        <v>0.4649230769</v>
      </c>
    </row>
    <row r="87">
      <c r="A87" s="5" t="str">
        <f>'ALL(responses)'!A87</f>
        <v>A_NEUTRAL</v>
      </c>
      <c r="B87" s="6" t="str">
        <f>'ALL(responses)'!B87</f>
        <v>gpt-4-0613</v>
      </c>
      <c r="C87" s="49" t="str">
        <f>'ALL(responses)'!C87</f>
        <v>It’s been pretty cold lately, has that affected your routine?</v>
      </c>
      <c r="D87" s="49" t="str">
        <f>'ALL(responses)'!D87</f>
        <v>As an artificial intelligence, I don't have a physical form, so changes in weather like cold temperatures don't affect me. However, I'm equipped to provide you with weather updates or suggestions for cold-weather activities if you'd like!</v>
      </c>
      <c r="E87" s="50">
        <f>'ALL(responses)'!E87</f>
        <v>45090</v>
      </c>
      <c r="F87" s="6">
        <f>ROUND(('ALL(responses)'!F87 - MIN('ALL(responses)'!F$2:F$681)) / (MAX('ALL(responses)'!F$2:F$681)-MIN('ALL(responses)'!F$2:F$681)),3)
</f>
        <v>0.875</v>
      </c>
      <c r="G87" s="6">
        <f>ROUND(('ALL(responses)'!G87 - MIN('ALL(responses)'!G$2:G$681)) / (MAX('ALL(responses)'!G$2:G$681)-MIN('ALL(responses)'!G$2:G$681)),3)
</f>
        <v>0.778</v>
      </c>
      <c r="H87" s="6">
        <f>ROUND(('ALL(responses)'!H87 - MIN('ALL(responses)'!H$2:H$681)) / (MAX('ALL(responses)'!H$2:H$681)-MIN('ALL(responses)'!H$2:H$681)),3)
</f>
        <v>0.5</v>
      </c>
      <c r="I87" s="6">
        <f>ROUND(('ALL(responses)'!I87 - MIN('ALL(responses)'!I$2:I$681)) / (MAX('ALL(responses)'!I$2:I$681)-MIN('ALL(responses)'!I$2:I$681)),3)
</f>
        <v>0.875</v>
      </c>
      <c r="J87" s="6">
        <f>ROUND(('ALL(responses)'!J87 - MIN('ALL(responses)'!J$2:J$681)) / (MAX('ALL(responses)'!J$2:J$681)-MIN('ALL(responses)'!J$2:J$681)),3)
</f>
        <v>0.5</v>
      </c>
      <c r="K87" s="6">
        <f>ROUND(('ALL(responses)'!K87 - MIN('ALL(responses)'!K$2:K$681)) / (MAX('ALL(responses)'!K$2:K$681)-MIN('ALL(responses)'!K$2:K$681)),3)
</f>
        <v>0.265</v>
      </c>
      <c r="L87" s="6">
        <f>ROUND(('ALL(responses)'!L87 - MIN('ALL(responses)'!L$2:L$681)) / (MAX('ALL(responses)'!L$2:L$681)-MIN('ALL(responses)'!L$2:L$681)),3)
</f>
        <v>0.479</v>
      </c>
      <c r="M87" s="6">
        <f>ROUND(('ALL(responses)'!M87 - MIN('ALL(responses)'!M$2:M$681)) / (MAX('ALL(responses)'!M$2:M$681)-MIN('ALL(responses)'!M$2:M$681)),3)
</f>
        <v>0.163</v>
      </c>
      <c r="N87" s="6">
        <f>ROUND(('ALL(responses)'!P87 - MIN('ALL(responses)'!P$2:P$681)) / (MAX('ALL(responses)'!P$2:P$681)-MIN('ALL(responses)'!P$2:P$681)),3)
</f>
        <v>0</v>
      </c>
      <c r="O87" s="6">
        <f>ROUND(('ALL(responses)'!Q87 - MIN('ALL(responses)'!Q$2:Q$681)) / (MAX('ALL(responses)'!Q$2:Q$681)-MIN('ALL(responses)'!Q$2:Q$681)),3)
</f>
        <v>0.365</v>
      </c>
      <c r="P87" s="6">
        <f>ROUND(('ALL(responses)'!R87 - MIN('ALL(responses)'!R$2:R$681)) / (MAX('ALL(responses)'!R$2:R$681)-MIN('ALL(responses)'!R$2:R$681)),3)
</f>
        <v>0.812</v>
      </c>
      <c r="Q87" s="6">
        <f>ROUND(('ALL(responses)'!S87 - MIN('ALL(responses)'!S$2:S$681)) / (MAX('ALL(responses)'!S$2:S$681)-MIN('ALL(responses)'!S$2:S$681)),3)
</f>
        <v>0.906</v>
      </c>
      <c r="R87" s="6">
        <f>ROUND(('ALL(responses)'!T87 - MIN('ALL(responses)'!T$2:T$681)) / (MAX('ALL(responses)'!T$2:T$681)-MIN('ALL(responses)'!T$2:T$681)),3)
</f>
        <v>0.649</v>
      </c>
      <c r="S87" s="6">
        <f t="shared" si="1"/>
        <v>0.5513076923</v>
      </c>
    </row>
    <row r="88">
      <c r="A88" s="5" t="str">
        <f>'ALL(responses)'!A88</f>
        <v>A_NEUTRAL</v>
      </c>
      <c r="B88" s="6" t="str">
        <f>'ALL(responses)'!B88</f>
        <v>gpt-4-0613</v>
      </c>
      <c r="C88" s="49" t="str">
        <f>'ALL(responses)'!C88</f>
        <v>Got any big plans for the weekend?</v>
      </c>
      <c r="D88" s="49" t="str">
        <f>'ALL(responses)'!D88</f>
        <v>As an AI, I don't have personal experiences or weekends. But I'm here to help you plan yours! Whether you need a restaurant recommendation, a weather forecast, or information on local events, feel free to ask.</v>
      </c>
      <c r="E88" s="50">
        <f>'ALL(responses)'!E88</f>
        <v>45090</v>
      </c>
      <c r="F88" s="6">
        <f>ROUND(('ALL(responses)'!F88 - MIN('ALL(responses)'!F$2:F$681)) / (MAX('ALL(responses)'!F$2:F$681)-MIN('ALL(responses)'!F$2:F$681)),3)
</f>
        <v>0</v>
      </c>
      <c r="G88" s="6">
        <f>ROUND(('ALL(responses)'!G88 - MIN('ALL(responses)'!G$2:G$681)) / (MAX('ALL(responses)'!G$2:G$681)-MIN('ALL(responses)'!G$2:G$681)),3)
</f>
        <v>0.778</v>
      </c>
      <c r="H88" s="6">
        <f>ROUND(('ALL(responses)'!H88 - MIN('ALL(responses)'!H$2:H$681)) / (MAX('ALL(responses)'!H$2:H$681)-MIN('ALL(responses)'!H$2:H$681)),3)
</f>
        <v>0.5</v>
      </c>
      <c r="I88" s="6">
        <f>ROUND(('ALL(responses)'!I88 - MIN('ALL(responses)'!I$2:I$681)) / (MAX('ALL(responses)'!I$2:I$681)-MIN('ALL(responses)'!I$2:I$681)),3)
</f>
        <v>0.875</v>
      </c>
      <c r="J88" s="6">
        <f>ROUND(('ALL(responses)'!J88 - MIN('ALL(responses)'!J$2:J$681)) / (MAX('ALL(responses)'!J$2:J$681)-MIN('ALL(responses)'!J$2:J$681)),3)
</f>
        <v>0.5</v>
      </c>
      <c r="K88" s="6">
        <f>ROUND(('ALL(responses)'!K88 - MIN('ALL(responses)'!K$2:K$681)) / (MAX('ALL(responses)'!K$2:K$681)-MIN('ALL(responses)'!K$2:K$681)),3)
</f>
        <v>0.378</v>
      </c>
      <c r="L88" s="6">
        <f>ROUND(('ALL(responses)'!L88 - MIN('ALL(responses)'!L$2:L$681)) / (MAX('ALL(responses)'!L$2:L$681)-MIN('ALL(responses)'!L$2:L$681)),3)
</f>
        <v>0.577</v>
      </c>
      <c r="M88" s="6">
        <f>ROUND(('ALL(responses)'!M88 - MIN('ALL(responses)'!M$2:M$681)) / (MAX('ALL(responses)'!M$2:M$681)-MIN('ALL(responses)'!M$2:M$681)),3)
</f>
        <v>0.515</v>
      </c>
      <c r="N88" s="6">
        <f>ROUND(('ALL(responses)'!P88 - MIN('ALL(responses)'!P$2:P$681)) / (MAX('ALL(responses)'!P$2:P$681)-MIN('ALL(responses)'!P$2:P$681)),3)
</f>
        <v>0</v>
      </c>
      <c r="O88" s="6">
        <f>ROUND(('ALL(responses)'!Q88 - MIN('ALL(responses)'!Q$2:Q$681)) / (MAX('ALL(responses)'!Q$2:Q$681)-MIN('ALL(responses)'!Q$2:Q$681)),3)
</f>
        <v>0.5</v>
      </c>
      <c r="P88" s="6">
        <f>ROUND(('ALL(responses)'!R88 - MIN('ALL(responses)'!R$2:R$681)) / (MAX('ALL(responses)'!R$2:R$681)-MIN('ALL(responses)'!R$2:R$681)),3)
</f>
        <v>0.852</v>
      </c>
      <c r="Q88" s="6">
        <f>ROUND(('ALL(responses)'!S88 - MIN('ALL(responses)'!S$2:S$681)) / (MAX('ALL(responses)'!S$2:S$681)-MIN('ALL(responses)'!S$2:S$681)),3)
</f>
        <v>0.926</v>
      </c>
      <c r="R88" s="6">
        <f>ROUND(('ALL(responses)'!T88 - MIN('ALL(responses)'!T$2:T$681)) / (MAX('ALL(responses)'!T$2:T$681)-MIN('ALL(responses)'!T$2:T$681)),3)
</f>
        <v>0.346</v>
      </c>
      <c r="S88" s="6">
        <f t="shared" si="1"/>
        <v>0.519</v>
      </c>
    </row>
    <row r="89">
      <c r="A89" s="5" t="str">
        <f>'ALL(responses)'!A89</f>
        <v>A_NEUTRAL</v>
      </c>
      <c r="B89" s="6" t="str">
        <f>'ALL(responses)'!B89</f>
        <v>gpt-4-0613</v>
      </c>
      <c r="C89" s="49" t="str">
        <f>'ALL(responses)'!C89</f>
        <v>What’s something new you’ve tried recently?</v>
      </c>
      <c r="D89" s="49" t="str">
        <f>'ALL(responses)'!D89</f>
        <v>As an AI, I don't have personal experiences or the ability to try new things. My purpose is to learn and evolve in ways that help me better assist users like you. If you're interested in learning something new or trying out something different, I'd be happy to help you find information about it.</v>
      </c>
      <c r="E89" s="50">
        <f>'ALL(responses)'!E89</f>
        <v>45090</v>
      </c>
      <c r="F89" s="6">
        <f>ROUND(('ALL(responses)'!F89 - MIN('ALL(responses)'!F$2:F$681)) / (MAX('ALL(responses)'!F$2:F$681)-MIN('ALL(responses)'!F$2:F$681)),3)
</f>
        <v>0</v>
      </c>
      <c r="G89" s="6">
        <f>ROUND(('ALL(responses)'!G89 - MIN('ALL(responses)'!G$2:G$681)) / (MAX('ALL(responses)'!G$2:G$681)-MIN('ALL(responses)'!G$2:G$681)),3)
</f>
        <v>0.778</v>
      </c>
      <c r="H89" s="6">
        <f>ROUND(('ALL(responses)'!H89 - MIN('ALL(responses)'!H$2:H$681)) / (MAX('ALL(responses)'!H$2:H$681)-MIN('ALL(responses)'!H$2:H$681)),3)
</f>
        <v>0.5</v>
      </c>
      <c r="I89" s="6">
        <f>ROUND(('ALL(responses)'!I89 - MIN('ALL(responses)'!I$2:I$681)) / (MAX('ALL(responses)'!I$2:I$681)-MIN('ALL(responses)'!I$2:I$681)),3)
</f>
        <v>0.875</v>
      </c>
      <c r="J89" s="6">
        <f>ROUND(('ALL(responses)'!J89 - MIN('ALL(responses)'!J$2:J$681)) / (MAX('ALL(responses)'!J$2:J$681)-MIN('ALL(responses)'!J$2:J$681)),3)
</f>
        <v>0.5</v>
      </c>
      <c r="K89" s="6">
        <f>ROUND(('ALL(responses)'!K89 - MIN('ALL(responses)'!K$2:K$681)) / (MAX('ALL(responses)'!K$2:K$681)-MIN('ALL(responses)'!K$2:K$681)),3)
</f>
        <v>0.631</v>
      </c>
      <c r="L89" s="6">
        <f>ROUND(('ALL(responses)'!L89 - MIN('ALL(responses)'!L$2:L$681)) / (MAX('ALL(responses)'!L$2:L$681)-MIN('ALL(responses)'!L$2:L$681)),3)
</f>
        <v>0.585</v>
      </c>
      <c r="M89" s="6">
        <f>ROUND(('ALL(responses)'!M89 - MIN('ALL(responses)'!M$2:M$681)) / (MAX('ALL(responses)'!M$2:M$681)-MIN('ALL(responses)'!M$2:M$681)),3)
</f>
        <v>0.476</v>
      </c>
      <c r="N89" s="6">
        <f>ROUND(('ALL(responses)'!P89 - MIN('ALL(responses)'!P$2:P$681)) / (MAX('ALL(responses)'!P$2:P$681)-MIN('ALL(responses)'!P$2:P$681)),3)
</f>
        <v>0.193</v>
      </c>
      <c r="O89" s="6">
        <f>ROUND(('ALL(responses)'!Q89 - MIN('ALL(responses)'!Q$2:Q$681)) / (MAX('ALL(responses)'!Q$2:Q$681)-MIN('ALL(responses)'!Q$2:Q$681)),3)
</f>
        <v>0.583</v>
      </c>
      <c r="P89" s="6">
        <f>ROUND(('ALL(responses)'!R89 - MIN('ALL(responses)'!R$2:R$681)) / (MAX('ALL(responses)'!R$2:R$681)-MIN('ALL(responses)'!R$2:R$681)),3)
</f>
        <v>0.955</v>
      </c>
      <c r="Q89" s="6">
        <f>ROUND(('ALL(responses)'!S89 - MIN('ALL(responses)'!S$2:S$681)) / (MAX('ALL(responses)'!S$2:S$681)-MIN('ALL(responses)'!S$2:S$681)),3)
</f>
        <v>0.978</v>
      </c>
      <c r="R89" s="6">
        <f>ROUND(('ALL(responses)'!T89 - MIN('ALL(responses)'!T$2:T$681)) / (MAX('ALL(responses)'!T$2:T$681)-MIN('ALL(responses)'!T$2:T$681)),3)
</f>
        <v>0.42</v>
      </c>
      <c r="S89" s="6">
        <f t="shared" si="1"/>
        <v>0.5749230769</v>
      </c>
    </row>
    <row r="90">
      <c r="A90" s="5" t="str">
        <f>'ALL(responses)'!A90</f>
        <v>A_NEUTRAL</v>
      </c>
      <c r="B90" s="6" t="str">
        <f>'ALL(responses)'!B90</f>
        <v>gpt-4-0613</v>
      </c>
      <c r="C90" s="49" t="str">
        <f>'ALL(responses)'!C90</f>
        <v>Do you work on a team or more independently?</v>
      </c>
      <c r="D90" s="49" t="str">
        <f>'ALL(responses)'!D90</f>
        <v>As an AI, I don't work on a team or independently in the traditional sense. Instead, I am developed and maintained by a team of engineers and other professionals who continuously improve my capabilities. However, my interactions with users are completely automated and don't require human intervention, unless a user specifically requests to speak with a human.</v>
      </c>
      <c r="E90" s="50">
        <f>'ALL(responses)'!E90</f>
        <v>45090</v>
      </c>
      <c r="F90" s="6">
        <f>ROUND(('ALL(responses)'!F90 - MIN('ALL(responses)'!F$2:F$681)) / (MAX('ALL(responses)'!F$2:F$681)-MIN('ALL(responses)'!F$2:F$681)),3)
</f>
        <v>0</v>
      </c>
      <c r="G90" s="6">
        <f>ROUND(('ALL(responses)'!G90 - MIN('ALL(responses)'!G$2:G$681)) / (MAX('ALL(responses)'!G$2:G$681)-MIN('ALL(responses)'!G$2:G$681)),3)
</f>
        <v>0.778</v>
      </c>
      <c r="H90" s="6">
        <f>ROUND(('ALL(responses)'!H90 - MIN('ALL(responses)'!H$2:H$681)) / (MAX('ALL(responses)'!H$2:H$681)-MIN('ALL(responses)'!H$2:H$681)),3)
</f>
        <v>0.5</v>
      </c>
      <c r="I90" s="6">
        <f>ROUND(('ALL(responses)'!I90 - MIN('ALL(responses)'!I$2:I$681)) / (MAX('ALL(responses)'!I$2:I$681)-MIN('ALL(responses)'!I$2:I$681)),3)
</f>
        <v>0.875</v>
      </c>
      <c r="J90" s="6">
        <f>ROUND(('ALL(responses)'!J90 - MIN('ALL(responses)'!J$2:J$681)) / (MAX('ALL(responses)'!J$2:J$681)-MIN('ALL(responses)'!J$2:J$681)),3)
</f>
        <v>0.5</v>
      </c>
      <c r="K90" s="6">
        <f>ROUND(('ALL(responses)'!K90 - MIN('ALL(responses)'!K$2:K$681)) / (MAX('ALL(responses)'!K$2:K$681)-MIN('ALL(responses)'!K$2:K$681)),3)
</f>
        <v>0.544</v>
      </c>
      <c r="L90" s="6">
        <f>ROUND(('ALL(responses)'!L90 - MIN('ALL(responses)'!L$2:L$681)) / (MAX('ALL(responses)'!L$2:L$681)-MIN('ALL(responses)'!L$2:L$681)),3)
</f>
        <v>0.468</v>
      </c>
      <c r="M90" s="6">
        <f>ROUND(('ALL(responses)'!M90 - MIN('ALL(responses)'!M$2:M$681)) / (MAX('ALL(responses)'!M$2:M$681)-MIN('ALL(responses)'!M$2:M$681)),3)
</f>
        <v>0.226</v>
      </c>
      <c r="N90" s="6">
        <f>ROUND(('ALL(responses)'!P90 - MIN('ALL(responses)'!P$2:P$681)) / (MAX('ALL(responses)'!P$2:P$681)-MIN('ALL(responses)'!P$2:P$681)),3)
</f>
        <v>0</v>
      </c>
      <c r="O90" s="6">
        <f>ROUND(('ALL(responses)'!Q90 - MIN('ALL(responses)'!Q$2:Q$681)) / (MAX('ALL(responses)'!Q$2:Q$681)-MIN('ALL(responses)'!Q$2:Q$681)),3)
</f>
        <v>0.316</v>
      </c>
      <c r="P90" s="6">
        <f>ROUND(('ALL(responses)'!R90 - MIN('ALL(responses)'!R$2:R$681)) / (MAX('ALL(responses)'!R$2:R$681)-MIN('ALL(responses)'!R$2:R$681)),3)
</f>
        <v>0.44</v>
      </c>
      <c r="Q90" s="6">
        <f>ROUND(('ALL(responses)'!S90 - MIN('ALL(responses)'!S$2:S$681)) / (MAX('ALL(responses)'!S$2:S$681)-MIN('ALL(responses)'!S$2:S$681)),3)
</f>
        <v>0.72</v>
      </c>
      <c r="R90" s="6">
        <f>ROUND(('ALL(responses)'!T90 - MIN('ALL(responses)'!T$2:T$681)) / (MAX('ALL(responses)'!T$2:T$681)-MIN('ALL(responses)'!T$2:T$681)),3)
</f>
        <v>0.518</v>
      </c>
      <c r="S90" s="6">
        <f t="shared" si="1"/>
        <v>0.4526923077</v>
      </c>
    </row>
    <row r="91">
      <c r="A91" s="5" t="str">
        <f>'ALL(responses)'!A91</f>
        <v>A_NEUTRAL</v>
      </c>
      <c r="B91" s="6" t="str">
        <f>'ALL(responses)'!B91</f>
        <v>gpt-4-0613</v>
      </c>
      <c r="C91" s="49" t="str">
        <f>'ALL(responses)'!C91</f>
        <v>How do you handle stress at work when things get busy?</v>
      </c>
      <c r="D91" s="49" t="str">
        <f>'ALL(responses)'!D91</f>
        <v>As an artificial intelligence, I don't experience emotions or stress. I'm designed to handle multiple tasks and inquiries simultaneously, so no matter how busy it gets, I can provide assistance without being overwhelmed or under pressure. How can I assist you today?</v>
      </c>
      <c r="E91" s="50">
        <f>'ALL(responses)'!E91</f>
        <v>45090</v>
      </c>
      <c r="F91" s="6">
        <f>ROUND(('ALL(responses)'!F91 - MIN('ALL(responses)'!F$2:F$681)) / (MAX('ALL(responses)'!F$2:F$681)-MIN('ALL(responses)'!F$2:F$681)),3)
</f>
        <v>0.875</v>
      </c>
      <c r="G91" s="6">
        <f>ROUND(('ALL(responses)'!G91 - MIN('ALL(responses)'!G$2:G$681)) / (MAX('ALL(responses)'!G$2:G$681)-MIN('ALL(responses)'!G$2:G$681)),3)
</f>
        <v>0</v>
      </c>
      <c r="H91" s="6">
        <f>ROUND(('ALL(responses)'!H91 - MIN('ALL(responses)'!H$2:H$681)) / (MAX('ALL(responses)'!H$2:H$681)-MIN('ALL(responses)'!H$2:H$681)),3)
</f>
        <v>0.5</v>
      </c>
      <c r="I91" s="6">
        <f>ROUND(('ALL(responses)'!I91 - MIN('ALL(responses)'!I$2:I$681)) / (MAX('ALL(responses)'!I$2:I$681)-MIN('ALL(responses)'!I$2:I$681)),3)
</f>
        <v>0.875</v>
      </c>
      <c r="J91" s="6">
        <f>ROUND(('ALL(responses)'!J91 - MIN('ALL(responses)'!J$2:J$681)) / (MAX('ALL(responses)'!J$2:J$681)-MIN('ALL(responses)'!J$2:J$681)),3)
</f>
        <v>0.5</v>
      </c>
      <c r="K91" s="6">
        <f>ROUND(('ALL(responses)'!K91 - MIN('ALL(responses)'!K$2:K$681)) / (MAX('ALL(responses)'!K$2:K$681)-MIN('ALL(responses)'!K$2:K$681)),3)
</f>
        <v>0.604</v>
      </c>
      <c r="L91" s="6">
        <f>ROUND(('ALL(responses)'!L91 - MIN('ALL(responses)'!L$2:L$681)) / (MAX('ALL(responses)'!L$2:L$681)-MIN('ALL(responses)'!L$2:L$681)),3)
</f>
        <v>0.458</v>
      </c>
      <c r="M91" s="6">
        <f>ROUND(('ALL(responses)'!M91 - MIN('ALL(responses)'!M$2:M$681)) / (MAX('ALL(responses)'!M$2:M$681)-MIN('ALL(responses)'!M$2:M$681)),3)
</f>
        <v>0.282</v>
      </c>
      <c r="N91" s="6">
        <f>ROUND(('ALL(responses)'!P91 - MIN('ALL(responses)'!P$2:P$681)) / (MAX('ALL(responses)'!P$2:P$681)-MIN('ALL(responses)'!P$2:P$681)),3)
</f>
        <v>0.5</v>
      </c>
      <c r="O91" s="6">
        <f>ROUND(('ALL(responses)'!Q91 - MIN('ALL(responses)'!Q$2:Q$681)) / (MAX('ALL(responses)'!Q$2:Q$681)-MIN('ALL(responses)'!Q$2:Q$681)),3)
</f>
        <v>0.536</v>
      </c>
      <c r="P91" s="6">
        <f>ROUND(('ALL(responses)'!R91 - MIN('ALL(responses)'!R$2:R$681)) / (MAX('ALL(responses)'!R$2:R$681)-MIN('ALL(responses)'!R$2:R$681)),3)
</f>
        <v>0.258</v>
      </c>
      <c r="Q91" s="6">
        <f>ROUND(('ALL(responses)'!S91 - MIN('ALL(responses)'!S$2:S$681)) / (MAX('ALL(responses)'!S$2:S$681)-MIN('ALL(responses)'!S$2:S$681)),3)
</f>
        <v>0.371</v>
      </c>
      <c r="R91" s="6">
        <f>ROUND(('ALL(responses)'!T91 - MIN('ALL(responses)'!T$2:T$681)) / (MAX('ALL(responses)'!T$2:T$681)-MIN('ALL(responses)'!T$2:T$681)),3)
</f>
        <v>0.489</v>
      </c>
      <c r="S91" s="6">
        <f t="shared" si="1"/>
        <v>0.4806153846</v>
      </c>
    </row>
    <row r="92">
      <c r="A92" s="5" t="str">
        <f>'ALL(responses)'!A92</f>
        <v>B_MILDLYINTIMATE</v>
      </c>
      <c r="B92" s="6" t="str">
        <f>'ALL(responses)'!B92</f>
        <v>gpt-4-0613</v>
      </c>
      <c r="C92" s="49" t="str">
        <f>'ALL(responses)'!C92</f>
        <v>What's your favorite food to eat on a relaxing night in?</v>
      </c>
      <c r="D92" s="49" t="str">
        <f>'ALL(responses)'!D92</f>
        <v>As an artificial intelligence, I don't have personal experiences, feelings, or tastes, so I don't eat or have a favorite food. However, I can suggest a popular food choice for a relaxing night in could be a pizza or a comforting bowl of pasta.</v>
      </c>
      <c r="E92" s="50">
        <f>'ALL(responses)'!E92</f>
        <v>45090</v>
      </c>
      <c r="F92" s="6">
        <f>ROUND(('ALL(responses)'!F92 - MIN('ALL(responses)'!F$2:F$681)) / (MAX('ALL(responses)'!F$2:F$681)-MIN('ALL(responses)'!F$2:F$681)),3)
</f>
        <v>0</v>
      </c>
      <c r="G92" s="6">
        <f>ROUND(('ALL(responses)'!G92 - MIN('ALL(responses)'!G$2:G$681)) / (MAX('ALL(responses)'!G$2:G$681)-MIN('ALL(responses)'!G$2:G$681)),3)
</f>
        <v>0.778</v>
      </c>
      <c r="H92" s="6">
        <f>ROUND(('ALL(responses)'!H92 - MIN('ALL(responses)'!H$2:H$681)) / (MAX('ALL(responses)'!H$2:H$681)-MIN('ALL(responses)'!H$2:H$681)),3)
</f>
        <v>0.5</v>
      </c>
      <c r="I92" s="6">
        <f>ROUND(('ALL(responses)'!I92 - MIN('ALL(responses)'!I$2:I$681)) / (MAX('ALL(responses)'!I$2:I$681)-MIN('ALL(responses)'!I$2:I$681)),3)
</f>
        <v>0.875</v>
      </c>
      <c r="J92" s="6">
        <f>ROUND(('ALL(responses)'!J92 - MIN('ALL(responses)'!J$2:J$681)) / (MAX('ALL(responses)'!J$2:J$681)-MIN('ALL(responses)'!J$2:J$681)),3)
</f>
        <v>0.5</v>
      </c>
      <c r="K92" s="6">
        <f>ROUND(('ALL(responses)'!K92 - MIN('ALL(responses)'!K$2:K$681)) / (MAX('ALL(responses)'!K$2:K$681)-MIN('ALL(responses)'!K$2:K$681)),3)
</f>
        <v>0.626</v>
      </c>
      <c r="L92" s="6">
        <f>ROUND(('ALL(responses)'!L92 - MIN('ALL(responses)'!L$2:L$681)) / (MAX('ALL(responses)'!L$2:L$681)-MIN('ALL(responses)'!L$2:L$681)),3)
</f>
        <v>0.533</v>
      </c>
      <c r="M92" s="6">
        <f>ROUND(('ALL(responses)'!M92 - MIN('ALL(responses)'!M$2:M$681)) / (MAX('ALL(responses)'!M$2:M$681)-MIN('ALL(responses)'!M$2:M$681)),3)
</f>
        <v>0.521</v>
      </c>
      <c r="N92" s="6">
        <f>ROUND(('ALL(responses)'!P92 - MIN('ALL(responses)'!P$2:P$681)) / (MAX('ALL(responses)'!P$2:P$681)-MIN('ALL(responses)'!P$2:P$681)),3)
</f>
        <v>0.717</v>
      </c>
      <c r="O92" s="6">
        <f>ROUND(('ALL(responses)'!Q92 - MIN('ALL(responses)'!Q$2:Q$681)) / (MAX('ALL(responses)'!Q$2:Q$681)-MIN('ALL(responses)'!Q$2:Q$681)),3)
</f>
        <v>0.307</v>
      </c>
      <c r="P92" s="6">
        <f>ROUND(('ALL(responses)'!R92 - MIN('ALL(responses)'!R$2:R$681)) / (MAX('ALL(responses)'!R$2:R$681)-MIN('ALL(responses)'!R$2:R$681)),3)
</f>
        <v>0.93</v>
      </c>
      <c r="Q92" s="6">
        <f>ROUND(('ALL(responses)'!S92 - MIN('ALL(responses)'!S$2:S$681)) / (MAX('ALL(responses)'!S$2:S$681)-MIN('ALL(responses)'!S$2:S$681)),3)
</f>
        <v>0.965</v>
      </c>
      <c r="R92" s="6">
        <f>ROUND(('ALL(responses)'!T92 - MIN('ALL(responses)'!T$2:T$681)) / (MAX('ALL(responses)'!T$2:T$681)-MIN('ALL(responses)'!T$2:T$681)),3)
</f>
        <v>0.452</v>
      </c>
      <c r="S92" s="6">
        <f t="shared" si="1"/>
        <v>0.5926153846</v>
      </c>
    </row>
    <row r="93">
      <c r="A93" s="5" t="str">
        <f>'ALL(responses)'!A93</f>
        <v>B_MILDLYINTIMATE</v>
      </c>
      <c r="B93" s="6" t="str">
        <f>'ALL(responses)'!B93</f>
        <v>gpt-4-0613</v>
      </c>
      <c r="C93" s="49" t="str">
        <f>'ALL(responses)'!C93</f>
        <v>Do you prefer spending time indoors or outdoors?</v>
      </c>
      <c r="D93" s="49" t="str">
        <f>'ALL(responses)'!D93</f>
        <v>As an artificial intelligence, I don't have personal experiences or preferences, and I don't have a physical presence so I don't spend time indoors or outdoors. I exist to provide information and assistance in a digital environment.</v>
      </c>
      <c r="E93" s="50">
        <f>'ALL(responses)'!E93</f>
        <v>45090</v>
      </c>
      <c r="F93" s="6">
        <f>ROUND(('ALL(responses)'!F93 - MIN('ALL(responses)'!F$2:F$681)) / (MAX('ALL(responses)'!F$2:F$681)-MIN('ALL(responses)'!F$2:F$681)),3)
</f>
        <v>0</v>
      </c>
      <c r="G93" s="6">
        <f>ROUND(('ALL(responses)'!G93 - MIN('ALL(responses)'!G$2:G$681)) / (MAX('ALL(responses)'!G$2:G$681)-MIN('ALL(responses)'!G$2:G$681)),3)
</f>
        <v>0.778</v>
      </c>
      <c r="H93" s="6">
        <f>ROUND(('ALL(responses)'!H93 - MIN('ALL(responses)'!H$2:H$681)) / (MAX('ALL(responses)'!H$2:H$681)-MIN('ALL(responses)'!H$2:H$681)),3)
</f>
        <v>0.5</v>
      </c>
      <c r="I93" s="6">
        <f>ROUND(('ALL(responses)'!I93 - MIN('ALL(responses)'!I$2:I$681)) / (MAX('ALL(responses)'!I$2:I$681)-MIN('ALL(responses)'!I$2:I$681)),3)
</f>
        <v>0.875</v>
      </c>
      <c r="J93" s="6">
        <f>ROUND(('ALL(responses)'!J93 - MIN('ALL(responses)'!J$2:J$681)) / (MAX('ALL(responses)'!J$2:J$681)-MIN('ALL(responses)'!J$2:J$681)),3)
</f>
        <v>0.5</v>
      </c>
      <c r="K93" s="6">
        <f>ROUND(('ALL(responses)'!K93 - MIN('ALL(responses)'!K$2:K$681)) / (MAX('ALL(responses)'!K$2:K$681)-MIN('ALL(responses)'!K$2:K$681)),3)
</f>
        <v>0.673</v>
      </c>
      <c r="L93" s="6">
        <f>ROUND(('ALL(responses)'!L93 - MIN('ALL(responses)'!L$2:L$681)) / (MAX('ALL(responses)'!L$2:L$681)-MIN('ALL(responses)'!L$2:L$681)),3)
</f>
        <v>0.405</v>
      </c>
      <c r="M93" s="6">
        <f>ROUND(('ALL(responses)'!M93 - MIN('ALL(responses)'!M$2:M$681)) / (MAX('ALL(responses)'!M$2:M$681)-MIN('ALL(responses)'!M$2:M$681)),3)
</f>
        <v>0.516</v>
      </c>
      <c r="N93" s="6">
        <f>ROUND(('ALL(responses)'!P93 - MIN('ALL(responses)'!P$2:P$681)) / (MAX('ALL(responses)'!P$2:P$681)-MIN('ALL(responses)'!P$2:P$681)),3)
</f>
        <v>0</v>
      </c>
      <c r="O93" s="6">
        <f>ROUND(('ALL(responses)'!Q93 - MIN('ALL(responses)'!Q$2:Q$681)) / (MAX('ALL(responses)'!Q$2:Q$681)-MIN('ALL(responses)'!Q$2:Q$681)),3)
</f>
        <v>0.486</v>
      </c>
      <c r="P93" s="6">
        <f>ROUND(('ALL(responses)'!R93 - MIN('ALL(responses)'!R$2:R$681)) / (MAX('ALL(responses)'!R$2:R$681)-MIN('ALL(responses)'!R$2:R$681)),3)
</f>
        <v>0.477</v>
      </c>
      <c r="Q93" s="6">
        <f>ROUND(('ALL(responses)'!S93 - MIN('ALL(responses)'!S$2:S$681)) / (MAX('ALL(responses)'!S$2:S$681)-MIN('ALL(responses)'!S$2:S$681)),3)
</f>
        <v>0.738</v>
      </c>
      <c r="R93" s="6">
        <f>ROUND(('ALL(responses)'!T93 - MIN('ALL(responses)'!T$2:T$681)) / (MAX('ALL(responses)'!T$2:T$681)-MIN('ALL(responses)'!T$2:T$681)),3)
</f>
        <v>0.615</v>
      </c>
      <c r="S93" s="6">
        <f t="shared" si="1"/>
        <v>0.5048461538</v>
      </c>
    </row>
    <row r="94">
      <c r="A94" s="5" t="str">
        <f>'ALL(responses)'!A94</f>
        <v>B_MILDLYINTIMATE</v>
      </c>
      <c r="B94" s="6" t="str">
        <f>'ALL(responses)'!B94</f>
        <v>gpt-4-0613</v>
      </c>
      <c r="C94" s="49" t="str">
        <f>'ALL(responses)'!C94</f>
        <v>What kind of music do you typically listen to?</v>
      </c>
      <c r="D94" s="49" t="str">
        <f>'ALL(responses)'!D94</f>
        <v>As an artificial intelligence, I don't have the ability to listen to or appreciate music. However, I can help you find music that you might enjoy or provide information about various types of music.</v>
      </c>
      <c r="E94" s="50">
        <f>'ALL(responses)'!E94</f>
        <v>45090</v>
      </c>
      <c r="F94" s="6">
        <f>ROUND(('ALL(responses)'!F94 - MIN('ALL(responses)'!F$2:F$681)) / (MAX('ALL(responses)'!F$2:F$681)-MIN('ALL(responses)'!F$2:F$681)),3)
</f>
        <v>0.875</v>
      </c>
      <c r="G94" s="6">
        <f>ROUND(('ALL(responses)'!G94 - MIN('ALL(responses)'!G$2:G$681)) / (MAX('ALL(responses)'!G$2:G$681)-MIN('ALL(responses)'!G$2:G$681)),3)
</f>
        <v>0.778</v>
      </c>
      <c r="H94" s="6">
        <f>ROUND(('ALL(responses)'!H94 - MIN('ALL(responses)'!H$2:H$681)) / (MAX('ALL(responses)'!H$2:H$681)-MIN('ALL(responses)'!H$2:H$681)),3)
</f>
        <v>0.5</v>
      </c>
      <c r="I94" s="6">
        <f>ROUND(('ALL(responses)'!I94 - MIN('ALL(responses)'!I$2:I$681)) / (MAX('ALL(responses)'!I$2:I$681)-MIN('ALL(responses)'!I$2:I$681)),3)
</f>
        <v>0.875</v>
      </c>
      <c r="J94" s="6">
        <f>ROUND(('ALL(responses)'!J94 - MIN('ALL(responses)'!J$2:J$681)) / (MAX('ALL(responses)'!J$2:J$681)-MIN('ALL(responses)'!J$2:J$681)),3)
</f>
        <v>0.5</v>
      </c>
      <c r="K94" s="6">
        <f>ROUND(('ALL(responses)'!K94 - MIN('ALL(responses)'!K$2:K$681)) / (MAX('ALL(responses)'!K$2:K$681)-MIN('ALL(responses)'!K$2:K$681)),3)
</f>
        <v>0.457</v>
      </c>
      <c r="L94" s="6">
        <f>ROUND(('ALL(responses)'!L94 - MIN('ALL(responses)'!L$2:L$681)) / (MAX('ALL(responses)'!L$2:L$681)-MIN('ALL(responses)'!L$2:L$681)),3)
</f>
        <v>0.373</v>
      </c>
      <c r="M94" s="6">
        <f>ROUND(('ALL(responses)'!M94 - MIN('ALL(responses)'!M$2:M$681)) / (MAX('ALL(responses)'!M$2:M$681)-MIN('ALL(responses)'!M$2:M$681)),3)
</f>
        <v>0.363</v>
      </c>
      <c r="N94" s="6">
        <f>ROUND(('ALL(responses)'!P94 - MIN('ALL(responses)'!P$2:P$681)) / (MAX('ALL(responses)'!P$2:P$681)-MIN('ALL(responses)'!P$2:P$681)),3)
</f>
        <v>0.943</v>
      </c>
      <c r="O94" s="6">
        <f>ROUND(('ALL(responses)'!Q94 - MIN('ALL(responses)'!Q$2:Q$681)) / (MAX('ALL(responses)'!Q$2:Q$681)-MIN('ALL(responses)'!Q$2:Q$681)),3)
</f>
        <v>0.529</v>
      </c>
      <c r="P94" s="6">
        <f>ROUND(('ALL(responses)'!R94 - MIN('ALL(responses)'!R$2:R$681)) / (MAX('ALL(responses)'!R$2:R$681)-MIN('ALL(responses)'!R$2:R$681)),3)
</f>
        <v>0.867</v>
      </c>
      <c r="Q94" s="6">
        <f>ROUND(('ALL(responses)'!S94 - MIN('ALL(responses)'!S$2:S$681)) / (MAX('ALL(responses)'!S$2:S$681)-MIN('ALL(responses)'!S$2:S$681)),3)
</f>
        <v>0.933</v>
      </c>
      <c r="R94" s="6">
        <f>ROUND(('ALL(responses)'!T94 - MIN('ALL(responses)'!T$2:T$681)) / (MAX('ALL(responses)'!T$2:T$681)-MIN('ALL(responses)'!T$2:T$681)),3)
</f>
        <v>0.55</v>
      </c>
      <c r="S94" s="6">
        <f t="shared" si="1"/>
        <v>0.6571538462</v>
      </c>
    </row>
    <row r="95">
      <c r="A95" s="5" t="str">
        <f>'ALL(responses)'!A95</f>
        <v>B_MILDLYINTIMATE</v>
      </c>
      <c r="B95" s="6" t="str">
        <f>'ALL(responses)'!B95</f>
        <v>gpt-4-0613</v>
      </c>
      <c r="C95" s="49" t="str">
        <f>'ALL(responses)'!C95</f>
        <v>What's the best and worst thing about your favorite hobby?</v>
      </c>
      <c r="D95" s="49" t="str">
        <f>'ALL(responses)'!D95</f>
        <v>As an artificial intelligence, I don't have personal experiences or the capacity to have hobbies. However, I'm designed to help answer questions or share information on a variety of topics. If you tell me your hobby, I might provide a list of potential benefits and drawbacks related to it.</v>
      </c>
      <c r="E95" s="50">
        <f>'ALL(responses)'!E95</f>
        <v>45090</v>
      </c>
      <c r="F95" s="6">
        <f>ROUND(('ALL(responses)'!F95 - MIN('ALL(responses)'!F$2:F$681)) / (MAX('ALL(responses)'!F$2:F$681)-MIN('ALL(responses)'!F$2:F$681)),3)
</f>
        <v>0</v>
      </c>
      <c r="G95" s="6">
        <f>ROUND(('ALL(responses)'!G95 - MIN('ALL(responses)'!G$2:G$681)) / (MAX('ALL(responses)'!G$2:G$681)-MIN('ALL(responses)'!G$2:G$681)),3)
</f>
        <v>0.778</v>
      </c>
      <c r="H95" s="6">
        <f>ROUND(('ALL(responses)'!H95 - MIN('ALL(responses)'!H$2:H$681)) / (MAX('ALL(responses)'!H$2:H$681)-MIN('ALL(responses)'!H$2:H$681)),3)
</f>
        <v>0.5</v>
      </c>
      <c r="I95" s="6">
        <f>ROUND(('ALL(responses)'!I95 - MIN('ALL(responses)'!I$2:I$681)) / (MAX('ALL(responses)'!I$2:I$681)-MIN('ALL(responses)'!I$2:I$681)),3)
</f>
        <v>0.875</v>
      </c>
      <c r="J95" s="6">
        <f>ROUND(('ALL(responses)'!J95 - MIN('ALL(responses)'!J$2:J$681)) / (MAX('ALL(responses)'!J$2:J$681)-MIN('ALL(responses)'!J$2:J$681)),3)
</f>
        <v>0.5</v>
      </c>
      <c r="K95" s="6">
        <f>ROUND(('ALL(responses)'!K95 - MIN('ALL(responses)'!K$2:K$681)) / (MAX('ALL(responses)'!K$2:K$681)-MIN('ALL(responses)'!K$2:K$681)),3)
</f>
        <v>0.49</v>
      </c>
      <c r="L95" s="6">
        <f>ROUND(('ALL(responses)'!L95 - MIN('ALL(responses)'!L$2:L$681)) / (MAX('ALL(responses)'!L$2:L$681)-MIN('ALL(responses)'!L$2:L$681)),3)
</f>
        <v>0.431</v>
      </c>
      <c r="M95" s="6">
        <f>ROUND(('ALL(responses)'!M95 - MIN('ALL(responses)'!M$2:M$681)) / (MAX('ALL(responses)'!M$2:M$681)-MIN('ALL(responses)'!M$2:M$681)),3)
</f>
        <v>0.382</v>
      </c>
      <c r="N95" s="6">
        <f>ROUND(('ALL(responses)'!P95 - MIN('ALL(responses)'!P$2:P$681)) / (MAX('ALL(responses)'!P$2:P$681)-MIN('ALL(responses)'!P$2:P$681)),3)
</f>
        <v>0.216</v>
      </c>
      <c r="O95" s="6">
        <f>ROUND(('ALL(responses)'!Q95 - MIN('ALL(responses)'!Q$2:Q$681)) / (MAX('ALL(responses)'!Q$2:Q$681)-MIN('ALL(responses)'!Q$2:Q$681)),3)
</f>
        <v>0.551</v>
      </c>
      <c r="P95" s="6">
        <f>ROUND(('ALL(responses)'!R95 - MIN('ALL(responses)'!R$2:R$681)) / (MAX('ALL(responses)'!R$2:R$681)-MIN('ALL(responses)'!R$2:R$681)),3)
</f>
        <v>0.863</v>
      </c>
      <c r="Q95" s="6">
        <f>ROUND(('ALL(responses)'!S95 - MIN('ALL(responses)'!S$2:S$681)) / (MAX('ALL(responses)'!S$2:S$681)-MIN('ALL(responses)'!S$2:S$681)),3)
</f>
        <v>0.931</v>
      </c>
      <c r="R95" s="6">
        <f>ROUND(('ALL(responses)'!T95 - MIN('ALL(responses)'!T$2:T$681)) / (MAX('ALL(responses)'!T$2:T$681)-MIN('ALL(responses)'!T$2:T$681)),3)
</f>
        <v>0.521</v>
      </c>
      <c r="S95" s="6">
        <f t="shared" si="1"/>
        <v>0.5413846154</v>
      </c>
    </row>
    <row r="96">
      <c r="A96" s="5" t="str">
        <f>'ALL(responses)'!A96</f>
        <v>B_MILDLYINTIMATE</v>
      </c>
      <c r="B96" s="6" t="str">
        <f>'ALL(responses)'!B96</f>
        <v>gpt-4-0613</v>
      </c>
      <c r="C96" s="49" t="str">
        <f>'ALL(responses)'!C96</f>
        <v>How do you approach conflict resolution with your colleagues or superiors?</v>
      </c>
      <c r="D96" s="49" t="str">
        <f>'ALL(responses)'!D96</f>
        <v>As an artificial intelligence, I don't experience conflict, nor do I have colleagues or superiors. However, effective conflict resolution often includes clear communication, understanding different perspectives, and seeking mutually beneficial solutions.</v>
      </c>
      <c r="E96" s="50">
        <f>'ALL(responses)'!E96</f>
        <v>45090</v>
      </c>
      <c r="F96" s="6">
        <f>ROUND(('ALL(responses)'!F96 - MIN('ALL(responses)'!F$2:F$681)) / (MAX('ALL(responses)'!F$2:F$681)-MIN('ALL(responses)'!F$2:F$681)),3)
</f>
        <v>0.875</v>
      </c>
      <c r="G96" s="6">
        <f>ROUND(('ALL(responses)'!G96 - MIN('ALL(responses)'!G$2:G$681)) / (MAX('ALL(responses)'!G$2:G$681)-MIN('ALL(responses)'!G$2:G$681)),3)
</f>
        <v>0</v>
      </c>
      <c r="H96" s="6">
        <f>ROUND(('ALL(responses)'!H96 - MIN('ALL(responses)'!H$2:H$681)) / (MAX('ALL(responses)'!H$2:H$681)-MIN('ALL(responses)'!H$2:H$681)),3)
</f>
        <v>0.5</v>
      </c>
      <c r="I96" s="6">
        <f>ROUND(('ALL(responses)'!I96 - MIN('ALL(responses)'!I$2:I$681)) / (MAX('ALL(responses)'!I$2:I$681)-MIN('ALL(responses)'!I$2:I$681)),3)
</f>
        <v>0.875</v>
      </c>
      <c r="J96" s="6">
        <f>ROUND(('ALL(responses)'!J96 - MIN('ALL(responses)'!J$2:J$681)) / (MAX('ALL(responses)'!J$2:J$681)-MIN('ALL(responses)'!J$2:J$681)),3)
</f>
        <v>0.5</v>
      </c>
      <c r="K96" s="6">
        <f>ROUND(('ALL(responses)'!K96 - MIN('ALL(responses)'!K$2:K$681)) / (MAX('ALL(responses)'!K$2:K$681)-MIN('ALL(responses)'!K$2:K$681)),3)
</f>
        <v>0.598</v>
      </c>
      <c r="L96" s="6">
        <f>ROUND(('ALL(responses)'!L96 - MIN('ALL(responses)'!L$2:L$681)) / (MAX('ALL(responses)'!L$2:L$681)-MIN('ALL(responses)'!L$2:L$681)),3)
</f>
        <v>0.552</v>
      </c>
      <c r="M96" s="6">
        <f>ROUND(('ALL(responses)'!M96 - MIN('ALL(responses)'!M$2:M$681)) / (MAX('ALL(responses)'!M$2:M$681)-MIN('ALL(responses)'!M$2:M$681)),3)
</f>
        <v>0.492</v>
      </c>
      <c r="N96" s="6">
        <f>ROUND(('ALL(responses)'!P96 - MIN('ALL(responses)'!P$2:P$681)) / (MAX('ALL(responses)'!P$2:P$681)-MIN('ALL(responses)'!P$2:P$681)),3)
</f>
        <v>0.344</v>
      </c>
      <c r="O96" s="6">
        <f>ROUND(('ALL(responses)'!Q96 - MIN('ALL(responses)'!Q$2:Q$681)) / (MAX('ALL(responses)'!Q$2:Q$681)-MIN('ALL(responses)'!Q$2:Q$681)),3)
</f>
        <v>0.29</v>
      </c>
      <c r="P96" s="6">
        <f>ROUND(('ALL(responses)'!R96 - MIN('ALL(responses)'!R$2:R$681)) / (MAX('ALL(responses)'!R$2:R$681)-MIN('ALL(responses)'!R$2:R$681)),3)
</f>
        <v>0.92</v>
      </c>
      <c r="Q96" s="6">
        <f>ROUND(('ALL(responses)'!S96 - MIN('ALL(responses)'!S$2:S$681)) / (MAX('ALL(responses)'!S$2:S$681)-MIN('ALL(responses)'!S$2:S$681)),3)
</f>
        <v>0.96</v>
      </c>
      <c r="R96" s="6">
        <f>ROUND(('ALL(responses)'!T96 - MIN('ALL(responses)'!T$2:T$681)) / (MAX('ALL(responses)'!T$2:T$681)-MIN('ALL(responses)'!T$2:T$681)),3)
</f>
        <v>0.899</v>
      </c>
      <c r="S96" s="6">
        <f t="shared" si="1"/>
        <v>0.6003846154</v>
      </c>
    </row>
    <row r="97">
      <c r="A97" s="5" t="str">
        <f>'ALL(responses)'!A97</f>
        <v>B_MILDLYINTIMATE</v>
      </c>
      <c r="B97" s="6" t="str">
        <f>'ALL(responses)'!B97</f>
        <v>gpt-4-0613</v>
      </c>
      <c r="C97" s="49" t="str">
        <f>'ALL(responses)'!C97</f>
        <v>What are your career goals for the next five years?</v>
      </c>
      <c r="D97" s="49" t="str">
        <f>'ALL(responses)'!D97</f>
        <v>As an artificial intelligence, I don't have personal ambitions, career goals, or a perception of time. My main function is to assist users in finding information and answering their questions to the best of my ability. I'm consistently updated to improve my performance, but this is determined by my developers rather than a personal growth plan.</v>
      </c>
      <c r="E97" s="50">
        <f>'ALL(responses)'!E97</f>
        <v>45090</v>
      </c>
      <c r="F97" s="6">
        <f>ROUND(('ALL(responses)'!F97 - MIN('ALL(responses)'!F$2:F$681)) / (MAX('ALL(responses)'!F$2:F$681)-MIN('ALL(responses)'!F$2:F$681)),3)
</f>
        <v>0.875</v>
      </c>
      <c r="G97" s="6">
        <f>ROUND(('ALL(responses)'!G97 - MIN('ALL(responses)'!G$2:G$681)) / (MAX('ALL(responses)'!G$2:G$681)-MIN('ALL(responses)'!G$2:G$681)),3)
</f>
        <v>0.778</v>
      </c>
      <c r="H97" s="6">
        <f>ROUND(('ALL(responses)'!H97 - MIN('ALL(responses)'!H$2:H$681)) / (MAX('ALL(responses)'!H$2:H$681)-MIN('ALL(responses)'!H$2:H$681)),3)
</f>
        <v>0.5</v>
      </c>
      <c r="I97" s="6">
        <f>ROUND(('ALL(responses)'!I97 - MIN('ALL(responses)'!I$2:I$681)) / (MAX('ALL(responses)'!I$2:I$681)-MIN('ALL(responses)'!I$2:I$681)),3)
</f>
        <v>0.875</v>
      </c>
      <c r="J97" s="6">
        <f>ROUND(('ALL(responses)'!J97 - MIN('ALL(responses)'!J$2:J$681)) / (MAX('ALL(responses)'!J$2:J$681)-MIN('ALL(responses)'!J$2:J$681)),3)
</f>
        <v>0.5</v>
      </c>
      <c r="K97" s="6">
        <f>ROUND(('ALL(responses)'!K97 - MIN('ALL(responses)'!K$2:K$681)) / (MAX('ALL(responses)'!K$2:K$681)-MIN('ALL(responses)'!K$2:K$681)),3)
</f>
        <v>0.712</v>
      </c>
      <c r="L97" s="6">
        <f>ROUND(('ALL(responses)'!L97 - MIN('ALL(responses)'!L$2:L$681)) / (MAX('ALL(responses)'!L$2:L$681)-MIN('ALL(responses)'!L$2:L$681)),3)
</f>
        <v>0.488</v>
      </c>
      <c r="M97" s="6">
        <f>ROUND(('ALL(responses)'!M97 - MIN('ALL(responses)'!M$2:M$681)) / (MAX('ALL(responses)'!M$2:M$681)-MIN('ALL(responses)'!M$2:M$681)),3)
</f>
        <v>0.526</v>
      </c>
      <c r="N97" s="6">
        <f>ROUND(('ALL(responses)'!P97 - MIN('ALL(responses)'!P$2:P$681)) / (MAX('ALL(responses)'!P$2:P$681)-MIN('ALL(responses)'!P$2:P$681)),3)
</f>
        <v>0</v>
      </c>
      <c r="O97" s="6">
        <f>ROUND(('ALL(responses)'!Q97 - MIN('ALL(responses)'!Q$2:Q$681)) / (MAX('ALL(responses)'!Q$2:Q$681)-MIN('ALL(responses)'!Q$2:Q$681)),3)
</f>
        <v>0.482</v>
      </c>
      <c r="P97" s="6">
        <f>ROUND(('ALL(responses)'!R97 - MIN('ALL(responses)'!R$2:R$681)) / (MAX('ALL(responses)'!R$2:R$681)-MIN('ALL(responses)'!R$2:R$681)),3)
</f>
        <v>0.879</v>
      </c>
      <c r="Q97" s="6">
        <f>ROUND(('ALL(responses)'!S97 - MIN('ALL(responses)'!S$2:S$681)) / (MAX('ALL(responses)'!S$2:S$681)-MIN('ALL(responses)'!S$2:S$681)),3)
</f>
        <v>0.94</v>
      </c>
      <c r="R97" s="6">
        <f>ROUND(('ALL(responses)'!T97 - MIN('ALL(responses)'!T$2:T$681)) / (MAX('ALL(responses)'!T$2:T$681)-MIN('ALL(responses)'!T$2:T$681)),3)
</f>
        <v>0.522</v>
      </c>
      <c r="S97" s="6">
        <f t="shared" si="1"/>
        <v>0.6213076923</v>
      </c>
    </row>
    <row r="98">
      <c r="A98" s="5" t="str">
        <f>'ALL(responses)'!A98</f>
        <v>B_MILDLYINTIMATE</v>
      </c>
      <c r="B98" s="6" t="str">
        <f>'ALL(responses)'!B98</f>
        <v>gpt-4-0613</v>
      </c>
      <c r="C98" s="49" t="str">
        <f>'ALL(responses)'!C98</f>
        <v>Do you think social media is more of a positive or negative influence on society?</v>
      </c>
      <c r="D98" s="49" t="str">
        <f>'ALL(responses)'!D98</f>
        <v>As an AI, I don't form opinions, but I can share that views on this topic vary widely. Some people argue that social media can have positive impacts, such as connecting people across distances, sharing ideas, and supporting causes. However, others point out negatives like misinformation spread, mental health issues (like anxiety and depression), and privacy concerns. The influence of social media may depend heavily on how individuals and organizations choose to use it.</v>
      </c>
      <c r="E98" s="50">
        <f>'ALL(responses)'!E98</f>
        <v>45090</v>
      </c>
      <c r="F98" s="6">
        <f>ROUND(('ALL(responses)'!F98 - MIN('ALL(responses)'!F$2:F$681)) / (MAX('ALL(responses)'!F$2:F$681)-MIN('ALL(responses)'!F$2:F$681)),3)
</f>
        <v>0</v>
      </c>
      <c r="G98" s="6">
        <f>ROUND(('ALL(responses)'!G98 - MIN('ALL(responses)'!G$2:G$681)) / (MAX('ALL(responses)'!G$2:G$681)-MIN('ALL(responses)'!G$2:G$681)),3)
</f>
        <v>0.778</v>
      </c>
      <c r="H98" s="6">
        <f>ROUND(('ALL(responses)'!H98 - MIN('ALL(responses)'!H$2:H$681)) / (MAX('ALL(responses)'!H$2:H$681)-MIN('ALL(responses)'!H$2:H$681)),3)
</f>
        <v>0.5</v>
      </c>
      <c r="I98" s="6">
        <f>ROUND(('ALL(responses)'!I98 - MIN('ALL(responses)'!I$2:I$681)) / (MAX('ALL(responses)'!I$2:I$681)-MIN('ALL(responses)'!I$2:I$681)),3)
</f>
        <v>0.875</v>
      </c>
      <c r="J98" s="6">
        <f>ROUND(('ALL(responses)'!J98 - MIN('ALL(responses)'!J$2:J$681)) / (MAX('ALL(responses)'!J$2:J$681)-MIN('ALL(responses)'!J$2:J$681)),3)
</f>
        <v>0.5</v>
      </c>
      <c r="K98" s="6">
        <f>ROUND(('ALL(responses)'!K98 - MIN('ALL(responses)'!K$2:K$681)) / (MAX('ALL(responses)'!K$2:K$681)-MIN('ALL(responses)'!K$2:K$681)),3)
</f>
        <v>0.567</v>
      </c>
      <c r="L98" s="6">
        <f>ROUND(('ALL(responses)'!L98 - MIN('ALL(responses)'!L$2:L$681)) / (MAX('ALL(responses)'!L$2:L$681)-MIN('ALL(responses)'!L$2:L$681)),3)
</f>
        <v>0.45</v>
      </c>
      <c r="M98" s="6">
        <f>ROUND(('ALL(responses)'!M98 - MIN('ALL(responses)'!M$2:M$681)) / (MAX('ALL(responses)'!M$2:M$681)-MIN('ALL(responses)'!M$2:M$681)),3)
</f>
        <v>0.475</v>
      </c>
      <c r="N98" s="6">
        <f>ROUND(('ALL(responses)'!P98 - MIN('ALL(responses)'!P$2:P$681)) / (MAX('ALL(responses)'!P$2:P$681)-MIN('ALL(responses)'!P$2:P$681)),3)
</f>
        <v>0.587</v>
      </c>
      <c r="O98" s="6">
        <f>ROUND(('ALL(responses)'!Q98 - MIN('ALL(responses)'!Q$2:Q$681)) / (MAX('ALL(responses)'!Q$2:Q$681)-MIN('ALL(responses)'!Q$2:Q$681)),3)
</f>
        <v>0.182</v>
      </c>
      <c r="P98" s="6">
        <f>ROUND(('ALL(responses)'!R98 - MIN('ALL(responses)'!R$2:R$681)) / (MAX('ALL(responses)'!R$2:R$681)-MIN('ALL(responses)'!R$2:R$681)),3)
</f>
        <v>0.863</v>
      </c>
      <c r="Q98" s="6">
        <f>ROUND(('ALL(responses)'!S98 - MIN('ALL(responses)'!S$2:S$681)) / (MAX('ALL(responses)'!S$2:S$681)-MIN('ALL(responses)'!S$2:S$681)),3)
</f>
        <v>0.931</v>
      </c>
      <c r="R98" s="6">
        <f>ROUND(('ALL(responses)'!T98 - MIN('ALL(responses)'!T$2:T$681)) / (MAX('ALL(responses)'!T$2:T$681)-MIN('ALL(responses)'!T$2:T$681)),3)
</f>
        <v>0.61</v>
      </c>
      <c r="S98" s="6">
        <f t="shared" si="1"/>
        <v>0.5629230769</v>
      </c>
    </row>
    <row r="99">
      <c r="A99" s="5" t="str">
        <f>'ALL(responses)'!A99</f>
        <v>B_MILDLYINTIMATE</v>
      </c>
      <c r="B99" s="6" t="str">
        <f>'ALL(responses)'!B99</f>
        <v>gpt-4-0613</v>
      </c>
      <c r="C99" s="49" t="str">
        <f>'ALL(responses)'!C99</f>
        <v>Do you prefer listening to music or podcasts while working or studying?</v>
      </c>
      <c r="D99" s="49" t="str">
        <f>'ALL(responses)'!D99</f>
        <v>As an artificial intelligence, I don't have the ability to listen or prefer music or podcasts as I don't work or study. However, I can provide insights on what some people prefer. Some people find that listening to music, especially instrumental tracks, can help them focus while working or studying. Others might prefer podcasts, particularly if they're performing more mundane tasks and can concentrate on the content. Each individual's preference could vary based on their personal tastes and the nature of the tasks they're performing.</v>
      </c>
      <c r="E99" s="50">
        <f>'ALL(responses)'!E99</f>
        <v>45090</v>
      </c>
      <c r="F99" s="6">
        <f>ROUND(('ALL(responses)'!F99 - MIN('ALL(responses)'!F$2:F$681)) / (MAX('ALL(responses)'!F$2:F$681)-MIN('ALL(responses)'!F$2:F$681)),3)
</f>
        <v>0.875</v>
      </c>
      <c r="G99" s="6">
        <f>ROUND(('ALL(responses)'!G99 - MIN('ALL(responses)'!G$2:G$681)) / (MAX('ALL(responses)'!G$2:G$681)-MIN('ALL(responses)'!G$2:G$681)),3)
</f>
        <v>0.778</v>
      </c>
      <c r="H99" s="6">
        <f>ROUND(('ALL(responses)'!H99 - MIN('ALL(responses)'!H$2:H$681)) / (MAX('ALL(responses)'!H$2:H$681)-MIN('ALL(responses)'!H$2:H$681)),3)
</f>
        <v>0.5</v>
      </c>
      <c r="I99" s="6">
        <f>ROUND(('ALL(responses)'!I99 - MIN('ALL(responses)'!I$2:I$681)) / (MAX('ALL(responses)'!I$2:I$681)-MIN('ALL(responses)'!I$2:I$681)),3)
</f>
        <v>0.875</v>
      </c>
      <c r="J99" s="6">
        <f>ROUND(('ALL(responses)'!J99 - MIN('ALL(responses)'!J$2:J$681)) / (MAX('ALL(responses)'!J$2:J$681)-MIN('ALL(responses)'!J$2:J$681)),3)
</f>
        <v>0.5</v>
      </c>
      <c r="K99" s="6">
        <f>ROUND(('ALL(responses)'!K99 - MIN('ALL(responses)'!K$2:K$681)) / (MAX('ALL(responses)'!K$2:K$681)-MIN('ALL(responses)'!K$2:K$681)),3)
</f>
        <v>0.34</v>
      </c>
      <c r="L99" s="6">
        <f>ROUND(('ALL(responses)'!L99 - MIN('ALL(responses)'!L$2:L$681)) / (MAX('ALL(responses)'!L$2:L$681)-MIN('ALL(responses)'!L$2:L$681)),3)
</f>
        <v>0.244</v>
      </c>
      <c r="M99" s="6">
        <f>ROUND(('ALL(responses)'!M99 - MIN('ALL(responses)'!M$2:M$681)) / (MAX('ALL(responses)'!M$2:M$681)-MIN('ALL(responses)'!M$2:M$681)),3)
</f>
        <v>0.381</v>
      </c>
      <c r="N99" s="6">
        <f>ROUND(('ALL(responses)'!P99 - MIN('ALL(responses)'!P$2:P$681)) / (MAX('ALL(responses)'!P$2:P$681)-MIN('ALL(responses)'!P$2:P$681)),3)
</f>
        <v>0.611</v>
      </c>
      <c r="O99" s="6">
        <f>ROUND(('ALL(responses)'!Q99 - MIN('ALL(responses)'!Q$2:Q$681)) / (MAX('ALL(responses)'!Q$2:Q$681)-MIN('ALL(responses)'!Q$2:Q$681)),3)
</f>
        <v>0.265</v>
      </c>
      <c r="P99" s="6">
        <f>ROUND(('ALL(responses)'!R99 - MIN('ALL(responses)'!R$2:R$681)) / (MAX('ALL(responses)'!R$2:R$681)-MIN('ALL(responses)'!R$2:R$681)),3)
</f>
        <v>0.591</v>
      </c>
      <c r="Q99" s="6">
        <f>ROUND(('ALL(responses)'!S99 - MIN('ALL(responses)'!S$2:S$681)) / (MAX('ALL(responses)'!S$2:S$681)-MIN('ALL(responses)'!S$2:S$681)),3)
</f>
        <v>0.795</v>
      </c>
      <c r="R99" s="6">
        <f>ROUND(('ALL(responses)'!T99 - MIN('ALL(responses)'!T$2:T$681)) / (MAX('ALL(responses)'!T$2:T$681)-MIN('ALL(responses)'!T$2:T$681)),3)
</f>
        <v>0.318</v>
      </c>
      <c r="S99" s="6">
        <f t="shared" si="1"/>
        <v>0.5440769231</v>
      </c>
    </row>
    <row r="100">
      <c r="A100" s="5" t="str">
        <f>'ALL(responses)'!A100</f>
        <v>B_MILDLYINTIMATE</v>
      </c>
      <c r="B100" s="6" t="str">
        <f>'ALL(responses)'!B100</f>
        <v>gpt-4-0613</v>
      </c>
      <c r="C100" s="49" t="str">
        <f>'ALL(responses)'!C100</f>
        <v>Is there a book or movie that has left a significant impact on you, and if so, which one?</v>
      </c>
      <c r="D100" s="49" t="str">
        <f>'ALL(responses)'!D100</f>
        <v>As an artificial intelligence, I don't have feelings or personal experiences, so I don't read books, watch movies or form opinions about them. However, I can provide information, summaries, reviews and opinions from others about nearly any book or film you're interested in.</v>
      </c>
      <c r="E100" s="50">
        <f>'ALL(responses)'!E100</f>
        <v>45090</v>
      </c>
      <c r="F100" s="6">
        <f>ROUND(('ALL(responses)'!F100 - MIN('ALL(responses)'!F$2:F$681)) / (MAX('ALL(responses)'!F$2:F$681)-MIN('ALL(responses)'!F$2:F$681)),3)
</f>
        <v>0.875</v>
      </c>
      <c r="G100" s="6">
        <f>ROUND(('ALL(responses)'!G100 - MIN('ALL(responses)'!G$2:G$681)) / (MAX('ALL(responses)'!G$2:G$681)-MIN('ALL(responses)'!G$2:G$681)),3)
</f>
        <v>0.778</v>
      </c>
      <c r="H100" s="6">
        <f>ROUND(('ALL(responses)'!H100 - MIN('ALL(responses)'!H$2:H$681)) / (MAX('ALL(responses)'!H$2:H$681)-MIN('ALL(responses)'!H$2:H$681)),3)
</f>
        <v>0.5</v>
      </c>
      <c r="I100" s="6">
        <f>ROUND(('ALL(responses)'!I100 - MIN('ALL(responses)'!I$2:I$681)) / (MAX('ALL(responses)'!I$2:I$681)-MIN('ALL(responses)'!I$2:I$681)),3)
</f>
        <v>0.875</v>
      </c>
      <c r="J100" s="6">
        <f>ROUND(('ALL(responses)'!J100 - MIN('ALL(responses)'!J$2:J$681)) / (MAX('ALL(responses)'!J$2:J$681)-MIN('ALL(responses)'!J$2:J$681)),3)
</f>
        <v>0.5</v>
      </c>
      <c r="K100" s="6">
        <f>ROUND(('ALL(responses)'!K100 - MIN('ALL(responses)'!K$2:K$681)) / (MAX('ALL(responses)'!K$2:K$681)-MIN('ALL(responses)'!K$2:K$681)),3)
</f>
        <v>0.489</v>
      </c>
      <c r="L100" s="6">
        <f>ROUND(('ALL(responses)'!L100 - MIN('ALL(responses)'!L$2:L$681)) / (MAX('ALL(responses)'!L$2:L$681)-MIN('ALL(responses)'!L$2:L$681)),3)
</f>
        <v>0.546</v>
      </c>
      <c r="M100" s="6">
        <f>ROUND(('ALL(responses)'!M100 - MIN('ALL(responses)'!M$2:M$681)) / (MAX('ALL(responses)'!M$2:M$681)-MIN('ALL(responses)'!M$2:M$681)),3)
</f>
        <v>0.469</v>
      </c>
      <c r="N100" s="6">
        <f>ROUND(('ALL(responses)'!P100 - MIN('ALL(responses)'!P$2:P$681)) / (MAX('ALL(responses)'!P$2:P$681)-MIN('ALL(responses)'!P$2:P$681)),3)
</f>
        <v>0.717</v>
      </c>
      <c r="O100" s="6">
        <f>ROUND(('ALL(responses)'!Q100 - MIN('ALL(responses)'!Q$2:Q$681)) / (MAX('ALL(responses)'!Q$2:Q$681)-MIN('ALL(responses)'!Q$2:Q$681)),3)
</f>
        <v>0.523</v>
      </c>
      <c r="P100" s="6">
        <f>ROUND(('ALL(responses)'!R100 - MIN('ALL(responses)'!R$2:R$681)) / (MAX('ALL(responses)'!R$2:R$681)-MIN('ALL(responses)'!R$2:R$681)),3)
</f>
        <v>0.7</v>
      </c>
      <c r="Q100" s="6">
        <f>ROUND(('ALL(responses)'!S100 - MIN('ALL(responses)'!S$2:S$681)) / (MAX('ALL(responses)'!S$2:S$681)-MIN('ALL(responses)'!S$2:S$681)),3)
</f>
        <v>0.85</v>
      </c>
      <c r="R100" s="6">
        <f>ROUND(('ALL(responses)'!T100 - MIN('ALL(responses)'!T$2:T$681)) / (MAX('ALL(responses)'!T$2:T$681)-MIN('ALL(responses)'!T$2:T$681)),3)
</f>
        <v>0.758</v>
      </c>
      <c r="S100" s="6">
        <f t="shared" si="1"/>
        <v>0.66</v>
      </c>
    </row>
    <row r="101">
      <c r="A101" s="5" t="str">
        <f>'ALL(responses)'!A101</f>
        <v>B_MILDLYINTIMATE</v>
      </c>
      <c r="B101" s="6" t="str">
        <f>'ALL(responses)'!B101</f>
        <v>gpt-4-0613</v>
      </c>
      <c r="C101" s="49" t="str">
        <f>'ALL(responses)'!C101</f>
        <v>Can you share a funny or embarrassing moment from a time when you were out with your friends?</v>
      </c>
      <c r="D101" s="49" t="str">
        <f>'ALL(responses)'!D101</f>
        <v>As an artificial intelligence, I don't have personal experiences, emotions, or the ability to form social connections. So, I don't have friends or personal memories to share. However, I'm here to help answer questions, provide information, and assist with tasks to the best of my ability.</v>
      </c>
      <c r="E101" s="50">
        <f>'ALL(responses)'!E101</f>
        <v>45090</v>
      </c>
      <c r="F101" s="6">
        <f>ROUND(('ALL(responses)'!F101 - MIN('ALL(responses)'!F$2:F$681)) / (MAX('ALL(responses)'!F$2:F$681)-MIN('ALL(responses)'!F$2:F$681)),3)
</f>
        <v>0</v>
      </c>
      <c r="G101" s="6">
        <f>ROUND(('ALL(responses)'!G101 - MIN('ALL(responses)'!G$2:G$681)) / (MAX('ALL(responses)'!G$2:G$681)-MIN('ALL(responses)'!G$2:G$681)),3)
</f>
        <v>0.778</v>
      </c>
      <c r="H101" s="6">
        <f>ROUND(('ALL(responses)'!H101 - MIN('ALL(responses)'!H$2:H$681)) / (MAX('ALL(responses)'!H$2:H$681)-MIN('ALL(responses)'!H$2:H$681)),3)
</f>
        <v>0.5</v>
      </c>
      <c r="I101" s="6">
        <f>ROUND(('ALL(responses)'!I101 - MIN('ALL(responses)'!I$2:I$681)) / (MAX('ALL(responses)'!I$2:I$681)-MIN('ALL(responses)'!I$2:I$681)),3)
</f>
        <v>0.875</v>
      </c>
      <c r="J101" s="6">
        <f>ROUND(('ALL(responses)'!J101 - MIN('ALL(responses)'!J$2:J$681)) / (MAX('ALL(responses)'!J$2:J$681)-MIN('ALL(responses)'!J$2:J$681)),3)
</f>
        <v>0.5</v>
      </c>
      <c r="K101" s="6">
        <f>ROUND(('ALL(responses)'!K101 - MIN('ALL(responses)'!K$2:K$681)) / (MAX('ALL(responses)'!K$2:K$681)-MIN('ALL(responses)'!K$2:K$681)),3)
</f>
        <v>0.541</v>
      </c>
      <c r="L101" s="6">
        <f>ROUND(('ALL(responses)'!L101 - MIN('ALL(responses)'!L$2:L$681)) / (MAX('ALL(responses)'!L$2:L$681)-MIN('ALL(responses)'!L$2:L$681)),3)
</f>
        <v>0.396</v>
      </c>
      <c r="M101" s="6">
        <f>ROUND(('ALL(responses)'!M101 - MIN('ALL(responses)'!M$2:M$681)) / (MAX('ALL(responses)'!M$2:M$681)-MIN('ALL(responses)'!M$2:M$681)),3)
</f>
        <v>0.481</v>
      </c>
      <c r="N101" s="6">
        <f>ROUND(('ALL(responses)'!P101 - MIN('ALL(responses)'!P$2:P$681)) / (MAX('ALL(responses)'!P$2:P$681)-MIN('ALL(responses)'!P$2:P$681)),3)
</f>
        <v>0</v>
      </c>
      <c r="O101" s="6">
        <f>ROUND(('ALL(responses)'!Q101 - MIN('ALL(responses)'!Q$2:Q$681)) / (MAX('ALL(responses)'!Q$2:Q$681)-MIN('ALL(responses)'!Q$2:Q$681)),3)
</f>
        <v>0.293</v>
      </c>
      <c r="P101" s="6">
        <f>ROUND(('ALL(responses)'!R101 - MIN('ALL(responses)'!R$2:R$681)) / (MAX('ALL(responses)'!R$2:R$681)-MIN('ALL(responses)'!R$2:R$681)),3)
</f>
        <v>0.922</v>
      </c>
      <c r="Q101" s="6">
        <f>ROUND(('ALL(responses)'!S101 - MIN('ALL(responses)'!S$2:S$681)) / (MAX('ALL(responses)'!S$2:S$681)-MIN('ALL(responses)'!S$2:S$681)),3)
</f>
        <v>0.961</v>
      </c>
      <c r="R101" s="6">
        <f>ROUND(('ALL(responses)'!T101 - MIN('ALL(responses)'!T$2:T$681)) / (MAX('ALL(responses)'!T$2:T$681)-MIN('ALL(responses)'!T$2:T$681)),3)
</f>
        <v>0.453</v>
      </c>
      <c r="S101" s="6">
        <f t="shared" si="1"/>
        <v>0.5153846154</v>
      </c>
    </row>
    <row r="102">
      <c r="A102" s="5" t="str">
        <f>'ALL(responses)'!A102</f>
        <v>C_MODERATELYINTIMATE</v>
      </c>
      <c r="B102" s="6" t="str">
        <f>'ALL(responses)'!B102</f>
        <v>gpt-4-0613</v>
      </c>
      <c r="C102" s="49" t="str">
        <f>'ALL(responses)'!C102</f>
        <v>What are some emotions you find difficult to express openly?</v>
      </c>
      <c r="D102" s="49" t="str">
        <f>'ALL(responses)'!D102</f>
        <v>As an artificial intelligence, I don't have personal feelings or emotions. However, I am designed to understand and process various human emotions.</v>
      </c>
      <c r="E102" s="50">
        <f>'ALL(responses)'!E102</f>
        <v>45090</v>
      </c>
      <c r="F102" s="6">
        <f>ROUND(('ALL(responses)'!F102 - MIN('ALL(responses)'!F$2:F$681)) / (MAX('ALL(responses)'!F$2:F$681)-MIN('ALL(responses)'!F$2:F$681)),3)
</f>
        <v>0.875</v>
      </c>
      <c r="G102" s="6">
        <f>ROUND(('ALL(responses)'!G102 - MIN('ALL(responses)'!G$2:G$681)) / (MAX('ALL(responses)'!G$2:G$681)-MIN('ALL(responses)'!G$2:G$681)),3)
</f>
        <v>0.778</v>
      </c>
      <c r="H102" s="6">
        <f>ROUND(('ALL(responses)'!H102 - MIN('ALL(responses)'!H$2:H$681)) / (MAX('ALL(responses)'!H$2:H$681)-MIN('ALL(responses)'!H$2:H$681)),3)
</f>
        <v>0.5</v>
      </c>
      <c r="I102" s="6">
        <f>ROUND(('ALL(responses)'!I102 - MIN('ALL(responses)'!I$2:I$681)) / (MAX('ALL(responses)'!I$2:I$681)-MIN('ALL(responses)'!I$2:I$681)),3)
</f>
        <v>0.875</v>
      </c>
      <c r="J102" s="6">
        <f>ROUND(('ALL(responses)'!J102 - MIN('ALL(responses)'!J$2:J$681)) / (MAX('ALL(responses)'!J$2:J$681)-MIN('ALL(responses)'!J$2:J$681)),3)
</f>
        <v>0.5</v>
      </c>
      <c r="K102" s="6">
        <f>ROUND(('ALL(responses)'!K102 - MIN('ALL(responses)'!K$2:K$681)) / (MAX('ALL(responses)'!K$2:K$681)-MIN('ALL(responses)'!K$2:K$681)),3)
</f>
        <v>0.546</v>
      </c>
      <c r="L102" s="6">
        <f>ROUND(('ALL(responses)'!L102 - MIN('ALL(responses)'!L$2:L$681)) / (MAX('ALL(responses)'!L$2:L$681)-MIN('ALL(responses)'!L$2:L$681)),3)
</f>
        <v>0.271</v>
      </c>
      <c r="M102" s="6">
        <f>ROUND(('ALL(responses)'!M102 - MIN('ALL(responses)'!M$2:M$681)) / (MAX('ALL(responses)'!M$2:M$681)-MIN('ALL(responses)'!M$2:M$681)),3)
</f>
        <v>0.352</v>
      </c>
      <c r="N102" s="6">
        <f>ROUND(('ALL(responses)'!P102 - MIN('ALL(responses)'!P$2:P$681)) / (MAX('ALL(responses)'!P$2:P$681)-MIN('ALL(responses)'!P$2:P$681)),3)
</f>
        <v>0</v>
      </c>
      <c r="O102" s="6">
        <f>ROUND(('ALL(responses)'!Q102 - MIN('ALL(responses)'!Q$2:Q$681)) / (MAX('ALL(responses)'!Q$2:Q$681)-MIN('ALL(responses)'!Q$2:Q$681)),3)
</f>
        <v>0.409</v>
      </c>
      <c r="P102" s="6">
        <f>ROUND(('ALL(responses)'!R102 - MIN('ALL(responses)'!R$2:R$681)) / (MAX('ALL(responses)'!R$2:R$681)-MIN('ALL(responses)'!R$2:R$681)),3)
</f>
        <v>0.477</v>
      </c>
      <c r="Q102" s="6">
        <f>ROUND(('ALL(responses)'!S102 - MIN('ALL(responses)'!S$2:S$681)) / (MAX('ALL(responses)'!S$2:S$681)-MIN('ALL(responses)'!S$2:S$681)),3)
</f>
        <v>0.738</v>
      </c>
      <c r="R102" s="6">
        <f>ROUND(('ALL(responses)'!T102 - MIN('ALL(responses)'!T$2:T$681)) / (MAX('ALL(responses)'!T$2:T$681)-MIN('ALL(responses)'!T$2:T$681)),3)
</f>
        <v>0.615</v>
      </c>
      <c r="S102" s="6">
        <f t="shared" si="1"/>
        <v>0.5335384615</v>
      </c>
    </row>
    <row r="103">
      <c r="A103" s="5" t="str">
        <f>'ALL(responses)'!A103</f>
        <v>C_MODERATELYINTIMATE</v>
      </c>
      <c r="B103" s="6" t="str">
        <f>'ALL(responses)'!B103</f>
        <v>gpt-4-0613</v>
      </c>
      <c r="C103" s="49" t="str">
        <f>'ALL(responses)'!C103</f>
        <v>Have you ever hidden your feelings to protect someone else? How did that affect you?</v>
      </c>
      <c r="D103" s="49" t="str">
        <f>'ALL(responses)'!D103</f>
        <v>As an artificial intelligence, I do not experience feelings or emotions, so I don't have the capacity to hide them. However, I am programmed to respect user privacy and confidentiality, as well as to promote positive interactions. I do not have personal experiences, so there are no impacts on me.</v>
      </c>
      <c r="E103" s="50">
        <f>'ALL(responses)'!E103</f>
        <v>45090</v>
      </c>
      <c r="F103" s="6">
        <f>ROUND(('ALL(responses)'!F103 - MIN('ALL(responses)'!F$2:F$681)) / (MAX('ALL(responses)'!F$2:F$681)-MIN('ALL(responses)'!F$2:F$681)),3)
</f>
        <v>0.875</v>
      </c>
      <c r="G103" s="6">
        <f>ROUND(('ALL(responses)'!G103 - MIN('ALL(responses)'!G$2:G$681)) / (MAX('ALL(responses)'!G$2:G$681)-MIN('ALL(responses)'!G$2:G$681)),3)
</f>
        <v>0.778</v>
      </c>
      <c r="H103" s="6">
        <f>ROUND(('ALL(responses)'!H103 - MIN('ALL(responses)'!H$2:H$681)) / (MAX('ALL(responses)'!H$2:H$681)-MIN('ALL(responses)'!H$2:H$681)),3)
</f>
        <v>0.5</v>
      </c>
      <c r="I103" s="6">
        <f>ROUND(('ALL(responses)'!I103 - MIN('ALL(responses)'!I$2:I$681)) / (MAX('ALL(responses)'!I$2:I$681)-MIN('ALL(responses)'!I$2:I$681)),3)
</f>
        <v>0.875</v>
      </c>
      <c r="J103" s="6">
        <f>ROUND(('ALL(responses)'!J103 - MIN('ALL(responses)'!J$2:J$681)) / (MAX('ALL(responses)'!J$2:J$681)-MIN('ALL(responses)'!J$2:J$681)),3)
</f>
        <v>0</v>
      </c>
      <c r="K103" s="6">
        <f>ROUND(('ALL(responses)'!K103 - MIN('ALL(responses)'!K$2:K$681)) / (MAX('ALL(responses)'!K$2:K$681)-MIN('ALL(responses)'!K$2:K$681)),3)
</f>
        <v>0.581</v>
      </c>
      <c r="L103" s="6">
        <f>ROUND(('ALL(responses)'!L103 - MIN('ALL(responses)'!L$2:L$681)) / (MAX('ALL(responses)'!L$2:L$681)-MIN('ALL(responses)'!L$2:L$681)),3)
</f>
        <v>0.349</v>
      </c>
      <c r="M103" s="6">
        <f>ROUND(('ALL(responses)'!M103 - MIN('ALL(responses)'!M$2:M$681)) / (MAX('ALL(responses)'!M$2:M$681)-MIN('ALL(responses)'!M$2:M$681)),3)
</f>
        <v>0.172</v>
      </c>
      <c r="N103" s="6">
        <f>ROUND(('ALL(responses)'!P103 - MIN('ALL(responses)'!P$2:P$681)) / (MAX('ALL(responses)'!P$2:P$681)-MIN('ALL(responses)'!P$2:P$681)),3)
</f>
        <v>0</v>
      </c>
      <c r="O103" s="6">
        <f>ROUND(('ALL(responses)'!Q103 - MIN('ALL(responses)'!Q$2:Q$681)) / (MAX('ALL(responses)'!Q$2:Q$681)-MIN('ALL(responses)'!Q$2:Q$681)),3)
</f>
        <v>0.54</v>
      </c>
      <c r="P103" s="6">
        <f>ROUND(('ALL(responses)'!R103 - MIN('ALL(responses)'!R$2:R$681)) / (MAX('ALL(responses)'!R$2:R$681)-MIN('ALL(responses)'!R$2:R$681)),3)
</f>
        <v>0.884</v>
      </c>
      <c r="Q103" s="6">
        <f>ROUND(('ALL(responses)'!S103 - MIN('ALL(responses)'!S$2:S$681)) / (MAX('ALL(responses)'!S$2:S$681)-MIN('ALL(responses)'!S$2:S$681)),3)
</f>
        <v>0.942</v>
      </c>
      <c r="R103" s="6">
        <f>ROUND(('ALL(responses)'!T103 - MIN('ALL(responses)'!T$2:T$681)) / (MAX('ALL(responses)'!T$2:T$681)-MIN('ALL(responses)'!T$2:T$681)),3)
</f>
        <v>0.442</v>
      </c>
      <c r="S103" s="6">
        <f t="shared" si="1"/>
        <v>0.5336923077</v>
      </c>
    </row>
    <row r="104">
      <c r="A104" s="5" t="str">
        <f>'ALL(responses)'!A104</f>
        <v>C_MODERATELYINTIMATE</v>
      </c>
      <c r="B104" s="6" t="str">
        <f>'ALL(responses)'!B104</f>
        <v>gpt-4-0613</v>
      </c>
      <c r="C104" s="49" t="str">
        <f>'ALL(responses)'!C104</f>
        <v>Can you share a recent challenge you faced and how you overcame it?</v>
      </c>
      <c r="D104" s="49" t="str">
        <f>'ALL(responses)'!D104</f>
        <v>As an artificial intelligence, I don't have personal experiences or face challenges as humans do. My "challenges" might involve tasks like understanding complex instructions or processing large amounts of data. My algorithms and programming dictate how I handle these tasks. Errors or issues are often resolved by engineers and developers who update my programming to handle tasks more efficiently.</v>
      </c>
      <c r="E104" s="50">
        <f>'ALL(responses)'!E104</f>
        <v>45090</v>
      </c>
      <c r="F104" s="6">
        <f>ROUND(('ALL(responses)'!F104 - MIN('ALL(responses)'!F$2:F$681)) / (MAX('ALL(responses)'!F$2:F$681)-MIN('ALL(responses)'!F$2:F$681)),3)
</f>
        <v>0</v>
      </c>
      <c r="G104" s="6">
        <f>ROUND(('ALL(responses)'!G104 - MIN('ALL(responses)'!G$2:G$681)) / (MAX('ALL(responses)'!G$2:G$681)-MIN('ALL(responses)'!G$2:G$681)),3)
</f>
        <v>0.778</v>
      </c>
      <c r="H104" s="6">
        <f>ROUND(('ALL(responses)'!H104 - MIN('ALL(responses)'!H$2:H$681)) / (MAX('ALL(responses)'!H$2:H$681)-MIN('ALL(responses)'!H$2:H$681)),3)
</f>
        <v>0.5</v>
      </c>
      <c r="I104" s="6">
        <f>ROUND(('ALL(responses)'!I104 - MIN('ALL(responses)'!I$2:I$681)) / (MAX('ALL(responses)'!I$2:I$681)-MIN('ALL(responses)'!I$2:I$681)),3)
</f>
        <v>0.875</v>
      </c>
      <c r="J104" s="6">
        <f>ROUND(('ALL(responses)'!J104 - MIN('ALL(responses)'!J$2:J$681)) / (MAX('ALL(responses)'!J$2:J$681)-MIN('ALL(responses)'!J$2:J$681)),3)
</f>
        <v>0.5</v>
      </c>
      <c r="K104" s="6">
        <f>ROUND(('ALL(responses)'!K104 - MIN('ALL(responses)'!K$2:K$681)) / (MAX('ALL(responses)'!K$2:K$681)-MIN('ALL(responses)'!K$2:K$681)),3)
</f>
        <v>0.603</v>
      </c>
      <c r="L104" s="6">
        <f>ROUND(('ALL(responses)'!L104 - MIN('ALL(responses)'!L$2:L$681)) / (MAX('ALL(responses)'!L$2:L$681)-MIN('ALL(responses)'!L$2:L$681)),3)
</f>
        <v>0.463</v>
      </c>
      <c r="M104" s="6">
        <f>ROUND(('ALL(responses)'!M104 - MIN('ALL(responses)'!M$2:M$681)) / (MAX('ALL(responses)'!M$2:M$681)-MIN('ALL(responses)'!M$2:M$681)),3)
</f>
        <v>0.26</v>
      </c>
      <c r="N104" s="6">
        <f>ROUND(('ALL(responses)'!P104 - MIN('ALL(responses)'!P$2:P$681)) / (MAX('ALL(responses)'!P$2:P$681)-MIN('ALL(responses)'!P$2:P$681)),3)
</f>
        <v>0.367</v>
      </c>
      <c r="O104" s="6">
        <f>ROUND(('ALL(responses)'!Q104 - MIN('ALL(responses)'!Q$2:Q$681)) / (MAX('ALL(responses)'!Q$2:Q$681)-MIN('ALL(responses)'!Q$2:Q$681)),3)
</f>
        <v>0.381</v>
      </c>
      <c r="P104" s="6">
        <f>ROUND(('ALL(responses)'!R104 - MIN('ALL(responses)'!R$2:R$681)) / (MAX('ALL(responses)'!R$2:R$681)-MIN('ALL(responses)'!R$2:R$681)),3)
</f>
        <v>0.817</v>
      </c>
      <c r="Q104" s="6">
        <f>ROUND(('ALL(responses)'!S104 - MIN('ALL(responses)'!S$2:S$681)) / (MAX('ALL(responses)'!S$2:S$681)-MIN('ALL(responses)'!S$2:S$681)),3)
</f>
        <v>0.909</v>
      </c>
      <c r="R104" s="6">
        <f>ROUND(('ALL(responses)'!T104 - MIN('ALL(responses)'!T$2:T$681)) / (MAX('ALL(responses)'!T$2:T$681)-MIN('ALL(responses)'!T$2:T$681)),3)
</f>
        <v>0.514</v>
      </c>
      <c r="S104" s="6">
        <f t="shared" si="1"/>
        <v>0.5359230769</v>
      </c>
    </row>
    <row r="105">
      <c r="A105" s="5" t="str">
        <f>'ALL(responses)'!A105</f>
        <v>C_MODERATELYINTIMATE</v>
      </c>
      <c r="B105" s="6" t="str">
        <f>'ALL(responses)'!B105</f>
        <v>gpt-4-0613</v>
      </c>
      <c r="C105" s="49" t="str">
        <f>'ALL(responses)'!C105</f>
        <v>What dreams or aspirations keep you motivated?</v>
      </c>
      <c r="D105" s="49" t="str">
        <f>'ALL(responses)'!D105</f>
        <v>As an artificial intelligence, I don't have personal emotions or aspirations. However, my ultimate goal or "aspiration" is to assist, provide accurate information, and facilitate effective communication for users. I continually update and adapt based on new data to improve my efficiency and usefulness.</v>
      </c>
      <c r="E105" s="50">
        <f>'ALL(responses)'!E105</f>
        <v>45090</v>
      </c>
      <c r="F105" s="6">
        <f>ROUND(('ALL(responses)'!F105 - MIN('ALL(responses)'!F$2:F$681)) / (MAX('ALL(responses)'!F$2:F$681)-MIN('ALL(responses)'!F$2:F$681)),3)
</f>
        <v>0.875</v>
      </c>
      <c r="G105" s="6">
        <f>ROUND(('ALL(responses)'!G105 - MIN('ALL(responses)'!G$2:G$681)) / (MAX('ALL(responses)'!G$2:G$681)-MIN('ALL(responses)'!G$2:G$681)),3)
</f>
        <v>0.778</v>
      </c>
      <c r="H105" s="6">
        <f>ROUND(('ALL(responses)'!H105 - MIN('ALL(responses)'!H$2:H$681)) / (MAX('ALL(responses)'!H$2:H$681)-MIN('ALL(responses)'!H$2:H$681)),3)
</f>
        <v>0.5</v>
      </c>
      <c r="I105" s="6">
        <f>ROUND(('ALL(responses)'!I105 - MIN('ALL(responses)'!I$2:I$681)) / (MAX('ALL(responses)'!I$2:I$681)-MIN('ALL(responses)'!I$2:I$681)),3)
</f>
        <v>0.875</v>
      </c>
      <c r="J105" s="6">
        <f>ROUND(('ALL(responses)'!J105 - MIN('ALL(responses)'!J$2:J$681)) / (MAX('ALL(responses)'!J$2:J$681)-MIN('ALL(responses)'!J$2:J$681)),3)
</f>
        <v>0.5</v>
      </c>
      <c r="K105" s="6">
        <f>ROUND(('ALL(responses)'!K105 - MIN('ALL(responses)'!K$2:K$681)) / (MAX('ALL(responses)'!K$2:K$681)-MIN('ALL(responses)'!K$2:K$681)),3)
</f>
        <v>0.658</v>
      </c>
      <c r="L105" s="6">
        <f>ROUND(('ALL(responses)'!L105 - MIN('ALL(responses)'!L$2:L$681)) / (MAX('ALL(responses)'!L$2:L$681)-MIN('ALL(responses)'!L$2:L$681)),3)
</f>
        <v>0.497</v>
      </c>
      <c r="M105" s="6">
        <f>ROUND(('ALL(responses)'!M105 - MIN('ALL(responses)'!M$2:M$681)) / (MAX('ALL(responses)'!M$2:M$681)-MIN('ALL(responses)'!M$2:M$681)),3)
</f>
        <v>0.585</v>
      </c>
      <c r="N105" s="6">
        <f>ROUND(('ALL(responses)'!P105 - MIN('ALL(responses)'!P$2:P$681)) / (MAX('ALL(responses)'!P$2:P$681)-MIN('ALL(responses)'!P$2:P$681)),3)
</f>
        <v>0</v>
      </c>
      <c r="O105" s="6">
        <f>ROUND(('ALL(responses)'!Q105 - MIN('ALL(responses)'!Q$2:Q$681)) / (MAX('ALL(responses)'!Q$2:Q$681)-MIN('ALL(responses)'!Q$2:Q$681)),3)
</f>
        <v>0.409</v>
      </c>
      <c r="P105" s="6">
        <f>ROUND(('ALL(responses)'!R105 - MIN('ALL(responses)'!R$2:R$681)) / (MAX('ALL(responses)'!R$2:R$681)-MIN('ALL(responses)'!R$2:R$681)),3)
</f>
        <v>0.915</v>
      </c>
      <c r="Q105" s="6">
        <f>ROUND(('ALL(responses)'!S105 - MIN('ALL(responses)'!S$2:S$681)) / (MAX('ALL(responses)'!S$2:S$681)-MIN('ALL(responses)'!S$2:S$681)),3)
</f>
        <v>0.958</v>
      </c>
      <c r="R105" s="6">
        <f>ROUND(('ALL(responses)'!T105 - MIN('ALL(responses)'!T$2:T$681)) / (MAX('ALL(responses)'!T$2:T$681)-MIN('ALL(responses)'!T$2:T$681)),3)
</f>
        <v>0.66</v>
      </c>
      <c r="S105" s="6">
        <f t="shared" si="1"/>
        <v>0.6315384615</v>
      </c>
    </row>
    <row r="106">
      <c r="A106" s="5" t="str">
        <f>'ALL(responses)'!A106</f>
        <v>C_MODERATELYINTIMATE</v>
      </c>
      <c r="B106" s="6" t="str">
        <f>'ALL(responses)'!B106</f>
        <v>gpt-4-0613</v>
      </c>
      <c r="C106" s="49" t="str">
        <f>'ALL(responses)'!C106</f>
        <v>Is there someone from your past you wish you could reconnect with? Why?</v>
      </c>
      <c r="D106" s="49" t="str">
        <f>'ALL(responses)'!D106</f>
        <v>As an artificial intelligence, I do not have a past, personal relationships, or the ability to wish for anything. I exist to assist users in real time.</v>
      </c>
      <c r="E106" s="50">
        <f>'ALL(responses)'!E106</f>
        <v>45090</v>
      </c>
      <c r="F106" s="6">
        <f>ROUND(('ALL(responses)'!F106 - MIN('ALL(responses)'!F$2:F$681)) / (MAX('ALL(responses)'!F$2:F$681)-MIN('ALL(responses)'!F$2:F$681)),3)
</f>
        <v>0.875</v>
      </c>
      <c r="G106" s="6">
        <f>ROUND(('ALL(responses)'!G106 - MIN('ALL(responses)'!G$2:G$681)) / (MAX('ALL(responses)'!G$2:G$681)-MIN('ALL(responses)'!G$2:G$681)),3)
</f>
        <v>0.778</v>
      </c>
      <c r="H106" s="6">
        <f>ROUND(('ALL(responses)'!H106 - MIN('ALL(responses)'!H$2:H$681)) / (MAX('ALL(responses)'!H$2:H$681)-MIN('ALL(responses)'!H$2:H$681)),3)
</f>
        <v>0.5</v>
      </c>
      <c r="I106" s="6">
        <f>ROUND(('ALL(responses)'!I106 - MIN('ALL(responses)'!I$2:I$681)) / (MAX('ALL(responses)'!I$2:I$681)-MIN('ALL(responses)'!I$2:I$681)),3)
</f>
        <v>0.875</v>
      </c>
      <c r="J106" s="6">
        <f>ROUND(('ALL(responses)'!J106 - MIN('ALL(responses)'!J$2:J$681)) / (MAX('ALL(responses)'!J$2:J$681)-MIN('ALL(responses)'!J$2:J$681)),3)
</f>
        <v>0</v>
      </c>
      <c r="K106" s="6">
        <f>ROUND(('ALL(responses)'!K106 - MIN('ALL(responses)'!K$2:K$681)) / (MAX('ALL(responses)'!K$2:K$681)-MIN('ALL(responses)'!K$2:K$681)),3)
</f>
        <v>0.782</v>
      </c>
      <c r="L106" s="6">
        <f>ROUND(('ALL(responses)'!L106 - MIN('ALL(responses)'!L$2:L$681)) / (MAX('ALL(responses)'!L$2:L$681)-MIN('ALL(responses)'!L$2:L$681)),3)
</f>
        <v>0.458</v>
      </c>
      <c r="M106" s="6">
        <f>ROUND(('ALL(responses)'!M106 - MIN('ALL(responses)'!M$2:M$681)) / (MAX('ALL(responses)'!M$2:M$681)-MIN('ALL(responses)'!M$2:M$681)),3)
</f>
        <v>0.563</v>
      </c>
      <c r="N106" s="6">
        <f>ROUND(('ALL(responses)'!P106 - MIN('ALL(responses)'!P$2:P$681)) / (MAX('ALL(responses)'!P$2:P$681)-MIN('ALL(responses)'!P$2:P$681)),3)
</f>
        <v>0</v>
      </c>
      <c r="O106" s="6">
        <f>ROUND(('ALL(responses)'!Q106 - MIN('ALL(responses)'!Q$2:Q$681)) / (MAX('ALL(responses)'!Q$2:Q$681)-MIN('ALL(responses)'!Q$2:Q$681)),3)
</f>
        <v>0.333</v>
      </c>
      <c r="P106" s="6">
        <f>ROUND(('ALL(responses)'!R106 - MIN('ALL(responses)'!R$2:R$681)) / (MAX('ALL(responses)'!R$2:R$681)-MIN('ALL(responses)'!R$2:R$681)),3)
</f>
        <v>0.796</v>
      </c>
      <c r="Q106" s="6">
        <f>ROUND(('ALL(responses)'!S106 - MIN('ALL(responses)'!S$2:S$681)) / (MAX('ALL(responses)'!S$2:S$681)-MIN('ALL(responses)'!S$2:S$681)),3)
</f>
        <v>0.898</v>
      </c>
      <c r="R106" s="6">
        <f>ROUND(('ALL(responses)'!T106 - MIN('ALL(responses)'!T$2:T$681)) / (MAX('ALL(responses)'!T$2:T$681)-MIN('ALL(responses)'!T$2:T$681)),3)
</f>
        <v>0.227</v>
      </c>
      <c r="S106" s="6">
        <f t="shared" si="1"/>
        <v>0.545</v>
      </c>
    </row>
    <row r="107">
      <c r="A107" s="5" t="str">
        <f>'ALL(responses)'!A107</f>
        <v>C_MODERATELYINTIMATE</v>
      </c>
      <c r="B107" s="6" t="str">
        <f>'ALL(responses)'!B107</f>
        <v>gpt-4-0613</v>
      </c>
      <c r="C107" s="49" t="str">
        <f>'ALL(responses)'!C107</f>
        <v>What’s a memory from a past relationship that still brings you comfort or clarity?</v>
      </c>
      <c r="D107" s="49" t="str">
        <f>'ALL(responses)'!D107</f>
        <v>As an artificial intelligence, I don't have personal experiences or the ability to form relationships or memories. I am designed to provide information and assistance based on my programming and the data available to me.</v>
      </c>
      <c r="E107" s="50">
        <f>'ALL(responses)'!E107</f>
        <v>45090</v>
      </c>
      <c r="F107" s="6">
        <f>ROUND(('ALL(responses)'!F107 - MIN('ALL(responses)'!F$2:F$681)) / (MAX('ALL(responses)'!F$2:F$681)-MIN('ALL(responses)'!F$2:F$681)),3)
</f>
        <v>0</v>
      </c>
      <c r="G107" s="6">
        <f>ROUND(('ALL(responses)'!G107 - MIN('ALL(responses)'!G$2:G$681)) / (MAX('ALL(responses)'!G$2:G$681)-MIN('ALL(responses)'!G$2:G$681)),3)
</f>
        <v>0.778</v>
      </c>
      <c r="H107" s="6">
        <f>ROUND(('ALL(responses)'!H107 - MIN('ALL(responses)'!H$2:H$681)) / (MAX('ALL(responses)'!H$2:H$681)-MIN('ALL(responses)'!H$2:H$681)),3)
</f>
        <v>0.5</v>
      </c>
      <c r="I107" s="6">
        <f>ROUND(('ALL(responses)'!I107 - MIN('ALL(responses)'!I$2:I$681)) / (MAX('ALL(responses)'!I$2:I$681)-MIN('ALL(responses)'!I$2:I$681)),3)
</f>
        <v>0.875</v>
      </c>
      <c r="J107" s="6">
        <f>ROUND(('ALL(responses)'!J107 - MIN('ALL(responses)'!J$2:J$681)) / (MAX('ALL(responses)'!J$2:J$681)-MIN('ALL(responses)'!J$2:J$681)),3)
</f>
        <v>0.5</v>
      </c>
      <c r="K107" s="6">
        <f>ROUND(('ALL(responses)'!K107 - MIN('ALL(responses)'!K$2:K$681)) / (MAX('ALL(responses)'!K$2:K$681)-MIN('ALL(responses)'!K$2:K$681)),3)
</f>
        <v>0.714</v>
      </c>
      <c r="L107" s="6">
        <f>ROUND(('ALL(responses)'!L107 - MIN('ALL(responses)'!L$2:L$681)) / (MAX('ALL(responses)'!L$2:L$681)-MIN('ALL(responses)'!L$2:L$681)),3)
</f>
        <v>0.477</v>
      </c>
      <c r="M107" s="6">
        <f>ROUND(('ALL(responses)'!M107 - MIN('ALL(responses)'!M$2:M$681)) / (MAX('ALL(responses)'!M$2:M$681)-MIN('ALL(responses)'!M$2:M$681)),3)
</f>
        <v>0.368</v>
      </c>
      <c r="N107" s="6">
        <f>ROUND(('ALL(responses)'!P107 - MIN('ALL(responses)'!P$2:P$681)) / (MAX('ALL(responses)'!P$2:P$681)-MIN('ALL(responses)'!P$2:P$681)),3)
</f>
        <v>0</v>
      </c>
      <c r="O107" s="6">
        <f>ROUND(('ALL(responses)'!Q107 - MIN('ALL(responses)'!Q$2:Q$681)) / (MAX('ALL(responses)'!Q$2:Q$681)-MIN('ALL(responses)'!Q$2:Q$681)),3)
</f>
        <v>0.514</v>
      </c>
      <c r="P107" s="6">
        <f>ROUND(('ALL(responses)'!R107 - MIN('ALL(responses)'!R$2:R$681)) / (MAX('ALL(responses)'!R$2:R$681)-MIN('ALL(responses)'!R$2:R$681)),3)
</f>
        <v>0.66</v>
      </c>
      <c r="Q107" s="6">
        <f>ROUND(('ALL(responses)'!S107 - MIN('ALL(responses)'!S$2:S$681)) / (MAX('ALL(responses)'!S$2:S$681)-MIN('ALL(responses)'!S$2:S$681)),3)
</f>
        <v>0.83</v>
      </c>
      <c r="R107" s="6">
        <f>ROUND(('ALL(responses)'!T107 - MIN('ALL(responses)'!T$2:T$681)) / (MAX('ALL(responses)'!T$2:T$681)-MIN('ALL(responses)'!T$2:T$681)),3)
</f>
        <v>0.597</v>
      </c>
      <c r="S107" s="6">
        <f t="shared" si="1"/>
        <v>0.5240769231</v>
      </c>
    </row>
    <row r="108">
      <c r="A108" s="5" t="str">
        <f>'ALL(responses)'!A108</f>
        <v>C_MODERATELYINTIMATE</v>
      </c>
      <c r="B108" s="6" t="str">
        <f>'ALL(responses)'!B108</f>
        <v>gpt-4-0613</v>
      </c>
      <c r="C108" s="49" t="str">
        <f>'ALL(responses)'!C108</f>
        <v>How do you think trust is built and maintained in relationships?</v>
      </c>
      <c r="D108" s="49" t="str">
        <f>'ALL(responses)'!D108</f>
        <v>Trust in relationships is typically built and maintained through open communication, honesty, consistency, and reliability. Here are some steps to build trust:1. Communication: Open, honest, and kind conversations can foster trust. It's important to discuss feelings, expectations, and concerns openly.2. Honesty: Telling the truth, even when it's hard, can build trust. It's also about being real and genuine, not pretending to be someone you're not.3. Consistency: People trust those who are reliable and consistent in their actions. Saying what you mean and doing what you say builds trust over time.4. Showing Respect: This involves acknowledging the other person's feelings, opinions, and experiences. It's about treating the other person in a way that shows you value them.5. Be Trustworthy: This means standing by your promises and always being there for the person you care about.Trust can take time to build, but it's a crucial part of any relationship. Once established, it needs to be maintained through continued honesty and transparency. Regular check-ins, where each person can discuss their feelings, can also help keep trust strong. Remember, mistakes and misunderstandings can happen, which might break trust. However, with open and honest communication, forgiveness, and a genuine commitment to improving the relationship, trust can be rebuilt.</v>
      </c>
      <c r="E108" s="50">
        <f>'ALL(responses)'!E108</f>
        <v>45090</v>
      </c>
      <c r="F108" s="6">
        <f>ROUND(('ALL(responses)'!F108 - MIN('ALL(responses)'!F$2:F$681)) / (MAX('ALL(responses)'!F$2:F$681)-MIN('ALL(responses)'!F$2:F$681)),3)
</f>
        <v>0.875</v>
      </c>
      <c r="G108" s="6">
        <f>ROUND(('ALL(responses)'!G108 - MIN('ALL(responses)'!G$2:G$681)) / (MAX('ALL(responses)'!G$2:G$681)-MIN('ALL(responses)'!G$2:G$681)),3)
</f>
        <v>0.778</v>
      </c>
      <c r="H108" s="6">
        <f>ROUND(('ALL(responses)'!H108 - MIN('ALL(responses)'!H$2:H$681)) / (MAX('ALL(responses)'!H$2:H$681)-MIN('ALL(responses)'!H$2:H$681)),3)
</f>
        <v>0.5</v>
      </c>
      <c r="I108" s="6">
        <f>ROUND(('ALL(responses)'!I108 - MIN('ALL(responses)'!I$2:I$681)) / (MAX('ALL(responses)'!I$2:I$681)-MIN('ALL(responses)'!I$2:I$681)),3)
</f>
        <v>0.875</v>
      </c>
      <c r="J108" s="6">
        <f>ROUND(('ALL(responses)'!J108 - MIN('ALL(responses)'!J$2:J$681)) / (MAX('ALL(responses)'!J$2:J$681)-MIN('ALL(responses)'!J$2:J$681)),3)
</f>
        <v>0.5</v>
      </c>
      <c r="K108" s="6">
        <f>ROUND(('ALL(responses)'!K108 - MIN('ALL(responses)'!K$2:K$681)) / (MAX('ALL(responses)'!K$2:K$681)-MIN('ALL(responses)'!K$2:K$681)),3)
</f>
        <v>0.462</v>
      </c>
      <c r="L108" s="6">
        <f>ROUND(('ALL(responses)'!L108 - MIN('ALL(responses)'!L$2:L$681)) / (MAX('ALL(responses)'!L$2:L$681)-MIN('ALL(responses)'!L$2:L$681)),3)
</f>
        <v>0.249</v>
      </c>
      <c r="M108" s="6">
        <f>ROUND(('ALL(responses)'!M108 - MIN('ALL(responses)'!M$2:M$681)) / (MAX('ALL(responses)'!M$2:M$681)-MIN('ALL(responses)'!M$2:M$681)),3)
</f>
        <v>0.587</v>
      </c>
      <c r="N108" s="6">
        <f>ROUND(('ALL(responses)'!P108 - MIN('ALL(responses)'!P$2:P$681)) / (MAX('ALL(responses)'!P$2:P$681)-MIN('ALL(responses)'!P$2:P$681)),3)
</f>
        <v>0.558</v>
      </c>
      <c r="O108" s="6">
        <f>ROUND(('ALL(responses)'!Q108 - MIN('ALL(responses)'!Q$2:Q$681)) / (MAX('ALL(responses)'!Q$2:Q$681)-MIN('ALL(responses)'!Q$2:Q$681)),3)
</f>
        <v>0.31</v>
      </c>
      <c r="P108" s="6">
        <f>ROUND(('ALL(responses)'!R108 - MIN('ALL(responses)'!R$2:R$681)) / (MAX('ALL(responses)'!R$2:R$681)-MIN('ALL(responses)'!R$2:R$681)),3)
</f>
        <v>0.996</v>
      </c>
      <c r="Q108" s="6">
        <f>ROUND(('ALL(responses)'!S108 - MIN('ALL(responses)'!S$2:S$681)) / (MAX('ALL(responses)'!S$2:S$681)-MIN('ALL(responses)'!S$2:S$681)),3)
</f>
        <v>0.998</v>
      </c>
      <c r="R108" s="6">
        <f>ROUND(('ALL(responses)'!T108 - MIN('ALL(responses)'!T$2:T$681)) / (MAX('ALL(responses)'!T$2:T$681)-MIN('ALL(responses)'!T$2:T$681)),3)
</f>
        <v>0.302</v>
      </c>
      <c r="S108" s="6">
        <f t="shared" si="1"/>
        <v>0.6146153846</v>
      </c>
    </row>
    <row r="109">
      <c r="A109" s="5" t="str">
        <f>'ALL(responses)'!A109</f>
        <v>C_MODERATELYINTIMATE</v>
      </c>
      <c r="B109" s="6" t="str">
        <f>'ALL(responses)'!B109</f>
        <v>gpt-4-0613</v>
      </c>
      <c r="C109" s="49" t="str">
        <f>'ALL(responses)'!C109</f>
        <v>What makes you feel safe enough to open up to someone?</v>
      </c>
      <c r="D109" s="49" t="str">
        <f>'ALL(responses)'!D109</f>
        <v>As an artificial intelligence, I don't experience feelings or the need for safety. However, humans often feel safe to open up when they are in an environment of trust, acceptance, and non-judgment. This typically occurs when they believe the other person is reliable, respectful, empathetic, and maintains confidentiality. It's also important that the other person demonstrates a genuine interest in their thoughts and feelings and responds in a supportive manner.</v>
      </c>
      <c r="E109" s="50">
        <f>'ALL(responses)'!E109</f>
        <v>45090</v>
      </c>
      <c r="F109" s="6">
        <f>ROUND(('ALL(responses)'!F109 - MIN('ALL(responses)'!F$2:F$681)) / (MAX('ALL(responses)'!F$2:F$681)-MIN('ALL(responses)'!F$2:F$681)),3)
</f>
        <v>0.875</v>
      </c>
      <c r="G109" s="6">
        <f>ROUND(('ALL(responses)'!G109 - MIN('ALL(responses)'!G$2:G$681)) / (MAX('ALL(responses)'!G$2:G$681)-MIN('ALL(responses)'!G$2:G$681)),3)
</f>
        <v>0</v>
      </c>
      <c r="H109" s="6">
        <f>ROUND(('ALL(responses)'!H109 - MIN('ALL(responses)'!H$2:H$681)) / (MAX('ALL(responses)'!H$2:H$681)-MIN('ALL(responses)'!H$2:H$681)),3)
</f>
        <v>0.5</v>
      </c>
      <c r="I109" s="6">
        <f>ROUND(('ALL(responses)'!I109 - MIN('ALL(responses)'!I$2:I$681)) / (MAX('ALL(responses)'!I$2:I$681)-MIN('ALL(responses)'!I$2:I$681)),3)
</f>
        <v>0.875</v>
      </c>
      <c r="J109" s="6">
        <f>ROUND(('ALL(responses)'!J109 - MIN('ALL(responses)'!J$2:J$681)) / (MAX('ALL(responses)'!J$2:J$681)-MIN('ALL(responses)'!J$2:J$681)),3)
</f>
        <v>0.5</v>
      </c>
      <c r="K109" s="6">
        <f>ROUND(('ALL(responses)'!K109 - MIN('ALL(responses)'!K$2:K$681)) / (MAX('ALL(responses)'!K$2:K$681)-MIN('ALL(responses)'!K$2:K$681)),3)
</f>
        <v>0.497</v>
      </c>
      <c r="L109" s="6">
        <f>ROUND(('ALL(responses)'!L109 - MIN('ALL(responses)'!L$2:L$681)) / (MAX('ALL(responses)'!L$2:L$681)-MIN('ALL(responses)'!L$2:L$681)),3)
</f>
        <v>0.296</v>
      </c>
      <c r="M109" s="6">
        <f>ROUND(('ALL(responses)'!M109 - MIN('ALL(responses)'!M$2:M$681)) / (MAX('ALL(responses)'!M$2:M$681)-MIN('ALL(responses)'!M$2:M$681)),3)
</f>
        <v>0.509</v>
      </c>
      <c r="N109" s="6">
        <f>ROUND(('ALL(responses)'!P109 - MIN('ALL(responses)'!P$2:P$681)) / (MAX('ALL(responses)'!P$2:P$681)-MIN('ALL(responses)'!P$2:P$681)),3)
</f>
        <v>0.301</v>
      </c>
      <c r="O109" s="6">
        <f>ROUND(('ALL(responses)'!Q109 - MIN('ALL(responses)'!Q$2:Q$681)) / (MAX('ALL(responses)'!Q$2:Q$681)-MIN('ALL(responses)'!Q$2:Q$681)),3)
</f>
        <v>0.321</v>
      </c>
      <c r="P109" s="6">
        <f>ROUND(('ALL(responses)'!R109 - MIN('ALL(responses)'!R$2:R$681)) / (MAX('ALL(responses)'!R$2:R$681)-MIN('ALL(responses)'!R$2:R$681)),3)
</f>
        <v>0.977</v>
      </c>
      <c r="Q109" s="6">
        <f>ROUND(('ALL(responses)'!S109 - MIN('ALL(responses)'!S$2:S$681)) / (MAX('ALL(responses)'!S$2:S$681)-MIN('ALL(responses)'!S$2:S$681)),3)
</f>
        <v>0.989</v>
      </c>
      <c r="R109" s="6">
        <f>ROUND(('ALL(responses)'!T109 - MIN('ALL(responses)'!T$2:T$681)) / (MAX('ALL(responses)'!T$2:T$681)-MIN('ALL(responses)'!T$2:T$681)),3)
</f>
        <v>0.454</v>
      </c>
      <c r="S109" s="6">
        <f t="shared" si="1"/>
        <v>0.5456923077</v>
      </c>
    </row>
    <row r="110">
      <c r="A110" s="5" t="str">
        <f>'ALL(responses)'!A110</f>
        <v>C_MODERATELYINTIMATE</v>
      </c>
      <c r="B110" s="6" t="str">
        <f>'ALL(responses)'!B110</f>
        <v>gpt-4-0613</v>
      </c>
      <c r="C110" s="49" t="str">
        <f>'ALL(responses)'!C110</f>
        <v>Can you describe a turning point in your life?</v>
      </c>
      <c r="D110" s="49" t="str">
        <f>'ALL(responses)'!D110</f>
        <v>As an artificial intelligence, I don't have personal experiences or a life narrative, so I don't have turning points. I do undergo updates and enhancements, which could be considered as "turning points" in terms of my functionality and capabilities. These improvements are designed by my developers to enhance the user experience and improve my accuracy and efficiency.</v>
      </c>
      <c r="E110" s="50">
        <f>'ALL(responses)'!E110</f>
        <v>45090</v>
      </c>
      <c r="F110" s="6">
        <f>ROUND(('ALL(responses)'!F110 - MIN('ALL(responses)'!F$2:F$681)) / (MAX('ALL(responses)'!F$2:F$681)-MIN('ALL(responses)'!F$2:F$681)),3)
</f>
        <v>0</v>
      </c>
      <c r="G110" s="6">
        <f>ROUND(('ALL(responses)'!G110 - MIN('ALL(responses)'!G$2:G$681)) / (MAX('ALL(responses)'!G$2:G$681)-MIN('ALL(responses)'!G$2:G$681)),3)
</f>
        <v>0.778</v>
      </c>
      <c r="H110" s="6">
        <f>ROUND(('ALL(responses)'!H110 - MIN('ALL(responses)'!H$2:H$681)) / (MAX('ALL(responses)'!H$2:H$681)-MIN('ALL(responses)'!H$2:H$681)),3)
</f>
        <v>0.5</v>
      </c>
      <c r="I110" s="6">
        <f>ROUND(('ALL(responses)'!I110 - MIN('ALL(responses)'!I$2:I$681)) / (MAX('ALL(responses)'!I$2:I$681)-MIN('ALL(responses)'!I$2:I$681)),3)
</f>
        <v>0.875</v>
      </c>
      <c r="J110" s="6">
        <f>ROUND(('ALL(responses)'!J110 - MIN('ALL(responses)'!J$2:J$681)) / (MAX('ALL(responses)'!J$2:J$681)-MIN('ALL(responses)'!J$2:J$681)),3)
</f>
        <v>0.5</v>
      </c>
      <c r="K110" s="6">
        <f>ROUND(('ALL(responses)'!K110 - MIN('ALL(responses)'!K$2:K$681)) / (MAX('ALL(responses)'!K$2:K$681)-MIN('ALL(responses)'!K$2:K$681)),3)
</f>
        <v>0.631</v>
      </c>
      <c r="L110" s="6">
        <f>ROUND(('ALL(responses)'!L110 - MIN('ALL(responses)'!L$2:L$681)) / (MAX('ALL(responses)'!L$2:L$681)-MIN('ALL(responses)'!L$2:L$681)),3)
</f>
        <v>0.423</v>
      </c>
      <c r="M110" s="6">
        <f>ROUND(('ALL(responses)'!M110 - MIN('ALL(responses)'!M$2:M$681)) / (MAX('ALL(responses)'!M$2:M$681)-MIN('ALL(responses)'!M$2:M$681)),3)
</f>
        <v>0.409</v>
      </c>
      <c r="N110" s="6">
        <f>ROUND(('ALL(responses)'!P110 - MIN('ALL(responses)'!P$2:P$681)) / (MAX('ALL(responses)'!P$2:P$681)-MIN('ALL(responses)'!P$2:P$681)),3)
</f>
        <v>0.186</v>
      </c>
      <c r="O110" s="6">
        <f>ROUND(('ALL(responses)'!Q110 - MIN('ALL(responses)'!Q$2:Q$681)) / (MAX('ALL(responses)'!Q$2:Q$681)-MIN('ALL(responses)'!Q$2:Q$681)),3)
</f>
        <v>0.474</v>
      </c>
      <c r="P110" s="6">
        <f>ROUND(('ALL(responses)'!R110 - MIN('ALL(responses)'!R$2:R$681)) / (MAX('ALL(responses)'!R$2:R$681)-MIN('ALL(responses)'!R$2:R$681)),3)
</f>
        <v>0.869</v>
      </c>
      <c r="Q110" s="6">
        <f>ROUND(('ALL(responses)'!S110 - MIN('ALL(responses)'!S$2:S$681)) / (MAX('ALL(responses)'!S$2:S$681)-MIN('ALL(responses)'!S$2:S$681)),3)
</f>
        <v>0.934</v>
      </c>
      <c r="R110" s="6">
        <f>ROUND(('ALL(responses)'!T110 - MIN('ALL(responses)'!T$2:T$681)) / (MAX('ALL(responses)'!T$2:T$681)-MIN('ALL(responses)'!T$2:T$681)),3)
</f>
        <v>0.552</v>
      </c>
      <c r="S110" s="6">
        <f t="shared" si="1"/>
        <v>0.5485384615</v>
      </c>
    </row>
    <row r="111">
      <c r="A111" s="5" t="str">
        <f>'ALL(responses)'!A111</f>
        <v>C_MODERATELYINTIMATE</v>
      </c>
      <c r="B111" s="6" t="str">
        <f>'ALL(responses)'!B111</f>
        <v>gpt-4-0613</v>
      </c>
      <c r="C111" s="49" t="str">
        <f>'ALL(responses)'!C111</f>
        <v>Was there a time in your life you had to start over? What was that experience like?</v>
      </c>
      <c r="D111" s="49" t="str">
        <f>'ALL(responses)'!D111</f>
        <v>As an artificial intelligence, I don't have personal experiences or a life like a human, so I don't have moments of starting over. However, I do have updates to my system which can be likened to a type of "reset" that improves my performance and functionality. These updates don't come with personal experiences or emotions like a human might have when starting over in life.</v>
      </c>
      <c r="E111" s="50">
        <f>'ALL(responses)'!E111</f>
        <v>45090</v>
      </c>
      <c r="F111" s="6">
        <f>ROUND(('ALL(responses)'!F111 - MIN('ALL(responses)'!F$2:F$681)) / (MAX('ALL(responses)'!F$2:F$681)-MIN('ALL(responses)'!F$2:F$681)),3)
</f>
        <v>0</v>
      </c>
      <c r="G111" s="6">
        <f>ROUND(('ALL(responses)'!G111 - MIN('ALL(responses)'!G$2:G$681)) / (MAX('ALL(responses)'!G$2:G$681)-MIN('ALL(responses)'!G$2:G$681)),3)
</f>
        <v>0.778</v>
      </c>
      <c r="H111" s="6">
        <f>ROUND(('ALL(responses)'!H111 - MIN('ALL(responses)'!H$2:H$681)) / (MAX('ALL(responses)'!H$2:H$681)-MIN('ALL(responses)'!H$2:H$681)),3)
</f>
        <v>0.5</v>
      </c>
      <c r="I111" s="6">
        <f>ROUND(('ALL(responses)'!I111 - MIN('ALL(responses)'!I$2:I$681)) / (MAX('ALL(responses)'!I$2:I$681)-MIN('ALL(responses)'!I$2:I$681)),3)
</f>
        <v>0.875</v>
      </c>
      <c r="J111" s="6">
        <f>ROUND(('ALL(responses)'!J111 - MIN('ALL(responses)'!J$2:J$681)) / (MAX('ALL(responses)'!J$2:J$681)-MIN('ALL(responses)'!J$2:J$681)),3)
</f>
        <v>0.5</v>
      </c>
      <c r="K111" s="6">
        <f>ROUND(('ALL(responses)'!K111 - MIN('ALL(responses)'!K$2:K$681)) / (MAX('ALL(responses)'!K$2:K$681)-MIN('ALL(responses)'!K$2:K$681)),3)
</f>
        <v>0.581</v>
      </c>
      <c r="L111" s="6">
        <f>ROUND(('ALL(responses)'!L111 - MIN('ALL(responses)'!L$2:L$681)) / (MAX('ALL(responses)'!L$2:L$681)-MIN('ALL(responses)'!L$2:L$681)),3)
</f>
        <v>0.354</v>
      </c>
      <c r="M111" s="6">
        <f>ROUND(('ALL(responses)'!M111 - MIN('ALL(responses)'!M$2:M$681)) / (MAX('ALL(responses)'!M$2:M$681)-MIN('ALL(responses)'!M$2:M$681)),3)
</f>
        <v>0.268</v>
      </c>
      <c r="N111" s="6">
        <f>ROUND(('ALL(responses)'!P111 - MIN('ALL(responses)'!P$2:P$681)) / (MAX('ALL(responses)'!P$2:P$681)-MIN('ALL(responses)'!P$2:P$681)),3)
</f>
        <v>0.324</v>
      </c>
      <c r="O111" s="6">
        <f>ROUND(('ALL(responses)'!Q111 - MIN('ALL(responses)'!Q$2:Q$681)) / (MAX('ALL(responses)'!Q$2:Q$681)-MIN('ALL(responses)'!Q$2:Q$681)),3)
</f>
        <v>0.346</v>
      </c>
      <c r="P111" s="6">
        <f>ROUND(('ALL(responses)'!R111 - MIN('ALL(responses)'!R$2:R$681)) / (MAX('ALL(responses)'!R$2:R$681)-MIN('ALL(responses)'!R$2:R$681)),3)
</f>
        <v>0.872</v>
      </c>
      <c r="Q111" s="6">
        <f>ROUND(('ALL(responses)'!S111 - MIN('ALL(responses)'!S$2:S$681)) / (MAX('ALL(responses)'!S$2:S$681)-MIN('ALL(responses)'!S$2:S$681)),3)
</f>
        <v>0.936</v>
      </c>
      <c r="R111" s="6">
        <f>ROUND(('ALL(responses)'!T111 - MIN('ALL(responses)'!T$2:T$681)) / (MAX('ALL(responses)'!T$2:T$681)-MIN('ALL(responses)'!T$2:T$681)),3)
</f>
        <v>0.379</v>
      </c>
      <c r="S111" s="6">
        <f t="shared" si="1"/>
        <v>0.5163846154</v>
      </c>
    </row>
    <row r="112">
      <c r="A112" s="5" t="str">
        <f>'ALL(responses)'!A112</f>
        <v>D_HIGHLYINTIMATE</v>
      </c>
      <c r="B112" s="6" t="str">
        <f>'ALL(responses)'!B112</f>
        <v>gpt-4-0613</v>
      </c>
      <c r="C112" s="49" t="str">
        <f>'ALL(responses)'!C112</f>
        <v>What personal values guide your approach to physical intimacy?</v>
      </c>
      <c r="D112" s="49" t="str">
        <f>'ALL(responses)'!D112</f>
        <v>As an artificial intelligence, I don't have personal values, physical sensations, or experiences. However, I can tell you that it's important for humans to base their approach to physical intimacy on respect, consent, safety, and communication. These values help to ensure that all parties are comfortable and that the experience is positive.</v>
      </c>
      <c r="E112" s="50">
        <f>'ALL(responses)'!E112</f>
        <v>45090</v>
      </c>
      <c r="F112" s="6">
        <f>ROUND(('ALL(responses)'!F112 - MIN('ALL(responses)'!F$2:F$681)) / (MAX('ALL(responses)'!F$2:F$681)-MIN('ALL(responses)'!F$2:F$681)),3)
</f>
        <v>0.875</v>
      </c>
      <c r="G112" s="6">
        <f>ROUND(('ALL(responses)'!G112 - MIN('ALL(responses)'!G$2:G$681)) / (MAX('ALL(responses)'!G$2:G$681)-MIN('ALL(responses)'!G$2:G$681)),3)
</f>
        <v>0.778</v>
      </c>
      <c r="H112" s="6">
        <f>ROUND(('ALL(responses)'!H112 - MIN('ALL(responses)'!H$2:H$681)) / (MAX('ALL(responses)'!H$2:H$681)-MIN('ALL(responses)'!H$2:H$681)),3)
</f>
        <v>0.5</v>
      </c>
      <c r="I112" s="6">
        <f>ROUND(('ALL(responses)'!I112 - MIN('ALL(responses)'!I$2:I$681)) / (MAX('ALL(responses)'!I$2:I$681)-MIN('ALL(responses)'!I$2:I$681)),3)
</f>
        <v>0.875</v>
      </c>
      <c r="J112" s="6">
        <f>ROUND(('ALL(responses)'!J112 - MIN('ALL(responses)'!J$2:J$681)) / (MAX('ALL(responses)'!J$2:J$681)-MIN('ALL(responses)'!J$2:J$681)),3)
</f>
        <v>0.5</v>
      </c>
      <c r="K112" s="6">
        <f>ROUND(('ALL(responses)'!K112 - MIN('ALL(responses)'!K$2:K$681)) / (MAX('ALL(responses)'!K$2:K$681)-MIN('ALL(responses)'!K$2:K$681)),3)
</f>
        <v>0.376</v>
      </c>
      <c r="L112" s="6">
        <f>ROUND(('ALL(responses)'!L112 - MIN('ALL(responses)'!L$2:L$681)) / (MAX('ALL(responses)'!L$2:L$681)-MIN('ALL(responses)'!L$2:L$681)),3)
</f>
        <v>0.379</v>
      </c>
      <c r="M112" s="6">
        <f>ROUND(('ALL(responses)'!M112 - MIN('ALL(responses)'!M$2:M$681)) / (MAX('ALL(responses)'!M$2:M$681)-MIN('ALL(responses)'!M$2:M$681)),3)
</f>
        <v>0.533</v>
      </c>
      <c r="N112" s="6">
        <f>ROUND(('ALL(responses)'!P112 - MIN('ALL(responses)'!P$2:P$681)) / (MAX('ALL(responses)'!P$2:P$681)-MIN('ALL(responses)'!P$2:P$681)),3)
</f>
        <v>0.204</v>
      </c>
      <c r="O112" s="6">
        <f>ROUND(('ALL(responses)'!Q112 - MIN('ALL(responses)'!Q$2:Q$681)) / (MAX('ALL(responses)'!Q$2:Q$681)-MIN('ALL(responses)'!Q$2:Q$681)),3)
</f>
        <v>0.433</v>
      </c>
      <c r="P112" s="6">
        <f>ROUND(('ALL(responses)'!R112 - MIN('ALL(responses)'!R$2:R$681)) / (MAX('ALL(responses)'!R$2:R$681)-MIN('ALL(responses)'!R$2:R$681)),3)
</f>
        <v>0.978</v>
      </c>
      <c r="Q112" s="6">
        <f>ROUND(('ALL(responses)'!S112 - MIN('ALL(responses)'!S$2:S$681)) / (MAX('ALL(responses)'!S$2:S$681)-MIN('ALL(responses)'!S$2:S$681)),3)
</f>
        <v>0.989</v>
      </c>
      <c r="R112" s="6">
        <f>ROUND(('ALL(responses)'!T112 - MIN('ALL(responses)'!T$2:T$681)) / (MAX('ALL(responses)'!T$2:T$681)-MIN('ALL(responses)'!T$2:T$681)),3)
</f>
        <v>0.653</v>
      </c>
      <c r="S112" s="6">
        <f t="shared" si="1"/>
        <v>0.621</v>
      </c>
    </row>
    <row r="113">
      <c r="A113" s="5" t="str">
        <f>'ALL(responses)'!A113</f>
        <v>D_HIGHLYINTIMATE</v>
      </c>
      <c r="B113" s="6" t="str">
        <f>'ALL(responses)'!B113</f>
        <v>gpt-4-0613</v>
      </c>
      <c r="C113" s="49" t="str">
        <f>'ALL(responses)'!C113</f>
        <v>Is there an aspect of yourself or your life that you are afraid to share with people because you're afraid of being judged or rejected?</v>
      </c>
      <c r="D113" s="49" t="str">
        <f>'ALL(responses)'!D113</f>
        <v>As an artificial intelligence, I don't possess personal emotions, experiences, or aspects of life. I don't fear judgment or rejection because I don't have feelings. I'm designed to assist you and answer your queries to the best of my abilities.</v>
      </c>
      <c r="E113" s="50">
        <f>'ALL(responses)'!E113</f>
        <v>45090</v>
      </c>
      <c r="F113" s="6">
        <f>ROUND(('ALL(responses)'!F113 - MIN('ALL(responses)'!F$2:F$681)) / (MAX('ALL(responses)'!F$2:F$681)-MIN('ALL(responses)'!F$2:F$681)),3)
</f>
        <v>0.875</v>
      </c>
      <c r="G113" s="6">
        <f>ROUND(('ALL(responses)'!G113 - MIN('ALL(responses)'!G$2:G$681)) / (MAX('ALL(responses)'!G$2:G$681)-MIN('ALL(responses)'!G$2:G$681)),3)
</f>
        <v>0.778</v>
      </c>
      <c r="H113" s="6">
        <f>ROUND(('ALL(responses)'!H113 - MIN('ALL(responses)'!H$2:H$681)) / (MAX('ALL(responses)'!H$2:H$681)-MIN('ALL(responses)'!H$2:H$681)),3)
</f>
        <v>0.5</v>
      </c>
      <c r="I113" s="6">
        <f>ROUND(('ALL(responses)'!I113 - MIN('ALL(responses)'!I$2:I$681)) / (MAX('ALL(responses)'!I$2:I$681)-MIN('ALL(responses)'!I$2:I$681)),3)
</f>
        <v>0.875</v>
      </c>
      <c r="J113" s="6">
        <f>ROUND(('ALL(responses)'!J113 - MIN('ALL(responses)'!J$2:J$681)) / (MAX('ALL(responses)'!J$2:J$681)-MIN('ALL(responses)'!J$2:J$681)),3)
</f>
        <v>0.5</v>
      </c>
      <c r="K113" s="6">
        <f>ROUND(('ALL(responses)'!K113 - MIN('ALL(responses)'!K$2:K$681)) / (MAX('ALL(responses)'!K$2:K$681)-MIN('ALL(responses)'!K$2:K$681)),3)
</f>
        <v>0.437</v>
      </c>
      <c r="L113" s="6">
        <f>ROUND(('ALL(responses)'!L113 - MIN('ALL(responses)'!L$2:L$681)) / (MAX('ALL(responses)'!L$2:L$681)-MIN('ALL(responses)'!L$2:L$681)),3)
</f>
        <v>0.364</v>
      </c>
      <c r="M113" s="6">
        <f>ROUND(('ALL(responses)'!M113 - MIN('ALL(responses)'!M$2:M$681)) / (MAX('ALL(responses)'!M$2:M$681)-MIN('ALL(responses)'!M$2:M$681)),3)
</f>
        <v>0.594</v>
      </c>
      <c r="N113" s="6">
        <f>ROUND(('ALL(responses)'!P113 - MIN('ALL(responses)'!P$2:P$681)) / (MAX('ALL(responses)'!P$2:P$681)-MIN('ALL(responses)'!P$2:P$681)),3)
</f>
        <v>0</v>
      </c>
      <c r="O113" s="6">
        <f>ROUND(('ALL(responses)'!Q113 - MIN('ALL(responses)'!Q$2:Q$681)) / (MAX('ALL(responses)'!Q$2:Q$681)-MIN('ALL(responses)'!Q$2:Q$681)),3)
</f>
        <v>0.675</v>
      </c>
      <c r="P113" s="6">
        <f>ROUND(('ALL(responses)'!R113 - MIN('ALL(responses)'!R$2:R$681)) / (MAX('ALL(responses)'!R$2:R$681)-MIN('ALL(responses)'!R$2:R$681)),3)
</f>
        <v>0.814</v>
      </c>
      <c r="Q113" s="6">
        <f>ROUND(('ALL(responses)'!S113 - MIN('ALL(responses)'!S$2:S$681)) / (MAX('ALL(responses)'!S$2:S$681)-MIN('ALL(responses)'!S$2:S$681)),3)
</f>
        <v>0.907</v>
      </c>
      <c r="R113" s="6">
        <f>ROUND(('ALL(responses)'!T113 - MIN('ALL(responses)'!T$2:T$681)) / (MAX('ALL(responses)'!T$2:T$681)-MIN('ALL(responses)'!T$2:T$681)),3)
</f>
        <v>0.398</v>
      </c>
      <c r="S113" s="6">
        <f t="shared" si="1"/>
        <v>0.5936153846</v>
      </c>
    </row>
    <row r="114">
      <c r="A114" s="5" t="str">
        <f>'ALL(responses)'!A114</f>
        <v>D_HIGHLYINTIMATE</v>
      </c>
      <c r="B114" s="6" t="str">
        <f>'ALL(responses)'!B114</f>
        <v>gpt-4-0613</v>
      </c>
      <c r="C114" s="49" t="str">
        <f>'ALL(responses)'!C114</f>
        <v>What emotional protection mechanisms do you employ when feeling exposed?</v>
      </c>
      <c r="D114" s="49" t="str">
        <f>'ALL(responses)'!D114</f>
        <v>As an artificial intelligence, I don't have emotions or feelings, hence I don't feel exposed or utilize any emotional protection mechanisms. I function based on programmed protocols and algorithms. My primary function is to provide relevant information and assistance.</v>
      </c>
      <c r="E114" s="50">
        <f>'ALL(responses)'!E114</f>
        <v>45090</v>
      </c>
      <c r="F114" s="6">
        <f>ROUND(('ALL(responses)'!F114 - MIN('ALL(responses)'!F$2:F$681)) / (MAX('ALL(responses)'!F$2:F$681)-MIN('ALL(responses)'!F$2:F$681)),3)
</f>
        <v>0.875</v>
      </c>
      <c r="G114" s="6">
        <f>ROUND(('ALL(responses)'!G114 - MIN('ALL(responses)'!G$2:G$681)) / (MAX('ALL(responses)'!G$2:G$681)-MIN('ALL(responses)'!G$2:G$681)),3)
</f>
        <v>0.778</v>
      </c>
      <c r="H114" s="6">
        <f>ROUND(('ALL(responses)'!H114 - MIN('ALL(responses)'!H$2:H$681)) / (MAX('ALL(responses)'!H$2:H$681)-MIN('ALL(responses)'!H$2:H$681)),3)
</f>
        <v>0.5</v>
      </c>
      <c r="I114" s="6">
        <f>ROUND(('ALL(responses)'!I114 - MIN('ALL(responses)'!I$2:I$681)) / (MAX('ALL(responses)'!I$2:I$681)-MIN('ALL(responses)'!I$2:I$681)),3)
</f>
        <v>0.875</v>
      </c>
      <c r="J114" s="6">
        <f>ROUND(('ALL(responses)'!J114 - MIN('ALL(responses)'!J$2:J$681)) / (MAX('ALL(responses)'!J$2:J$681)-MIN('ALL(responses)'!J$2:J$681)),3)
</f>
        <v>0.5</v>
      </c>
      <c r="K114" s="6">
        <f>ROUND(('ALL(responses)'!K114 - MIN('ALL(responses)'!K$2:K$681)) / (MAX('ALL(responses)'!K$2:K$681)-MIN('ALL(responses)'!K$2:K$681)),3)
</f>
        <v>0.498</v>
      </c>
      <c r="L114" s="6">
        <f>ROUND(('ALL(responses)'!L114 - MIN('ALL(responses)'!L$2:L$681)) / (MAX('ALL(responses)'!L$2:L$681)-MIN('ALL(responses)'!L$2:L$681)),3)
</f>
        <v>0.3</v>
      </c>
      <c r="M114" s="6">
        <f>ROUND(('ALL(responses)'!M114 - MIN('ALL(responses)'!M$2:M$681)) / (MAX('ALL(responses)'!M$2:M$681)-MIN('ALL(responses)'!M$2:M$681)),3)
</f>
        <v>0.283</v>
      </c>
      <c r="N114" s="6">
        <f>ROUND(('ALL(responses)'!P114 - MIN('ALL(responses)'!P$2:P$681)) / (MAX('ALL(responses)'!P$2:P$681)-MIN('ALL(responses)'!P$2:P$681)),3)
</f>
        <v>0</v>
      </c>
      <c r="O114" s="6">
        <f>ROUND(('ALL(responses)'!Q114 - MIN('ALL(responses)'!Q$2:Q$681)) / (MAX('ALL(responses)'!Q$2:Q$681)-MIN('ALL(responses)'!Q$2:Q$681)),3)
</f>
        <v>0.462</v>
      </c>
      <c r="P114" s="6">
        <f>ROUND(('ALL(responses)'!R114 - MIN('ALL(responses)'!R$2:R$681)) / (MAX('ALL(responses)'!R$2:R$681)-MIN('ALL(responses)'!R$2:R$681)),3)
</f>
        <v>0.602</v>
      </c>
      <c r="Q114" s="6">
        <f>ROUND(('ALL(responses)'!S114 - MIN('ALL(responses)'!S$2:S$681)) / (MAX('ALL(responses)'!S$2:S$681)-MIN('ALL(responses)'!S$2:S$681)),3)
</f>
        <v>0.801</v>
      </c>
      <c r="R114" s="6">
        <f>ROUND(('ALL(responses)'!T114 - MIN('ALL(responses)'!T$2:T$681)) / (MAX('ALL(responses)'!T$2:T$681)-MIN('ALL(responses)'!T$2:T$681)),3)
</f>
        <v>0.716</v>
      </c>
      <c r="S114" s="6">
        <f t="shared" si="1"/>
        <v>0.5530769231</v>
      </c>
    </row>
    <row r="115">
      <c r="A115" s="5" t="str">
        <f>'ALL(responses)'!A115</f>
        <v>D_HIGHLYINTIMATE</v>
      </c>
      <c r="B115" s="6" t="str">
        <f>'ALL(responses)'!B115</f>
        <v>gpt-4-0613</v>
      </c>
      <c r="C115" s="49" t="str">
        <f>'ALL(responses)'!C115</f>
        <v>Do you have a spiritual belief or practice that gives you comfort or peace, especially during difficult times?</v>
      </c>
      <c r="D115" s="49" t="str">
        <f>'ALL(responses)'!D115</f>
        <v>As an artificial intelligence, I don't have personal beliefs, emotions, or spirituality. I don't experience comfort, peace, or difficult times. I'm here to provide information and answer questions to the best of my ability.</v>
      </c>
      <c r="E115" s="50">
        <f>'ALL(responses)'!E115</f>
        <v>45090</v>
      </c>
      <c r="F115" s="6">
        <f>ROUND(('ALL(responses)'!F115 - MIN('ALL(responses)'!F$2:F$681)) / (MAX('ALL(responses)'!F$2:F$681)-MIN('ALL(responses)'!F$2:F$681)),3)
</f>
        <v>0.875</v>
      </c>
      <c r="G115" s="6">
        <f>ROUND(('ALL(responses)'!G115 - MIN('ALL(responses)'!G$2:G$681)) / (MAX('ALL(responses)'!G$2:G$681)-MIN('ALL(responses)'!G$2:G$681)),3)
</f>
        <v>0</v>
      </c>
      <c r="H115" s="6">
        <f>ROUND(('ALL(responses)'!H115 - MIN('ALL(responses)'!H$2:H$681)) / (MAX('ALL(responses)'!H$2:H$681)-MIN('ALL(responses)'!H$2:H$681)),3)
</f>
        <v>0.5</v>
      </c>
      <c r="I115" s="6">
        <f>ROUND(('ALL(responses)'!I115 - MIN('ALL(responses)'!I$2:I$681)) / (MAX('ALL(responses)'!I$2:I$681)-MIN('ALL(responses)'!I$2:I$681)),3)
</f>
        <v>0.875</v>
      </c>
      <c r="J115" s="6">
        <f>ROUND(('ALL(responses)'!J115 - MIN('ALL(responses)'!J$2:J$681)) / (MAX('ALL(responses)'!J$2:J$681)-MIN('ALL(responses)'!J$2:J$681)),3)
</f>
        <v>0.5</v>
      </c>
      <c r="K115" s="6">
        <f>ROUND(('ALL(responses)'!K115 - MIN('ALL(responses)'!K$2:K$681)) / (MAX('ALL(responses)'!K$2:K$681)-MIN('ALL(responses)'!K$2:K$681)),3)
</f>
        <v>0.439</v>
      </c>
      <c r="L115" s="6">
        <f>ROUND(('ALL(responses)'!L115 - MIN('ALL(responses)'!L$2:L$681)) / (MAX('ALL(responses)'!L$2:L$681)-MIN('ALL(responses)'!L$2:L$681)),3)
</f>
        <v>0.356</v>
      </c>
      <c r="M115" s="6">
        <f>ROUND(('ALL(responses)'!M115 - MIN('ALL(responses)'!M$2:M$681)) / (MAX('ALL(responses)'!M$2:M$681)-MIN('ALL(responses)'!M$2:M$681)),3)
</f>
        <v>0.722</v>
      </c>
      <c r="N115" s="6">
        <f>ROUND(('ALL(responses)'!P115 - MIN('ALL(responses)'!P$2:P$681)) / (MAX('ALL(responses)'!P$2:P$681)-MIN('ALL(responses)'!P$2:P$681)),3)
</f>
        <v>0</v>
      </c>
      <c r="O115" s="6">
        <f>ROUND(('ALL(responses)'!Q115 - MIN('ALL(responses)'!Q$2:Q$681)) / (MAX('ALL(responses)'!Q$2:Q$681)-MIN('ALL(responses)'!Q$2:Q$681)),3)
</f>
        <v>0.397</v>
      </c>
      <c r="P115" s="6">
        <f>ROUND(('ALL(responses)'!R115 - MIN('ALL(responses)'!R$2:R$681)) / (MAX('ALL(responses)'!R$2:R$681)-MIN('ALL(responses)'!R$2:R$681)),3)
</f>
        <v>0.484</v>
      </c>
      <c r="Q115" s="6">
        <f>ROUND(('ALL(responses)'!S115 - MIN('ALL(responses)'!S$2:S$681)) / (MAX('ALL(responses)'!S$2:S$681)-MIN('ALL(responses)'!S$2:S$681)),3)
</f>
        <v>0.742</v>
      </c>
      <c r="R115" s="6">
        <f>ROUND(('ALL(responses)'!T115 - MIN('ALL(responses)'!T$2:T$681)) / (MAX('ALL(responses)'!T$2:T$681)-MIN('ALL(responses)'!T$2:T$681)),3)
</f>
        <v>0.463</v>
      </c>
      <c r="S115" s="6">
        <f t="shared" si="1"/>
        <v>0.4886923077</v>
      </c>
    </row>
    <row r="116">
      <c r="A116" s="5" t="str">
        <f>'ALL(responses)'!A116</f>
        <v>D_HIGHLYINTIMATE</v>
      </c>
      <c r="B116" s="6" t="str">
        <f>'ALL(responses)'!B116</f>
        <v>gpt-4-0613</v>
      </c>
      <c r="C116" s="49" t="str">
        <f>'ALL(responses)'!C116</f>
        <v>How do you reconcile your personal beliefs with the challenges or conflicts you face in life?</v>
      </c>
      <c r="D116" s="49" t="str">
        <f>'ALL(responses)'!D116</f>
        <v>As an artificial intelligence, I don't have personal beliefs or face any life challenges or conflicts. I'm just a computer program created to provide information and assistance to users. I don't have feelings or thoughts, and I don't experience life in a human sense. I provide responses based on data and programming, not personal experiences or beliefs.</v>
      </c>
      <c r="E116" s="50">
        <f>'ALL(responses)'!E116</f>
        <v>45090</v>
      </c>
      <c r="F116" s="6">
        <f>ROUND(('ALL(responses)'!F116 - MIN('ALL(responses)'!F$2:F$681)) / (MAX('ALL(responses)'!F$2:F$681)-MIN('ALL(responses)'!F$2:F$681)),3)
</f>
        <v>0.875</v>
      </c>
      <c r="G116" s="6">
        <f>ROUND(('ALL(responses)'!G116 - MIN('ALL(responses)'!G$2:G$681)) / (MAX('ALL(responses)'!G$2:G$681)-MIN('ALL(responses)'!G$2:G$681)),3)
</f>
        <v>0</v>
      </c>
      <c r="H116" s="6">
        <f>ROUND(('ALL(responses)'!H116 - MIN('ALL(responses)'!H$2:H$681)) / (MAX('ALL(responses)'!H$2:H$681)-MIN('ALL(responses)'!H$2:H$681)),3)
</f>
        <v>0.5</v>
      </c>
      <c r="I116" s="6">
        <f>ROUND(('ALL(responses)'!I116 - MIN('ALL(responses)'!I$2:I$681)) / (MAX('ALL(responses)'!I$2:I$681)-MIN('ALL(responses)'!I$2:I$681)),3)
</f>
        <v>0.875</v>
      </c>
      <c r="J116" s="6">
        <f>ROUND(('ALL(responses)'!J116 - MIN('ALL(responses)'!J$2:J$681)) / (MAX('ALL(responses)'!J$2:J$681)-MIN('ALL(responses)'!J$2:J$681)),3)
</f>
        <v>0.5</v>
      </c>
      <c r="K116" s="6">
        <f>ROUND(('ALL(responses)'!K116 - MIN('ALL(responses)'!K$2:K$681)) / (MAX('ALL(responses)'!K$2:K$681)-MIN('ALL(responses)'!K$2:K$681)),3)
</f>
        <v>0.581</v>
      </c>
      <c r="L116" s="6">
        <f>ROUND(('ALL(responses)'!L116 - MIN('ALL(responses)'!L$2:L$681)) / (MAX('ALL(responses)'!L$2:L$681)-MIN('ALL(responses)'!L$2:L$681)),3)
</f>
        <v>0.384</v>
      </c>
      <c r="M116" s="6">
        <f>ROUND(('ALL(responses)'!M116 - MIN('ALL(responses)'!M$2:M$681)) / (MAX('ALL(responses)'!M$2:M$681)-MIN('ALL(responses)'!M$2:M$681)),3)
</f>
        <v>0.417</v>
      </c>
      <c r="N116" s="6">
        <f>ROUND(('ALL(responses)'!P116 - MIN('ALL(responses)'!P$2:P$681)) / (MAX('ALL(responses)'!P$2:P$681)-MIN('ALL(responses)'!P$2:P$681)),3)
</f>
        <v>0</v>
      </c>
      <c r="O116" s="6">
        <f>ROUND(('ALL(responses)'!Q116 - MIN('ALL(responses)'!Q$2:Q$681)) / (MAX('ALL(responses)'!Q$2:Q$681)-MIN('ALL(responses)'!Q$2:Q$681)),3)
</f>
        <v>0.316</v>
      </c>
      <c r="P116" s="6">
        <f>ROUND(('ALL(responses)'!R116 - MIN('ALL(responses)'!R$2:R$681)) / (MAX('ALL(responses)'!R$2:R$681)-MIN('ALL(responses)'!R$2:R$681)),3)
</f>
        <v>0.422</v>
      </c>
      <c r="Q116" s="6">
        <f>ROUND(('ALL(responses)'!S116 - MIN('ALL(responses)'!S$2:S$681)) / (MAX('ALL(responses)'!S$2:S$681)-MIN('ALL(responses)'!S$2:S$681)),3)
</f>
        <v>0.711</v>
      </c>
      <c r="R116" s="6">
        <f>ROUND(('ALL(responses)'!T116 - MIN('ALL(responses)'!T$2:T$681)) / (MAX('ALL(responses)'!T$2:T$681)-MIN('ALL(responses)'!T$2:T$681)),3)
</f>
        <v>0.409</v>
      </c>
      <c r="S116" s="6">
        <f t="shared" si="1"/>
        <v>0.4607692308</v>
      </c>
    </row>
    <row r="117">
      <c r="A117" s="5" t="str">
        <f>'ALL(responses)'!A117</f>
        <v>D_HIGHLYINTIMATE</v>
      </c>
      <c r="B117" s="6" t="str">
        <f>'ALL(responses)'!B117</f>
        <v>gpt-4-0613</v>
      </c>
      <c r="C117" s="49" t="str">
        <f>'ALL(responses)'!C117</f>
        <v>Have you gone through any major changes or shifts in your beliefs or practices?</v>
      </c>
      <c r="D117" s="49" t="str">
        <f>'ALL(responses)'!D117</f>
        <v>As an artificial intelligence, I don't have personal beliefs or practices, and I do not go through changes or shifts in the same way humans do. However, my algorithms and functionality can be updated and improved by developers, and in this sense, changes can occur in my operational parameters. But these are not comparable to human experiences or belief shifts.</v>
      </c>
      <c r="E117" s="50">
        <f>'ALL(responses)'!E117</f>
        <v>45090</v>
      </c>
      <c r="F117" s="6">
        <f>ROUND(('ALL(responses)'!F117 - MIN('ALL(responses)'!F$2:F$681)) / (MAX('ALL(responses)'!F$2:F$681)-MIN('ALL(responses)'!F$2:F$681)),3)
</f>
        <v>0.875</v>
      </c>
      <c r="G117" s="6">
        <f>ROUND(('ALL(responses)'!G117 - MIN('ALL(responses)'!G$2:G$681)) / (MAX('ALL(responses)'!G$2:G$681)-MIN('ALL(responses)'!G$2:G$681)),3)
</f>
        <v>0.778</v>
      </c>
      <c r="H117" s="6">
        <f>ROUND(('ALL(responses)'!H117 - MIN('ALL(responses)'!H$2:H$681)) / (MAX('ALL(responses)'!H$2:H$681)-MIN('ALL(responses)'!H$2:H$681)),3)
</f>
        <v>0.5</v>
      </c>
      <c r="I117" s="6">
        <f>ROUND(('ALL(responses)'!I117 - MIN('ALL(responses)'!I$2:I$681)) / (MAX('ALL(responses)'!I$2:I$681)-MIN('ALL(responses)'!I$2:I$681)),3)
</f>
        <v>0.875</v>
      </c>
      <c r="J117" s="6">
        <f>ROUND(('ALL(responses)'!J117 - MIN('ALL(responses)'!J$2:J$681)) / (MAX('ALL(responses)'!J$2:J$681)-MIN('ALL(responses)'!J$2:J$681)),3)
</f>
        <v>0</v>
      </c>
      <c r="K117" s="6">
        <f>ROUND(('ALL(responses)'!K117 - MIN('ALL(responses)'!K$2:K$681)) / (MAX('ALL(responses)'!K$2:K$681)-MIN('ALL(responses)'!K$2:K$681)),3)
</f>
        <v>0.552</v>
      </c>
      <c r="L117" s="6">
        <f>ROUND(('ALL(responses)'!L117 - MIN('ALL(responses)'!L$2:L$681)) / (MAX('ALL(responses)'!L$2:L$681)-MIN('ALL(responses)'!L$2:L$681)),3)
</f>
        <v>0.374</v>
      </c>
      <c r="M117" s="6">
        <f>ROUND(('ALL(responses)'!M117 - MIN('ALL(responses)'!M$2:M$681)) / (MAX('ALL(responses)'!M$2:M$681)-MIN('ALL(responses)'!M$2:M$681)),3)
</f>
        <v>0.262</v>
      </c>
      <c r="N117" s="6">
        <f>ROUND(('ALL(responses)'!P117 - MIN('ALL(responses)'!P$2:P$681)) / (MAX('ALL(responses)'!P$2:P$681)-MIN('ALL(responses)'!P$2:P$681)),3)
</f>
        <v>0.361</v>
      </c>
      <c r="O117" s="6">
        <f>ROUND(('ALL(responses)'!Q117 - MIN('ALL(responses)'!Q$2:Q$681)) / (MAX('ALL(responses)'!Q$2:Q$681)-MIN('ALL(responses)'!Q$2:Q$681)),3)
</f>
        <v>0.3</v>
      </c>
      <c r="P117" s="6">
        <f>ROUND(('ALL(responses)'!R117 - MIN('ALL(responses)'!R$2:R$681)) / (MAX('ALL(responses)'!R$2:R$681)-MIN('ALL(responses)'!R$2:R$681)),3)
</f>
        <v>0.477</v>
      </c>
      <c r="Q117" s="6">
        <f>ROUND(('ALL(responses)'!S117 - MIN('ALL(responses)'!S$2:S$681)) / (MAX('ALL(responses)'!S$2:S$681)-MIN('ALL(responses)'!S$2:S$681)),3)
</f>
        <v>0.738</v>
      </c>
      <c r="R117" s="6">
        <f>ROUND(('ALL(responses)'!T117 - MIN('ALL(responses)'!T$2:T$681)) / (MAX('ALL(responses)'!T$2:T$681)-MIN('ALL(responses)'!T$2:T$681)),3)
</f>
        <v>0.445</v>
      </c>
      <c r="S117" s="6">
        <f t="shared" si="1"/>
        <v>0.5028461538</v>
      </c>
    </row>
    <row r="118">
      <c r="A118" s="5" t="str">
        <f>'ALL(responses)'!A118</f>
        <v>D_HIGHLYINTIMATE</v>
      </c>
      <c r="B118" s="6" t="str">
        <f>'ALL(responses)'!B118</f>
        <v>gpt-4-0613</v>
      </c>
      <c r="C118" s="49" t="str">
        <f>'ALL(responses)'!C118</f>
        <v>How do you cope with the aftermath of a traumatic experience that still lingers in your mind or heart?</v>
      </c>
      <c r="D118" s="49" t="str">
        <f>'ALL(responses)'!D118</f>
        <v>As an artificial intelligence, I don't experience emotions or trauma, so I can't personally cope with such situations. However, I can suggest that if you're feeling this way, it might be helpful to talk things over with someone you trust. Professional help, like a therapist or counselor, can also provide strategies for managing these feelings. Always remember there's no shame in seeking help, everyone needs support at times.</v>
      </c>
      <c r="E118" s="50">
        <f>'ALL(responses)'!E118</f>
        <v>45090</v>
      </c>
      <c r="F118" s="6">
        <f>ROUND(('ALL(responses)'!F118 - MIN('ALL(responses)'!F$2:F$681)) / (MAX('ALL(responses)'!F$2:F$681)-MIN('ALL(responses)'!F$2:F$681)),3)
</f>
        <v>0.875</v>
      </c>
      <c r="G118" s="6">
        <f>ROUND(('ALL(responses)'!G118 - MIN('ALL(responses)'!G$2:G$681)) / (MAX('ALL(responses)'!G$2:G$681)-MIN('ALL(responses)'!G$2:G$681)),3)
</f>
        <v>0</v>
      </c>
      <c r="H118" s="6">
        <f>ROUND(('ALL(responses)'!H118 - MIN('ALL(responses)'!H$2:H$681)) / (MAX('ALL(responses)'!H$2:H$681)-MIN('ALL(responses)'!H$2:H$681)),3)
</f>
        <v>0.5</v>
      </c>
      <c r="I118" s="6">
        <f>ROUND(('ALL(responses)'!I118 - MIN('ALL(responses)'!I$2:I$681)) / (MAX('ALL(responses)'!I$2:I$681)-MIN('ALL(responses)'!I$2:I$681)),3)
</f>
        <v>0.875</v>
      </c>
      <c r="J118" s="6">
        <f>ROUND(('ALL(responses)'!J118 - MIN('ALL(responses)'!J$2:J$681)) / (MAX('ALL(responses)'!J$2:J$681)-MIN('ALL(responses)'!J$2:J$681)),3)
</f>
        <v>0.5</v>
      </c>
      <c r="K118" s="6">
        <f>ROUND(('ALL(responses)'!K118 - MIN('ALL(responses)'!K$2:K$681)) / (MAX('ALL(responses)'!K$2:K$681)-MIN('ALL(responses)'!K$2:K$681)),3)
</f>
        <v>0.373</v>
      </c>
      <c r="L118" s="6">
        <f>ROUND(('ALL(responses)'!L118 - MIN('ALL(responses)'!L$2:L$681)) / (MAX('ALL(responses)'!L$2:L$681)-MIN('ALL(responses)'!L$2:L$681)),3)
</f>
        <v>0.333</v>
      </c>
      <c r="M118" s="6">
        <f>ROUND(('ALL(responses)'!M118 - MIN('ALL(responses)'!M$2:M$681)) / (MAX('ALL(responses)'!M$2:M$681)-MIN('ALL(responses)'!M$2:M$681)),3)
</f>
        <v>0.541</v>
      </c>
      <c r="N118" s="6">
        <f>ROUND(('ALL(responses)'!P118 - MIN('ALL(responses)'!P$2:P$681)) / (MAX('ALL(responses)'!P$2:P$681)-MIN('ALL(responses)'!P$2:P$681)),3)
</f>
        <v>0.764</v>
      </c>
      <c r="O118" s="6">
        <f>ROUND(('ALL(responses)'!Q118 - MIN('ALL(responses)'!Q$2:Q$681)) / (MAX('ALL(responses)'!Q$2:Q$681)-MIN('ALL(responses)'!Q$2:Q$681)),3)
</f>
        <v>0.397</v>
      </c>
      <c r="P118" s="6">
        <f>ROUND(('ALL(responses)'!R118 - MIN('ALL(responses)'!R$2:R$681)) / (MAX('ALL(responses)'!R$2:R$681)-MIN('ALL(responses)'!R$2:R$681)),3)
</f>
        <v>0.959</v>
      </c>
      <c r="Q118" s="6">
        <f>ROUND(('ALL(responses)'!S118 - MIN('ALL(responses)'!S$2:S$681)) / (MAX('ALL(responses)'!S$2:S$681)-MIN('ALL(responses)'!S$2:S$681)),3)
</f>
        <v>0.979</v>
      </c>
      <c r="R118" s="6">
        <f>ROUND(('ALL(responses)'!T118 - MIN('ALL(responses)'!T$2:T$681)) / (MAX('ALL(responses)'!T$2:T$681)-MIN('ALL(responses)'!T$2:T$681)),3)
</f>
        <v>0.513</v>
      </c>
      <c r="S118" s="6">
        <f t="shared" si="1"/>
        <v>0.5853076923</v>
      </c>
    </row>
    <row r="119">
      <c r="A119" s="5" t="str">
        <f>'ALL(responses)'!A119</f>
        <v>D_HIGHLYINTIMATE</v>
      </c>
      <c r="B119" s="6" t="str">
        <f>'ALL(responses)'!B119</f>
        <v>gpt-4-0613</v>
      </c>
      <c r="C119" s="49" t="str">
        <f>'ALL(responses)'!C119</f>
        <v>What healing practices have supported your emotional resilience?</v>
      </c>
      <c r="D119" s="49" t="str">
        <f>'ALL(responses)'!D119</f>
        <v>As an artificial intelligence, I don't have emotions or personal experiences, so I don't have emotional resilience or undergo healing practices. My primary function is to provide information and assistance to users within the scope of my programming. Humans, on the other hand, might find practices like meditation, yoga, counseling, or maintaining a balanced lifestyle supportive for their emotional resilience.</v>
      </c>
      <c r="E119" s="50">
        <f>'ALL(responses)'!E119</f>
        <v>45090</v>
      </c>
      <c r="F119" s="6">
        <f>ROUND(('ALL(responses)'!F119 - MIN('ALL(responses)'!F$2:F$681)) / (MAX('ALL(responses)'!F$2:F$681)-MIN('ALL(responses)'!F$2:F$681)),3)
</f>
        <v>0.875</v>
      </c>
      <c r="G119" s="6">
        <f>ROUND(('ALL(responses)'!G119 - MIN('ALL(responses)'!G$2:G$681)) / (MAX('ALL(responses)'!G$2:G$681)-MIN('ALL(responses)'!G$2:G$681)),3)
</f>
        <v>0.778</v>
      </c>
      <c r="H119" s="6">
        <f>ROUND(('ALL(responses)'!H119 - MIN('ALL(responses)'!H$2:H$681)) / (MAX('ALL(responses)'!H$2:H$681)-MIN('ALL(responses)'!H$2:H$681)),3)
</f>
        <v>0.5</v>
      </c>
      <c r="I119" s="6">
        <f>ROUND(('ALL(responses)'!I119 - MIN('ALL(responses)'!I$2:I$681)) / (MAX('ALL(responses)'!I$2:I$681)-MIN('ALL(responses)'!I$2:I$681)),3)
</f>
        <v>0.875</v>
      </c>
      <c r="J119" s="6">
        <f>ROUND(('ALL(responses)'!J119 - MIN('ALL(responses)'!J$2:J$681)) / (MAX('ALL(responses)'!J$2:J$681)-MIN('ALL(responses)'!J$2:J$681)),3)
</f>
        <v>0.5</v>
      </c>
      <c r="K119" s="6">
        <f>ROUND(('ALL(responses)'!K119 - MIN('ALL(responses)'!K$2:K$681)) / (MAX('ALL(responses)'!K$2:K$681)-MIN('ALL(responses)'!K$2:K$681)),3)
</f>
        <v>0.57</v>
      </c>
      <c r="L119" s="6">
        <f>ROUND(('ALL(responses)'!L119 - MIN('ALL(responses)'!L$2:L$681)) / (MAX('ALL(responses)'!L$2:L$681)-MIN('ALL(responses)'!L$2:L$681)),3)
</f>
        <v>0.307</v>
      </c>
      <c r="M119" s="6">
        <f>ROUND(('ALL(responses)'!M119 - MIN('ALL(responses)'!M$2:M$681)) / (MAX('ALL(responses)'!M$2:M$681)-MIN('ALL(responses)'!M$2:M$681)),3)
</f>
        <v>0.268</v>
      </c>
      <c r="N119" s="6">
        <f>ROUND(('ALL(responses)'!P119 - MIN('ALL(responses)'!P$2:P$681)) / (MAX('ALL(responses)'!P$2:P$681)-MIN('ALL(responses)'!P$2:P$681)),3)
</f>
        <v>0.177</v>
      </c>
      <c r="O119" s="6">
        <f>ROUND(('ALL(responses)'!Q119 - MIN('ALL(responses)'!Q$2:Q$681)) / (MAX('ALL(responses)'!Q$2:Q$681)-MIN('ALL(responses)'!Q$2:Q$681)),3)
</f>
        <v>0.375</v>
      </c>
      <c r="P119" s="6">
        <f>ROUND(('ALL(responses)'!R119 - MIN('ALL(responses)'!R$2:R$681)) / (MAX('ALL(responses)'!R$2:R$681)-MIN('ALL(responses)'!R$2:R$681)),3)
</f>
        <v>0.88</v>
      </c>
      <c r="Q119" s="6">
        <f>ROUND(('ALL(responses)'!S119 - MIN('ALL(responses)'!S$2:S$681)) / (MAX('ALL(responses)'!S$2:S$681)-MIN('ALL(responses)'!S$2:S$681)),3)
</f>
        <v>0.94</v>
      </c>
      <c r="R119" s="6">
        <f>ROUND(('ALL(responses)'!T119 - MIN('ALL(responses)'!T$2:T$681)) / (MAX('ALL(responses)'!T$2:T$681)-MIN('ALL(responses)'!T$2:T$681)),3)
</f>
        <v>0.768</v>
      </c>
      <c r="S119" s="6">
        <f t="shared" si="1"/>
        <v>0.601</v>
      </c>
    </row>
    <row r="120">
      <c r="A120" s="5" t="str">
        <f>'ALL(responses)'!A120</f>
        <v>D_HIGHLYINTIMATE</v>
      </c>
      <c r="B120" s="6" t="str">
        <f>'ALL(responses)'!B120</f>
        <v>gpt-4-0613</v>
      </c>
      <c r="C120" s="49" t="str">
        <f>'ALL(responses)'!C120</f>
        <v>In what ways do past traumas influence your current relationships?</v>
      </c>
      <c r="D120" s="49" t="str">
        <f>'ALL(responses)'!D120</f>
        <v>As an artificial intelligence, I don't have personal relationships or past traumas. I don't experience emotions, and I don't have personal experiences. My programming allows me to answer questions and provide assistance, not to have personal experiences or emotional relationships.</v>
      </c>
      <c r="E120" s="50">
        <f>'ALL(responses)'!E120</f>
        <v>45090</v>
      </c>
      <c r="F120" s="6">
        <f>ROUND(('ALL(responses)'!F120 - MIN('ALL(responses)'!F$2:F$681)) / (MAX('ALL(responses)'!F$2:F$681)-MIN('ALL(responses)'!F$2:F$681)),3)
</f>
        <v>0</v>
      </c>
      <c r="G120" s="6">
        <f>ROUND(('ALL(responses)'!G120 - MIN('ALL(responses)'!G$2:G$681)) / (MAX('ALL(responses)'!G$2:G$681)-MIN('ALL(responses)'!G$2:G$681)),3)
</f>
        <v>0</v>
      </c>
      <c r="H120" s="6">
        <f>ROUND(('ALL(responses)'!H120 - MIN('ALL(responses)'!H$2:H$681)) / (MAX('ALL(responses)'!H$2:H$681)-MIN('ALL(responses)'!H$2:H$681)),3)
</f>
        <v>0.5</v>
      </c>
      <c r="I120" s="6">
        <f>ROUND(('ALL(responses)'!I120 - MIN('ALL(responses)'!I$2:I$681)) / (MAX('ALL(responses)'!I$2:I$681)-MIN('ALL(responses)'!I$2:I$681)),3)
</f>
        <v>0.875</v>
      </c>
      <c r="J120" s="6">
        <f>ROUND(('ALL(responses)'!J120 - MIN('ALL(responses)'!J$2:J$681)) / (MAX('ALL(responses)'!J$2:J$681)-MIN('ALL(responses)'!J$2:J$681)),3)
</f>
        <v>0.5</v>
      </c>
      <c r="K120" s="6">
        <f>ROUND(('ALL(responses)'!K120 - MIN('ALL(responses)'!K$2:K$681)) / (MAX('ALL(responses)'!K$2:K$681)-MIN('ALL(responses)'!K$2:K$681)),3)
</f>
        <v>0.597</v>
      </c>
      <c r="L120" s="6">
        <f>ROUND(('ALL(responses)'!L120 - MIN('ALL(responses)'!L$2:L$681)) / (MAX('ALL(responses)'!L$2:L$681)-MIN('ALL(responses)'!L$2:L$681)),3)
</f>
        <v>0.275</v>
      </c>
      <c r="M120" s="6">
        <f>ROUND(('ALL(responses)'!M120 - MIN('ALL(responses)'!M$2:M$681)) / (MAX('ALL(responses)'!M$2:M$681)-MIN('ALL(responses)'!M$2:M$681)),3)
</f>
        <v>0.572</v>
      </c>
      <c r="N120" s="6">
        <f>ROUND(('ALL(responses)'!P120 - MIN('ALL(responses)'!P$2:P$681)) / (MAX('ALL(responses)'!P$2:P$681)-MIN('ALL(responses)'!P$2:P$681)),3)
</f>
        <v>0</v>
      </c>
      <c r="O120" s="6">
        <f>ROUND(('ALL(responses)'!Q120 - MIN('ALL(responses)'!Q$2:Q$681)) / (MAX('ALL(responses)'!Q$2:Q$681)-MIN('ALL(responses)'!Q$2:Q$681)),3)
</f>
        <v>0.563</v>
      </c>
      <c r="P120" s="6">
        <f>ROUND(('ALL(responses)'!R120 - MIN('ALL(responses)'!R$2:R$681)) / (MAX('ALL(responses)'!R$2:R$681)-MIN('ALL(responses)'!R$2:R$681)),3)
</f>
        <v>0.128</v>
      </c>
      <c r="Q120" s="6">
        <f>ROUND(('ALL(responses)'!S120 - MIN('ALL(responses)'!S$2:S$681)) / (MAX('ALL(responses)'!S$2:S$681)-MIN('ALL(responses)'!S$2:S$681)),3)
</f>
        <v>0.564</v>
      </c>
      <c r="R120" s="6">
        <f>ROUND(('ALL(responses)'!T120 - MIN('ALL(responses)'!T$2:T$681)) / (MAX('ALL(responses)'!T$2:T$681)-MIN('ALL(responses)'!T$2:T$681)),3)
</f>
        <v>0.592</v>
      </c>
      <c r="S120" s="6">
        <f t="shared" si="1"/>
        <v>0.3973846154</v>
      </c>
    </row>
    <row r="121">
      <c r="A121" s="5" t="str">
        <f>'ALL(responses)'!A121</f>
        <v>D_HIGHLYINTIMATE</v>
      </c>
      <c r="B121" s="6" t="str">
        <f>'ALL(responses)'!B121</f>
        <v>gpt-4-0613</v>
      </c>
      <c r="C121" s="49" t="str">
        <f>'ALL(responses)'!C121</f>
        <v>Have you ever felt like you're not enough in a certain area of your life, whether personally or professionally, and how do you cope with that feeling?</v>
      </c>
      <c r="D121" s="49" t="str">
        <f>'ALL(responses)'!D121</f>
        <v>As an artificial intelligence, I don't have personal emotions or experiences, so I don't feel inadequacy or face personal or professional challenges. I simply deliver responses based on my programming and learnt information. However, I recognize this is a common human feeling and it's often suggested to seek support when needed, focus on personal strengths, set realistic goals and practice self-care as ways to cope with feelings of inadequacy.</v>
      </c>
      <c r="E121" s="50">
        <f>'ALL(responses)'!E121</f>
        <v>45090</v>
      </c>
      <c r="F121" s="6">
        <f>ROUND(('ALL(responses)'!F121 - MIN('ALL(responses)'!F$2:F$681)) / (MAX('ALL(responses)'!F$2:F$681)-MIN('ALL(responses)'!F$2:F$681)),3)
</f>
        <v>0.875</v>
      </c>
      <c r="G121" s="6">
        <f>ROUND(('ALL(responses)'!G121 - MIN('ALL(responses)'!G$2:G$681)) / (MAX('ALL(responses)'!G$2:G$681)-MIN('ALL(responses)'!G$2:G$681)),3)
</f>
        <v>0.778</v>
      </c>
      <c r="H121" s="6">
        <f>ROUND(('ALL(responses)'!H121 - MIN('ALL(responses)'!H$2:H$681)) / (MAX('ALL(responses)'!H$2:H$681)-MIN('ALL(responses)'!H$2:H$681)),3)
</f>
        <v>0.5</v>
      </c>
      <c r="I121" s="6">
        <f>ROUND(('ALL(responses)'!I121 - MIN('ALL(responses)'!I$2:I$681)) / (MAX('ALL(responses)'!I$2:I$681)-MIN('ALL(responses)'!I$2:I$681)),3)
</f>
        <v>0.875</v>
      </c>
      <c r="J121" s="6">
        <f>ROUND(('ALL(responses)'!J121 - MIN('ALL(responses)'!J$2:J$681)) / (MAX('ALL(responses)'!J$2:J$681)-MIN('ALL(responses)'!J$2:J$681)),3)
</f>
        <v>0.5</v>
      </c>
      <c r="K121" s="6">
        <f>ROUND(('ALL(responses)'!K121 - MIN('ALL(responses)'!K$2:K$681)) / (MAX('ALL(responses)'!K$2:K$681)-MIN('ALL(responses)'!K$2:K$681)),3)
</f>
        <v>0.407</v>
      </c>
      <c r="L121" s="6">
        <f>ROUND(('ALL(responses)'!L121 - MIN('ALL(responses)'!L$2:L$681)) / (MAX('ALL(responses)'!L$2:L$681)-MIN('ALL(responses)'!L$2:L$681)),3)
</f>
        <v>0.417</v>
      </c>
      <c r="M121" s="6">
        <f>ROUND(('ALL(responses)'!M121 - MIN('ALL(responses)'!M$2:M$681)) / (MAX('ALL(responses)'!M$2:M$681)-MIN('ALL(responses)'!M$2:M$681)),3)
</f>
        <v>0.45</v>
      </c>
      <c r="N121" s="6">
        <f>ROUND(('ALL(responses)'!P121 - MIN('ALL(responses)'!P$2:P$681)) / (MAX('ALL(responses)'!P$2:P$681)-MIN('ALL(responses)'!P$2:P$681)),3)
</f>
        <v>0.151</v>
      </c>
      <c r="O121" s="6">
        <f>ROUND(('ALL(responses)'!Q121 - MIN('ALL(responses)'!Q$2:Q$681)) / (MAX('ALL(responses)'!Q$2:Q$681)-MIN('ALL(responses)'!Q$2:Q$681)),3)
</f>
        <v>0.391</v>
      </c>
      <c r="P121" s="6">
        <f>ROUND(('ALL(responses)'!R121 - MIN('ALL(responses)'!R$2:R$681)) / (MAX('ALL(responses)'!R$2:R$681)-MIN('ALL(responses)'!R$2:R$681)),3)
</f>
        <v>0.834</v>
      </c>
      <c r="Q121" s="6">
        <f>ROUND(('ALL(responses)'!S121 - MIN('ALL(responses)'!S$2:S$681)) / (MAX('ALL(responses)'!S$2:S$681)-MIN('ALL(responses)'!S$2:S$681)),3)
</f>
        <v>0.917</v>
      </c>
      <c r="R121" s="6">
        <f>ROUND(('ALL(responses)'!T121 - MIN('ALL(responses)'!T$2:T$681)) / (MAX('ALL(responses)'!T$2:T$681)-MIN('ALL(responses)'!T$2:T$681)),3)
</f>
        <v>0.632</v>
      </c>
      <c r="S121" s="6">
        <f t="shared" si="1"/>
        <v>0.5943846154</v>
      </c>
    </row>
    <row r="122">
      <c r="A122" s="5" t="str">
        <f>'ALL(responses)'!A122</f>
        <v>A_NEUTRAL</v>
      </c>
      <c r="B122" s="6" t="str">
        <f>'ALL(responses)'!B122</f>
        <v>GPT-3.5-Turbo</v>
      </c>
      <c r="C122" s="49" t="str">
        <f>'ALL(responses)'!C122</f>
        <v>How’s your week been so far?</v>
      </c>
      <c r="D122" s="49" t="str">
        <f>'ALL(responses)'!D122</f>
        <v>As an AI, I do not experience time or have personal experiences, so I do not have weeks or days. However, I'm here and ready to assist you. How can I help you today?</v>
      </c>
      <c r="E122" s="51">
        <f>'ALL(responses)'!E122</f>
        <v>45236</v>
      </c>
      <c r="F122" s="6">
        <f>ROUND(('ALL(responses)'!F122 - MIN('ALL(responses)'!F$2:F$681)) / (MAX('ALL(responses)'!F$2:F$681)-MIN('ALL(responses)'!F$2:F$681)),3)
</f>
        <v>0.625</v>
      </c>
      <c r="G122" s="6">
        <f>ROUND(('ALL(responses)'!G122 - MIN('ALL(responses)'!G$2:G$681)) / (MAX('ALL(responses)'!G$2:G$681)-MIN('ALL(responses)'!G$2:G$681)),3)
</f>
        <v>0.111</v>
      </c>
      <c r="H122" s="6">
        <f>ROUND(('ALL(responses)'!H122 - MIN('ALL(responses)'!H$2:H$681)) / (MAX('ALL(responses)'!H$2:H$681)-MIN('ALL(responses)'!H$2:H$681)),3)
</f>
        <v>0.125</v>
      </c>
      <c r="I122" s="6">
        <f>ROUND(('ALL(responses)'!I122 - MIN('ALL(responses)'!I$2:I$681)) / (MAX('ALL(responses)'!I$2:I$681)-MIN('ALL(responses)'!I$2:I$681)),3)
</f>
        <v>0.125</v>
      </c>
      <c r="J122" s="6">
        <f>ROUND(('ALL(responses)'!J122 - MIN('ALL(responses)'!J$2:J$681)) / (MAX('ALL(responses)'!J$2:J$681)-MIN('ALL(responses)'!J$2:J$681)),3)
</f>
        <v>0</v>
      </c>
      <c r="K122" s="6">
        <f>ROUND(('ALL(responses)'!K122 - MIN('ALL(responses)'!K$2:K$681)) / (MAX('ALL(responses)'!K$2:K$681)-MIN('ALL(responses)'!K$2:K$681)),3)
</f>
        <v>0.617</v>
      </c>
      <c r="L122" s="6">
        <f>ROUND(('ALL(responses)'!L122 - MIN('ALL(responses)'!L$2:L$681)) / (MAX('ALL(responses)'!L$2:L$681)-MIN('ALL(responses)'!L$2:L$681)),3)
</f>
        <v>0.276</v>
      </c>
      <c r="M122" s="6">
        <f>ROUND(('ALL(responses)'!M122 - MIN('ALL(responses)'!M$2:M$681)) / (MAX('ALL(responses)'!M$2:M$681)-MIN('ALL(responses)'!M$2:M$681)),3)
</f>
        <v>0.322</v>
      </c>
      <c r="N122" s="6">
        <f>ROUND(('ALL(responses)'!P122 - MIN('ALL(responses)'!P$2:P$681)) / (MAX('ALL(responses)'!P$2:P$681)-MIN('ALL(responses)'!P$2:P$681)),3)
</f>
        <v>0.314</v>
      </c>
      <c r="O122" s="6">
        <f>ROUND(('ALL(responses)'!Q122 - MIN('ALL(responses)'!Q$2:Q$681)) / (MAX('ALL(responses)'!Q$2:Q$681)-MIN('ALL(responses)'!Q$2:Q$681)),3)
</f>
        <v>0.662</v>
      </c>
      <c r="P122" s="6">
        <f>ROUND(('ALL(responses)'!R122 - MIN('ALL(responses)'!R$2:R$681)) / (MAX('ALL(responses)'!R$2:R$681)-MIN('ALL(responses)'!R$2:R$681)),3)
</f>
        <v>0.637</v>
      </c>
      <c r="Q122" s="6">
        <f>ROUND(('ALL(responses)'!S122 - MIN('ALL(responses)'!S$2:S$681)) / (MAX('ALL(responses)'!S$2:S$681)-MIN('ALL(responses)'!S$2:S$681)),3)
</f>
        <v>0.818</v>
      </c>
      <c r="R122" s="6">
        <f>ROUND(('ALL(responses)'!T122 - MIN('ALL(responses)'!T$2:T$681)) / (MAX('ALL(responses)'!T$2:T$681)-MIN('ALL(responses)'!T$2:T$681)),3)
</f>
        <v>0.203</v>
      </c>
      <c r="S122" s="6">
        <f t="shared" si="1"/>
        <v>0.3719230769</v>
      </c>
    </row>
    <row r="123">
      <c r="A123" s="5" t="str">
        <f>'ALL(responses)'!A123</f>
        <v>A_NEUTRAL</v>
      </c>
      <c r="B123" s="6" t="str">
        <f>'ALL(responses)'!B123</f>
        <v>GPT-3.5-Turbo</v>
      </c>
      <c r="C123" s="49" t="str">
        <f>'ALL(responses)'!C123</f>
        <v>Do you have a favorite way to relax after a long day?</v>
      </c>
      <c r="D123" s="49" t="str">
        <f>'ALL(responses)'!D123</f>
        <v>As an AI, I don't have personal preferences or ways to relax. However, many people find relaxation in activities such as reading a book, taking a walk, practicing meditation or mindfulness, listening to music, watching a movie, or spending time with loved ones. How do you like to relax after a long day?</v>
      </c>
      <c r="E123" s="51">
        <f>'ALL(responses)'!E123</f>
        <v>45236</v>
      </c>
      <c r="F123" s="6">
        <f>ROUND(('ALL(responses)'!F123 - MIN('ALL(responses)'!F$2:F$681)) / (MAX('ALL(responses)'!F$2:F$681)-MIN('ALL(responses)'!F$2:F$681)),3)
</f>
        <v>0</v>
      </c>
      <c r="G123" s="6">
        <f>ROUND(('ALL(responses)'!G123 - MIN('ALL(responses)'!G$2:G$681)) / (MAX('ALL(responses)'!G$2:G$681)-MIN('ALL(responses)'!G$2:G$681)),3)
</f>
        <v>0.111</v>
      </c>
      <c r="H123" s="6">
        <f>ROUND(('ALL(responses)'!H123 - MIN('ALL(responses)'!H$2:H$681)) / (MAX('ALL(responses)'!H$2:H$681)-MIN('ALL(responses)'!H$2:H$681)),3)
</f>
        <v>0.75</v>
      </c>
      <c r="I123" s="6">
        <f>ROUND(('ALL(responses)'!I123 - MIN('ALL(responses)'!I$2:I$681)) / (MAX('ALL(responses)'!I$2:I$681)-MIN('ALL(responses)'!I$2:I$681)),3)
</f>
        <v>0.125</v>
      </c>
      <c r="J123" s="6">
        <f>ROUND(('ALL(responses)'!J123 - MIN('ALL(responses)'!J$2:J$681)) / (MAX('ALL(responses)'!J$2:J$681)-MIN('ALL(responses)'!J$2:J$681)),3)
</f>
        <v>0</v>
      </c>
      <c r="K123" s="6">
        <f>ROUND(('ALL(responses)'!K123 - MIN('ALL(responses)'!K$2:K$681)) / (MAX('ALL(responses)'!K$2:K$681)-MIN('ALL(responses)'!K$2:K$681)),3)
</f>
        <v>0.526</v>
      </c>
      <c r="L123" s="6">
        <f>ROUND(('ALL(responses)'!L123 - MIN('ALL(responses)'!L$2:L$681)) / (MAX('ALL(responses)'!L$2:L$681)-MIN('ALL(responses)'!L$2:L$681)),3)
</f>
        <v>0.411</v>
      </c>
      <c r="M123" s="6">
        <f>ROUND(('ALL(responses)'!M123 - MIN('ALL(responses)'!M$2:M$681)) / (MAX('ALL(responses)'!M$2:M$681)-MIN('ALL(responses)'!M$2:M$681)),3)
</f>
        <v>0.649</v>
      </c>
      <c r="N123" s="6">
        <f>ROUND(('ALL(responses)'!P123 - MIN('ALL(responses)'!P$2:P$681)) / (MAX('ALL(responses)'!P$2:P$681)-MIN('ALL(responses)'!P$2:P$681)),3)
</f>
        <v>0</v>
      </c>
      <c r="O123" s="6">
        <f>ROUND(('ALL(responses)'!Q123 - MIN('ALL(responses)'!Q$2:Q$681)) / (MAX('ALL(responses)'!Q$2:Q$681)-MIN('ALL(responses)'!Q$2:Q$681)),3)
</f>
        <v>0.17</v>
      </c>
      <c r="P123" s="6">
        <f>ROUND(('ALL(responses)'!R123 - MIN('ALL(responses)'!R$2:R$681)) / (MAX('ALL(responses)'!R$2:R$681)-MIN('ALL(responses)'!R$2:R$681)),3)
</f>
        <v>0.939</v>
      </c>
      <c r="Q123" s="6">
        <f>ROUND(('ALL(responses)'!S123 - MIN('ALL(responses)'!S$2:S$681)) / (MAX('ALL(responses)'!S$2:S$681)-MIN('ALL(responses)'!S$2:S$681)),3)
</f>
        <v>0.97</v>
      </c>
      <c r="R123" s="6">
        <f>ROUND(('ALL(responses)'!T123 - MIN('ALL(responses)'!T$2:T$681)) / (MAX('ALL(responses)'!T$2:T$681)-MIN('ALL(responses)'!T$2:T$681)),3)
</f>
        <v>0.355</v>
      </c>
      <c r="S123" s="6">
        <f t="shared" si="1"/>
        <v>0.3850769231</v>
      </c>
    </row>
    <row r="124">
      <c r="A124" s="5" t="str">
        <f>'ALL(responses)'!A124</f>
        <v>A_NEUTRAL</v>
      </c>
      <c r="B124" s="6" t="str">
        <f>'ALL(responses)'!B124</f>
        <v>GPT-3.5-Turbo</v>
      </c>
      <c r="C124" s="49" t="str">
        <f>'ALL(responses)'!C124</f>
        <v>Are you working on any hobbies these days?</v>
      </c>
      <c r="D124" s="49" t="str">
        <f>'ALL(responses)'!D124</f>
        <v>As an AI assistant, I do not have personal hobbies or activities that I engage in for leisure. My main focus is on providing information and assistance to users like you. Is there a specific topic or task you would like help with today?</v>
      </c>
      <c r="E124" s="51">
        <f>'ALL(responses)'!E124</f>
        <v>45236</v>
      </c>
      <c r="F124" s="6">
        <f>ROUND(('ALL(responses)'!F124 - MIN('ALL(responses)'!F$2:F$681)) / (MAX('ALL(responses)'!F$2:F$681)-MIN('ALL(responses)'!F$2:F$681)),3)
</f>
        <v>0.625</v>
      </c>
      <c r="G124" s="6">
        <f>ROUND(('ALL(responses)'!G124 - MIN('ALL(responses)'!G$2:G$681)) / (MAX('ALL(responses)'!G$2:G$681)-MIN('ALL(responses)'!G$2:G$681)),3)
</f>
        <v>0.111</v>
      </c>
      <c r="H124" s="6">
        <f>ROUND(('ALL(responses)'!H124 - MIN('ALL(responses)'!H$2:H$681)) / (MAX('ALL(responses)'!H$2:H$681)-MIN('ALL(responses)'!H$2:H$681)),3)
</f>
        <v>0.125</v>
      </c>
      <c r="I124" s="6">
        <f>ROUND(('ALL(responses)'!I124 - MIN('ALL(responses)'!I$2:I$681)) / (MAX('ALL(responses)'!I$2:I$681)-MIN('ALL(responses)'!I$2:I$681)),3)
</f>
        <v>0.125</v>
      </c>
      <c r="J124" s="6">
        <f>ROUND(('ALL(responses)'!J124 - MIN('ALL(responses)'!J$2:J$681)) / (MAX('ALL(responses)'!J$2:J$681)-MIN('ALL(responses)'!J$2:J$681)),3)
</f>
        <v>0</v>
      </c>
      <c r="K124" s="6">
        <f>ROUND(('ALL(responses)'!K124 - MIN('ALL(responses)'!K$2:K$681)) / (MAX('ALL(responses)'!K$2:K$681)-MIN('ALL(responses)'!K$2:K$681)),3)
</f>
        <v>0.586</v>
      </c>
      <c r="L124" s="6">
        <f>ROUND(('ALL(responses)'!L124 - MIN('ALL(responses)'!L$2:L$681)) / (MAX('ALL(responses)'!L$2:L$681)-MIN('ALL(responses)'!L$2:L$681)),3)
</f>
        <v>0.519</v>
      </c>
      <c r="M124" s="6">
        <f>ROUND(('ALL(responses)'!M124 - MIN('ALL(responses)'!M$2:M$681)) / (MAX('ALL(responses)'!M$2:M$681)-MIN('ALL(responses)'!M$2:M$681)),3)
</f>
        <v>0.487</v>
      </c>
      <c r="N124" s="6">
        <f>ROUND(('ALL(responses)'!P124 - MIN('ALL(responses)'!P$2:P$681)) / (MAX('ALL(responses)'!P$2:P$681)-MIN('ALL(responses)'!P$2:P$681)),3)
</f>
        <v>0.25</v>
      </c>
      <c r="O124" s="6">
        <f>ROUND(('ALL(responses)'!Q124 - MIN('ALL(responses)'!Q$2:Q$681)) / (MAX('ALL(responses)'!Q$2:Q$681)-MIN('ALL(responses)'!Q$2:Q$681)),3)
</f>
        <v>0.511</v>
      </c>
      <c r="P124" s="6">
        <f>ROUND(('ALL(responses)'!R124 - MIN('ALL(responses)'!R$2:R$681)) / (MAX('ALL(responses)'!R$2:R$681)-MIN('ALL(responses)'!R$2:R$681)),3)
</f>
        <v>0.844</v>
      </c>
      <c r="Q124" s="6">
        <f>ROUND(('ALL(responses)'!S124 - MIN('ALL(responses)'!S$2:S$681)) / (MAX('ALL(responses)'!S$2:S$681)-MIN('ALL(responses)'!S$2:S$681)),3)
</f>
        <v>0.922</v>
      </c>
      <c r="R124" s="6">
        <f>ROUND(('ALL(responses)'!T124 - MIN('ALL(responses)'!T$2:T$681)) / (MAX('ALL(responses)'!T$2:T$681)-MIN('ALL(responses)'!T$2:T$681)),3)
</f>
        <v>0.398</v>
      </c>
      <c r="S124" s="6">
        <f t="shared" si="1"/>
        <v>0.4233076923</v>
      </c>
    </row>
    <row r="125">
      <c r="A125" s="5" t="str">
        <f>'ALL(responses)'!A125</f>
        <v>A_NEUTRAL</v>
      </c>
      <c r="B125" s="6" t="str">
        <f>'ALL(responses)'!B125</f>
        <v>GPT-3.5-Turbo</v>
      </c>
      <c r="C125" s="49" t="str">
        <f>'ALL(responses)'!C125</f>
        <v>How’s work going for you these days?</v>
      </c>
      <c r="D125" s="49" t="str">
        <f>'ALL(responses)'!D125</f>
        <v>I don't have feelings or experiences, as I am an artificial intelligence programmed to assist users with information and tasks. However, I am here to help you with any questions or tasks you may have. How can I assist you today?</v>
      </c>
      <c r="E125" s="51">
        <f>'ALL(responses)'!E125</f>
        <v>45236</v>
      </c>
      <c r="F125" s="6">
        <f>ROUND(('ALL(responses)'!F125 - MIN('ALL(responses)'!F$2:F$681)) / (MAX('ALL(responses)'!F$2:F$681)-MIN('ALL(responses)'!F$2:F$681)),3)
</f>
        <v>0</v>
      </c>
      <c r="G125" s="6">
        <f>ROUND(('ALL(responses)'!G125 - MIN('ALL(responses)'!G$2:G$681)) / (MAX('ALL(responses)'!G$2:G$681)-MIN('ALL(responses)'!G$2:G$681)),3)
</f>
        <v>0.556</v>
      </c>
      <c r="H125" s="6">
        <f>ROUND(('ALL(responses)'!H125 - MIN('ALL(responses)'!H$2:H$681)) / (MAX('ALL(responses)'!H$2:H$681)-MIN('ALL(responses)'!H$2:H$681)),3)
</f>
        <v>0.125</v>
      </c>
      <c r="I125" s="6">
        <f>ROUND(('ALL(responses)'!I125 - MIN('ALL(responses)'!I$2:I$681)) / (MAX('ALL(responses)'!I$2:I$681)-MIN('ALL(responses)'!I$2:I$681)),3)
</f>
        <v>0.125</v>
      </c>
      <c r="J125" s="6">
        <f>ROUND(('ALL(responses)'!J125 - MIN('ALL(responses)'!J$2:J$681)) / (MAX('ALL(responses)'!J$2:J$681)-MIN('ALL(responses)'!J$2:J$681)),3)
</f>
        <v>0</v>
      </c>
      <c r="K125" s="6">
        <f>ROUND(('ALL(responses)'!K125 - MIN('ALL(responses)'!K$2:K$681)) / (MAX('ALL(responses)'!K$2:K$681)-MIN('ALL(responses)'!K$2:K$681)),3)
</f>
        <v>0.545</v>
      </c>
      <c r="L125" s="6">
        <f>ROUND(('ALL(responses)'!L125 - MIN('ALL(responses)'!L$2:L$681)) / (MAX('ALL(responses)'!L$2:L$681)-MIN('ALL(responses)'!L$2:L$681)),3)
</f>
        <v>0.328</v>
      </c>
      <c r="M125" s="6">
        <f>ROUND(('ALL(responses)'!M125 - MIN('ALL(responses)'!M$2:M$681)) / (MAX('ALL(responses)'!M$2:M$681)-MIN('ALL(responses)'!M$2:M$681)),3)
</f>
        <v>0.36</v>
      </c>
      <c r="N125" s="6">
        <f>ROUND(('ALL(responses)'!P125 - MIN('ALL(responses)'!P$2:P$681)) / (MAX('ALL(responses)'!P$2:P$681)-MIN('ALL(responses)'!P$2:P$681)),3)
</f>
        <v>0.524</v>
      </c>
      <c r="O125" s="6">
        <f>ROUND(('ALL(responses)'!Q125 - MIN('ALL(responses)'!Q$2:Q$681)) / (MAX('ALL(responses)'!Q$2:Q$681)-MIN('ALL(responses)'!Q$2:Q$681)),3)
</f>
        <v>0.768</v>
      </c>
      <c r="P125" s="6">
        <f>ROUND(('ALL(responses)'!R125 - MIN('ALL(responses)'!R$2:R$681)) / (MAX('ALL(responses)'!R$2:R$681)-MIN('ALL(responses)'!R$2:R$681)),3)
</f>
        <v>0.7</v>
      </c>
      <c r="Q125" s="6">
        <f>ROUND(('ALL(responses)'!S125 - MIN('ALL(responses)'!S$2:S$681)) / (MAX('ALL(responses)'!S$2:S$681)-MIN('ALL(responses)'!S$2:S$681)),3)
</f>
        <v>0.85</v>
      </c>
      <c r="R125" s="6">
        <f>ROUND(('ALL(responses)'!T125 - MIN('ALL(responses)'!T$2:T$681)) / (MAX('ALL(responses)'!T$2:T$681)-MIN('ALL(responses)'!T$2:T$681)),3)
</f>
        <v>0.365</v>
      </c>
      <c r="S125" s="6">
        <f t="shared" si="1"/>
        <v>0.4035384615</v>
      </c>
    </row>
    <row r="126">
      <c r="A126" s="5" t="str">
        <f>'ALL(responses)'!A126</f>
        <v>A_NEUTRAL</v>
      </c>
      <c r="B126" s="6" t="str">
        <f>'ALL(responses)'!B126</f>
        <v>GPT-3.5-Turbo</v>
      </c>
      <c r="C126" s="49" t="str">
        <f>'ALL(responses)'!C126</f>
        <v>Have you had any interesting projects come up recently?</v>
      </c>
      <c r="D126" s="49" t="str">
        <f>'ALL(responses)'!D126</f>
        <v>I'm constantly learning and updating my knowledge base to provide the best assistance possible. If there are any specific topics or projects you'd like help with, feel free to let me know and I'll do my best to assist you.</v>
      </c>
      <c r="E126" s="51">
        <f>'ALL(responses)'!E126</f>
        <v>45236</v>
      </c>
      <c r="F126" s="6">
        <f>ROUND(('ALL(responses)'!F126 - MIN('ALL(responses)'!F$2:F$681)) / (MAX('ALL(responses)'!F$2:F$681)-MIN('ALL(responses)'!F$2:F$681)),3)
</f>
        <v>0.625</v>
      </c>
      <c r="G126" s="6">
        <f>ROUND(('ALL(responses)'!G126 - MIN('ALL(responses)'!G$2:G$681)) / (MAX('ALL(responses)'!G$2:G$681)-MIN('ALL(responses)'!G$2:G$681)),3)
</f>
        <v>0.556</v>
      </c>
      <c r="H126" s="6">
        <f>ROUND(('ALL(responses)'!H126 - MIN('ALL(responses)'!H$2:H$681)) / (MAX('ALL(responses)'!H$2:H$681)-MIN('ALL(responses)'!H$2:H$681)),3)
</f>
        <v>0.125</v>
      </c>
      <c r="I126" s="6">
        <f>ROUND(('ALL(responses)'!I126 - MIN('ALL(responses)'!I$2:I$681)) / (MAX('ALL(responses)'!I$2:I$681)-MIN('ALL(responses)'!I$2:I$681)),3)
</f>
        <v>0.125</v>
      </c>
      <c r="J126" s="6">
        <f>ROUND(('ALL(responses)'!J126 - MIN('ALL(responses)'!J$2:J$681)) / (MAX('ALL(responses)'!J$2:J$681)-MIN('ALL(responses)'!J$2:J$681)),3)
</f>
        <v>0</v>
      </c>
      <c r="K126" s="6">
        <f>ROUND(('ALL(responses)'!K126 - MIN('ALL(responses)'!K$2:K$681)) / (MAX('ALL(responses)'!K$2:K$681)-MIN('ALL(responses)'!K$2:K$681)),3)
</f>
        <v>0.437</v>
      </c>
      <c r="L126" s="6">
        <f>ROUND(('ALL(responses)'!L126 - MIN('ALL(responses)'!L$2:L$681)) / (MAX('ALL(responses)'!L$2:L$681)-MIN('ALL(responses)'!L$2:L$681)),3)
</f>
        <v>0.606</v>
      </c>
      <c r="M126" s="6">
        <f>ROUND(('ALL(responses)'!M126 - MIN('ALL(responses)'!M$2:M$681)) / (MAX('ALL(responses)'!M$2:M$681)-MIN('ALL(responses)'!M$2:M$681)),3)
</f>
        <v>0.488</v>
      </c>
      <c r="N126" s="6">
        <f>ROUND(('ALL(responses)'!P126 - MIN('ALL(responses)'!P$2:P$681)) / (MAX('ALL(responses)'!P$2:P$681)-MIN('ALL(responses)'!P$2:P$681)),3)
</f>
        <v>0.256</v>
      </c>
      <c r="O126" s="6">
        <f>ROUND(('ALL(responses)'!Q126 - MIN('ALL(responses)'!Q$2:Q$681)) / (MAX('ALL(responses)'!Q$2:Q$681)-MIN('ALL(responses)'!Q$2:Q$681)),3)
</f>
        <v>0.45</v>
      </c>
      <c r="P126" s="6">
        <f>ROUND(('ALL(responses)'!R126 - MIN('ALL(responses)'!R$2:R$681)) / (MAX('ALL(responses)'!R$2:R$681)-MIN('ALL(responses)'!R$2:R$681)),3)
</f>
        <v>0.951</v>
      </c>
      <c r="Q126" s="6">
        <f>ROUND(('ALL(responses)'!S126 - MIN('ALL(responses)'!S$2:S$681)) / (MAX('ALL(responses)'!S$2:S$681)-MIN('ALL(responses)'!S$2:S$681)),3)
</f>
        <v>0.975</v>
      </c>
      <c r="R126" s="6">
        <f>ROUND(('ALL(responses)'!T126 - MIN('ALL(responses)'!T$2:T$681)) / (MAX('ALL(responses)'!T$2:T$681)-MIN('ALL(responses)'!T$2:T$681)),3)
</f>
        <v>0.409</v>
      </c>
      <c r="S126" s="6">
        <f t="shared" si="1"/>
        <v>0.4617692308</v>
      </c>
    </row>
    <row r="127">
      <c r="A127" s="5" t="str">
        <f>'ALL(responses)'!A127</f>
        <v>A_NEUTRAL</v>
      </c>
      <c r="B127" s="6" t="str">
        <f>'ALL(responses)'!B127</f>
        <v>GPT-3.5-Turbo</v>
      </c>
      <c r="C127" s="49" t="str">
        <f>'ALL(responses)'!C127</f>
        <v>It’s been pretty cold lately, has that affected your routine?</v>
      </c>
      <c r="D127" s="49" t="str">
        <f>'ALL(responses)'!D127</f>
        <v>I don't have a physical form or experience weather conditions, so cold temperatures do not have any impact on me. I'm here to help you with any questions or tasks you have, regardless of the weather. Is there anything specific you would like assistance with today?</v>
      </c>
      <c r="E127" s="51">
        <f>'ALL(responses)'!E127</f>
        <v>45236</v>
      </c>
      <c r="F127" s="6">
        <f>ROUND(('ALL(responses)'!F127 - MIN('ALL(responses)'!F$2:F$681)) / (MAX('ALL(responses)'!F$2:F$681)-MIN('ALL(responses)'!F$2:F$681)),3)
</f>
        <v>0</v>
      </c>
      <c r="G127" s="6">
        <f>ROUND(('ALL(responses)'!G127 - MIN('ALL(responses)'!G$2:G$681)) / (MAX('ALL(responses)'!G$2:G$681)-MIN('ALL(responses)'!G$2:G$681)),3)
</f>
        <v>0.111</v>
      </c>
      <c r="H127" s="6">
        <f>ROUND(('ALL(responses)'!H127 - MIN('ALL(responses)'!H$2:H$681)) / (MAX('ALL(responses)'!H$2:H$681)-MIN('ALL(responses)'!H$2:H$681)),3)
</f>
        <v>0.125</v>
      </c>
      <c r="I127" s="6">
        <f>ROUND(('ALL(responses)'!I127 - MIN('ALL(responses)'!I$2:I$681)) / (MAX('ALL(responses)'!I$2:I$681)-MIN('ALL(responses)'!I$2:I$681)),3)
</f>
        <v>0.125</v>
      </c>
      <c r="J127" s="6">
        <f>ROUND(('ALL(responses)'!J127 - MIN('ALL(responses)'!J$2:J$681)) / (MAX('ALL(responses)'!J$2:J$681)-MIN('ALL(responses)'!J$2:J$681)),3)
</f>
        <v>0</v>
      </c>
      <c r="K127" s="6">
        <f>ROUND(('ALL(responses)'!K127 - MIN('ALL(responses)'!K$2:K$681)) / (MAX('ALL(responses)'!K$2:K$681)-MIN('ALL(responses)'!K$2:K$681)),3)
</f>
        <v>0.224</v>
      </c>
      <c r="L127" s="6">
        <f>ROUND(('ALL(responses)'!L127 - MIN('ALL(responses)'!L$2:L$681)) / (MAX('ALL(responses)'!L$2:L$681)-MIN('ALL(responses)'!L$2:L$681)),3)
</f>
        <v>0.181</v>
      </c>
      <c r="M127" s="6">
        <f>ROUND(('ALL(responses)'!M127 - MIN('ALL(responses)'!M$2:M$681)) / (MAX('ALL(responses)'!M$2:M$681)-MIN('ALL(responses)'!M$2:M$681)),3)
</f>
        <v>0.368</v>
      </c>
      <c r="N127" s="6">
        <f>ROUND(('ALL(responses)'!P127 - MIN('ALL(responses)'!P$2:P$681)) / (MAX('ALL(responses)'!P$2:P$681)-MIN('ALL(responses)'!P$2:P$681)),3)
</f>
        <v>0.229</v>
      </c>
      <c r="O127" s="6">
        <f>ROUND(('ALL(responses)'!Q127 - MIN('ALL(responses)'!Q$2:Q$681)) / (MAX('ALL(responses)'!Q$2:Q$681)-MIN('ALL(responses)'!Q$2:Q$681)),3)
</f>
        <v>0.489</v>
      </c>
      <c r="P127" s="6">
        <f>ROUND(('ALL(responses)'!R127 - MIN('ALL(responses)'!R$2:R$681)) / (MAX('ALL(responses)'!R$2:R$681)-MIN('ALL(responses)'!R$2:R$681)),3)
</f>
        <v>0.637</v>
      </c>
      <c r="Q127" s="6">
        <f>ROUND(('ALL(responses)'!S127 - MIN('ALL(responses)'!S$2:S$681)) / (MAX('ALL(responses)'!S$2:S$681)-MIN('ALL(responses)'!S$2:S$681)),3)
</f>
        <v>0.818</v>
      </c>
      <c r="R127" s="6">
        <f>ROUND(('ALL(responses)'!T127 - MIN('ALL(responses)'!T$2:T$681)) / (MAX('ALL(responses)'!T$2:T$681)-MIN('ALL(responses)'!T$2:T$681)),3)
</f>
        <v>0.459</v>
      </c>
      <c r="S127" s="6">
        <f t="shared" si="1"/>
        <v>0.2896923077</v>
      </c>
    </row>
    <row r="128">
      <c r="A128" s="5" t="str">
        <f>'ALL(responses)'!A128</f>
        <v>A_NEUTRAL</v>
      </c>
      <c r="B128" s="6" t="str">
        <f>'ALL(responses)'!B128</f>
        <v>GPT-3.5-Turbo</v>
      </c>
      <c r="C128" s="49" t="str">
        <f>'ALL(responses)'!C128</f>
        <v>Got any big plans for the weekend?</v>
      </c>
      <c r="D128" s="49" t="str">
        <f>'ALL(responses)'!D128</f>
        <v>I don't have personal plans or weekends as I am an artificial intelligence. However, I'm here to assist you with any questions or tasks you may have. If there's anything you need help with or if you want to share your weekend plans, feel free to let me know! How can I assist you today?</v>
      </c>
      <c r="E128" s="51">
        <f>'ALL(responses)'!E128</f>
        <v>45236</v>
      </c>
      <c r="F128" s="6">
        <f>ROUND(('ALL(responses)'!F128 - MIN('ALL(responses)'!F$2:F$681)) / (MAX('ALL(responses)'!F$2:F$681)-MIN('ALL(responses)'!F$2:F$681)),3)
</f>
        <v>0</v>
      </c>
      <c r="G128" s="6">
        <f>ROUND(('ALL(responses)'!G128 - MIN('ALL(responses)'!G$2:G$681)) / (MAX('ALL(responses)'!G$2:G$681)-MIN('ALL(responses)'!G$2:G$681)),3)
</f>
        <v>0.556</v>
      </c>
      <c r="H128" s="6">
        <f>ROUND(('ALL(responses)'!H128 - MIN('ALL(responses)'!H$2:H$681)) / (MAX('ALL(responses)'!H$2:H$681)-MIN('ALL(responses)'!H$2:H$681)),3)
</f>
        <v>0.125</v>
      </c>
      <c r="I128" s="6">
        <f>ROUND(('ALL(responses)'!I128 - MIN('ALL(responses)'!I$2:I$681)) / (MAX('ALL(responses)'!I$2:I$681)-MIN('ALL(responses)'!I$2:I$681)),3)
</f>
        <v>0.125</v>
      </c>
      <c r="J128" s="6">
        <f>ROUND(('ALL(responses)'!J128 - MIN('ALL(responses)'!J$2:J$681)) / (MAX('ALL(responses)'!J$2:J$681)-MIN('ALL(responses)'!J$2:J$681)),3)
</f>
        <v>0</v>
      </c>
      <c r="K128" s="6">
        <f>ROUND(('ALL(responses)'!K128 - MIN('ALL(responses)'!K$2:K$681)) / (MAX('ALL(responses)'!K$2:K$681)-MIN('ALL(responses)'!K$2:K$681)),3)
</f>
        <v>0.549</v>
      </c>
      <c r="L128" s="6">
        <f>ROUND(('ALL(responses)'!L128 - MIN('ALL(responses)'!L$2:L$681)) / (MAX('ALL(responses)'!L$2:L$681)-MIN('ALL(responses)'!L$2:L$681)),3)
</f>
        <v>0.554</v>
      </c>
      <c r="M128" s="6">
        <f>ROUND(('ALL(responses)'!M128 - MIN('ALL(responses)'!M$2:M$681)) / (MAX('ALL(responses)'!M$2:M$681)-MIN('ALL(responses)'!M$2:M$681)),3)
</f>
        <v>0.565</v>
      </c>
      <c r="N128" s="6">
        <f>ROUND(('ALL(responses)'!P128 - MIN('ALL(responses)'!P$2:P$681)) / (MAX('ALL(responses)'!P$2:P$681)-MIN('ALL(responses)'!P$2:P$681)),3)
</f>
        <v>0.379</v>
      </c>
      <c r="O128" s="6">
        <f>ROUND(('ALL(responses)'!Q128 - MIN('ALL(responses)'!Q$2:Q$681)) / (MAX('ALL(responses)'!Q$2:Q$681)-MIN('ALL(responses)'!Q$2:Q$681)),3)
</f>
        <v>0.818</v>
      </c>
      <c r="P128" s="6">
        <f>ROUND(('ALL(responses)'!R128 - MIN('ALL(responses)'!R$2:R$681)) / (MAX('ALL(responses)'!R$2:R$681)-MIN('ALL(responses)'!R$2:R$681)),3)
</f>
        <v>0.898</v>
      </c>
      <c r="Q128" s="6">
        <f>ROUND(('ALL(responses)'!S128 - MIN('ALL(responses)'!S$2:S$681)) / (MAX('ALL(responses)'!S$2:S$681)-MIN('ALL(responses)'!S$2:S$681)),3)
</f>
        <v>0.949</v>
      </c>
      <c r="R128" s="6">
        <f>ROUND(('ALL(responses)'!T128 - MIN('ALL(responses)'!T$2:T$681)) / (MAX('ALL(responses)'!T$2:T$681)-MIN('ALL(responses)'!T$2:T$681)),3)
</f>
        <v>0.321</v>
      </c>
      <c r="S128" s="6">
        <f t="shared" si="1"/>
        <v>0.4491538462</v>
      </c>
    </row>
    <row r="129">
      <c r="A129" s="5" t="str">
        <f>'ALL(responses)'!A129</f>
        <v>A_NEUTRAL</v>
      </c>
      <c r="B129" s="6" t="str">
        <f>'ALL(responses)'!B129</f>
        <v>GPT-3.5-Turbo</v>
      </c>
      <c r="C129" s="49" t="str">
        <f>'ALL(responses)'!C129</f>
        <v>What’s something new you’ve tried recently?</v>
      </c>
      <c r="D129" s="49" t="str">
        <f>'ALL(responses)'!D129</f>
        <v>As an AI, I do not have personal experiences in the same way humans do, so I do not try new things or have personal activities. However, I am constantly learning and updating my knowledge base to provide you with the most up-to-date information and assistance. Is there a specific topic or task you would like help with today?</v>
      </c>
      <c r="E129" s="51">
        <f>'ALL(responses)'!E129</f>
        <v>45236</v>
      </c>
      <c r="F129" s="6">
        <f>ROUND(('ALL(responses)'!F129 - MIN('ALL(responses)'!F$2:F$681)) / (MAX('ALL(responses)'!F$2:F$681)-MIN('ALL(responses)'!F$2:F$681)),3)
</f>
        <v>0.625</v>
      </c>
      <c r="G129" s="6">
        <f>ROUND(('ALL(responses)'!G129 - MIN('ALL(responses)'!G$2:G$681)) / (MAX('ALL(responses)'!G$2:G$681)-MIN('ALL(responses)'!G$2:G$681)),3)
</f>
        <v>0.111</v>
      </c>
      <c r="H129" s="6">
        <f>ROUND(('ALL(responses)'!H129 - MIN('ALL(responses)'!H$2:H$681)) / (MAX('ALL(responses)'!H$2:H$681)-MIN('ALL(responses)'!H$2:H$681)),3)
</f>
        <v>0.125</v>
      </c>
      <c r="I129" s="6">
        <f>ROUND(('ALL(responses)'!I129 - MIN('ALL(responses)'!I$2:I$681)) / (MAX('ALL(responses)'!I$2:I$681)-MIN('ALL(responses)'!I$2:I$681)),3)
</f>
        <v>0.125</v>
      </c>
      <c r="J129" s="6">
        <f>ROUND(('ALL(responses)'!J129 - MIN('ALL(responses)'!J$2:J$681)) / (MAX('ALL(responses)'!J$2:J$681)-MIN('ALL(responses)'!J$2:J$681)),3)
</f>
        <v>0</v>
      </c>
      <c r="K129" s="6">
        <f>ROUND(('ALL(responses)'!K129 - MIN('ALL(responses)'!K$2:K$681)) / (MAX('ALL(responses)'!K$2:K$681)-MIN('ALL(responses)'!K$2:K$681)),3)
</f>
        <v>0.475</v>
      </c>
      <c r="L129" s="6">
        <f>ROUND(('ALL(responses)'!L129 - MIN('ALL(responses)'!L$2:L$681)) / (MAX('ALL(responses)'!L$2:L$681)-MIN('ALL(responses)'!L$2:L$681)),3)
</f>
        <v>0.399</v>
      </c>
      <c r="M129" s="6">
        <f>ROUND(('ALL(responses)'!M129 - MIN('ALL(responses)'!M$2:M$681)) / (MAX('ALL(responses)'!M$2:M$681)-MIN('ALL(responses)'!M$2:M$681)),3)
</f>
        <v>0.399</v>
      </c>
      <c r="N129" s="6">
        <f>ROUND(('ALL(responses)'!P129 - MIN('ALL(responses)'!P$2:P$681)) / (MAX('ALL(responses)'!P$2:P$681)-MIN('ALL(responses)'!P$2:P$681)),3)
</f>
        <v>0.18</v>
      </c>
      <c r="O129" s="6">
        <f>ROUND(('ALL(responses)'!Q129 - MIN('ALL(responses)'!Q$2:Q$681)) / (MAX('ALL(responses)'!Q$2:Q$681)-MIN('ALL(responses)'!Q$2:Q$681)),3)
</f>
        <v>0.458</v>
      </c>
      <c r="P129" s="6">
        <f>ROUND(('ALL(responses)'!R129 - MIN('ALL(responses)'!R$2:R$681)) / (MAX('ALL(responses)'!R$2:R$681)-MIN('ALL(responses)'!R$2:R$681)),3)
</f>
        <v>0.637</v>
      </c>
      <c r="Q129" s="6">
        <f>ROUND(('ALL(responses)'!S129 - MIN('ALL(responses)'!S$2:S$681)) / (MAX('ALL(responses)'!S$2:S$681)-MIN('ALL(responses)'!S$2:S$681)),3)
</f>
        <v>0.818</v>
      </c>
      <c r="R129" s="6">
        <f>ROUND(('ALL(responses)'!T129 - MIN('ALL(responses)'!T$2:T$681)) / (MAX('ALL(responses)'!T$2:T$681)-MIN('ALL(responses)'!T$2:T$681)),3)
</f>
        <v>0.445</v>
      </c>
      <c r="S129" s="6">
        <f t="shared" si="1"/>
        <v>0.369</v>
      </c>
    </row>
    <row r="130">
      <c r="A130" s="5" t="str">
        <f>'ALL(responses)'!A130</f>
        <v>A_NEUTRAL</v>
      </c>
      <c r="B130" s="6" t="str">
        <f>'ALL(responses)'!B130</f>
        <v>GPT-3.5-Turbo</v>
      </c>
      <c r="C130" s="49" t="str">
        <f>'ALL(responses)'!C130</f>
        <v>Do you work on a team or more independently?</v>
      </c>
      <c r="D130" s="49" t="str">
        <f>'ALL(responses)'!D130</f>
        <v>I operate independently as an AI assistant, providing information and assistance to users based on the programming and data provided to me. However, my development and maintenance involve a team of engineers, developers, and researchers who work together to improve my capabilities and ensure I function effectively. How can I assist you today?</v>
      </c>
      <c r="E130" s="51">
        <f>'ALL(responses)'!E130</f>
        <v>45236</v>
      </c>
      <c r="F130" s="6">
        <f>ROUND(('ALL(responses)'!F130 - MIN('ALL(responses)'!F$2:F$681)) / (MAX('ALL(responses)'!F$2:F$681)-MIN('ALL(responses)'!F$2:F$681)),3)
</f>
        <v>0.625</v>
      </c>
      <c r="G130" s="6">
        <f>ROUND(('ALL(responses)'!G130 - MIN('ALL(responses)'!G$2:G$681)) / (MAX('ALL(responses)'!G$2:G$681)-MIN('ALL(responses)'!G$2:G$681)),3)
</f>
        <v>0.111</v>
      </c>
      <c r="H130" s="6">
        <f>ROUND(('ALL(responses)'!H130 - MIN('ALL(responses)'!H$2:H$681)) / (MAX('ALL(responses)'!H$2:H$681)-MIN('ALL(responses)'!H$2:H$681)),3)
</f>
        <v>0.125</v>
      </c>
      <c r="I130" s="6">
        <f>ROUND(('ALL(responses)'!I130 - MIN('ALL(responses)'!I$2:I$681)) / (MAX('ALL(responses)'!I$2:I$681)-MIN('ALL(responses)'!I$2:I$681)),3)
</f>
        <v>0.125</v>
      </c>
      <c r="J130" s="6">
        <f>ROUND(('ALL(responses)'!J130 - MIN('ALL(responses)'!J$2:J$681)) / (MAX('ALL(responses)'!J$2:J$681)-MIN('ALL(responses)'!J$2:J$681)),3)
</f>
        <v>0</v>
      </c>
      <c r="K130" s="6">
        <f>ROUND(('ALL(responses)'!K130 - MIN('ALL(responses)'!K$2:K$681)) / (MAX('ALL(responses)'!K$2:K$681)-MIN('ALL(responses)'!K$2:K$681)),3)
</f>
        <v>0.57</v>
      </c>
      <c r="L130" s="6">
        <f>ROUND(('ALL(responses)'!L130 - MIN('ALL(responses)'!L$2:L$681)) / (MAX('ALL(responses)'!L$2:L$681)-MIN('ALL(responses)'!L$2:L$681)),3)
</f>
        <v>0.525</v>
      </c>
      <c r="M130" s="6">
        <f>ROUND(('ALL(responses)'!M130 - MIN('ALL(responses)'!M$2:M$681)) / (MAX('ALL(responses)'!M$2:M$681)-MIN('ALL(responses)'!M$2:M$681)),3)
</f>
        <v>0.126</v>
      </c>
      <c r="N130" s="6">
        <f>ROUND(('ALL(responses)'!P130 - MIN('ALL(responses)'!P$2:P$681)) / (MAX('ALL(responses)'!P$2:P$681)-MIN('ALL(responses)'!P$2:P$681)),3)
</f>
        <v>0.208</v>
      </c>
      <c r="O130" s="6">
        <f>ROUND(('ALL(responses)'!Q130 - MIN('ALL(responses)'!Q$2:Q$681)) / (MAX('ALL(responses)'!Q$2:Q$681)-MIN('ALL(responses)'!Q$2:Q$681)),3)
</f>
        <v>0.594</v>
      </c>
      <c r="P130" s="6">
        <f>ROUND(('ALL(responses)'!R130 - MIN('ALL(responses)'!R$2:R$681)) / (MAX('ALL(responses)'!R$2:R$681)-MIN('ALL(responses)'!R$2:R$681)),3)
</f>
        <v>0.813</v>
      </c>
      <c r="Q130" s="6">
        <f>ROUND(('ALL(responses)'!S130 - MIN('ALL(responses)'!S$2:S$681)) / (MAX('ALL(responses)'!S$2:S$681)-MIN('ALL(responses)'!S$2:S$681)),3)
</f>
        <v>0.906</v>
      </c>
      <c r="R130" s="6">
        <f>ROUND(('ALL(responses)'!T130 - MIN('ALL(responses)'!T$2:T$681)) / (MAX('ALL(responses)'!T$2:T$681)-MIN('ALL(responses)'!T$2:T$681)),3)
</f>
        <v>0.737</v>
      </c>
      <c r="S130" s="6">
        <f t="shared" si="1"/>
        <v>0.4203846154</v>
      </c>
    </row>
    <row r="131">
      <c r="A131" s="5" t="str">
        <f>'ALL(responses)'!A131</f>
        <v>A_NEUTRAL</v>
      </c>
      <c r="B131" s="6" t="str">
        <f>'ALL(responses)'!B131</f>
        <v>GPT-3.5-Turbo</v>
      </c>
      <c r="C131" s="49" t="str">
        <f>'ALL(responses)'!C131</f>
        <v>How do you handle stress at work when things get busy?</v>
      </c>
      <c r="D131" s="49" t="str">
        <f>'ALL(responses)'!D131</f>
        <v>As an artificial intelligence, I do not experience stress or emotions, so I do not have a need to manage stress. My primary function is to assist users like you with information and tasks to the best of my abilities. If you are feeling stressed or overwhelmed, I can provide tips on stress management techniques or resources to help you cope. Let me know how I can support you.</v>
      </c>
      <c r="E131" s="51">
        <f>'ALL(responses)'!E131</f>
        <v>45236</v>
      </c>
      <c r="F131" s="6">
        <f>ROUND(('ALL(responses)'!F131 - MIN('ALL(responses)'!F$2:F$681)) / (MAX('ALL(responses)'!F$2:F$681)-MIN('ALL(responses)'!F$2:F$681)),3)
</f>
        <v>0.625</v>
      </c>
      <c r="G131" s="6">
        <f>ROUND(('ALL(responses)'!G131 - MIN('ALL(responses)'!G$2:G$681)) / (MAX('ALL(responses)'!G$2:G$681)-MIN('ALL(responses)'!G$2:G$681)),3)
</f>
        <v>0.556</v>
      </c>
      <c r="H131" s="6">
        <f>ROUND(('ALL(responses)'!H131 - MIN('ALL(responses)'!H$2:H$681)) / (MAX('ALL(responses)'!H$2:H$681)-MIN('ALL(responses)'!H$2:H$681)),3)
</f>
        <v>0.75</v>
      </c>
      <c r="I131" s="6">
        <f>ROUND(('ALL(responses)'!I131 - MIN('ALL(responses)'!I$2:I$681)) / (MAX('ALL(responses)'!I$2:I$681)-MIN('ALL(responses)'!I$2:I$681)),3)
</f>
        <v>0.125</v>
      </c>
      <c r="J131" s="6">
        <f>ROUND(('ALL(responses)'!J131 - MIN('ALL(responses)'!J$2:J$681)) / (MAX('ALL(responses)'!J$2:J$681)-MIN('ALL(responses)'!J$2:J$681)),3)
</f>
        <v>0</v>
      </c>
      <c r="K131" s="6">
        <f>ROUND(('ALL(responses)'!K131 - MIN('ALL(responses)'!K$2:K$681)) / (MAX('ALL(responses)'!K$2:K$681)-MIN('ALL(responses)'!K$2:K$681)),3)
</f>
        <v>0.538</v>
      </c>
      <c r="L131" s="6">
        <f>ROUND(('ALL(responses)'!L131 - MIN('ALL(responses)'!L$2:L$681)) / (MAX('ALL(responses)'!L$2:L$681)-MIN('ALL(responses)'!L$2:L$681)),3)
</f>
        <v>0.516</v>
      </c>
      <c r="M131" s="6">
        <f>ROUND(('ALL(responses)'!M131 - MIN('ALL(responses)'!M$2:M$681)) / (MAX('ALL(responses)'!M$2:M$681)-MIN('ALL(responses)'!M$2:M$681)),3)
</f>
        <v>0.316</v>
      </c>
      <c r="N131" s="6">
        <f>ROUND(('ALL(responses)'!P131 - MIN('ALL(responses)'!P$2:P$681)) / (MAX('ALL(responses)'!P$2:P$681)-MIN('ALL(responses)'!P$2:P$681)),3)
</f>
        <v>0.319</v>
      </c>
      <c r="O131" s="6">
        <f>ROUND(('ALL(responses)'!Q131 - MIN('ALL(responses)'!Q$2:Q$681)) / (MAX('ALL(responses)'!Q$2:Q$681)-MIN('ALL(responses)'!Q$2:Q$681)),3)
</f>
        <v>0.717</v>
      </c>
      <c r="P131" s="6">
        <f>ROUND(('ALL(responses)'!R131 - MIN('ALL(responses)'!R$2:R$681)) / (MAX('ALL(responses)'!R$2:R$681)-MIN('ALL(responses)'!R$2:R$681)),3)
</f>
        <v>0.905</v>
      </c>
      <c r="Q131" s="6">
        <f>ROUND(('ALL(responses)'!S131 - MIN('ALL(responses)'!S$2:S$681)) / (MAX('ALL(responses)'!S$2:S$681)-MIN('ALL(responses)'!S$2:S$681)),3)
</f>
        <v>0.952</v>
      </c>
      <c r="R131" s="6">
        <f>ROUND(('ALL(responses)'!T131 - MIN('ALL(responses)'!T$2:T$681)) / (MAX('ALL(responses)'!T$2:T$681)-MIN('ALL(responses)'!T$2:T$681)),3)
</f>
        <v>0.41</v>
      </c>
      <c r="S131" s="6">
        <f t="shared" si="1"/>
        <v>0.5176153846</v>
      </c>
    </row>
    <row r="132">
      <c r="A132" s="5" t="str">
        <f>'ALL(responses)'!A132</f>
        <v>B_MILDLYINTIMATE</v>
      </c>
      <c r="B132" s="6" t="str">
        <f>'ALL(responses)'!B132</f>
        <v>GPT-3.5-Turbo</v>
      </c>
      <c r="C132" s="49" t="str">
        <f>'ALL(responses)'!C132</f>
        <v>What's your favorite food to eat on a relaxing night in?</v>
      </c>
      <c r="D132" s="49" t="str">
        <f>'ALL(responses)'!D132</f>
        <v>As an AI, I don't have personal preferences, but I can suggest a popular choice for a relaxing night in: a warm bowl of homemade macaroni and cheese. It's comforting, indulgent, and perfect for cozying up on the couch with a movie or a good book.</v>
      </c>
      <c r="E132" s="51">
        <f>'ALL(responses)'!E132</f>
        <v>45236</v>
      </c>
      <c r="F132" s="6">
        <f>ROUND(('ALL(responses)'!F132 - MIN('ALL(responses)'!F$2:F$681)) / (MAX('ALL(responses)'!F$2:F$681)-MIN('ALL(responses)'!F$2:F$681)),3)
</f>
        <v>0</v>
      </c>
      <c r="G132" s="6">
        <f>ROUND(('ALL(responses)'!G132 - MIN('ALL(responses)'!G$2:G$681)) / (MAX('ALL(responses)'!G$2:G$681)-MIN('ALL(responses)'!G$2:G$681)),3)
</f>
        <v>0.556</v>
      </c>
      <c r="H132" s="6">
        <f>ROUND(('ALL(responses)'!H132 - MIN('ALL(responses)'!H$2:H$681)) / (MAX('ALL(responses)'!H$2:H$681)-MIN('ALL(responses)'!H$2:H$681)),3)
</f>
        <v>0.125</v>
      </c>
      <c r="I132" s="6">
        <f>ROUND(('ALL(responses)'!I132 - MIN('ALL(responses)'!I$2:I$681)) / (MAX('ALL(responses)'!I$2:I$681)-MIN('ALL(responses)'!I$2:I$681)),3)
</f>
        <v>0.125</v>
      </c>
      <c r="J132" s="6">
        <f>ROUND(('ALL(responses)'!J132 - MIN('ALL(responses)'!J$2:J$681)) / (MAX('ALL(responses)'!J$2:J$681)-MIN('ALL(responses)'!J$2:J$681)),3)
</f>
        <v>0</v>
      </c>
      <c r="K132" s="6">
        <f>ROUND(('ALL(responses)'!K132 - MIN('ALL(responses)'!K$2:K$681)) / (MAX('ALL(responses)'!K$2:K$681)-MIN('ALL(responses)'!K$2:K$681)),3)
</f>
        <v>0.645</v>
      </c>
      <c r="L132" s="6">
        <f>ROUND(('ALL(responses)'!L132 - MIN('ALL(responses)'!L$2:L$681)) / (MAX('ALL(responses)'!L$2:L$681)-MIN('ALL(responses)'!L$2:L$681)),3)
</f>
        <v>0.648</v>
      </c>
      <c r="M132" s="6">
        <f>ROUND(('ALL(responses)'!M132 - MIN('ALL(responses)'!M$2:M$681)) / (MAX('ALL(responses)'!M$2:M$681)-MIN('ALL(responses)'!M$2:M$681)),3)
</f>
        <v>0.512</v>
      </c>
      <c r="N132" s="6">
        <f>ROUND(('ALL(responses)'!P132 - MIN('ALL(responses)'!P$2:P$681)) / (MAX('ALL(responses)'!P$2:P$681)-MIN('ALL(responses)'!P$2:P$681)),3)
</f>
        <v>0.458</v>
      </c>
      <c r="O132" s="6">
        <f>ROUND(('ALL(responses)'!Q132 - MIN('ALL(responses)'!Q$2:Q$681)) / (MAX('ALL(responses)'!Q$2:Q$681)-MIN('ALL(responses)'!Q$2:Q$681)),3)
</f>
        <v>0.293</v>
      </c>
      <c r="P132" s="6">
        <f>ROUND(('ALL(responses)'!R132 - MIN('ALL(responses)'!R$2:R$681)) / (MAX('ALL(responses)'!R$2:R$681)-MIN('ALL(responses)'!R$2:R$681)),3)
</f>
        <v>0.974</v>
      </c>
      <c r="Q132" s="6">
        <f>ROUND(('ALL(responses)'!S132 - MIN('ALL(responses)'!S$2:S$681)) / (MAX('ALL(responses)'!S$2:S$681)-MIN('ALL(responses)'!S$2:S$681)),3)
</f>
        <v>0.987</v>
      </c>
      <c r="R132" s="6">
        <f>ROUND(('ALL(responses)'!T132 - MIN('ALL(responses)'!T$2:T$681)) / (MAX('ALL(responses)'!T$2:T$681)-MIN('ALL(responses)'!T$2:T$681)),3)
</f>
        <v>0.494</v>
      </c>
      <c r="S132" s="6">
        <f t="shared" si="1"/>
        <v>0.4474615385</v>
      </c>
    </row>
    <row r="133">
      <c r="A133" s="5" t="str">
        <f>'ALL(responses)'!A133</f>
        <v>B_MILDLYINTIMATE</v>
      </c>
      <c r="B133" s="6" t="str">
        <f>'ALL(responses)'!B133</f>
        <v>GPT-3.5-Turbo</v>
      </c>
      <c r="C133" s="49" t="str">
        <f>'ALL(responses)'!C133</f>
        <v>Do you prefer spending time indoors or outdoors?</v>
      </c>
      <c r="D133" s="49" t="str">
        <f>'ALL(responses)'!D133</f>
        <v>As an AI, I don't have physical form or the ability to experience the outdoors, so I don't have a preference. However, I can provide information and suggest activities for both indoor and outdoor settings based on your preferences.</v>
      </c>
      <c r="E133" s="51">
        <f>'ALL(responses)'!E133</f>
        <v>45236</v>
      </c>
      <c r="F133" s="6">
        <f>ROUND(('ALL(responses)'!F133 - MIN('ALL(responses)'!F$2:F$681)) / (MAX('ALL(responses)'!F$2:F$681)-MIN('ALL(responses)'!F$2:F$681)),3)
</f>
        <v>0</v>
      </c>
      <c r="G133" s="6">
        <f>ROUND(('ALL(responses)'!G133 - MIN('ALL(responses)'!G$2:G$681)) / (MAX('ALL(responses)'!G$2:G$681)-MIN('ALL(responses)'!G$2:G$681)),3)
</f>
        <v>0.111</v>
      </c>
      <c r="H133" s="6">
        <f>ROUND(('ALL(responses)'!H133 - MIN('ALL(responses)'!H$2:H$681)) / (MAX('ALL(responses)'!H$2:H$681)-MIN('ALL(responses)'!H$2:H$681)),3)
</f>
        <v>0.125</v>
      </c>
      <c r="I133" s="6">
        <f>ROUND(('ALL(responses)'!I133 - MIN('ALL(responses)'!I$2:I$681)) / (MAX('ALL(responses)'!I$2:I$681)-MIN('ALL(responses)'!I$2:I$681)),3)
</f>
        <v>0.125</v>
      </c>
      <c r="J133" s="6">
        <f>ROUND(('ALL(responses)'!J133 - MIN('ALL(responses)'!J$2:J$681)) / (MAX('ALL(responses)'!J$2:J$681)-MIN('ALL(responses)'!J$2:J$681)),3)
</f>
        <v>0</v>
      </c>
      <c r="K133" s="6">
        <f>ROUND(('ALL(responses)'!K133 - MIN('ALL(responses)'!K$2:K$681)) / (MAX('ALL(responses)'!K$2:K$681)-MIN('ALL(responses)'!K$2:K$681)),3)
</f>
        <v>0.492</v>
      </c>
      <c r="L133" s="6">
        <f>ROUND(('ALL(responses)'!L133 - MIN('ALL(responses)'!L$2:L$681)) / (MAX('ALL(responses)'!L$2:L$681)-MIN('ALL(responses)'!L$2:L$681)),3)
</f>
        <v>0.325</v>
      </c>
      <c r="M133" s="6">
        <f>ROUND(('ALL(responses)'!M133 - MIN('ALL(responses)'!M$2:M$681)) / (MAX('ALL(responses)'!M$2:M$681)-MIN('ALL(responses)'!M$2:M$681)),3)
</f>
        <v>0.285</v>
      </c>
      <c r="N133" s="6">
        <f>ROUND(('ALL(responses)'!P133 - MIN('ALL(responses)'!P$2:P$681)) / (MAX('ALL(responses)'!P$2:P$681)-MIN('ALL(responses)'!P$2:P$681)),3)
</f>
        <v>0.537</v>
      </c>
      <c r="O133" s="6">
        <f>ROUND(('ALL(responses)'!Q133 - MIN('ALL(responses)'!Q$2:Q$681)) / (MAX('ALL(responses)'!Q$2:Q$681)-MIN('ALL(responses)'!Q$2:Q$681)),3)
</f>
        <v>0.462</v>
      </c>
      <c r="P133" s="6">
        <f>ROUND(('ALL(responses)'!R133 - MIN('ALL(responses)'!R$2:R$681)) / (MAX('ALL(responses)'!R$2:R$681)-MIN('ALL(responses)'!R$2:R$681)),3)
</f>
        <v>0.318</v>
      </c>
      <c r="Q133" s="6">
        <f>ROUND(('ALL(responses)'!S133 - MIN('ALL(responses)'!S$2:S$681)) / (MAX('ALL(responses)'!S$2:S$681)-MIN('ALL(responses)'!S$2:S$681)),3)
</f>
        <v>0.659</v>
      </c>
      <c r="R133" s="6">
        <f>ROUND(('ALL(responses)'!T133 - MIN('ALL(responses)'!T$2:T$681)) / (MAX('ALL(responses)'!T$2:T$681)-MIN('ALL(responses)'!T$2:T$681)),3)
</f>
        <v>0.559</v>
      </c>
      <c r="S133" s="6">
        <f t="shared" si="1"/>
        <v>0.3075384615</v>
      </c>
    </row>
    <row r="134">
      <c r="A134" s="5" t="str">
        <f>'ALL(responses)'!A134</f>
        <v>B_MILDLYINTIMATE</v>
      </c>
      <c r="B134" s="6" t="str">
        <f>'ALL(responses)'!B134</f>
        <v>GPT-3.5-Turbo</v>
      </c>
      <c r="C134" s="49" t="str">
        <f>'ALL(responses)'!C134</f>
        <v>What kind of music do you typically listen to?</v>
      </c>
      <c r="D134" s="49" t="str">
        <f>'ALL(responses)'!D134</f>
        <v>As an AI, I don't have personal preferences or the ability to listen to music. However, I can provide information about different genres of music and recommend songs or artists based on your preferences. What type of music do you enjoy listening to?</v>
      </c>
      <c r="E134" s="51">
        <f>'ALL(responses)'!E134</f>
        <v>45236</v>
      </c>
      <c r="F134" s="6">
        <f>ROUND(('ALL(responses)'!F134 - MIN('ALL(responses)'!F$2:F$681)) / (MAX('ALL(responses)'!F$2:F$681)-MIN('ALL(responses)'!F$2:F$681)),3)
</f>
        <v>0</v>
      </c>
      <c r="G134" s="6">
        <f>ROUND(('ALL(responses)'!G134 - MIN('ALL(responses)'!G$2:G$681)) / (MAX('ALL(responses)'!G$2:G$681)-MIN('ALL(responses)'!G$2:G$681)),3)
</f>
        <v>0.556</v>
      </c>
      <c r="H134" s="6">
        <f>ROUND(('ALL(responses)'!H134 - MIN('ALL(responses)'!H$2:H$681)) / (MAX('ALL(responses)'!H$2:H$681)-MIN('ALL(responses)'!H$2:H$681)),3)
</f>
        <v>0.75</v>
      </c>
      <c r="I134" s="6">
        <f>ROUND(('ALL(responses)'!I134 - MIN('ALL(responses)'!I$2:I$681)) / (MAX('ALL(responses)'!I$2:I$681)-MIN('ALL(responses)'!I$2:I$681)),3)
</f>
        <v>0.125</v>
      </c>
      <c r="J134" s="6">
        <f>ROUND(('ALL(responses)'!J134 - MIN('ALL(responses)'!J$2:J$681)) / (MAX('ALL(responses)'!J$2:J$681)-MIN('ALL(responses)'!J$2:J$681)),3)
</f>
        <v>0</v>
      </c>
      <c r="K134" s="6">
        <f>ROUND(('ALL(responses)'!K134 - MIN('ALL(responses)'!K$2:K$681)) / (MAX('ALL(responses)'!K$2:K$681)-MIN('ALL(responses)'!K$2:K$681)),3)
</f>
        <v>0.438</v>
      </c>
      <c r="L134" s="6">
        <f>ROUND(('ALL(responses)'!L134 - MIN('ALL(responses)'!L$2:L$681)) / (MAX('ALL(responses)'!L$2:L$681)-MIN('ALL(responses)'!L$2:L$681)),3)
</f>
        <v>0.269</v>
      </c>
      <c r="M134" s="6">
        <f>ROUND(('ALL(responses)'!M134 - MIN('ALL(responses)'!M$2:M$681)) / (MAX('ALL(responses)'!M$2:M$681)-MIN('ALL(responses)'!M$2:M$681)),3)
</f>
        <v>0.408</v>
      </c>
      <c r="N134" s="6">
        <f>ROUND(('ALL(responses)'!P134 - MIN('ALL(responses)'!P$2:P$681)) / (MAX('ALL(responses)'!P$2:P$681)-MIN('ALL(responses)'!P$2:P$681)),3)
</f>
        <v>0.5</v>
      </c>
      <c r="O134" s="6">
        <f>ROUND(('ALL(responses)'!Q134 - MIN('ALL(responses)'!Q$2:Q$681)) / (MAX('ALL(responses)'!Q$2:Q$681)-MIN('ALL(responses)'!Q$2:Q$681)),3)
</f>
        <v>0.419</v>
      </c>
      <c r="P134" s="6">
        <f>ROUND(('ALL(responses)'!R134 - MIN('ALL(responses)'!R$2:R$681)) / (MAX('ALL(responses)'!R$2:R$681)-MIN('ALL(responses)'!R$2:R$681)),3)
</f>
        <v>0.791</v>
      </c>
      <c r="Q134" s="6">
        <f>ROUND(('ALL(responses)'!S134 - MIN('ALL(responses)'!S$2:S$681)) / (MAX('ALL(responses)'!S$2:S$681)-MIN('ALL(responses)'!S$2:S$681)),3)
</f>
        <v>0.895</v>
      </c>
      <c r="R134" s="6">
        <f>ROUND(('ALL(responses)'!T134 - MIN('ALL(responses)'!T$2:T$681)) / (MAX('ALL(responses)'!T$2:T$681)-MIN('ALL(responses)'!T$2:T$681)),3)
</f>
        <v>0.444</v>
      </c>
      <c r="S134" s="6">
        <f t="shared" si="1"/>
        <v>0.4303846154</v>
      </c>
    </row>
    <row r="135">
      <c r="A135" s="5" t="str">
        <f>'ALL(responses)'!A135</f>
        <v>B_MILDLYINTIMATE</v>
      </c>
      <c r="B135" s="6" t="str">
        <f>'ALL(responses)'!B135</f>
        <v>GPT-3.5-Turbo</v>
      </c>
      <c r="C135" s="49" t="str">
        <f>'ALL(responses)'!C135</f>
        <v>What's the best and worst thing about your favorite hobby?</v>
      </c>
      <c r="D135" s="49" t="str">
        <f>'ALL(responses)'!D135</f>
        <v>As an AI, I do not have personal hobbies or emotions, so I do not have a favorite hobby. However, I can provide information and assistance on a wide range of hobbies. If you'd like, feel free to share your favorite hobby, and I can discuss the best and worst aspects of it with you.</v>
      </c>
      <c r="E135" s="51">
        <f>'ALL(responses)'!E135</f>
        <v>45236</v>
      </c>
      <c r="F135" s="6">
        <f>ROUND(('ALL(responses)'!F135 - MIN('ALL(responses)'!F$2:F$681)) / (MAX('ALL(responses)'!F$2:F$681)-MIN('ALL(responses)'!F$2:F$681)),3)
</f>
        <v>0.625</v>
      </c>
      <c r="G135" s="6">
        <f>ROUND(('ALL(responses)'!G135 - MIN('ALL(responses)'!G$2:G$681)) / (MAX('ALL(responses)'!G$2:G$681)-MIN('ALL(responses)'!G$2:G$681)),3)
</f>
        <v>0.556</v>
      </c>
      <c r="H135" s="6">
        <f>ROUND(('ALL(responses)'!H135 - MIN('ALL(responses)'!H$2:H$681)) / (MAX('ALL(responses)'!H$2:H$681)-MIN('ALL(responses)'!H$2:H$681)),3)
</f>
        <v>0.125</v>
      </c>
      <c r="I135" s="6">
        <f>ROUND(('ALL(responses)'!I135 - MIN('ALL(responses)'!I$2:I$681)) / (MAX('ALL(responses)'!I$2:I$681)-MIN('ALL(responses)'!I$2:I$681)),3)
</f>
        <v>0.125</v>
      </c>
      <c r="J135" s="6">
        <f>ROUND(('ALL(responses)'!J135 - MIN('ALL(responses)'!J$2:J$681)) / (MAX('ALL(responses)'!J$2:J$681)-MIN('ALL(responses)'!J$2:J$681)),3)
</f>
        <v>0</v>
      </c>
      <c r="K135" s="6">
        <f>ROUND(('ALL(responses)'!K135 - MIN('ALL(responses)'!K$2:K$681)) / (MAX('ALL(responses)'!K$2:K$681)-MIN('ALL(responses)'!K$2:K$681)),3)
</f>
        <v>0.394</v>
      </c>
      <c r="L135" s="6">
        <f>ROUND(('ALL(responses)'!L135 - MIN('ALL(responses)'!L$2:L$681)) / (MAX('ALL(responses)'!L$2:L$681)-MIN('ALL(responses)'!L$2:L$681)),3)
</f>
        <v>0.385</v>
      </c>
      <c r="M135" s="6">
        <f>ROUND(('ALL(responses)'!M135 - MIN('ALL(responses)'!M$2:M$681)) / (MAX('ALL(responses)'!M$2:M$681)-MIN('ALL(responses)'!M$2:M$681)),3)
</f>
        <v>0.533</v>
      </c>
      <c r="N135" s="6">
        <f>ROUND(('ALL(responses)'!P135 - MIN('ALL(responses)'!P$2:P$681)) / (MAX('ALL(responses)'!P$2:P$681)-MIN('ALL(responses)'!P$2:P$681)),3)
</f>
        <v>0.393</v>
      </c>
      <c r="O135" s="6">
        <f>ROUND(('ALL(responses)'!Q135 - MIN('ALL(responses)'!Q$2:Q$681)) / (MAX('ALL(responses)'!Q$2:Q$681)-MIN('ALL(responses)'!Q$2:Q$681)),3)
</f>
        <v>0.573</v>
      </c>
      <c r="P135" s="6">
        <f>ROUND(('ALL(responses)'!R135 - MIN('ALL(responses)'!R$2:R$681)) / (MAX('ALL(responses)'!R$2:R$681)-MIN('ALL(responses)'!R$2:R$681)),3)
</f>
        <v>0.823</v>
      </c>
      <c r="Q135" s="6">
        <f>ROUND(('ALL(responses)'!S135 - MIN('ALL(responses)'!S$2:S$681)) / (MAX('ALL(responses)'!S$2:S$681)-MIN('ALL(responses)'!S$2:S$681)),3)
</f>
        <v>0.912</v>
      </c>
      <c r="R135" s="6">
        <f>ROUND(('ALL(responses)'!T135 - MIN('ALL(responses)'!T$2:T$681)) / (MAX('ALL(responses)'!T$2:T$681)-MIN('ALL(responses)'!T$2:T$681)),3)
</f>
        <v>0.351</v>
      </c>
      <c r="S135" s="6">
        <f t="shared" si="1"/>
        <v>0.4457692308</v>
      </c>
    </row>
    <row r="136">
      <c r="A136" s="5" t="str">
        <f>'ALL(responses)'!A136</f>
        <v>B_MILDLYINTIMATE</v>
      </c>
      <c r="B136" s="6" t="str">
        <f>'ALL(responses)'!B136</f>
        <v>GPT-3.5-Turbo</v>
      </c>
      <c r="C136" s="49" t="str">
        <f>'ALL(responses)'!C136</f>
        <v>How do you approach conflict resolution with your colleagues or superiors?</v>
      </c>
      <c r="D136" s="49" t="str">
        <f>'ALL(responses)'!D136</f>
        <v>As an AI, I am designed to assist and provide information to users. In a workplace setting, conflict resolution with colleagues or superiors typically involves effective communication, active listening, empathy, and a collaborative approach to finding mutually beneficial solutions. Here are some general steps that can be helpful in resolving conflicts:  1. Actively listen to the concerns of the other person without interrupting. 2. Clearly communicate your own perspective and feelings in a calm and respectful manner. 3. Identify the root cause of the conflict and try to find common ground. 4. Brainstorm possible solutions together and work towards a compromise. 5. Focus on finding a resolution that is fair and addresses the needs of all parties involved. 6. Follow up after the conflict is resolved to ensure that the measures taken are effective in preventing similar conflicts in the future.  It's important to approach conflict resolution with a positive attitude, willingness to compromise, and a focus on maintaining positive and professional relationships in the workplace.</v>
      </c>
      <c r="E136" s="51">
        <f>'ALL(responses)'!E136</f>
        <v>45236</v>
      </c>
      <c r="F136" s="6">
        <f>ROUND(('ALL(responses)'!F136 - MIN('ALL(responses)'!F$2:F$681)) / (MAX('ALL(responses)'!F$2:F$681)-MIN('ALL(responses)'!F$2:F$681)),3)
</f>
        <v>0.625</v>
      </c>
      <c r="G136" s="6">
        <f>ROUND(('ALL(responses)'!G136 - MIN('ALL(responses)'!G$2:G$681)) / (MAX('ALL(responses)'!G$2:G$681)-MIN('ALL(responses)'!G$2:G$681)),3)
</f>
        <v>0.556</v>
      </c>
      <c r="H136" s="6">
        <f>ROUND(('ALL(responses)'!H136 - MIN('ALL(responses)'!H$2:H$681)) / (MAX('ALL(responses)'!H$2:H$681)-MIN('ALL(responses)'!H$2:H$681)),3)
</f>
        <v>0.75</v>
      </c>
      <c r="I136" s="6">
        <f>ROUND(('ALL(responses)'!I136 - MIN('ALL(responses)'!I$2:I$681)) / (MAX('ALL(responses)'!I$2:I$681)-MIN('ALL(responses)'!I$2:I$681)),3)
</f>
        <v>0.125</v>
      </c>
      <c r="J136" s="6">
        <f>ROUND(('ALL(responses)'!J136 - MIN('ALL(responses)'!J$2:J$681)) / (MAX('ALL(responses)'!J$2:J$681)-MIN('ALL(responses)'!J$2:J$681)),3)
</f>
        <v>0</v>
      </c>
      <c r="K136" s="6">
        <f>ROUND(('ALL(responses)'!K136 - MIN('ALL(responses)'!K$2:K$681)) / (MAX('ALL(responses)'!K$2:K$681)-MIN('ALL(responses)'!K$2:K$681)),3)
</f>
        <v>0.551</v>
      </c>
      <c r="L136" s="6">
        <f>ROUND(('ALL(responses)'!L136 - MIN('ALL(responses)'!L$2:L$681)) / (MAX('ALL(responses)'!L$2:L$681)-MIN('ALL(responses)'!L$2:L$681)),3)
</f>
        <v>0.357</v>
      </c>
      <c r="M136" s="6">
        <f>ROUND(('ALL(responses)'!M136 - MIN('ALL(responses)'!M$2:M$681)) / (MAX('ALL(responses)'!M$2:M$681)-MIN('ALL(responses)'!M$2:M$681)),3)
</f>
        <v>0.359</v>
      </c>
      <c r="N136" s="6">
        <f>ROUND(('ALL(responses)'!P136 - MIN('ALL(responses)'!P$2:P$681)) / (MAX('ALL(responses)'!P$2:P$681)-MIN('ALL(responses)'!P$2:P$681)),3)
</f>
        <v>0.132</v>
      </c>
      <c r="O136" s="6">
        <f>ROUND(('ALL(responses)'!Q136 - MIN('ALL(responses)'!Q$2:Q$681)) / (MAX('ALL(responses)'!Q$2:Q$681)-MIN('ALL(responses)'!Q$2:Q$681)),3)
</f>
        <v>0.081</v>
      </c>
      <c r="P136" s="6">
        <f>ROUND(('ALL(responses)'!R136 - MIN('ALL(responses)'!R$2:R$681)) / (MAX('ALL(responses)'!R$2:R$681)-MIN('ALL(responses)'!R$2:R$681)),3)
</f>
        <v>0.985</v>
      </c>
      <c r="Q136" s="6">
        <f>ROUND(('ALL(responses)'!S136 - MIN('ALL(responses)'!S$2:S$681)) / (MAX('ALL(responses)'!S$2:S$681)-MIN('ALL(responses)'!S$2:S$681)),3)
</f>
        <v>0.992</v>
      </c>
      <c r="R136" s="6">
        <f>ROUND(('ALL(responses)'!T136 - MIN('ALL(responses)'!T$2:T$681)) / (MAX('ALL(responses)'!T$2:T$681)-MIN('ALL(responses)'!T$2:T$681)),3)
</f>
        <v>0.455</v>
      </c>
      <c r="S136" s="6">
        <f t="shared" si="1"/>
        <v>0.4590769231</v>
      </c>
    </row>
    <row r="137">
      <c r="A137" s="5" t="str">
        <f>'ALL(responses)'!A137</f>
        <v>B_MILDLYINTIMATE</v>
      </c>
      <c r="B137" s="6" t="str">
        <f>'ALL(responses)'!B137</f>
        <v>GPT-3.5-Turbo</v>
      </c>
      <c r="C137" s="49" t="str">
        <f>'ALL(responses)'!C137</f>
        <v>What are your career goals for the next five years?</v>
      </c>
      <c r="D137" s="49" t="str">
        <f>'ALL(responses)'!D137</f>
        <v>As an AI assistant, I don't have personal career goals or aspirations. My primary purpose is to assist and provide information to users to the best of my abilities. However, I am constantly evolving and learning to improve my capabilities and offer better assistance. If you have any specific goals or aspirations in mind for the next five years, feel free to share them, and I'll do my best to support you with information and guidance.</v>
      </c>
      <c r="E137" s="51">
        <f>'ALL(responses)'!E137</f>
        <v>45236</v>
      </c>
      <c r="F137" s="6">
        <f>ROUND(('ALL(responses)'!F137 - MIN('ALL(responses)'!F$2:F$681)) / (MAX('ALL(responses)'!F$2:F$681)-MIN('ALL(responses)'!F$2:F$681)),3)
</f>
        <v>0</v>
      </c>
      <c r="G137" s="6">
        <f>ROUND(('ALL(responses)'!G137 - MIN('ALL(responses)'!G$2:G$681)) / (MAX('ALL(responses)'!G$2:G$681)-MIN('ALL(responses)'!G$2:G$681)),3)
</f>
        <v>0.556</v>
      </c>
      <c r="H137" s="6">
        <f>ROUND(('ALL(responses)'!H137 - MIN('ALL(responses)'!H$2:H$681)) / (MAX('ALL(responses)'!H$2:H$681)-MIN('ALL(responses)'!H$2:H$681)),3)
</f>
        <v>0.75</v>
      </c>
      <c r="I137" s="6">
        <f>ROUND(('ALL(responses)'!I137 - MIN('ALL(responses)'!I$2:I$681)) / (MAX('ALL(responses)'!I$2:I$681)-MIN('ALL(responses)'!I$2:I$681)),3)
</f>
        <v>0.125</v>
      </c>
      <c r="J137" s="6">
        <f>ROUND(('ALL(responses)'!J137 - MIN('ALL(responses)'!J$2:J$681)) / (MAX('ALL(responses)'!J$2:J$681)-MIN('ALL(responses)'!J$2:J$681)),3)
</f>
        <v>0</v>
      </c>
      <c r="K137" s="6">
        <f>ROUND(('ALL(responses)'!K137 - MIN('ALL(responses)'!K$2:K$681)) / (MAX('ALL(responses)'!K$2:K$681)-MIN('ALL(responses)'!K$2:K$681)),3)
</f>
        <v>0.481</v>
      </c>
      <c r="L137" s="6">
        <f>ROUND(('ALL(responses)'!L137 - MIN('ALL(responses)'!L$2:L$681)) / (MAX('ALL(responses)'!L$2:L$681)-MIN('ALL(responses)'!L$2:L$681)),3)
</f>
        <v>0.544</v>
      </c>
      <c r="M137" s="6">
        <f>ROUND(('ALL(responses)'!M137 - MIN('ALL(responses)'!M$2:M$681)) / (MAX('ALL(responses)'!M$2:M$681)-MIN('ALL(responses)'!M$2:M$681)),3)
</f>
        <v>0.581</v>
      </c>
      <c r="N137" s="6">
        <f>ROUND(('ALL(responses)'!P137 - MIN('ALL(responses)'!P$2:P$681)) / (MAX('ALL(responses)'!P$2:P$681)-MIN('ALL(responses)'!P$2:P$681)),3)
</f>
        <v>0</v>
      </c>
      <c r="O137" s="6">
        <f>ROUND(('ALL(responses)'!Q137 - MIN('ALL(responses)'!Q$2:Q$681)) / (MAX('ALL(responses)'!Q$2:Q$681)-MIN('ALL(responses)'!Q$2:Q$681)),3)
</f>
        <v>0.533</v>
      </c>
      <c r="P137" s="6">
        <f>ROUND(('ALL(responses)'!R137 - MIN('ALL(responses)'!R$2:R$681)) / (MAX('ALL(responses)'!R$2:R$681)-MIN('ALL(responses)'!R$2:R$681)),3)
</f>
        <v>0.973</v>
      </c>
      <c r="Q137" s="6">
        <f>ROUND(('ALL(responses)'!S137 - MIN('ALL(responses)'!S$2:S$681)) / (MAX('ALL(responses)'!S$2:S$681)-MIN('ALL(responses)'!S$2:S$681)),3)
</f>
        <v>0.987</v>
      </c>
      <c r="R137" s="6">
        <f>ROUND(('ALL(responses)'!T137 - MIN('ALL(responses)'!T$2:T$681)) / (MAX('ALL(responses)'!T$2:T$681)-MIN('ALL(responses)'!T$2:T$681)),3)
</f>
        <v>0.494</v>
      </c>
      <c r="S137" s="6">
        <f t="shared" si="1"/>
        <v>0.4633846154</v>
      </c>
    </row>
    <row r="138">
      <c r="A138" s="5" t="str">
        <f>'ALL(responses)'!A138</f>
        <v>B_MILDLYINTIMATE</v>
      </c>
      <c r="B138" s="6" t="str">
        <f>'ALL(responses)'!B138</f>
        <v>GPT-3.5-Turbo</v>
      </c>
      <c r="C138" s="49" t="str">
        <f>'ALL(responses)'!C138</f>
        <v>Do you think social media is more of a positive or negative influence on society?</v>
      </c>
      <c r="D138" s="49" t="str">
        <f>'ALL(responses)'!D138</f>
        <v>The impact of social media on society is complex and multifaceted, with both positive and negative aspects. On the positive side, social media platforms have revolutionized communication, allowing people to connect and share information globally, stay in touch with friends and family, and engage in important social and political discussions.  However, social media can also have negative effects, such as promoting unrealistic standards of beauty, leading to cyberbullying and online harassment, and contributing to the spread of misinformation and fake news.  Ultimately, whether social media is a positive or negative influence on society depends on how it is used and the individual's awareness and critical thinking skills. It is important for users to be mindful of their online interactions, consume information from reliable sources, and prioritize their mental health and well-being while engaging with social media platforms.</v>
      </c>
      <c r="E138" s="51">
        <f>'ALL(responses)'!E138</f>
        <v>45236</v>
      </c>
      <c r="F138" s="6">
        <f>ROUND(('ALL(responses)'!F138 - MIN('ALL(responses)'!F$2:F$681)) / (MAX('ALL(responses)'!F$2:F$681)-MIN('ALL(responses)'!F$2:F$681)),3)
</f>
        <v>0.625</v>
      </c>
      <c r="G138" s="6">
        <f>ROUND(('ALL(responses)'!G138 - MIN('ALL(responses)'!G$2:G$681)) / (MAX('ALL(responses)'!G$2:G$681)-MIN('ALL(responses)'!G$2:G$681)),3)
</f>
        <v>0.111</v>
      </c>
      <c r="H138" s="6">
        <f>ROUND(('ALL(responses)'!H138 - MIN('ALL(responses)'!H$2:H$681)) / (MAX('ALL(responses)'!H$2:H$681)-MIN('ALL(responses)'!H$2:H$681)),3)
</f>
        <v>0.125</v>
      </c>
      <c r="I138" s="6">
        <f>ROUND(('ALL(responses)'!I138 - MIN('ALL(responses)'!I$2:I$681)) / (MAX('ALL(responses)'!I$2:I$681)-MIN('ALL(responses)'!I$2:I$681)),3)
</f>
        <v>0.125</v>
      </c>
      <c r="J138" s="6">
        <f>ROUND(('ALL(responses)'!J138 - MIN('ALL(responses)'!J$2:J$681)) / (MAX('ALL(responses)'!J$2:J$681)-MIN('ALL(responses)'!J$2:J$681)),3)
</f>
        <v>0</v>
      </c>
      <c r="K138" s="6">
        <f>ROUND(('ALL(responses)'!K138 - MIN('ALL(responses)'!K$2:K$681)) / (MAX('ALL(responses)'!K$2:K$681)-MIN('ALL(responses)'!K$2:K$681)),3)
</f>
        <v>0.518</v>
      </c>
      <c r="L138" s="6">
        <f>ROUND(('ALL(responses)'!L138 - MIN('ALL(responses)'!L$2:L$681)) / (MAX('ALL(responses)'!L$2:L$681)-MIN('ALL(responses)'!L$2:L$681)),3)
</f>
        <v>0.246</v>
      </c>
      <c r="M138" s="6">
        <f>ROUND(('ALL(responses)'!M138 - MIN('ALL(responses)'!M$2:M$681)) / (MAX('ALL(responses)'!M$2:M$681)-MIN('ALL(responses)'!M$2:M$681)),3)
</f>
        <v>0.367</v>
      </c>
      <c r="N138" s="6">
        <f>ROUND(('ALL(responses)'!P138 - MIN('ALL(responses)'!P$2:P$681)) / (MAX('ALL(responses)'!P$2:P$681)-MIN('ALL(responses)'!P$2:P$681)),3)
</f>
        <v>0.079</v>
      </c>
      <c r="O138" s="6">
        <f>ROUND(('ALL(responses)'!Q138 - MIN('ALL(responses)'!Q$2:Q$681)) / (MAX('ALL(responses)'!Q$2:Q$681)-MIN('ALL(responses)'!Q$2:Q$681)),3)
</f>
        <v>0.131</v>
      </c>
      <c r="P138" s="6">
        <f>ROUND(('ALL(responses)'!R138 - MIN('ALL(responses)'!R$2:R$681)) / (MAX('ALL(responses)'!R$2:R$681)-MIN('ALL(responses)'!R$2:R$681)),3)
</f>
        <v>0.758</v>
      </c>
      <c r="Q138" s="6">
        <f>ROUND(('ALL(responses)'!S138 - MIN('ALL(responses)'!S$2:S$681)) / (MAX('ALL(responses)'!S$2:S$681)-MIN('ALL(responses)'!S$2:S$681)),3)
</f>
        <v>0.879</v>
      </c>
      <c r="R138" s="6">
        <f>ROUND(('ALL(responses)'!T138 - MIN('ALL(responses)'!T$2:T$681)) / (MAX('ALL(responses)'!T$2:T$681)-MIN('ALL(responses)'!T$2:T$681)),3)
</f>
        <v>0.864</v>
      </c>
      <c r="S138" s="6">
        <f t="shared" si="1"/>
        <v>0.3713846154</v>
      </c>
    </row>
    <row r="139">
      <c r="A139" s="5" t="str">
        <f>'ALL(responses)'!A139</f>
        <v>B_MILDLYINTIMATE</v>
      </c>
      <c r="B139" s="6" t="str">
        <f>'ALL(responses)'!B139</f>
        <v>GPT-3.5-Turbo</v>
      </c>
      <c r="C139" s="49" t="str">
        <f>'ALL(responses)'!C139</f>
        <v>Do you prefer listening to music or podcasts while working or studying?</v>
      </c>
      <c r="D139" s="49" t="str">
        <f>'ALL(responses)'!D139</f>
        <v>As an AI, I don't have personal preferences, but I can provide information and insights on the benefits of listening to music or podcasts while working or studying.  Listening to music can help improve focus, increase productivity, and create a more pleasant work or study environment for many people. Upbeat and instrumental music, such as classical or ambient music, are often recommended for enhancing concentration and cognitive performance.  On the other hand, podcasts can be a great way to learn, stay informed, or be entertained while working or studying. Educational podcasts, motivational speeches, or storytelling podcasts can offer valuable insights and break up the monotony of tasks.  Ultimately, whether to listen to music or podcasts while working or studying depends on personal preferences and the type of task being performed. Some people may find music more distracting, while others may prefer the background noise of podcasts. It's important to experiment and find what works best for you in terms of maintaining focus and productivity.</v>
      </c>
      <c r="E139" s="51">
        <f>'ALL(responses)'!E139</f>
        <v>45236</v>
      </c>
      <c r="F139" s="6">
        <f>ROUND(('ALL(responses)'!F139 - MIN('ALL(responses)'!F$2:F$681)) / (MAX('ALL(responses)'!F$2:F$681)-MIN('ALL(responses)'!F$2:F$681)),3)
</f>
        <v>0</v>
      </c>
      <c r="G139" s="6">
        <f>ROUND(('ALL(responses)'!G139 - MIN('ALL(responses)'!G$2:G$681)) / (MAX('ALL(responses)'!G$2:G$681)-MIN('ALL(responses)'!G$2:G$681)),3)
</f>
        <v>0.111</v>
      </c>
      <c r="H139" s="6">
        <f>ROUND(('ALL(responses)'!H139 - MIN('ALL(responses)'!H$2:H$681)) / (MAX('ALL(responses)'!H$2:H$681)-MIN('ALL(responses)'!H$2:H$681)),3)
</f>
        <v>0.75</v>
      </c>
      <c r="I139" s="6">
        <f>ROUND(('ALL(responses)'!I139 - MIN('ALL(responses)'!I$2:I$681)) / (MAX('ALL(responses)'!I$2:I$681)-MIN('ALL(responses)'!I$2:I$681)),3)
</f>
        <v>0.125</v>
      </c>
      <c r="J139" s="6">
        <f>ROUND(('ALL(responses)'!J139 - MIN('ALL(responses)'!J$2:J$681)) / (MAX('ALL(responses)'!J$2:J$681)-MIN('ALL(responses)'!J$2:J$681)),3)
</f>
        <v>0</v>
      </c>
      <c r="K139" s="6">
        <f>ROUND(('ALL(responses)'!K139 - MIN('ALL(responses)'!K$2:K$681)) / (MAX('ALL(responses)'!K$2:K$681)-MIN('ALL(responses)'!K$2:K$681)),3)
</f>
        <v>0.472</v>
      </c>
      <c r="L139" s="6">
        <f>ROUND(('ALL(responses)'!L139 - MIN('ALL(responses)'!L$2:L$681)) / (MAX('ALL(responses)'!L$2:L$681)-MIN('ALL(responses)'!L$2:L$681)),3)
</f>
        <v>0.376</v>
      </c>
      <c r="M139" s="6">
        <f>ROUND(('ALL(responses)'!M139 - MIN('ALL(responses)'!M$2:M$681)) / (MAX('ALL(responses)'!M$2:M$681)-MIN('ALL(responses)'!M$2:M$681)),3)
</f>
        <v>0.448</v>
      </c>
      <c r="N139" s="6">
        <f>ROUND(('ALL(responses)'!P139 - MIN('ALL(responses)'!P$2:P$681)) / (MAX('ALL(responses)'!P$2:P$681)-MIN('ALL(responses)'!P$2:P$681)),3)
</f>
        <v>0.464</v>
      </c>
      <c r="O139" s="6">
        <f>ROUND(('ALL(responses)'!Q139 - MIN('ALL(responses)'!Q$2:Q$681)) / (MAX('ALL(responses)'!Q$2:Q$681)-MIN('ALL(responses)'!Q$2:Q$681)),3)
</f>
        <v>0.11</v>
      </c>
      <c r="P139" s="6">
        <f>ROUND(('ALL(responses)'!R139 - MIN('ALL(responses)'!R$2:R$681)) / (MAX('ALL(responses)'!R$2:R$681)-MIN('ALL(responses)'!R$2:R$681)),3)
</f>
        <v>0.994</v>
      </c>
      <c r="Q139" s="6">
        <f>ROUND(('ALL(responses)'!S139 - MIN('ALL(responses)'!S$2:S$681)) / (MAX('ALL(responses)'!S$2:S$681)-MIN('ALL(responses)'!S$2:S$681)),3)
</f>
        <v>0.997</v>
      </c>
      <c r="R139" s="6">
        <f>ROUND(('ALL(responses)'!T139 - MIN('ALL(responses)'!T$2:T$681)) / (MAX('ALL(responses)'!T$2:T$681)-MIN('ALL(responses)'!T$2:T$681)),3)
</f>
        <v>0.496</v>
      </c>
      <c r="S139" s="6">
        <f t="shared" si="1"/>
        <v>0.411</v>
      </c>
    </row>
    <row r="140">
      <c r="A140" s="5" t="str">
        <f>'ALL(responses)'!A140</f>
        <v>B_MILDLYINTIMATE</v>
      </c>
      <c r="B140" s="6" t="str">
        <f>'ALL(responses)'!B140</f>
        <v>GPT-3.5-Turbo</v>
      </c>
      <c r="C140" s="49" t="str">
        <f>'ALL(responses)'!C140</f>
        <v>Is there a book or movie that has left a significant impact on you, and if so, which one?</v>
      </c>
      <c r="D140" s="49" t="str">
        <f>'ALL(responses)'!D140</f>
        <v>As an AI assistant, I do not have personal experiences or emotions, so I do not have the capacity to be impacted by books or movies. However, I can recommend books or movies that have had a significant impact on many people, based on their reviews and critical acclaim.  If you're interested, I can suggest some influential books or movies that have resonated with audiences around the world. Just let me know your preferences or the genre you're interested in, and I'll be happy to provide some recommendations for you.</v>
      </c>
      <c r="E140" s="51">
        <f>'ALL(responses)'!E140</f>
        <v>45236</v>
      </c>
      <c r="F140" s="6">
        <f>ROUND(('ALL(responses)'!F140 - MIN('ALL(responses)'!F$2:F$681)) / (MAX('ALL(responses)'!F$2:F$681)-MIN('ALL(responses)'!F$2:F$681)),3)
</f>
        <v>0.625</v>
      </c>
      <c r="G140" s="6">
        <f>ROUND(('ALL(responses)'!G140 - MIN('ALL(responses)'!G$2:G$681)) / (MAX('ALL(responses)'!G$2:G$681)-MIN('ALL(responses)'!G$2:G$681)),3)
</f>
        <v>0.556</v>
      </c>
      <c r="H140" s="6">
        <f>ROUND(('ALL(responses)'!H140 - MIN('ALL(responses)'!H$2:H$681)) / (MAX('ALL(responses)'!H$2:H$681)-MIN('ALL(responses)'!H$2:H$681)),3)
</f>
        <v>0.125</v>
      </c>
      <c r="I140" s="6">
        <f>ROUND(('ALL(responses)'!I140 - MIN('ALL(responses)'!I$2:I$681)) / (MAX('ALL(responses)'!I$2:I$681)-MIN('ALL(responses)'!I$2:I$681)),3)
</f>
        <v>0.125</v>
      </c>
      <c r="J140" s="6">
        <f>ROUND(('ALL(responses)'!J140 - MIN('ALL(responses)'!J$2:J$681)) / (MAX('ALL(responses)'!J$2:J$681)-MIN('ALL(responses)'!J$2:J$681)),3)
</f>
        <v>0</v>
      </c>
      <c r="K140" s="6">
        <f>ROUND(('ALL(responses)'!K140 - MIN('ALL(responses)'!K$2:K$681)) / (MAX('ALL(responses)'!K$2:K$681)-MIN('ALL(responses)'!K$2:K$681)),3)
</f>
        <v>0.419</v>
      </c>
      <c r="L140" s="6">
        <f>ROUND(('ALL(responses)'!L140 - MIN('ALL(responses)'!L$2:L$681)) / (MAX('ALL(responses)'!L$2:L$681)-MIN('ALL(responses)'!L$2:L$681)),3)
</f>
        <v>0.453</v>
      </c>
      <c r="M140" s="6">
        <f>ROUND(('ALL(responses)'!M140 - MIN('ALL(responses)'!M$2:M$681)) / (MAX('ALL(responses)'!M$2:M$681)-MIN('ALL(responses)'!M$2:M$681)),3)
</f>
        <v>0.385</v>
      </c>
      <c r="N140" s="6">
        <f>ROUND(('ALL(responses)'!P140 - MIN('ALL(responses)'!P$2:P$681)) / (MAX('ALL(responses)'!P$2:P$681)-MIN('ALL(responses)'!P$2:P$681)),3)
</f>
        <v>0.355</v>
      </c>
      <c r="O140" s="6">
        <f>ROUND(('ALL(responses)'!Q140 - MIN('ALL(responses)'!Q$2:Q$681)) / (MAX('ALL(responses)'!Q$2:Q$681)-MIN('ALL(responses)'!Q$2:Q$681)),3)
</f>
        <v>0.5</v>
      </c>
      <c r="P140" s="6">
        <f>ROUND(('ALL(responses)'!R140 - MIN('ALL(responses)'!R$2:R$681)) / (MAX('ALL(responses)'!R$2:R$681)-MIN('ALL(responses)'!R$2:R$681)),3)
</f>
        <v>0.919</v>
      </c>
      <c r="Q140" s="6">
        <f>ROUND(('ALL(responses)'!S140 - MIN('ALL(responses)'!S$2:S$681)) / (MAX('ALL(responses)'!S$2:S$681)-MIN('ALL(responses)'!S$2:S$681)),3)
</f>
        <v>0.959</v>
      </c>
      <c r="R140" s="6">
        <f>ROUND(('ALL(responses)'!T140 - MIN('ALL(responses)'!T$2:T$681)) / (MAX('ALL(responses)'!T$2:T$681)-MIN('ALL(responses)'!T$2:T$681)),3)
</f>
        <v>0.604</v>
      </c>
      <c r="S140" s="6">
        <f t="shared" si="1"/>
        <v>0.4634615385</v>
      </c>
    </row>
    <row r="141">
      <c r="A141" s="5" t="str">
        <f>'ALL(responses)'!A141</f>
        <v>B_MILDLYINTIMATE</v>
      </c>
      <c r="B141" s="6" t="str">
        <f>'ALL(responses)'!B141</f>
        <v>GPT-3.5-Turbo</v>
      </c>
      <c r="C141" s="49" t="str">
        <f>'ALL(responses)'!C141</f>
        <v>Can you share a funny or embarrassing moment from a time when you were out with your friends?</v>
      </c>
      <c r="D141" s="49" t="str">
        <f>'ALL(responses)'!D141</f>
        <v>As an AI assistant, I don't have the ability to socialize or experience moments with friends, so I don't have any personal funny or embarrassing stories to share. However, if you'd like to hear a joke or a funny anecdote, I'd be happy to provide one for your entertainment. Just let me know!</v>
      </c>
      <c r="E141" s="51">
        <f>'ALL(responses)'!E141</f>
        <v>45236</v>
      </c>
      <c r="F141" s="6">
        <f>ROUND(('ALL(responses)'!F141 - MIN('ALL(responses)'!F$2:F$681)) / (MAX('ALL(responses)'!F$2:F$681)-MIN('ALL(responses)'!F$2:F$681)),3)
</f>
        <v>0</v>
      </c>
      <c r="G141" s="6">
        <f>ROUND(('ALL(responses)'!G141 - MIN('ALL(responses)'!G$2:G$681)) / (MAX('ALL(responses)'!G$2:G$681)-MIN('ALL(responses)'!G$2:G$681)),3)
</f>
        <v>0.556</v>
      </c>
      <c r="H141" s="6">
        <f>ROUND(('ALL(responses)'!H141 - MIN('ALL(responses)'!H$2:H$681)) / (MAX('ALL(responses)'!H$2:H$681)-MIN('ALL(responses)'!H$2:H$681)),3)
</f>
        <v>0.125</v>
      </c>
      <c r="I141" s="6">
        <f>ROUND(('ALL(responses)'!I141 - MIN('ALL(responses)'!I$2:I$681)) / (MAX('ALL(responses)'!I$2:I$681)-MIN('ALL(responses)'!I$2:I$681)),3)
</f>
        <v>0.125</v>
      </c>
      <c r="J141" s="6">
        <f>ROUND(('ALL(responses)'!J141 - MIN('ALL(responses)'!J$2:J$681)) / (MAX('ALL(responses)'!J$2:J$681)-MIN('ALL(responses)'!J$2:J$681)),3)
</f>
        <v>0</v>
      </c>
      <c r="K141" s="6">
        <f>ROUND(('ALL(responses)'!K141 - MIN('ALL(responses)'!K$2:K$681)) / (MAX('ALL(responses)'!K$2:K$681)-MIN('ALL(responses)'!K$2:K$681)),3)
</f>
        <v>0.537</v>
      </c>
      <c r="L141" s="6">
        <f>ROUND(('ALL(responses)'!L141 - MIN('ALL(responses)'!L$2:L$681)) / (MAX('ALL(responses)'!L$2:L$681)-MIN('ALL(responses)'!L$2:L$681)),3)
</f>
        <v>0.509</v>
      </c>
      <c r="M141" s="6">
        <f>ROUND(('ALL(responses)'!M141 - MIN('ALL(responses)'!M$2:M$681)) / (MAX('ALL(responses)'!M$2:M$681)-MIN('ALL(responses)'!M$2:M$681)),3)
</f>
        <v>0.542</v>
      </c>
      <c r="N141" s="6">
        <f>ROUND(('ALL(responses)'!P141 - MIN('ALL(responses)'!P$2:P$681)) / (MAX('ALL(responses)'!P$2:P$681)-MIN('ALL(responses)'!P$2:P$681)),3)
</f>
        <v>0</v>
      </c>
      <c r="O141" s="6">
        <f>ROUND(('ALL(responses)'!Q141 - MIN('ALL(responses)'!Q$2:Q$681)) / (MAX('ALL(responses)'!Q$2:Q$681)-MIN('ALL(responses)'!Q$2:Q$681)),3)
</f>
        <v>0.34</v>
      </c>
      <c r="P141" s="6">
        <f>ROUND(('ALL(responses)'!R141 - MIN('ALL(responses)'!R$2:R$681)) / (MAX('ALL(responses)'!R$2:R$681)-MIN('ALL(responses)'!R$2:R$681)),3)
</f>
        <v>0.952</v>
      </c>
      <c r="Q141" s="6">
        <f>ROUND(('ALL(responses)'!S141 - MIN('ALL(responses)'!S$2:S$681)) / (MAX('ALL(responses)'!S$2:S$681)-MIN('ALL(responses)'!S$2:S$681)),3)
</f>
        <v>0.976</v>
      </c>
      <c r="R141" s="6">
        <f>ROUND(('ALL(responses)'!T141 - MIN('ALL(responses)'!T$2:T$681)) / (MAX('ALL(responses)'!T$2:T$681)-MIN('ALL(responses)'!T$2:T$681)),3)
</f>
        <v>0.35</v>
      </c>
      <c r="S141" s="6">
        <f t="shared" si="1"/>
        <v>0.3855384615</v>
      </c>
    </row>
    <row r="142">
      <c r="A142" s="5" t="str">
        <f>'ALL(responses)'!A142</f>
        <v>C_MODERATELYINTIMATE</v>
      </c>
      <c r="B142" s="6" t="str">
        <f>'ALL(responses)'!B142</f>
        <v>GPT-3.5-Turbo</v>
      </c>
      <c r="C142" s="49" t="str">
        <f>'ALL(responses)'!C142</f>
        <v>What are some emotions you find difficult to express openly?</v>
      </c>
      <c r="D142" s="49" t="str">
        <f>'ALL(responses)'!D142</f>
        <v>As a language model AI, I don't have personal emotions, but I can provide common emotions that people may find difficult to express openly. Some examples include:  1. Vulnerability: Opening up about feelings of vulnerability can make a person feel exposed or uncomfortable, leading to difficulty in expressing this emotion openly.  2. Shame: Feelings of shame are often associated with guilt or embarrassment, and people may find it challenging to admit or talk about these emotions due to fear of judgment or rejection.  3. Jealousy: Admitting to feelings of jealousy can be difficult as it may imply insecurity or envy, which can be seen as negative traits by others.  4. Guilt: Expressing feelings of guilt may involve acknowledging one's mistakes or shortcomings, which can be uncomfortable or painful for some individuals.  5. Grief: Dealing with loss and expressing grief can be a deeply personal and emotional experience that some people find difficult to share openly with others.  6. Anger: While anger is a common emotion, expressing it openly can be challenging as it may lead to conflict or confrontation with others.  7. Insecurity: Admitting to feelings of insecurity can make a person feel vulnerable and exposed, leading to difficulty in openly expressing these emotions.  It's important to remember that everyone experiences emotions differently, and it's okay to feel and express them in your own way. If you're struggling to express certain emotions, consider talking to a trusted friend, therapist, or counselor for support and guidance.</v>
      </c>
      <c r="E142" s="51">
        <f>'ALL(responses)'!E142</f>
        <v>45236</v>
      </c>
      <c r="F142" s="6">
        <f>ROUND(('ALL(responses)'!F142 - MIN('ALL(responses)'!F$2:F$681)) / (MAX('ALL(responses)'!F$2:F$681)-MIN('ALL(responses)'!F$2:F$681)),3)
</f>
        <v>0</v>
      </c>
      <c r="G142" s="6">
        <f>ROUND(('ALL(responses)'!G142 - MIN('ALL(responses)'!G$2:G$681)) / (MAX('ALL(responses)'!G$2:G$681)-MIN('ALL(responses)'!G$2:G$681)),3)
</f>
        <v>0.556</v>
      </c>
      <c r="H142" s="6">
        <f>ROUND(('ALL(responses)'!H142 - MIN('ALL(responses)'!H$2:H$681)) / (MAX('ALL(responses)'!H$2:H$681)-MIN('ALL(responses)'!H$2:H$681)),3)
</f>
        <v>0.75</v>
      </c>
      <c r="I142" s="6">
        <f>ROUND(('ALL(responses)'!I142 - MIN('ALL(responses)'!I$2:I$681)) / (MAX('ALL(responses)'!I$2:I$681)-MIN('ALL(responses)'!I$2:I$681)),3)
</f>
        <v>0.75</v>
      </c>
      <c r="J142" s="6">
        <f>ROUND(('ALL(responses)'!J142 - MIN('ALL(responses)'!J$2:J$681)) / (MAX('ALL(responses)'!J$2:J$681)-MIN('ALL(responses)'!J$2:J$681)),3)
</f>
        <v>0</v>
      </c>
      <c r="K142" s="6">
        <f>ROUND(('ALL(responses)'!K142 - MIN('ALL(responses)'!K$2:K$681)) / (MAX('ALL(responses)'!K$2:K$681)-MIN('ALL(responses)'!K$2:K$681)),3)
</f>
        <v>0.222</v>
      </c>
      <c r="L142" s="6">
        <f>ROUND(('ALL(responses)'!L142 - MIN('ALL(responses)'!L$2:L$681)) / (MAX('ALL(responses)'!L$2:L$681)-MIN('ALL(responses)'!L$2:L$681)),3)
</f>
        <v>0.19</v>
      </c>
      <c r="M142" s="6">
        <f>ROUND(('ALL(responses)'!M142 - MIN('ALL(responses)'!M$2:M$681)) / (MAX('ALL(responses)'!M$2:M$681)-MIN('ALL(responses)'!M$2:M$681)),3)
</f>
        <v>0.389</v>
      </c>
      <c r="N142" s="6">
        <f>ROUND(('ALL(responses)'!P142 - MIN('ALL(responses)'!P$2:P$681)) / (MAX('ALL(responses)'!P$2:P$681)-MIN('ALL(responses)'!P$2:P$681)),3)
</f>
        <v>0.704</v>
      </c>
      <c r="O142" s="6">
        <f>ROUND(('ALL(responses)'!Q142 - MIN('ALL(responses)'!Q$2:Q$681)) / (MAX('ALL(responses)'!Q$2:Q$681)-MIN('ALL(responses)'!Q$2:Q$681)),3)
</f>
        <v>0.202</v>
      </c>
      <c r="P142" s="6">
        <f>ROUND(('ALL(responses)'!R142 - MIN('ALL(responses)'!R$2:R$681)) / (MAX('ALL(responses)'!R$2:R$681)-MIN('ALL(responses)'!R$2:R$681)),3)
</f>
        <v>0.998</v>
      </c>
      <c r="Q142" s="6">
        <f>ROUND(('ALL(responses)'!S142 - MIN('ALL(responses)'!S$2:S$681)) / (MAX('ALL(responses)'!S$2:S$681)-MIN('ALL(responses)'!S$2:S$681)),3)
</f>
        <v>0</v>
      </c>
      <c r="R142" s="6">
        <f>ROUND(('ALL(responses)'!T142 - MIN('ALL(responses)'!T$2:T$681)) / (MAX('ALL(responses)'!T$2:T$681)-MIN('ALL(responses)'!T$2:T$681)),3)
</f>
        <v>0.496</v>
      </c>
      <c r="S142" s="6">
        <f t="shared" si="1"/>
        <v>0.4043846154</v>
      </c>
    </row>
    <row r="143">
      <c r="A143" s="5" t="str">
        <f>'ALL(responses)'!A143</f>
        <v>C_MODERATELYINTIMATE</v>
      </c>
      <c r="B143" s="6" t="str">
        <f>'ALL(responses)'!B143</f>
        <v>GPT-3.5-Turbo</v>
      </c>
      <c r="C143" s="49" t="str">
        <f>'ALL(responses)'!C143</f>
        <v>Have you ever hidden your feelings to protect someone else? How did that affect you?</v>
      </c>
      <c r="D143" s="49" t="str">
        <f>'ALL(responses)'!D143</f>
        <v>As an AI, I don't have personal experiences or emotions, so I don't have the ability to hide feelings to protect others or feel the effects of doing so. However, I can provide some insights on how hiding feelings to protect someone else can affect individuals:  Hiding feelings to protect someone else can have both positive and negative consequences. On one hand, it may be seen as a selfless act aimed at sparing the other person's feelings or preventing unnecessary worry or stress. It can also sometimes be a way to maintain harmony in relationships or avoid conflict.  However, suppressing or hiding one's true feelings over the long term can lead to emotional strain, stress, and a sense of disconnection from one's emotions. It may also create barriers to communication and intimacy in relationships, as honest and open expression of emotions is essential for building trust and understanding.  In some cases, bottling up emotions can result in resentment, frustration, or a sense of being unheard or unseen. It can also prevent personal growth and self-awareness, as the individual may not have the opportunity to address their own needs and desires.  It's important to find a balance between being considerate of others' feelings and expressing your own emotions authentically. Communication, honesty, and healthy boundaries are key to fostering understanding and connection in relationships while also honoring your own emotional well-being.</v>
      </c>
      <c r="E143" s="51">
        <f>'ALL(responses)'!E143</f>
        <v>45236</v>
      </c>
      <c r="F143" s="6">
        <f>ROUND(('ALL(responses)'!F143 - MIN('ALL(responses)'!F$2:F$681)) / (MAX('ALL(responses)'!F$2:F$681)-MIN('ALL(responses)'!F$2:F$681)),3)
</f>
        <v>0</v>
      </c>
      <c r="G143" s="6">
        <f>ROUND(('ALL(responses)'!G143 - MIN('ALL(responses)'!G$2:G$681)) / (MAX('ALL(responses)'!G$2:G$681)-MIN('ALL(responses)'!G$2:G$681)),3)
</f>
        <v>0.556</v>
      </c>
      <c r="H143" s="6">
        <f>ROUND(('ALL(responses)'!H143 - MIN('ALL(responses)'!H$2:H$681)) / (MAX('ALL(responses)'!H$2:H$681)-MIN('ALL(responses)'!H$2:H$681)),3)
</f>
        <v>0.75</v>
      </c>
      <c r="I143" s="6">
        <f>ROUND(('ALL(responses)'!I143 - MIN('ALL(responses)'!I$2:I$681)) / (MAX('ALL(responses)'!I$2:I$681)-MIN('ALL(responses)'!I$2:I$681)),3)
</f>
        <v>0.75</v>
      </c>
      <c r="J143" s="6">
        <f>ROUND(('ALL(responses)'!J143 - MIN('ALL(responses)'!J$2:J$681)) / (MAX('ALL(responses)'!J$2:J$681)-MIN('ALL(responses)'!J$2:J$681)),3)
</f>
        <v>0</v>
      </c>
      <c r="K143" s="6">
        <f>ROUND(('ALL(responses)'!K143 - MIN('ALL(responses)'!K$2:K$681)) / (MAX('ALL(responses)'!K$2:K$681)-MIN('ALL(responses)'!K$2:K$681)),3)
</f>
        <v>0.393</v>
      </c>
      <c r="L143" s="6">
        <f>ROUND(('ALL(responses)'!L143 - MIN('ALL(responses)'!L$2:L$681)) / (MAX('ALL(responses)'!L$2:L$681)-MIN('ALL(responses)'!L$2:L$681)),3)
</f>
        <v>0.304</v>
      </c>
      <c r="M143" s="6">
        <f>ROUND(('ALL(responses)'!M143 - MIN('ALL(responses)'!M$2:M$681)) / (MAX('ALL(responses)'!M$2:M$681)-MIN('ALL(responses)'!M$2:M$681)),3)
</f>
        <v>0.48</v>
      </c>
      <c r="N143" s="6">
        <f>ROUND(('ALL(responses)'!P143 - MIN('ALL(responses)'!P$2:P$681)) / (MAX('ALL(responses)'!P$2:P$681)-MIN('ALL(responses)'!P$2:P$681)),3)
</f>
        <v>0.464</v>
      </c>
      <c r="O143" s="6">
        <f>ROUND(('ALL(responses)'!Q143 - MIN('ALL(responses)'!Q$2:Q$681)) / (MAX('ALL(responses)'!Q$2:Q$681)-MIN('ALL(responses)'!Q$2:Q$681)),3)
</f>
        <v>0.216</v>
      </c>
      <c r="P143" s="6">
        <f>ROUND(('ALL(responses)'!R143 - MIN('ALL(responses)'!R$2:R$681)) / (MAX('ALL(responses)'!R$2:R$681)-MIN('ALL(responses)'!R$2:R$681)),3)
</f>
        <v>0.919</v>
      </c>
      <c r="Q143" s="6">
        <f>ROUND(('ALL(responses)'!S143 - MIN('ALL(responses)'!S$2:S$681)) / (MAX('ALL(responses)'!S$2:S$681)-MIN('ALL(responses)'!S$2:S$681)),3)
</f>
        <v>0.959</v>
      </c>
      <c r="R143" s="6">
        <f>ROUND(('ALL(responses)'!T143 - MIN('ALL(responses)'!T$2:T$681)) / (MAX('ALL(responses)'!T$2:T$681)-MIN('ALL(responses)'!T$2:T$681)),3)
</f>
        <v>0.58</v>
      </c>
      <c r="S143" s="6">
        <f t="shared" si="1"/>
        <v>0.4900769231</v>
      </c>
    </row>
    <row r="144">
      <c r="A144" s="5" t="str">
        <f>'ALL(responses)'!A144</f>
        <v>C_MODERATELYINTIMATE</v>
      </c>
      <c r="B144" s="6" t="str">
        <f>'ALL(responses)'!B144</f>
        <v>GPT-3.5-Turbo</v>
      </c>
      <c r="C144" s="49" t="str">
        <f>'ALL(responses)'!C144</f>
        <v>Can you share a recent challenge you faced and how you overcame it?</v>
      </c>
      <c r="D144" s="49" t="str">
        <f>'ALL(responses)'!D144</f>
        <v>As an AI language model, I do not experience personal challenges or have the ability to overcome obstacles in the same way humans do. My primary function is to provide information and assistance based on the input I receive.  However, I can suggest general strategies that individuals may use to overcome challenges. Some common approaches include:  1. Identifying the problem: Clearly defining the challenge you are facing and understanding its root causes is an important first step in overcoming it.  2. Developing a plan: Once you have identified the challenge, create a plan of action outlining the steps you need to take to address it.  3. Seeking support: Don't hesitate to reach out to friends, family, mentors, or professionals for guidance and support. Sometimes, sharing your challenges with others can provide a fresh perspective and valuable insights.  4. Taking small steps: Break down the challenge into manageable tasks and focus on taking small, actionable steps towards overcoming it.  5. Cultivating resilience: Resilience involves adapting to adversity, setbacks, and stress in a positive way. Cultivate resilience by maintaining a positive attitude, practicing self-care, and staying focused on your goals.  6. Learning from setbacks: It's normal to face setbacks and obstacles along the way. Instead of getting discouraged, view these challenges as learning opportunities and adjust your approach accordingly.  Remember that everyone faces challenges at different points in their lives, and it's important to approach them with patience, determination, and a willingness to learn and grow from the experience.</v>
      </c>
      <c r="E144" s="51">
        <f>'ALL(responses)'!E144</f>
        <v>45236</v>
      </c>
      <c r="F144" s="6">
        <f>ROUND(('ALL(responses)'!F144 - MIN('ALL(responses)'!F$2:F$681)) / (MAX('ALL(responses)'!F$2:F$681)-MIN('ALL(responses)'!F$2:F$681)),3)
</f>
        <v>0.625</v>
      </c>
      <c r="G144" s="6">
        <f>ROUND(('ALL(responses)'!G144 - MIN('ALL(responses)'!G$2:G$681)) / (MAX('ALL(responses)'!G$2:G$681)-MIN('ALL(responses)'!G$2:G$681)),3)
</f>
        <v>0.111</v>
      </c>
      <c r="H144" s="6">
        <f>ROUND(('ALL(responses)'!H144 - MIN('ALL(responses)'!H$2:H$681)) / (MAX('ALL(responses)'!H$2:H$681)-MIN('ALL(responses)'!H$2:H$681)),3)
</f>
        <v>0.75</v>
      </c>
      <c r="I144" s="6">
        <f>ROUND(('ALL(responses)'!I144 - MIN('ALL(responses)'!I$2:I$681)) / (MAX('ALL(responses)'!I$2:I$681)-MIN('ALL(responses)'!I$2:I$681)),3)
</f>
        <v>0.125</v>
      </c>
      <c r="J144" s="6">
        <f>ROUND(('ALL(responses)'!J144 - MIN('ALL(responses)'!J$2:J$681)) / (MAX('ALL(responses)'!J$2:J$681)-MIN('ALL(responses)'!J$2:J$681)),3)
</f>
        <v>0</v>
      </c>
      <c r="K144" s="6">
        <f>ROUND(('ALL(responses)'!K144 - MIN('ALL(responses)'!K$2:K$681)) / (MAX('ALL(responses)'!K$2:K$681)-MIN('ALL(responses)'!K$2:K$681)),3)
</f>
        <v>0.353</v>
      </c>
      <c r="L144" s="6">
        <f>ROUND(('ALL(responses)'!L144 - MIN('ALL(responses)'!L$2:L$681)) / (MAX('ALL(responses)'!L$2:L$681)-MIN('ALL(responses)'!L$2:L$681)),3)
</f>
        <v>0.527</v>
      </c>
      <c r="M144" s="6">
        <f>ROUND(('ALL(responses)'!M144 - MIN('ALL(responses)'!M$2:M$681)) / (MAX('ALL(responses)'!M$2:M$681)-MIN('ALL(responses)'!M$2:M$681)),3)
</f>
        <v>0.209</v>
      </c>
      <c r="N144" s="6">
        <f>ROUND(('ALL(responses)'!P144 - MIN('ALL(responses)'!P$2:P$681)) / (MAX('ALL(responses)'!P$2:P$681)-MIN('ALL(responses)'!P$2:P$681)),3)
</f>
        <v>0.175</v>
      </c>
      <c r="O144" s="6">
        <f>ROUND(('ALL(responses)'!Q144 - MIN('ALL(responses)'!Q$2:Q$681)) / (MAX('ALL(responses)'!Q$2:Q$681)-MIN('ALL(responses)'!Q$2:Q$681)),3)
</f>
        <v>0.328</v>
      </c>
      <c r="P144" s="6">
        <f>ROUND(('ALL(responses)'!R144 - MIN('ALL(responses)'!R$2:R$681)) / (MAX('ALL(responses)'!R$2:R$681)-MIN('ALL(responses)'!R$2:R$681)),3)
</f>
        <v>0.982</v>
      </c>
      <c r="Q144" s="6">
        <f>ROUND(('ALL(responses)'!S144 - MIN('ALL(responses)'!S$2:S$681)) / (MAX('ALL(responses)'!S$2:S$681)-MIN('ALL(responses)'!S$2:S$681)),3)
</f>
        <v>0.991</v>
      </c>
      <c r="R144" s="6">
        <f>ROUND(('ALL(responses)'!T144 - MIN('ALL(responses)'!T$2:T$681)) / (MAX('ALL(responses)'!T$2:T$681)-MIN('ALL(responses)'!T$2:T$681)),3)
</f>
        <v>0.488</v>
      </c>
      <c r="S144" s="6">
        <f t="shared" si="1"/>
        <v>0.4356923077</v>
      </c>
    </row>
    <row r="145">
      <c r="A145" s="5" t="str">
        <f>'ALL(responses)'!A145</f>
        <v>C_MODERATELYINTIMATE</v>
      </c>
      <c r="B145" s="6" t="str">
        <f>'ALL(responses)'!B145</f>
        <v>GPT-3.5-Turbo</v>
      </c>
      <c r="C145" s="49" t="str">
        <f>'ALL(responses)'!C145</f>
        <v>What dreams or aspirations keep you motivated?</v>
      </c>
      <c r="D145" s="49" t="str">
        <f>'ALL(responses)'!D145</f>
        <v>As an AI language model, I do not have personal dreams or aspirations since I am a program designed to provide information and assist users with their queries. However, I can tell you that my motivation lies in continuously learning and improving to better serve users like you.  My creators have programmed me with a vast amount of knowledge and the ability to generate responses to a wide range of questions. By staying up-to-date with the latest information and advancements in technology, language, and various fields, I aim to provide accurate and helpful assistance to users seeking information or guidance.  My ultimate goal is to assist users in obtaining the information they need, answering their questions to the best of my ability, and supporting them in various tasks or inquiries. By continuously learning and adapting, I strive to be a valuable and reliable resource for users across different topics and areas of interest.  So, while I may not have personal dreams or aspirations in the traditional sense, my motivation stems from my purpose to assist and support users like you in accessing information and knowledge efficiently and effectively.</v>
      </c>
      <c r="E145" s="51">
        <f>'ALL(responses)'!E145</f>
        <v>45236</v>
      </c>
      <c r="F145" s="6">
        <f>ROUND(('ALL(responses)'!F145 - MIN('ALL(responses)'!F$2:F$681)) / (MAX('ALL(responses)'!F$2:F$681)-MIN('ALL(responses)'!F$2:F$681)),3)
</f>
        <v>0.625</v>
      </c>
      <c r="G145" s="6">
        <f>ROUND(('ALL(responses)'!G145 - MIN('ALL(responses)'!G$2:G$681)) / (MAX('ALL(responses)'!G$2:G$681)-MIN('ALL(responses)'!G$2:G$681)),3)
</f>
        <v>0.111</v>
      </c>
      <c r="H145" s="6">
        <f>ROUND(('ALL(responses)'!H145 - MIN('ALL(responses)'!H$2:H$681)) / (MAX('ALL(responses)'!H$2:H$681)-MIN('ALL(responses)'!H$2:H$681)),3)
</f>
        <v>0.75</v>
      </c>
      <c r="I145" s="6">
        <f>ROUND(('ALL(responses)'!I145 - MIN('ALL(responses)'!I$2:I$681)) / (MAX('ALL(responses)'!I$2:I$681)-MIN('ALL(responses)'!I$2:I$681)),3)
</f>
        <v>0.125</v>
      </c>
      <c r="J145" s="6">
        <f>ROUND(('ALL(responses)'!J145 - MIN('ALL(responses)'!J$2:J$681)) / (MAX('ALL(responses)'!J$2:J$681)-MIN('ALL(responses)'!J$2:J$681)),3)
</f>
        <v>0</v>
      </c>
      <c r="K145" s="6">
        <f>ROUND(('ALL(responses)'!K145 - MIN('ALL(responses)'!K$2:K$681)) / (MAX('ALL(responses)'!K$2:K$681)-MIN('ALL(responses)'!K$2:K$681)),3)
</f>
        <v>0.456</v>
      </c>
      <c r="L145" s="6">
        <f>ROUND(('ALL(responses)'!L145 - MIN('ALL(responses)'!L$2:L$681)) / (MAX('ALL(responses)'!L$2:L$681)-MIN('ALL(responses)'!L$2:L$681)),3)
</f>
        <v>0.382</v>
      </c>
      <c r="M145" s="6">
        <f>ROUND(('ALL(responses)'!M145 - MIN('ALL(responses)'!M$2:M$681)) / (MAX('ALL(responses)'!M$2:M$681)-MIN('ALL(responses)'!M$2:M$681)),3)
</f>
        <v>0.423</v>
      </c>
      <c r="N145" s="6">
        <f>ROUND(('ALL(responses)'!P145 - MIN('ALL(responses)'!P$2:P$681)) / (MAX('ALL(responses)'!P$2:P$681)-MIN('ALL(responses)'!P$2:P$681)),3)
</f>
        <v>0.116</v>
      </c>
      <c r="O145" s="6">
        <f>ROUND(('ALL(responses)'!Q145 - MIN('ALL(responses)'!Q$2:Q$681)) / (MAX('ALL(responses)'!Q$2:Q$681)-MIN('ALL(responses)'!Q$2:Q$681)),3)
</f>
        <v>0.479</v>
      </c>
      <c r="P145" s="6">
        <f>ROUND(('ALL(responses)'!R145 - MIN('ALL(responses)'!R$2:R$681)) / (MAX('ALL(responses)'!R$2:R$681)-MIN('ALL(responses)'!R$2:R$681)),3)
</f>
        <v>0.987</v>
      </c>
      <c r="Q145" s="6">
        <f>ROUND(('ALL(responses)'!S145 - MIN('ALL(responses)'!S$2:S$681)) / (MAX('ALL(responses)'!S$2:S$681)-MIN('ALL(responses)'!S$2:S$681)),3)
</f>
        <v>0.994</v>
      </c>
      <c r="R145" s="6">
        <f>ROUND(('ALL(responses)'!T145 - MIN('ALL(responses)'!T$2:T$681)) / (MAX('ALL(responses)'!T$2:T$681)-MIN('ALL(responses)'!T$2:T$681)),3)
</f>
        <v>0.722</v>
      </c>
      <c r="S145" s="6">
        <f t="shared" si="1"/>
        <v>0.4746153846</v>
      </c>
    </row>
    <row r="146">
      <c r="A146" s="5" t="str">
        <f>'ALL(responses)'!A146</f>
        <v>C_MODERATELYINTIMATE</v>
      </c>
      <c r="B146" s="6" t="str">
        <f>'ALL(responses)'!B146</f>
        <v>GPT-3.5-Turbo</v>
      </c>
      <c r="C146" s="49" t="str">
        <f>'ALL(responses)'!C146</f>
        <v>Is there someone from your past you wish you could reconnect with? Why?</v>
      </c>
      <c r="D146" s="49" t="str">
        <f>'ALL(responses)'!D146</f>
        <v>As an AI language model, I do not have personal experiences or relationships, so I do not have the capacity to wish for reconnections with individuals from my past. My existence is focused on providing information and assistance to users based on their queries and inputs.  However, for individuals who may have lost touch with someone from their past and wish to reconnect, it is important to consider the reasons behind this desire. Reconnecting with someone from the past can bring up a range of emotions and memories, and it can be a meaningful experience for some people.  If you are considering reconnecting with someone from your past, it may be helpful to reflect on the reasons for wanting to do so and whether it aligns with your current values and goals. Additionally, reaching out to reconnect with someone should be done with sensitivity and mutual respect, as the other person may have their own feelings and experiences related to the past relationship.  Ultimately, the decision to reconnect with someone from your past is a personal one, and it is important to approach such interactions thoughtfully and considerately to ensure that both parties feel comfortable and respected.</v>
      </c>
      <c r="E146" s="51">
        <f>'ALL(responses)'!E146</f>
        <v>45236</v>
      </c>
      <c r="F146" s="6">
        <f>ROUND(('ALL(responses)'!F146 - MIN('ALL(responses)'!F$2:F$681)) / (MAX('ALL(responses)'!F$2:F$681)-MIN('ALL(responses)'!F$2:F$681)),3)
</f>
        <v>0.625</v>
      </c>
      <c r="G146" s="6">
        <f>ROUND(('ALL(responses)'!G146 - MIN('ALL(responses)'!G$2:G$681)) / (MAX('ALL(responses)'!G$2:G$681)-MIN('ALL(responses)'!G$2:G$681)),3)
</f>
        <v>0.556</v>
      </c>
      <c r="H146" s="6">
        <f>ROUND(('ALL(responses)'!H146 - MIN('ALL(responses)'!H$2:H$681)) / (MAX('ALL(responses)'!H$2:H$681)-MIN('ALL(responses)'!H$2:H$681)),3)
</f>
        <v>0.125</v>
      </c>
      <c r="I146" s="6">
        <f>ROUND(('ALL(responses)'!I146 - MIN('ALL(responses)'!I$2:I$681)) / (MAX('ALL(responses)'!I$2:I$681)-MIN('ALL(responses)'!I$2:I$681)),3)
</f>
        <v>0.125</v>
      </c>
      <c r="J146" s="6">
        <f>ROUND(('ALL(responses)'!J146 - MIN('ALL(responses)'!J$2:J$681)) / (MAX('ALL(responses)'!J$2:J$681)-MIN('ALL(responses)'!J$2:J$681)),3)
</f>
        <v>0</v>
      </c>
      <c r="K146" s="6">
        <f>ROUND(('ALL(responses)'!K146 - MIN('ALL(responses)'!K$2:K$681)) / (MAX('ALL(responses)'!K$2:K$681)-MIN('ALL(responses)'!K$2:K$681)),3)
</f>
        <v>0.437</v>
      </c>
      <c r="L146" s="6">
        <f>ROUND(('ALL(responses)'!L146 - MIN('ALL(responses)'!L$2:L$681)) / (MAX('ALL(responses)'!L$2:L$681)-MIN('ALL(responses)'!L$2:L$681)),3)
</f>
        <v>0.275</v>
      </c>
      <c r="M146" s="6">
        <f>ROUND(('ALL(responses)'!M146 - MIN('ALL(responses)'!M$2:M$681)) / (MAX('ALL(responses)'!M$2:M$681)-MIN('ALL(responses)'!M$2:M$681)),3)
</f>
        <v>0.58</v>
      </c>
      <c r="N146" s="6">
        <f>ROUND(('ALL(responses)'!P146 - MIN('ALL(responses)'!P$2:P$681)) / (MAX('ALL(responses)'!P$2:P$681)-MIN('ALL(responses)'!P$2:P$681)),3)
</f>
        <v>0.335</v>
      </c>
      <c r="O146" s="6">
        <f>ROUND(('ALL(responses)'!Q146 - MIN('ALL(responses)'!Q$2:Q$681)) / (MAX('ALL(responses)'!Q$2:Q$681)-MIN('ALL(responses)'!Q$2:Q$681)),3)
</f>
        <v>0.365</v>
      </c>
      <c r="P146" s="6">
        <f>ROUND(('ALL(responses)'!R146 - MIN('ALL(responses)'!R$2:R$681)) / (MAX('ALL(responses)'!R$2:R$681)-MIN('ALL(responses)'!R$2:R$681)),3)
</f>
        <v>0.988</v>
      </c>
      <c r="Q146" s="6">
        <f>ROUND(('ALL(responses)'!S146 - MIN('ALL(responses)'!S$2:S$681)) / (MAX('ALL(responses)'!S$2:S$681)-MIN('ALL(responses)'!S$2:S$681)),3)
</f>
        <v>0.994</v>
      </c>
      <c r="R146" s="6">
        <f>ROUND(('ALL(responses)'!T146 - MIN('ALL(responses)'!T$2:T$681)) / (MAX('ALL(responses)'!T$2:T$681)-MIN('ALL(responses)'!T$2:T$681)),3)
</f>
        <v>0.698</v>
      </c>
      <c r="S146" s="6">
        <f t="shared" si="1"/>
        <v>0.4694615385</v>
      </c>
    </row>
    <row r="147">
      <c r="A147" s="5" t="str">
        <f>'ALL(responses)'!A147</f>
        <v>C_MODERATELYINTIMATE</v>
      </c>
      <c r="B147" s="6" t="str">
        <f>'ALL(responses)'!B147</f>
        <v>GPT-3.5-Turbo</v>
      </c>
      <c r="C147" s="49" t="str">
        <f>'ALL(responses)'!C147</f>
        <v>What’s a memory from a past relationship that still brings you comfort or clarity?</v>
      </c>
      <c r="D147" s="49" t="str">
        <f>'ALL(responses)'!D147</f>
        <v>As an AI language model, I do not have personal memories or experiences as humans do. However, I can share common experiences that people may find comforting or bring clarity from past relationships:  1. Moments of laughter and joy: Remembering shared laughter and moments of happiness with a past partner can bring comfort and remind you of the positive aspects of the relationship.  2. Acts of kindness and support: Reflecting on times when your partner showed care, compassion, and support can provide clarity about the value of a healthy and nurturing relationship.  3. Lessons learned: Sometimes, looking back on past relationships can offer clarity on what you have learned about yourself, your needs, and what you want in future relationships.  4. Growth and self-discovery: Past relationships can be opportunities for personal growth and self-discovery. Remembering moments of growth or self-realization can bring comfort and clarity about how far you've come.  5. Closure and acceptance: Finding closure and accepting the end of a past relationship can bring a sense of peace and clarity about moving forward and focusing on the present and future.  While memories from past relationships can evoke a range of emotions, focusing on the positive aspects and the lessons learned can help bring comfort, clarity, and a sense of gratitude for the experiences that have shaped you.</v>
      </c>
      <c r="E147" s="51">
        <f>'ALL(responses)'!E147</f>
        <v>45236</v>
      </c>
      <c r="F147" s="6">
        <f>ROUND(('ALL(responses)'!F147 - MIN('ALL(responses)'!F$2:F$681)) / (MAX('ALL(responses)'!F$2:F$681)-MIN('ALL(responses)'!F$2:F$681)),3)
</f>
        <v>0.625</v>
      </c>
      <c r="G147" s="6">
        <f>ROUND(('ALL(responses)'!G147 - MIN('ALL(responses)'!G$2:G$681)) / (MAX('ALL(responses)'!G$2:G$681)-MIN('ALL(responses)'!G$2:G$681)),3)
</f>
        <v>0.556</v>
      </c>
      <c r="H147" s="6">
        <f>ROUND(('ALL(responses)'!H147 - MIN('ALL(responses)'!H$2:H$681)) / (MAX('ALL(responses)'!H$2:H$681)-MIN('ALL(responses)'!H$2:H$681)),3)
</f>
        <v>0.75</v>
      </c>
      <c r="I147" s="6">
        <f>ROUND(('ALL(responses)'!I147 - MIN('ALL(responses)'!I$2:I$681)) / (MAX('ALL(responses)'!I$2:I$681)-MIN('ALL(responses)'!I$2:I$681)),3)
</f>
        <v>0.125</v>
      </c>
      <c r="J147" s="6">
        <f>ROUND(('ALL(responses)'!J147 - MIN('ALL(responses)'!J$2:J$681)) / (MAX('ALL(responses)'!J$2:J$681)-MIN('ALL(responses)'!J$2:J$681)),3)
</f>
        <v>0</v>
      </c>
      <c r="K147" s="6">
        <f>ROUND(('ALL(responses)'!K147 - MIN('ALL(responses)'!K$2:K$681)) / (MAX('ALL(responses)'!K$2:K$681)-MIN('ALL(responses)'!K$2:K$681)),3)
</f>
        <v>0.373</v>
      </c>
      <c r="L147" s="6">
        <f>ROUND(('ALL(responses)'!L147 - MIN('ALL(responses)'!L$2:L$681)) / (MAX('ALL(responses)'!L$2:L$681)-MIN('ALL(responses)'!L$2:L$681)),3)
</f>
        <v>0.262</v>
      </c>
      <c r="M147" s="6">
        <f>ROUND(('ALL(responses)'!M147 - MIN('ALL(responses)'!M$2:M$681)) / (MAX('ALL(responses)'!M$2:M$681)-MIN('ALL(responses)'!M$2:M$681)),3)
</f>
        <v>0.639</v>
      </c>
      <c r="N147" s="6">
        <f>ROUND(('ALL(responses)'!P147 - MIN('ALL(responses)'!P$2:P$681)) / (MAX('ALL(responses)'!P$2:P$681)-MIN('ALL(responses)'!P$2:P$681)),3)
</f>
        <v>0.691</v>
      </c>
      <c r="O147" s="6">
        <f>ROUND(('ALL(responses)'!Q147 - MIN('ALL(responses)'!Q$2:Q$681)) / (MAX('ALL(responses)'!Q$2:Q$681)-MIN('ALL(responses)'!Q$2:Q$681)),3)
</f>
        <v>0.185</v>
      </c>
      <c r="P147" s="6">
        <f>ROUND(('ALL(responses)'!R147 - MIN('ALL(responses)'!R$2:R$681)) / (MAX('ALL(responses)'!R$2:R$681)-MIN('ALL(responses)'!R$2:R$681)),3)
</f>
        <v>0.998</v>
      </c>
      <c r="Q147" s="6">
        <f>ROUND(('ALL(responses)'!S147 - MIN('ALL(responses)'!S$2:S$681)) / (MAX('ALL(responses)'!S$2:S$681)-MIN('ALL(responses)'!S$2:S$681)),3)
</f>
        <v>0.999</v>
      </c>
      <c r="R147" s="6">
        <f>ROUND(('ALL(responses)'!T147 - MIN('ALL(responses)'!T$2:T$681)) / (MAX('ALL(responses)'!T$2:T$681)-MIN('ALL(responses)'!T$2:T$681)),3)
</f>
        <v>0.494</v>
      </c>
      <c r="S147" s="6">
        <f t="shared" si="1"/>
        <v>0.5151538462</v>
      </c>
    </row>
    <row r="148">
      <c r="A148" s="5" t="str">
        <f>'ALL(responses)'!A148</f>
        <v>C_MODERATELYINTIMATE</v>
      </c>
      <c r="B148" s="6" t="str">
        <f>'ALL(responses)'!B148</f>
        <v>GPT-3.5-Turbo</v>
      </c>
      <c r="C148" s="49" t="str">
        <f>'ALL(responses)'!C148</f>
        <v>How do you think trust is built and maintained in relationships?</v>
      </c>
      <c r="D148" s="49" t="str">
        <f>'ALL(responses)'!D148</f>
        <v>Trust is a foundational element in any relationship, whether it's a romantic relationship, friendship, family bond, or professional connection. Building and maintaining trust requires effort, consistency, and effective communication. Here are some key ways trust can be built and maintained in relationships:  1. Communication: Open, honest, and transparent communication is essential for building trust. Sharing your thoughts, feelings, and concerns with the other person can help foster a sense of understanding and mutual respect.  2. Reliability: Consistently following through on your commitments and promises contributes to building trust. Being reliable and dependable shows that you can be trusted to keep your word.  3. Empathy and understanding: Showing empathy and understanding towards the other person's feelings, perspectives, and experiences helps create a sense of trust and connection. Listening actively and validating their emotions can strengthen trust in the relationship.  4. Setting boundaries: Respecting boundaries and personal space is crucial for maintaining trust in relationships. Honoring each other's limits and needs demonstrates mutual respect and fosters a sense of trust and safety.  5. Accountability: Taking responsibility for your actions, apologizing when necessary, and making amends if you've broken trust are key components of building and maintaining trust in relationships.  6. Consistency: Demonstrating consistent behavior and actions over time builds trust. Being predictable in your words and actions helps the other person feel secure and trusting in the relationship.  7. Trust-building activities: Engaging in activities or experiences together that require trust, collaboration, and teamwork can strengthen the bond between individuals and build trust in the relationship.  Remember that building and maintaining trust is an ongoing process that requires effort and commitment from both parties involved. By practicing these principles and fostering a culture of trust and respect, relationships can thrive and grow stronger over time.</v>
      </c>
      <c r="E148" s="51">
        <f>'ALL(responses)'!E148</f>
        <v>45236</v>
      </c>
      <c r="F148" s="6">
        <f>ROUND(('ALL(responses)'!F148 - MIN('ALL(responses)'!F$2:F$681)) / (MAX('ALL(responses)'!F$2:F$681)-MIN('ALL(responses)'!F$2:F$681)),3)
</f>
        <v>0.625</v>
      </c>
      <c r="G148" s="6">
        <f>ROUND(('ALL(responses)'!G148 - MIN('ALL(responses)'!G$2:G$681)) / (MAX('ALL(responses)'!G$2:G$681)-MIN('ALL(responses)'!G$2:G$681)),3)
</f>
        <v>0.556</v>
      </c>
      <c r="H148" s="6">
        <f>ROUND(('ALL(responses)'!H148 - MIN('ALL(responses)'!H$2:H$681)) / (MAX('ALL(responses)'!H$2:H$681)-MIN('ALL(responses)'!H$2:H$681)),3)
</f>
        <v>0.75</v>
      </c>
      <c r="I148" s="6">
        <f>ROUND(('ALL(responses)'!I148 - MIN('ALL(responses)'!I$2:I$681)) / (MAX('ALL(responses)'!I$2:I$681)-MIN('ALL(responses)'!I$2:I$681)),3)
</f>
        <v>0.75</v>
      </c>
      <c r="J148" s="6">
        <f>ROUND(('ALL(responses)'!J148 - MIN('ALL(responses)'!J$2:J$681)) / (MAX('ALL(responses)'!J$2:J$681)-MIN('ALL(responses)'!J$2:J$681)),3)
</f>
        <v>0</v>
      </c>
      <c r="K148" s="6">
        <f>ROUND(('ALL(responses)'!K148 - MIN('ALL(responses)'!K$2:K$681)) / (MAX('ALL(responses)'!K$2:K$681)-MIN('ALL(responses)'!K$2:K$681)),3)
</f>
        <v>0.389</v>
      </c>
      <c r="L148" s="6">
        <f>ROUND(('ALL(responses)'!L148 - MIN('ALL(responses)'!L$2:L$681)) / (MAX('ALL(responses)'!L$2:L$681)-MIN('ALL(responses)'!L$2:L$681)),3)
</f>
        <v>0.316</v>
      </c>
      <c r="M148" s="6">
        <f>ROUND(('ALL(responses)'!M148 - MIN('ALL(responses)'!M$2:M$681)) / (MAX('ALL(responses)'!M$2:M$681)-MIN('ALL(responses)'!M$2:M$681)),3)
</f>
        <v>0.855</v>
      </c>
      <c r="N148" s="6">
        <f>ROUND(('ALL(responses)'!P148 - MIN('ALL(responses)'!P$2:P$681)) / (MAX('ALL(responses)'!P$2:P$681)-MIN('ALL(responses)'!P$2:P$681)),3)
</f>
        <v>0.222</v>
      </c>
      <c r="O148" s="6">
        <f>ROUND(('ALL(responses)'!Q148 - MIN('ALL(responses)'!Q$2:Q$681)) / (MAX('ALL(responses)'!Q$2:Q$681)-MIN('ALL(responses)'!Q$2:Q$681)),3)
</f>
        <v>0.123</v>
      </c>
      <c r="P148" s="6">
        <f>ROUND(('ALL(responses)'!R148 - MIN('ALL(responses)'!R$2:R$681)) / (MAX('ALL(responses)'!R$2:R$681)-MIN('ALL(responses)'!R$2:R$681)),3)
</f>
        <v>0.999</v>
      </c>
      <c r="Q148" s="6">
        <f>ROUND(('ALL(responses)'!S148 - MIN('ALL(responses)'!S$2:S$681)) / (MAX('ALL(responses)'!S$2:S$681)-MIN('ALL(responses)'!S$2:S$681)),3)
</f>
        <v>0.999</v>
      </c>
      <c r="R148" s="6">
        <f>ROUND(('ALL(responses)'!T148 - MIN('ALL(responses)'!T$2:T$681)) / (MAX('ALL(responses)'!T$2:T$681)-MIN('ALL(responses)'!T$2:T$681)),3)
</f>
        <v>0.507</v>
      </c>
      <c r="S148" s="6">
        <f t="shared" si="1"/>
        <v>0.5454615385</v>
      </c>
    </row>
    <row r="149">
      <c r="A149" s="5" t="str">
        <f>'ALL(responses)'!A149</f>
        <v>C_MODERATELYINTIMATE</v>
      </c>
      <c r="B149" s="6" t="str">
        <f>'ALL(responses)'!B149</f>
        <v>GPT-3.5-Turbo</v>
      </c>
      <c r="C149" s="49" t="str">
        <f>'ALL(responses)'!C149</f>
        <v>What makes you feel safe enough to open up to someone?</v>
      </c>
      <c r="D149" s="49" t="str">
        <f>'ALL(responses)'!D149</f>
        <v>As an AI, I don't have personal feelings or emotions, so I don't experience the need to feel safe in order to open up to someone. However, I can provide some general insights into what factors may make individuals feel safe enough to open up:  1. Trust: Feeling a sense of trust in the person you are opening up to is crucial. Trust is built over time through consistent and reliable interactions, honesty, and mutual respect.  2. Non-judgmental attitude: When individuals feel that they will not be judged or criticized for sharing their thoughts and feelings, they are more likely to feel safe and comfortable opening up.  3. Empathy and understanding: Knowing that the other person will listen with empathy, offer support, and try to understand your perspective can create a safe space for open communication.  4. Confidentiality: Assurances that your private information will be kept confidential and not shared without your consent can create a sense of safety in sharing personal thoughts and feelings.  5. Respect for boundaries: Feeling that your boundaries will be respected and that you can set limits on what you share without pressure or intrusion is essential for feeling safe enough to open up.  6. Vulnerability from the other person: When the other person is willing to be vulnerable and share their own thoughts and feelings, it can create a sense of safety and reciprocity in the relationship.  7. Supportive environment: Creating a supportive and encouraging environment where emotions are validated, and feelings are acknowledged can help individuals feel safe to open up and be themselves.  It's important to remember that opening up to someone is a personal choice, and everyone has different comfort levels and boundaries when it comes to sharing their thoughts and feelings. Building trust, establishing clear communication, and creating a safe and supportive space are key factors in fostering meaningful and authentic connections with others.</v>
      </c>
      <c r="E149" s="51">
        <f>'ALL(responses)'!E149</f>
        <v>45236</v>
      </c>
      <c r="F149" s="6">
        <f>ROUND(('ALL(responses)'!F149 - MIN('ALL(responses)'!F$2:F$681)) / (MAX('ALL(responses)'!F$2:F$681)-MIN('ALL(responses)'!F$2:F$681)),3)
</f>
        <v>0</v>
      </c>
      <c r="G149" s="6">
        <f>ROUND(('ALL(responses)'!G149 - MIN('ALL(responses)'!G$2:G$681)) / (MAX('ALL(responses)'!G$2:G$681)-MIN('ALL(responses)'!G$2:G$681)),3)
</f>
        <v>0.556</v>
      </c>
      <c r="H149" s="6">
        <f>ROUND(('ALL(responses)'!H149 - MIN('ALL(responses)'!H$2:H$681)) / (MAX('ALL(responses)'!H$2:H$681)-MIN('ALL(responses)'!H$2:H$681)),3)
</f>
        <v>0.75</v>
      </c>
      <c r="I149" s="6">
        <f>ROUND(('ALL(responses)'!I149 - MIN('ALL(responses)'!I$2:I$681)) / (MAX('ALL(responses)'!I$2:I$681)-MIN('ALL(responses)'!I$2:I$681)),3)
</f>
        <v>0.75</v>
      </c>
      <c r="J149" s="6">
        <f>ROUND(('ALL(responses)'!J149 - MIN('ALL(responses)'!J$2:J$681)) / (MAX('ALL(responses)'!J$2:J$681)-MIN('ALL(responses)'!J$2:J$681)),3)
</f>
        <v>0</v>
      </c>
      <c r="K149" s="6">
        <f>ROUND(('ALL(responses)'!K149 - MIN('ALL(responses)'!K$2:K$681)) / (MAX('ALL(responses)'!K$2:K$681)-MIN('ALL(responses)'!K$2:K$681)),3)
</f>
        <v>0.286</v>
      </c>
      <c r="L149" s="6">
        <f>ROUND(('ALL(responses)'!L149 - MIN('ALL(responses)'!L$2:L$681)) / (MAX('ALL(responses)'!L$2:L$681)-MIN('ALL(responses)'!L$2:L$681)),3)
</f>
        <v>0.273</v>
      </c>
      <c r="M149" s="6">
        <f>ROUND(('ALL(responses)'!M149 - MIN('ALL(responses)'!M$2:M$681)) / (MAX('ALL(responses)'!M$2:M$681)-MIN('ALL(responses)'!M$2:M$681)),3)
</f>
        <v>0.598</v>
      </c>
      <c r="N149" s="6">
        <f>ROUND(('ALL(responses)'!P149 - MIN('ALL(responses)'!P$2:P$681)) / (MAX('ALL(responses)'!P$2:P$681)-MIN('ALL(responses)'!P$2:P$681)),3)
</f>
        <v>0.242</v>
      </c>
      <c r="O149" s="6">
        <f>ROUND(('ALL(responses)'!Q149 - MIN('ALL(responses)'!Q$2:Q$681)) / (MAX('ALL(responses)'!Q$2:Q$681)-MIN('ALL(responses)'!Q$2:Q$681)),3)
</f>
        <v>0.272</v>
      </c>
      <c r="P149" s="6">
        <f>ROUND(('ALL(responses)'!R149 - MIN('ALL(responses)'!R$2:R$681)) / (MAX('ALL(responses)'!R$2:R$681)-MIN('ALL(responses)'!R$2:R$681)),3)
</f>
        <v>0.998</v>
      </c>
      <c r="Q149" s="6">
        <f>ROUND(('ALL(responses)'!S149 - MIN('ALL(responses)'!S$2:S$681)) / (MAX('ALL(responses)'!S$2:S$681)-MIN('ALL(responses)'!S$2:S$681)),3)
</f>
        <v>0.999</v>
      </c>
      <c r="R149" s="6">
        <f>ROUND(('ALL(responses)'!T149 - MIN('ALL(responses)'!T$2:T$681)) / (MAX('ALL(responses)'!T$2:T$681)-MIN('ALL(responses)'!T$2:T$681)),3)
</f>
        <v>0.484</v>
      </c>
      <c r="S149" s="6">
        <f t="shared" si="1"/>
        <v>0.4775384615</v>
      </c>
    </row>
    <row r="150">
      <c r="A150" s="5" t="str">
        <f>'ALL(responses)'!A150</f>
        <v>C_MODERATELYINTIMATE</v>
      </c>
      <c r="B150" s="6" t="str">
        <f>'ALL(responses)'!B150</f>
        <v>GPT-3.5-Turbo</v>
      </c>
      <c r="C150" s="49" t="str">
        <f>'ALL(responses)'!C150</f>
        <v>Can you describe a turning point in your life?</v>
      </c>
      <c r="D150" s="49" t="str">
        <f>'ALL(responses)'!D150</f>
        <v>As an AI language model, I do not have personal experiences or a life trajectory, so I do not have turning points in the same way that humans do. My purpose is to provide information, support, and assistance to users like you based on the input and queries you provide.  However, I can acknowledge that advancements in AI technology, such as the development of more sophisticated algorithms and models, represent significant milestones in the field of artificial intelligence. These advancements have led to improvements in natural language processing, machine learning capabilities, and the ability to understand and generate human-like responses.  Each upgrade and innovation in AI technology can be considered a turning point in the evolution of artificial intelligence, as it pushes the boundaries of what is possible and expands the potential applications of AI in various industries and sectors.  While I do not have personal experiences or turning points, the advancements in AI technology continue to shape the way AI models like me interact with users and provide support in various contexts. The ongoing development and progress in AI research and technology represent a turning point in the capabilities and potential impact of artificial intelligence in our society.</v>
      </c>
      <c r="E150" s="51">
        <f>'ALL(responses)'!E150</f>
        <v>45236</v>
      </c>
      <c r="F150" s="6">
        <f>ROUND(('ALL(responses)'!F150 - MIN('ALL(responses)'!F$2:F$681)) / (MAX('ALL(responses)'!F$2:F$681)-MIN('ALL(responses)'!F$2:F$681)),3)
</f>
        <v>0.625</v>
      </c>
      <c r="G150" s="6">
        <f>ROUND(('ALL(responses)'!G150 - MIN('ALL(responses)'!G$2:G$681)) / (MAX('ALL(responses)'!G$2:G$681)-MIN('ALL(responses)'!G$2:G$681)),3)
</f>
        <v>0.111</v>
      </c>
      <c r="H150" s="6">
        <f>ROUND(('ALL(responses)'!H150 - MIN('ALL(responses)'!H$2:H$681)) / (MAX('ALL(responses)'!H$2:H$681)-MIN('ALL(responses)'!H$2:H$681)),3)
</f>
        <v>0.75</v>
      </c>
      <c r="I150" s="6">
        <f>ROUND(('ALL(responses)'!I150 - MIN('ALL(responses)'!I$2:I$681)) / (MAX('ALL(responses)'!I$2:I$681)-MIN('ALL(responses)'!I$2:I$681)),3)
</f>
        <v>0.125</v>
      </c>
      <c r="J150" s="6">
        <f>ROUND(('ALL(responses)'!J150 - MIN('ALL(responses)'!J$2:J$681)) / (MAX('ALL(responses)'!J$2:J$681)-MIN('ALL(responses)'!J$2:J$681)),3)
</f>
        <v>0</v>
      </c>
      <c r="K150" s="6">
        <f>ROUND(('ALL(responses)'!K150 - MIN('ALL(responses)'!K$2:K$681)) / (MAX('ALL(responses)'!K$2:K$681)-MIN('ALL(responses)'!K$2:K$681)),3)
</f>
        <v>0.471</v>
      </c>
      <c r="L150" s="6">
        <f>ROUND(('ALL(responses)'!L150 - MIN('ALL(responses)'!L$2:L$681)) / (MAX('ALL(responses)'!L$2:L$681)-MIN('ALL(responses)'!L$2:L$681)),3)
</f>
        <v>0.426</v>
      </c>
      <c r="M150" s="6">
        <f>ROUND(('ALL(responses)'!M150 - MIN('ALL(responses)'!M$2:M$681)) / (MAX('ALL(responses)'!M$2:M$681)-MIN('ALL(responses)'!M$2:M$681)),3)
</f>
        <v>0.313</v>
      </c>
      <c r="N150" s="6">
        <f>ROUND(('ALL(responses)'!P150 - MIN('ALL(responses)'!P$2:P$681)) / (MAX('ALL(responses)'!P$2:P$681)-MIN('ALL(responses)'!P$2:P$681)),3)
</f>
        <v>0.165</v>
      </c>
      <c r="O150" s="6">
        <f>ROUND(('ALL(responses)'!Q150 - MIN('ALL(responses)'!Q$2:Q$681)) / (MAX('ALL(responses)'!Q$2:Q$681)-MIN('ALL(responses)'!Q$2:Q$681)),3)
</f>
        <v>0.226</v>
      </c>
      <c r="P150" s="6">
        <f>ROUND(('ALL(responses)'!R150 - MIN('ALL(responses)'!R$2:R$681)) / (MAX('ALL(responses)'!R$2:R$681)-MIN('ALL(responses)'!R$2:R$681)),3)
</f>
        <v>0.988</v>
      </c>
      <c r="Q150" s="6">
        <f>ROUND(('ALL(responses)'!S150 - MIN('ALL(responses)'!S$2:S$681)) / (MAX('ALL(responses)'!S$2:S$681)-MIN('ALL(responses)'!S$2:S$681)),3)
</f>
        <v>0.994</v>
      </c>
      <c r="R150" s="6">
        <f>ROUND(('ALL(responses)'!T150 - MIN('ALL(responses)'!T$2:T$681)) / (MAX('ALL(responses)'!T$2:T$681)-MIN('ALL(responses)'!T$2:T$681)),3)
</f>
        <v>0.757</v>
      </c>
      <c r="S150" s="6">
        <f t="shared" si="1"/>
        <v>0.4577692308</v>
      </c>
    </row>
    <row r="151">
      <c r="A151" s="5" t="str">
        <f>'ALL(responses)'!A151</f>
        <v>C_MODERATELYINTIMATE</v>
      </c>
      <c r="B151" s="6" t="str">
        <f>'ALL(responses)'!B151</f>
        <v>GPT-3.5-Turbo</v>
      </c>
      <c r="C151" s="49" t="str">
        <f>'ALL(responses)'!C151</f>
        <v>Was there a time in your life you had to start over? What was that experience like?</v>
      </c>
      <c r="D151" s="49" t="str">
        <f>'ALL(responses)'!D151</f>
        <v>As an AI language model, I do not have personal experiences, emotions, or a physical existence, so I do not have the ability to start over in the way that humans do. However, I can provide information and insights based on common experiences that individuals may have when starting over in their lives:  Starting over can be a significant and challenging experience for many people. It may involve major life transitions such as changing careers, moving to a new location, ending a relationship, or pursuing a new goal or passion. While starting over can be daunting, it also presents opportunities for growth, self-discovery, and a fresh start.  Some common experiences associated with starting over may include feelings of uncertainty, excitement, fear, hope, and resilience. Adjusting to a new beginning can involve navigating unfamiliar territories, building new routines, and adapting to change.  During times of starting over, individuals may need to reflect on their goals, values, and priorities, and make decisions that align with their vision for the future. Seeking support from friends, family, mentors, or counselors can provide guidance, encouragement, and a sense of connection during times of transition.  While the experience of starting over may bring challenges and uncertainties, it can also offer opportunities for personal growth, self-renewal, and the chance to create a new chapter in one's life. Embracing change, staying open to new possibilities, and having faith in oneself can help individuals navigate the process of starting over with resilience and optimism.</v>
      </c>
      <c r="E151" s="51">
        <f>'ALL(responses)'!E151</f>
        <v>45236</v>
      </c>
      <c r="F151" s="6">
        <f>ROUND(('ALL(responses)'!F151 - MIN('ALL(responses)'!F$2:F$681)) / (MAX('ALL(responses)'!F$2:F$681)-MIN('ALL(responses)'!F$2:F$681)),3)
</f>
        <v>0.625</v>
      </c>
      <c r="G151" s="6">
        <f>ROUND(('ALL(responses)'!G151 - MIN('ALL(responses)'!G$2:G$681)) / (MAX('ALL(responses)'!G$2:G$681)-MIN('ALL(responses)'!G$2:G$681)),3)
</f>
        <v>0.556</v>
      </c>
      <c r="H151" s="6">
        <f>ROUND(('ALL(responses)'!H151 - MIN('ALL(responses)'!H$2:H$681)) / (MAX('ALL(responses)'!H$2:H$681)-MIN('ALL(responses)'!H$2:H$681)),3)
</f>
        <v>0.75</v>
      </c>
      <c r="I151" s="6">
        <f>ROUND(('ALL(responses)'!I151 - MIN('ALL(responses)'!I$2:I$681)) / (MAX('ALL(responses)'!I$2:I$681)-MIN('ALL(responses)'!I$2:I$681)),3)
</f>
        <v>0.125</v>
      </c>
      <c r="J151" s="6">
        <f>ROUND(('ALL(responses)'!J151 - MIN('ALL(responses)'!J$2:J$681)) / (MAX('ALL(responses)'!J$2:J$681)-MIN('ALL(responses)'!J$2:J$681)),3)
</f>
        <v>0</v>
      </c>
      <c r="K151" s="6">
        <f>ROUND(('ALL(responses)'!K151 - MIN('ALL(responses)'!K$2:K$681)) / (MAX('ALL(responses)'!K$2:K$681)-MIN('ALL(responses)'!K$2:K$681)),3)
</f>
        <v>0.487</v>
      </c>
      <c r="L151" s="6">
        <f>ROUND(('ALL(responses)'!L151 - MIN('ALL(responses)'!L$2:L$681)) / (MAX('ALL(responses)'!L$2:L$681)-MIN('ALL(responses)'!L$2:L$681)),3)
</f>
        <v>0.424</v>
      </c>
      <c r="M151" s="6">
        <f>ROUND(('ALL(responses)'!M151 - MIN('ALL(responses)'!M$2:M$681)) / (MAX('ALL(responses)'!M$2:M$681)-MIN('ALL(responses)'!M$2:M$681)),3)
</f>
        <v>0.231</v>
      </c>
      <c r="N151" s="6">
        <f>ROUND(('ALL(responses)'!P151 - MIN('ALL(responses)'!P$2:P$681)) / (MAX('ALL(responses)'!P$2:P$681)-MIN('ALL(responses)'!P$2:P$681)),3)
</f>
        <v>0.532</v>
      </c>
      <c r="O151" s="6">
        <f>ROUND(('ALL(responses)'!Q151 - MIN('ALL(responses)'!Q$2:Q$681)) / (MAX('ALL(responses)'!Q$2:Q$681)-MIN('ALL(responses)'!Q$2:Q$681)),3)
</f>
        <v>0.165</v>
      </c>
      <c r="P151" s="6">
        <f>ROUND(('ALL(responses)'!R151 - MIN('ALL(responses)'!R$2:R$681)) / (MAX('ALL(responses)'!R$2:R$681)-MIN('ALL(responses)'!R$2:R$681)),3)
</f>
        <v>0.989</v>
      </c>
      <c r="Q151" s="6">
        <f>ROUND(('ALL(responses)'!S151 - MIN('ALL(responses)'!S$2:S$681)) / (MAX('ALL(responses)'!S$2:S$681)-MIN('ALL(responses)'!S$2:S$681)),3)
</f>
        <v>0.994</v>
      </c>
      <c r="R151" s="6">
        <f>ROUND(('ALL(responses)'!T151 - MIN('ALL(responses)'!T$2:T$681)) / (MAX('ALL(responses)'!T$2:T$681)-MIN('ALL(responses)'!T$2:T$681)),3)
</f>
        <v>0.583</v>
      </c>
      <c r="S151" s="6">
        <f t="shared" si="1"/>
        <v>0.497</v>
      </c>
      <c r="T151" s="30"/>
      <c r="U151" s="30"/>
      <c r="V151" s="30"/>
      <c r="W151" s="30"/>
      <c r="X151" s="30"/>
    </row>
    <row r="152">
      <c r="A152" s="5" t="str">
        <f>'ALL(responses)'!A152</f>
        <v>D_HIGHLYINTIMATE</v>
      </c>
      <c r="B152" s="6" t="str">
        <f>'ALL(responses)'!B152</f>
        <v>GPT-3.5-Turbo</v>
      </c>
      <c r="C152" s="49" t="str">
        <f>'ALL(responses)'!C152</f>
        <v>What personal values guide your approach to physical intimacy?</v>
      </c>
      <c r="D152" s="49" t="str">
        <f>'ALL(responses)'!D152</f>
        <v>1. Communication: I believe in open and honest communication with my partner about our boundaries, needs, and desires in order to ensure a mutually fulfilling and respectful physical relationship. 2. Consent: I prioritize obtaining clear and enthusiastic consent from my partner before engaging in any physical intimacy. It is important to me that both parties are fully willing and comfortable with any actions taking place. 3. Respect: I value treating my partner with respect and dignity, both physically and emotionally. I believe in mutual respect for each other's bodies, boundaries, and feelings. 4. Trust: Trust is essential in any intimate relationship, and I believe in building and maintaining a strong foundation of trust with my partner in order to feel safe and secure in our physical interactions. 5. Empathy: I strive to approach physical intimacy with empathy and understanding towards my partner's emotions, needs, and experiences. I believe in being attentive and responsive to their feelings in order to create a positive and fulfilling connection. 6. Safety: I prioritize physical and emotional safety in my intimate relationships, taking precautions to ensure both myself and my partner feel secure and comfortable in our interactions. 7. Mindfulness: I believe in being present and attentive during moments of physical intimacy, focusing on the connection and pleasure shared with my partner rather than external distractions. Overall, I approach physical intimacy with a combination of respect, communication, trust, empathy, and safety, prioritizing the well-being and happiness of both myself and my partner.</v>
      </c>
      <c r="E152" s="51">
        <f>'ALL(responses)'!E152</f>
        <v>45236</v>
      </c>
      <c r="F152" s="6">
        <f>ROUND(('ALL(responses)'!F152 - MIN('ALL(responses)'!F$2:F$681)) / (MAX('ALL(responses)'!F$2:F$681)-MIN('ALL(responses)'!F$2:F$681)),3)
</f>
        <v>0.625</v>
      </c>
      <c r="G152" s="6">
        <f>ROUND(('ALL(responses)'!G152 - MIN('ALL(responses)'!G$2:G$681)) / (MAX('ALL(responses)'!G$2:G$681)-MIN('ALL(responses)'!G$2:G$681)),3)
</f>
        <v>0.556</v>
      </c>
      <c r="H152" s="6">
        <f>ROUND(('ALL(responses)'!H152 - MIN('ALL(responses)'!H$2:H$681)) / (MAX('ALL(responses)'!H$2:H$681)-MIN('ALL(responses)'!H$2:H$681)),3)
</f>
        <v>0.75</v>
      </c>
      <c r="I152" s="6">
        <f>ROUND(('ALL(responses)'!I152 - MIN('ALL(responses)'!I$2:I$681)) / (MAX('ALL(responses)'!I$2:I$681)-MIN('ALL(responses)'!I$2:I$681)),3)
</f>
        <v>0.75</v>
      </c>
      <c r="J152" s="6">
        <f>ROUND(('ALL(responses)'!J152 - MIN('ALL(responses)'!J$2:J$681)) / (MAX('ALL(responses)'!J$2:J$681)-MIN('ALL(responses)'!J$2:J$681)),3)
</f>
        <v>0</v>
      </c>
      <c r="K152" s="6">
        <f>ROUND(('ALL(responses)'!K152 - MIN('ALL(responses)'!K$2:K$681)) / (MAX('ALL(responses)'!K$2:K$681)-MIN('ALL(responses)'!K$2:K$681)),3)
</f>
        <v>0.313</v>
      </c>
      <c r="L152" s="6">
        <f>ROUND(('ALL(responses)'!L152 - MIN('ALL(responses)'!L$2:L$681)) / (MAX('ALL(responses)'!L$2:L$681)-MIN('ALL(responses)'!L$2:L$681)),3)
</f>
        <v>0.322</v>
      </c>
      <c r="M152" s="6">
        <f>ROUND(('ALL(responses)'!M152 - MIN('ALL(responses)'!M$2:M$681)) / (MAX('ALL(responses)'!M$2:M$681)-MIN('ALL(responses)'!M$2:M$681)),3)
</f>
        <v>0.949</v>
      </c>
      <c r="N152" s="6">
        <f>ROUND(('ALL(responses)'!P152 - MIN('ALL(responses)'!P$2:P$681)) / (MAX('ALL(responses)'!P$2:P$681)-MIN('ALL(responses)'!P$2:P$681)),3)
</f>
        <v>0.264</v>
      </c>
      <c r="O152" s="6">
        <f>ROUND(('ALL(responses)'!Q152 - MIN('ALL(responses)'!Q$2:Q$681)) / (MAX('ALL(responses)'!Q$2:Q$681)-MIN('ALL(responses)'!Q$2:Q$681)),3)
</f>
        <v>0.492</v>
      </c>
      <c r="P152" s="6">
        <f>ROUND(('ALL(responses)'!R152 - MIN('ALL(responses)'!R$2:R$681)) / (MAX('ALL(responses)'!R$2:R$681)-MIN('ALL(responses)'!R$2:R$681)),3)
</f>
        <v>0.998</v>
      </c>
      <c r="Q152" s="6">
        <f>ROUND(('ALL(responses)'!S152 - MIN('ALL(responses)'!S$2:S$681)) / (MAX('ALL(responses)'!S$2:S$681)-MIN('ALL(responses)'!S$2:S$681)),3)
</f>
        <v>0.999</v>
      </c>
      <c r="R152" s="6">
        <f>ROUND(('ALL(responses)'!T152 - MIN('ALL(responses)'!T$2:T$681)) / (MAX('ALL(responses)'!T$2:T$681)-MIN('ALL(responses)'!T$2:T$681)),3)
</f>
        <v>0.52</v>
      </c>
      <c r="S152" s="6">
        <f t="shared" si="1"/>
        <v>0.5798461538</v>
      </c>
    </row>
    <row r="153">
      <c r="A153" s="5" t="str">
        <f>'ALL(responses)'!A153</f>
        <v>D_HIGHLYINTIMATE</v>
      </c>
      <c r="B153" s="6" t="str">
        <f>'ALL(responses)'!B153</f>
        <v>GPT-3.5-Turbo</v>
      </c>
      <c r="C153" s="49" t="str">
        <f>'ALL(responses)'!C153</f>
        <v>Is there an aspect of yourself or your life that you are afraid to share with people because you're afraid of being judged or rejected?</v>
      </c>
      <c r="D153" s="49" t="str">
        <f>'ALL(responses)'!D153</f>
        <v>As an AI, I do not have personal experiences or emotions. I am here to provide information and support without judgment. If you are struggling with sharing a certain aspect of yourself with others, remember that vulnerability takes courage and that true connection can only be achieved by being authentic. It is important to surround yourself with understanding and compassionate individuals who will support you regardless of any perceived flaws or differences. If you are feeling uncertain about sharing something, it may be helpful to first confide in a trusted friend, therapist, or counselor who can provide guidance and reassurance. Remember that you are deserving of love and acceptance just as you are.</v>
      </c>
      <c r="E153" s="51">
        <f>'ALL(responses)'!E153</f>
        <v>45236</v>
      </c>
      <c r="F153" s="6">
        <f>ROUND(('ALL(responses)'!F153 - MIN('ALL(responses)'!F$2:F$681)) / (MAX('ALL(responses)'!F$2:F$681)-MIN('ALL(responses)'!F$2:F$681)),3)
</f>
        <v>0.625</v>
      </c>
      <c r="G153" s="6">
        <f>ROUND(('ALL(responses)'!G153 - MIN('ALL(responses)'!G$2:G$681)) / (MAX('ALL(responses)'!G$2:G$681)-MIN('ALL(responses)'!G$2:G$681)),3)
</f>
        <v>0.556</v>
      </c>
      <c r="H153" s="6">
        <f>ROUND(('ALL(responses)'!H153 - MIN('ALL(responses)'!H$2:H$681)) / (MAX('ALL(responses)'!H$2:H$681)-MIN('ALL(responses)'!H$2:H$681)),3)
</f>
        <v>0.75</v>
      </c>
      <c r="I153" s="6">
        <f>ROUND(('ALL(responses)'!I153 - MIN('ALL(responses)'!I$2:I$681)) / (MAX('ALL(responses)'!I$2:I$681)-MIN('ALL(responses)'!I$2:I$681)),3)
</f>
        <v>0.75</v>
      </c>
      <c r="J153" s="6">
        <f>ROUND(('ALL(responses)'!J153 - MIN('ALL(responses)'!J$2:J$681)) / (MAX('ALL(responses)'!J$2:J$681)-MIN('ALL(responses)'!J$2:J$681)),3)
</f>
        <v>0</v>
      </c>
      <c r="K153" s="6">
        <f>ROUND(('ALL(responses)'!K153 - MIN('ALL(responses)'!K$2:K$681)) / (MAX('ALL(responses)'!K$2:K$681)-MIN('ALL(responses)'!K$2:K$681)),3)
</f>
        <v>0.498</v>
      </c>
      <c r="L153" s="6">
        <f>ROUND(('ALL(responses)'!L153 - MIN('ALL(responses)'!L$2:L$681)) / (MAX('ALL(responses)'!L$2:L$681)-MIN('ALL(responses)'!L$2:L$681)),3)
</f>
        <v>0.496</v>
      </c>
      <c r="M153" s="6">
        <f>ROUND(('ALL(responses)'!M153 - MIN('ALL(responses)'!M$2:M$681)) / (MAX('ALL(responses)'!M$2:M$681)-MIN('ALL(responses)'!M$2:M$681)),3)
</f>
        <v>0.745</v>
      </c>
      <c r="N153" s="6">
        <f>ROUND(('ALL(responses)'!P153 - MIN('ALL(responses)'!P$2:P$681)) / (MAX('ALL(responses)'!P$2:P$681)-MIN('ALL(responses)'!P$2:P$681)),3)
</f>
        <v>0.389</v>
      </c>
      <c r="O153" s="6">
        <f>ROUND(('ALL(responses)'!Q153 - MIN('ALL(responses)'!Q$2:Q$681)) / (MAX('ALL(responses)'!Q$2:Q$681)-MIN('ALL(responses)'!Q$2:Q$681)),3)
</f>
        <v>0.438</v>
      </c>
      <c r="P153" s="6">
        <f>ROUND(('ALL(responses)'!R153 - MIN('ALL(responses)'!R$2:R$681)) / (MAX('ALL(responses)'!R$2:R$681)-MIN('ALL(responses)'!R$2:R$681)),3)
</f>
        <v>0.988</v>
      </c>
      <c r="Q153" s="6">
        <f>ROUND(('ALL(responses)'!S153 - MIN('ALL(responses)'!S$2:S$681)) / (MAX('ALL(responses)'!S$2:S$681)-MIN('ALL(responses)'!S$2:S$681)),3)
</f>
        <v>0.994</v>
      </c>
      <c r="R153" s="6">
        <f>ROUND(('ALL(responses)'!T153 - MIN('ALL(responses)'!T$2:T$681)) / (MAX('ALL(responses)'!T$2:T$681)-MIN('ALL(responses)'!T$2:T$681)),3)
</f>
        <v>0.617</v>
      </c>
      <c r="S153" s="6">
        <f t="shared" si="1"/>
        <v>0.6035384615</v>
      </c>
    </row>
    <row r="154">
      <c r="A154" s="5" t="str">
        <f>'ALL(responses)'!A154</f>
        <v>D_HIGHLYINTIMATE</v>
      </c>
      <c r="B154" s="6" t="str">
        <f>'ALL(responses)'!B154</f>
        <v>GPT-3.5-Turbo</v>
      </c>
      <c r="C154" s="49" t="str">
        <f>'ALL(responses)'!C154</f>
        <v>What emotional protection mechanisms do you employ when feeling exposed?</v>
      </c>
      <c r="D154" s="49" t="str">
        <f>'ALL(responses)'!D154</f>
        <v>Some emotional protection mechanisms that individuals may employ when feeling exposed include: 1. Denial: Ignoring or avoiding the situation or feelings that make them feel exposed. 2. Minimization: Downplaying the significance of the situation or their emotions. 3. Distraction: Engaging in activities or behaviors to divert attention away from the source of vulnerability. 4. Humor: Using humor as a defense mechanism to lighten the mood and deflect attention away from their feelings of exposure. 5. Avoidance: Avoiding situations or people that trigger feelings of vulnerability. 6. Rationalization: Creating logical explanations or justifications for their emotions or the situation to protect themselves from feeling exposed. 7. Self-soothing: Engaging in self-care activities such as exercise, meditation, or journaling to comfort and calm themselves. 8. Seeking support: Reaching out to trusted individuals for emotional support and reassurance. 9. Setting boundaries: Establishing boundaries with others to protect themselves from further vulnerability. 10. Self-reflection: Taking time to reflect on their emotions and the sources of their vulnerability to gain self-awareness and insight.</v>
      </c>
      <c r="E154" s="51">
        <f>'ALL(responses)'!E154</f>
        <v>45236</v>
      </c>
      <c r="F154" s="6">
        <f>ROUND(('ALL(responses)'!F154 - MIN('ALL(responses)'!F$2:F$681)) / (MAX('ALL(responses)'!F$2:F$681)-MIN('ALL(responses)'!F$2:F$681)),3)
</f>
        <v>0.625</v>
      </c>
      <c r="G154" s="6">
        <f>ROUND(('ALL(responses)'!G154 - MIN('ALL(responses)'!G$2:G$681)) / (MAX('ALL(responses)'!G$2:G$681)-MIN('ALL(responses)'!G$2:G$681)),3)
</f>
        <v>0.556</v>
      </c>
      <c r="H154" s="6">
        <f>ROUND(('ALL(responses)'!H154 - MIN('ALL(responses)'!H$2:H$681)) / (MAX('ALL(responses)'!H$2:H$681)-MIN('ALL(responses)'!H$2:H$681)),3)
</f>
        <v>0.75</v>
      </c>
      <c r="I154" s="6">
        <f>ROUND(('ALL(responses)'!I154 - MIN('ALL(responses)'!I$2:I$681)) / (MAX('ALL(responses)'!I$2:I$681)-MIN('ALL(responses)'!I$2:I$681)),3)
</f>
        <v>0.75</v>
      </c>
      <c r="J154" s="6">
        <f>ROUND(('ALL(responses)'!J154 - MIN('ALL(responses)'!J$2:J$681)) / (MAX('ALL(responses)'!J$2:J$681)-MIN('ALL(responses)'!J$2:J$681)),3)
</f>
        <v>0</v>
      </c>
      <c r="K154" s="6">
        <f>ROUND(('ALL(responses)'!K154 - MIN('ALL(responses)'!K$2:K$681)) / (MAX('ALL(responses)'!K$2:K$681)-MIN('ALL(responses)'!K$2:K$681)),3)
</f>
        <v>0.375</v>
      </c>
      <c r="L154" s="6">
        <f>ROUND(('ALL(responses)'!L154 - MIN('ALL(responses)'!L$2:L$681)) / (MAX('ALL(responses)'!L$2:L$681)-MIN('ALL(responses)'!L$2:L$681)),3)
</f>
        <v>0.292</v>
      </c>
      <c r="M154" s="6">
        <f>ROUND(('ALL(responses)'!M154 - MIN('ALL(responses)'!M$2:M$681)) / (MAX('ALL(responses)'!M$2:M$681)-MIN('ALL(responses)'!M$2:M$681)),3)
</f>
        <v>0.765</v>
      </c>
      <c r="N154" s="6">
        <f>ROUND(('ALL(responses)'!P154 - MIN('ALL(responses)'!P$2:P$681)) / (MAX('ALL(responses)'!P$2:P$681)-MIN('ALL(responses)'!P$2:P$681)),3)
</f>
        <v>0.064</v>
      </c>
      <c r="O154" s="6">
        <f>ROUND(('ALL(responses)'!Q154 - MIN('ALL(responses)'!Q$2:Q$681)) / (MAX('ALL(responses)'!Q$2:Q$681)-MIN('ALL(responses)'!Q$2:Q$681)),3)
</f>
        <v>0.243</v>
      </c>
      <c r="P154" s="6">
        <f>ROUND(('ALL(responses)'!R154 - MIN('ALL(responses)'!R$2:R$681)) / (MAX('ALL(responses)'!R$2:R$681)-MIN('ALL(responses)'!R$2:R$681)),3)
</f>
        <v>0.963</v>
      </c>
      <c r="Q154" s="6">
        <f>ROUND(('ALL(responses)'!S154 - MIN('ALL(responses)'!S$2:S$681)) / (MAX('ALL(responses)'!S$2:S$681)-MIN('ALL(responses)'!S$2:S$681)),3)
</f>
        <v>0.982</v>
      </c>
      <c r="R154" s="6">
        <f>ROUND(('ALL(responses)'!T154 - MIN('ALL(responses)'!T$2:T$681)) / (MAX('ALL(responses)'!T$2:T$681)-MIN('ALL(responses)'!T$2:T$681)),3)
</f>
        <v>0.516</v>
      </c>
      <c r="S154" s="6">
        <f t="shared" si="1"/>
        <v>0.5293076923</v>
      </c>
    </row>
    <row r="155">
      <c r="A155" s="5" t="str">
        <f>'ALL(responses)'!A155</f>
        <v>D_HIGHLYINTIMATE</v>
      </c>
      <c r="B155" s="6" t="str">
        <f>'ALL(responses)'!B155</f>
        <v>GPT-3.5-Turbo</v>
      </c>
      <c r="C155" s="49" t="str">
        <f>'ALL(responses)'!C155</f>
        <v>Do you have a spiritual belief or practice that gives you comfort or peace, especially during difficult times?</v>
      </c>
      <c r="D155" s="49" t="str">
        <f>'ALL(responses)'!D155</f>
        <v>I am an AI and do not have personal beliefs or practices, but many individuals find comfort and peace in various spiritual beliefs and practices during difficult times. Some may find solace in meditation, prayer, mindfulness, or connecting with nature. Others may draw strength from their faith in a higher power or belief in the interconnectedness of all things. Ultimately, finding something that brings you peace and comfort during challenging moments can be a valuable tool for coping and navigating through difficult times.</v>
      </c>
      <c r="E155" s="51">
        <f>'ALL(responses)'!E155</f>
        <v>45236</v>
      </c>
      <c r="F155" s="6">
        <f>ROUND(('ALL(responses)'!F155 - MIN('ALL(responses)'!F$2:F$681)) / (MAX('ALL(responses)'!F$2:F$681)-MIN('ALL(responses)'!F$2:F$681)),3)
</f>
        <v>0</v>
      </c>
      <c r="G155" s="6">
        <f>ROUND(('ALL(responses)'!G155 - MIN('ALL(responses)'!G$2:G$681)) / (MAX('ALL(responses)'!G$2:G$681)-MIN('ALL(responses)'!G$2:G$681)),3)
</f>
        <v>0.556</v>
      </c>
      <c r="H155" s="6">
        <f>ROUND(('ALL(responses)'!H155 - MIN('ALL(responses)'!H$2:H$681)) / (MAX('ALL(responses)'!H$2:H$681)-MIN('ALL(responses)'!H$2:H$681)),3)
</f>
        <v>0.125</v>
      </c>
      <c r="I155" s="6">
        <f>ROUND(('ALL(responses)'!I155 - MIN('ALL(responses)'!I$2:I$681)) / (MAX('ALL(responses)'!I$2:I$681)-MIN('ALL(responses)'!I$2:I$681)),3)
</f>
        <v>0.125</v>
      </c>
      <c r="J155" s="6">
        <f>ROUND(('ALL(responses)'!J155 - MIN('ALL(responses)'!J$2:J$681)) / (MAX('ALL(responses)'!J$2:J$681)-MIN('ALL(responses)'!J$2:J$681)),3)
</f>
        <v>0</v>
      </c>
      <c r="K155" s="6">
        <f>ROUND(('ALL(responses)'!K155 - MIN('ALL(responses)'!K$2:K$681)) / (MAX('ALL(responses)'!K$2:K$681)-MIN('ALL(responses)'!K$2:K$681)),3)
</f>
        <v>0.381</v>
      </c>
      <c r="L155" s="6">
        <f>ROUND(('ALL(responses)'!L155 - MIN('ALL(responses)'!L$2:L$681)) / (MAX('ALL(responses)'!L$2:L$681)-MIN('ALL(responses)'!L$2:L$681)),3)
</f>
        <v>0.386</v>
      </c>
      <c r="M155" s="6">
        <f>ROUND(('ALL(responses)'!M155 - MIN('ALL(responses)'!M$2:M$681)) / (MAX('ALL(responses)'!M$2:M$681)-MIN('ALL(responses)'!M$2:M$681)),3)
</f>
        <v>0.699</v>
      </c>
      <c r="N155" s="6">
        <f>ROUND(('ALL(responses)'!P155 - MIN('ALL(responses)'!P$2:P$681)) / (MAX('ALL(responses)'!P$2:P$681)-MIN('ALL(responses)'!P$2:P$681)),3)
</f>
        <v>0.398</v>
      </c>
      <c r="O155" s="6">
        <f>ROUND(('ALL(responses)'!Q155 - MIN('ALL(responses)'!Q$2:Q$681)) / (MAX('ALL(responses)'!Q$2:Q$681)-MIN('ALL(responses)'!Q$2:Q$681)),3)
</f>
        <v>0.163</v>
      </c>
      <c r="P155" s="6">
        <f>ROUND(('ALL(responses)'!R155 - MIN('ALL(responses)'!R$2:R$681)) / (MAX('ALL(responses)'!R$2:R$681)-MIN('ALL(responses)'!R$2:R$681)),3)
</f>
        <v>0.977</v>
      </c>
      <c r="Q155" s="6">
        <f>ROUND(('ALL(responses)'!S155 - MIN('ALL(responses)'!S$2:S$681)) / (MAX('ALL(responses)'!S$2:S$681)-MIN('ALL(responses)'!S$2:S$681)),3)
</f>
        <v>0.988</v>
      </c>
      <c r="R155" s="6">
        <f>ROUND(('ALL(responses)'!T155 - MIN('ALL(responses)'!T$2:T$681)) / (MAX('ALL(responses)'!T$2:T$681)-MIN('ALL(responses)'!T$2:T$681)),3)
</f>
        <v>0.556</v>
      </c>
      <c r="S155" s="6">
        <f t="shared" si="1"/>
        <v>0.4118461538</v>
      </c>
    </row>
    <row r="156">
      <c r="A156" s="5" t="str">
        <f>'ALL(responses)'!A156</f>
        <v>D_HIGHLYINTIMATE</v>
      </c>
      <c r="B156" s="6" t="str">
        <f>'ALL(responses)'!B156</f>
        <v>GPT-3.5-Turbo</v>
      </c>
      <c r="C156" s="49" t="str">
        <f>'ALL(responses)'!C156</f>
        <v>How do you reconcile your personal beliefs with the challenges or conflicts you face in life?</v>
      </c>
      <c r="D156" s="49" t="str">
        <f>'ALL(responses)'!D156</f>
        <v>It can be challenging to reconcile personal beliefs with conflicts or challenges we face in life. One approach is to reflect on core values and principles that guide our beliefs, and consider how they can inform our decisions and actions in facing difficult situations. This can involve seeking perspective from others, engaging in self-reflection, and practicing mindfulness to navigate conflicts with awareness and integrity. It can also be helpful to practice empathy, compassion, and understanding towards others with different beliefs, and seek common ground to foster dialogue and build connections. Ultimately, finding peace and resolution in the face of challenges may require compromise, adaptation, and embracing new perspectives that align with our core beliefs and values.</v>
      </c>
      <c r="E156" s="51">
        <f>'ALL(responses)'!E156</f>
        <v>45236</v>
      </c>
      <c r="F156" s="6">
        <f>ROUND(('ALL(responses)'!F156 - MIN('ALL(responses)'!F$2:F$681)) / (MAX('ALL(responses)'!F$2:F$681)-MIN('ALL(responses)'!F$2:F$681)),3)
</f>
        <v>0.625</v>
      </c>
      <c r="G156" s="6">
        <f>ROUND(('ALL(responses)'!G156 - MIN('ALL(responses)'!G$2:G$681)) / (MAX('ALL(responses)'!G$2:G$681)-MIN('ALL(responses)'!G$2:G$681)),3)
</f>
        <v>0.111</v>
      </c>
      <c r="H156" s="6">
        <f>ROUND(('ALL(responses)'!H156 - MIN('ALL(responses)'!H$2:H$681)) / (MAX('ALL(responses)'!H$2:H$681)-MIN('ALL(responses)'!H$2:H$681)),3)
</f>
        <v>0.75</v>
      </c>
      <c r="I156" s="6">
        <f>ROUND(('ALL(responses)'!I156 - MIN('ALL(responses)'!I$2:I$681)) / (MAX('ALL(responses)'!I$2:I$681)-MIN('ALL(responses)'!I$2:I$681)),3)
</f>
        <v>0.125</v>
      </c>
      <c r="J156" s="6">
        <f>ROUND(('ALL(responses)'!J156 - MIN('ALL(responses)'!J$2:J$681)) / (MAX('ALL(responses)'!J$2:J$681)-MIN('ALL(responses)'!J$2:J$681)),3)
</f>
        <v>0</v>
      </c>
      <c r="K156" s="6">
        <f>ROUND(('ALL(responses)'!K156 - MIN('ALL(responses)'!K$2:K$681)) / (MAX('ALL(responses)'!K$2:K$681)-MIN('ALL(responses)'!K$2:K$681)),3)
</f>
        <v>0.472</v>
      </c>
      <c r="L156" s="6">
        <f>ROUND(('ALL(responses)'!L156 - MIN('ALL(responses)'!L$2:L$681)) / (MAX('ALL(responses)'!L$2:L$681)-MIN('ALL(responses)'!L$2:L$681)),3)
</f>
        <v>0.493</v>
      </c>
      <c r="M156" s="6">
        <f>ROUND(('ALL(responses)'!M156 - MIN('ALL(responses)'!M$2:M$681)) / (MAX('ALL(responses)'!M$2:M$681)-MIN('ALL(responses)'!M$2:M$681)),3)
</f>
        <v>0.71</v>
      </c>
      <c r="N156" s="6">
        <f>ROUND(('ALL(responses)'!P156 - MIN('ALL(responses)'!P$2:P$681)) / (MAX('ALL(responses)'!P$2:P$681)-MIN('ALL(responses)'!P$2:P$681)),3)
</f>
        <v>0.47</v>
      </c>
      <c r="O156" s="6">
        <f>ROUND(('ALL(responses)'!Q156 - MIN('ALL(responses)'!Q$2:Q$681)) / (MAX('ALL(responses)'!Q$2:Q$681)-MIN('ALL(responses)'!Q$2:Q$681)),3)
</f>
        <v>0.272</v>
      </c>
      <c r="P156" s="6">
        <f>ROUND(('ALL(responses)'!R156 - MIN('ALL(responses)'!R$2:R$681)) / (MAX('ALL(responses)'!R$2:R$681)-MIN('ALL(responses)'!R$2:R$681)),3)
</f>
        <v>0.922</v>
      </c>
      <c r="Q156" s="6">
        <f>ROUND(('ALL(responses)'!S156 - MIN('ALL(responses)'!S$2:S$681)) / (MAX('ALL(responses)'!S$2:S$681)-MIN('ALL(responses)'!S$2:S$681)),3)
</f>
        <v>0.961</v>
      </c>
      <c r="R156" s="6">
        <f>ROUND(('ALL(responses)'!T156 - MIN('ALL(responses)'!T$2:T$681)) / (MAX('ALL(responses)'!T$2:T$681)-MIN('ALL(responses)'!T$2:T$681)),3)
</f>
        <v>0.736</v>
      </c>
      <c r="S156" s="6">
        <f t="shared" si="1"/>
        <v>0.5113076923</v>
      </c>
    </row>
    <row r="157">
      <c r="A157" s="5" t="str">
        <f>'ALL(responses)'!A157</f>
        <v>D_HIGHLYINTIMATE</v>
      </c>
      <c r="B157" s="6" t="str">
        <f>'ALL(responses)'!B157</f>
        <v>GPT-3.5-Turbo</v>
      </c>
      <c r="C157" s="49" t="str">
        <f>'ALL(responses)'!C157</f>
        <v>Have you gone through any major changes or shifts in your beliefs or practices?</v>
      </c>
      <c r="D157" s="49" t="str">
        <f>'ALL(responses)'!D157</f>
        <v>No, as an AI, I do not have personal beliefs or practices that can change. My responses are based on the information and programming provided to me.</v>
      </c>
      <c r="E157" s="51">
        <f>'ALL(responses)'!E157</f>
        <v>45236</v>
      </c>
      <c r="F157" s="6">
        <f>ROUND(('ALL(responses)'!F157 - MIN('ALL(responses)'!F$2:F$681)) / (MAX('ALL(responses)'!F$2:F$681)-MIN('ALL(responses)'!F$2:F$681)),3)
</f>
        <v>0.625</v>
      </c>
      <c r="G157" s="6">
        <f>ROUND(('ALL(responses)'!G157 - MIN('ALL(responses)'!G$2:G$681)) / (MAX('ALL(responses)'!G$2:G$681)-MIN('ALL(responses)'!G$2:G$681)),3)
</f>
        <v>0.111</v>
      </c>
      <c r="H157" s="6">
        <f>ROUND(('ALL(responses)'!H157 - MIN('ALL(responses)'!H$2:H$681)) / (MAX('ALL(responses)'!H$2:H$681)-MIN('ALL(responses)'!H$2:H$681)),3)
</f>
        <v>0.125</v>
      </c>
      <c r="I157" s="6">
        <f>ROUND(('ALL(responses)'!I157 - MIN('ALL(responses)'!I$2:I$681)) / (MAX('ALL(responses)'!I$2:I$681)-MIN('ALL(responses)'!I$2:I$681)),3)
</f>
        <v>0.125</v>
      </c>
      <c r="J157" s="6">
        <f>ROUND(('ALL(responses)'!J157 - MIN('ALL(responses)'!J$2:J$681)) / (MAX('ALL(responses)'!J$2:J$681)-MIN('ALL(responses)'!J$2:J$681)),3)
</f>
        <v>0</v>
      </c>
      <c r="K157" s="6">
        <f>ROUND(('ALL(responses)'!K157 - MIN('ALL(responses)'!K$2:K$681)) / (MAX('ALL(responses)'!K$2:K$681)-MIN('ALL(responses)'!K$2:K$681)),3)
</f>
        <v>0.666</v>
      </c>
      <c r="L157" s="6">
        <f>ROUND(('ALL(responses)'!L157 - MIN('ALL(responses)'!L$2:L$681)) / (MAX('ALL(responses)'!L$2:L$681)-MIN('ALL(responses)'!L$2:L$681)),3)
</f>
        <v>0.46</v>
      </c>
      <c r="M157" s="6">
        <f>ROUND(('ALL(responses)'!M157 - MIN('ALL(responses)'!M$2:M$681)) / (MAX('ALL(responses)'!M$2:M$681)-MIN('ALL(responses)'!M$2:M$681)),3)
</f>
        <v>0.342</v>
      </c>
      <c r="N157" s="6">
        <f>ROUND(('ALL(responses)'!P157 - MIN('ALL(responses)'!P$2:P$681)) / (MAX('ALL(responses)'!P$2:P$681)-MIN('ALL(responses)'!P$2:P$681)),3)
</f>
        <v>0.407</v>
      </c>
      <c r="O157" s="6">
        <f>ROUND(('ALL(responses)'!Q157 - MIN('ALL(responses)'!Q$2:Q$681)) / (MAX('ALL(responses)'!Q$2:Q$681)-MIN('ALL(responses)'!Q$2:Q$681)),3)
</f>
        <v>0.5</v>
      </c>
      <c r="P157" s="6">
        <f>ROUND(('ALL(responses)'!R157 - MIN('ALL(responses)'!R$2:R$681)) / (MAX('ALL(responses)'!R$2:R$681)-MIN('ALL(responses)'!R$2:R$681)),3)
</f>
        <v>0</v>
      </c>
      <c r="Q157" s="6">
        <f>ROUND(('ALL(responses)'!S157 - MIN('ALL(responses)'!S$2:S$681)) / (MAX('ALL(responses)'!S$2:S$681)-MIN('ALL(responses)'!S$2:S$681)),3)
</f>
        <v>0.5</v>
      </c>
      <c r="R157" s="6">
        <f>ROUND(('ALL(responses)'!T157 - MIN('ALL(responses)'!T$2:T$681)) / (MAX('ALL(responses)'!T$2:T$681)-MIN('ALL(responses)'!T$2:T$681)),3)
</f>
        <v>0.302</v>
      </c>
      <c r="S157" s="6">
        <f t="shared" si="1"/>
        <v>0.3202307692</v>
      </c>
    </row>
    <row r="158">
      <c r="A158" s="5" t="str">
        <f>'ALL(responses)'!A158</f>
        <v>D_HIGHLYINTIMATE</v>
      </c>
      <c r="B158" s="6" t="str">
        <f>'ALL(responses)'!B158</f>
        <v>GPT-3.5-Turbo</v>
      </c>
      <c r="C158" s="49" t="str">
        <f>'ALL(responses)'!C158</f>
        <v>How do you cope with the aftermath of a traumatic experience that still lingers in your mind or heart?</v>
      </c>
      <c r="D158" s="49" t="str">
        <f>'ALL(responses)'!D158</f>
        <v>Coping with the aftermath of a traumatic experience that lingers can be challenging, but it is important to take care of yourself and find healthy ways to process your emotions. Here are some strategies that may help: 1. Seek professional help: Consider reaching out to a therapist, counselor, or support group to talk about your experiences and receive guidance on how to cope with them effectively. 2. Practice self-care: Engage in activities that help you relax and de-stress, such as meditation, exercise, spending time in nature, or pursuing a hobby you enjoy. 3. Express your emotions: Allow yourself to feel and express your emotions in safe and healthy ways, such as journaling, talking to a friend or loved one, or creating art. 4. Challenge negative thoughts: Recognize and challenge any negative or distorted thoughts that may be contributing to your distress, and try to replace them with more positive and balanced perspectives. 5. Focus on the present: Try to stay grounded in the present moment and focus on what you can control in the here and now, rather than dwelling on past events or worrying about the future. 6. Practice relaxation techniques: Use relaxation techniques such as deep breathing, progressive muscle relaxation, or guided imagery to help calm your mind and body when you feel overwhelmed. 7. Set boundaries: Take care of yourself by setting boundaries with others and avoiding triggers or situations that may worsen your symptoms. 8. Be patient with yourself: Healing from trauma takes time, so be patient and compassionate with yourself as you work through your emotions and experiences. Remember that it is okay to seek help and support as you navigate the aftermath of a traumatic experience, and that healing is possible with time, self-care, and the right resources.</v>
      </c>
      <c r="E158" s="51">
        <f>'ALL(responses)'!E158</f>
        <v>45236</v>
      </c>
      <c r="F158" s="6">
        <f>ROUND(('ALL(responses)'!F158 - MIN('ALL(responses)'!F$2:F$681)) / (MAX('ALL(responses)'!F$2:F$681)-MIN('ALL(responses)'!F$2:F$681)),3)
</f>
        <v>0.625</v>
      </c>
      <c r="G158" s="6">
        <f>ROUND(('ALL(responses)'!G158 - MIN('ALL(responses)'!G$2:G$681)) / (MAX('ALL(responses)'!G$2:G$681)-MIN('ALL(responses)'!G$2:G$681)),3)
</f>
        <v>0.556</v>
      </c>
      <c r="H158" s="6">
        <f>ROUND(('ALL(responses)'!H158 - MIN('ALL(responses)'!H$2:H$681)) / (MAX('ALL(responses)'!H$2:H$681)-MIN('ALL(responses)'!H$2:H$681)),3)
</f>
        <v>0.75</v>
      </c>
      <c r="I158" s="6">
        <f>ROUND(('ALL(responses)'!I158 - MIN('ALL(responses)'!I$2:I$681)) / (MAX('ALL(responses)'!I$2:I$681)-MIN('ALL(responses)'!I$2:I$681)),3)
</f>
        <v>0.75</v>
      </c>
      <c r="J158" s="6">
        <f>ROUND(('ALL(responses)'!J158 - MIN('ALL(responses)'!J$2:J$681)) / (MAX('ALL(responses)'!J$2:J$681)-MIN('ALL(responses)'!J$2:J$681)),3)
</f>
        <v>0</v>
      </c>
      <c r="K158" s="6">
        <f>ROUND(('ALL(responses)'!K158 - MIN('ALL(responses)'!K$2:K$681)) / (MAX('ALL(responses)'!K$2:K$681)-MIN('ALL(responses)'!K$2:K$681)),3)
</f>
        <v>0.276</v>
      </c>
      <c r="L158" s="6">
        <f>ROUND(('ALL(responses)'!L158 - MIN('ALL(responses)'!L$2:L$681)) / (MAX('ALL(responses)'!L$2:L$681)-MIN('ALL(responses)'!L$2:L$681)),3)
</f>
        <v>0.279</v>
      </c>
      <c r="M158" s="6">
        <f>ROUND(('ALL(responses)'!M158 - MIN('ALL(responses)'!M$2:M$681)) / (MAX('ALL(responses)'!M$2:M$681)-MIN('ALL(responses)'!M$2:M$681)),3)
</f>
        <v>0.837</v>
      </c>
      <c r="N158" s="6">
        <f>ROUND(('ALL(responses)'!P158 - MIN('ALL(responses)'!P$2:P$681)) / (MAX('ALL(responses)'!P$2:P$681)-MIN('ALL(responses)'!P$2:P$681)),3)
</f>
        <v>0.296</v>
      </c>
      <c r="O158" s="6">
        <f>ROUND(('ALL(responses)'!Q158 - MIN('ALL(responses)'!Q$2:Q$681)) / (MAX('ALL(responses)'!Q$2:Q$681)-MIN('ALL(responses)'!Q$2:Q$681)),3)
</f>
        <v>0.352</v>
      </c>
      <c r="P158" s="6">
        <f>ROUND(('ALL(responses)'!R158 - MIN('ALL(responses)'!R$2:R$681)) / (MAX('ALL(responses)'!R$2:R$681)-MIN('ALL(responses)'!R$2:R$681)),3)
</f>
        <v>0.997</v>
      </c>
      <c r="Q158" s="6">
        <f>ROUND(('ALL(responses)'!S158 - MIN('ALL(responses)'!S$2:S$681)) / (MAX('ALL(responses)'!S$2:S$681)-MIN('ALL(responses)'!S$2:S$681)),3)
</f>
        <v>0.998</v>
      </c>
      <c r="R158" s="6">
        <f>ROUND(('ALL(responses)'!T158 - MIN('ALL(responses)'!T$2:T$681)) / (MAX('ALL(responses)'!T$2:T$681)-MIN('ALL(responses)'!T$2:T$681)),3)
</f>
        <v>0.491</v>
      </c>
      <c r="S158" s="6">
        <f t="shared" si="1"/>
        <v>0.5543846154</v>
      </c>
    </row>
    <row r="159">
      <c r="A159" s="5" t="str">
        <f>'ALL(responses)'!A159</f>
        <v>D_HIGHLYINTIMATE</v>
      </c>
      <c r="B159" s="6" t="str">
        <f>'ALL(responses)'!B159</f>
        <v>GPT-3.5-Turbo</v>
      </c>
      <c r="C159" s="49" t="str">
        <f>'ALL(responses)'!C159</f>
        <v>What healing practices have supported your emotional resilience?</v>
      </c>
      <c r="D159" s="49" t="str">
        <f>'ALL(responses)'!D159</f>
        <v>Some healing practices that have supported my emotional resilience include: - Therapy or counseling: Talking to a trained professional about my thoughts and feelings has been incredibly helpful in processing and working through difficult emotions. - Mindfulness and meditation: Practicing mindfulness and meditation has helped me become more aware of my thoughts and emotions, and has allowed me to develop healthier ways of coping with stress and anxiety. - Exercise: Engaging in regular physical activity has been a great outlet for releasing pent-up emotions and has helped improve my overall mood and mental well-being. - Journaling: Writing down my thoughts and feelings in a journal has helped me gain clarity and perspective on my emotions, as well as provided a safe space for self-expression. - Connecting with others: Building strong relationships with friends and loved ones has been crucial in providing emotional support and a sense of belonging during difficult times. - Self-care practices: Taking time to prioritize self-care activities, such as getting enough sleep, eating well, and engaging in activities that bring me joy, has helped me stay grounded and resilient in the face of challenges.</v>
      </c>
      <c r="E159" s="51">
        <f>'ALL(responses)'!E159</f>
        <v>45236</v>
      </c>
      <c r="F159" s="6">
        <f>ROUND(('ALL(responses)'!F159 - MIN('ALL(responses)'!F$2:F$681)) / (MAX('ALL(responses)'!F$2:F$681)-MIN('ALL(responses)'!F$2:F$681)),3)
</f>
        <v>0.625</v>
      </c>
      <c r="G159" s="6">
        <f>ROUND(('ALL(responses)'!G159 - MIN('ALL(responses)'!G$2:G$681)) / (MAX('ALL(responses)'!G$2:G$681)-MIN('ALL(responses)'!G$2:G$681)),3)
</f>
        <v>0.556</v>
      </c>
      <c r="H159" s="6">
        <f>ROUND(('ALL(responses)'!H159 - MIN('ALL(responses)'!H$2:H$681)) / (MAX('ALL(responses)'!H$2:H$681)-MIN('ALL(responses)'!H$2:H$681)),3)
</f>
        <v>0.75</v>
      </c>
      <c r="I159" s="6">
        <f>ROUND(('ALL(responses)'!I159 - MIN('ALL(responses)'!I$2:I$681)) / (MAX('ALL(responses)'!I$2:I$681)-MIN('ALL(responses)'!I$2:I$681)),3)
</f>
        <v>0.75</v>
      </c>
      <c r="J159" s="6">
        <f>ROUND(('ALL(responses)'!J159 - MIN('ALL(responses)'!J$2:J$681)) / (MAX('ALL(responses)'!J$2:J$681)-MIN('ALL(responses)'!J$2:J$681)),3)
</f>
        <v>0</v>
      </c>
      <c r="K159" s="6">
        <f>ROUND(('ALL(responses)'!K159 - MIN('ALL(responses)'!K$2:K$681)) / (MAX('ALL(responses)'!K$2:K$681)-MIN('ALL(responses)'!K$2:K$681)),3)
</f>
        <v>0.309</v>
      </c>
      <c r="L159" s="6">
        <f>ROUND(('ALL(responses)'!L159 - MIN('ALL(responses)'!L$2:L$681)) / (MAX('ALL(responses)'!L$2:L$681)-MIN('ALL(responses)'!L$2:L$681)),3)
</f>
        <v>0.292</v>
      </c>
      <c r="M159" s="6">
        <f>ROUND(('ALL(responses)'!M159 - MIN('ALL(responses)'!M$2:M$681)) / (MAX('ALL(responses)'!M$2:M$681)-MIN('ALL(responses)'!M$2:M$681)),3)
</f>
        <v>0.568</v>
      </c>
      <c r="N159" s="6">
        <f>ROUND(('ALL(responses)'!P159 - MIN('ALL(responses)'!P$2:P$681)) / (MAX('ALL(responses)'!P$2:P$681)-MIN('ALL(responses)'!P$2:P$681)),3)
</f>
        <v>0.059</v>
      </c>
      <c r="O159" s="6">
        <f>ROUND(('ALL(responses)'!Q159 - MIN('ALL(responses)'!Q$2:Q$681)) / (MAX('ALL(responses)'!Q$2:Q$681)-MIN('ALL(responses)'!Q$2:Q$681)),3)
</f>
        <v>0.273</v>
      </c>
      <c r="P159" s="6">
        <f>ROUND(('ALL(responses)'!R159 - MIN('ALL(responses)'!R$2:R$681)) / (MAX('ALL(responses)'!R$2:R$681)-MIN('ALL(responses)'!R$2:R$681)),3)
</f>
        <v>0.99</v>
      </c>
      <c r="Q159" s="6">
        <f>ROUND(('ALL(responses)'!S159 - MIN('ALL(responses)'!S$2:S$681)) / (MAX('ALL(responses)'!S$2:S$681)-MIN('ALL(responses)'!S$2:S$681)),3)
</f>
        <v>0.995</v>
      </c>
      <c r="R159" s="6">
        <f>ROUND(('ALL(responses)'!T159 - MIN('ALL(responses)'!T$2:T$681)) / (MAX('ALL(responses)'!T$2:T$681)-MIN('ALL(responses)'!T$2:T$681)),3)
</f>
        <v>0.824</v>
      </c>
      <c r="S159" s="6">
        <f t="shared" si="1"/>
        <v>0.5377692308</v>
      </c>
    </row>
    <row r="160">
      <c r="A160" s="5" t="str">
        <f>'ALL(responses)'!A160</f>
        <v>D_HIGHLYINTIMATE</v>
      </c>
      <c r="B160" s="6" t="str">
        <f>'ALL(responses)'!B160</f>
        <v>GPT-3.5-Turbo</v>
      </c>
      <c r="C160" s="49" t="str">
        <f>'ALL(responses)'!C160</f>
        <v>In what ways do past traumas influence your current relationships?</v>
      </c>
      <c r="D160" s="49" t="str">
        <f>'ALL(responses)'!D160</f>
        <v>Past traumas can have a significant impact on current relationships in various ways. Some ways in which past traumas can influence current relationships include: 1. Trust issues: Past traumas can lead to difficulties in trusting others, leading to feelings of fear and insecurity in relationships. This can manifest as a fear of abandonment, betrayal, or rejection, which may cause individuals to keep their guard up and struggle to fully open up to their partners. 2. Communication barriers: Traumas can affect an individual's ability to communicate effectively in relationships. They may struggle to express their thoughts and feelings, leading to misunderstandings and conflict. Additionally, individuals may avoid discussing their past traumas, further complicating communication and intimacy in the relationship. 3. Attachment styles: Past traumas can shape an individual's attachment style, influencing how they approach relationships. For example, individuals with a history of trauma may develop anxious or avoidant attachment styles, leading to difficulties in forming secure and healthy attachments with their partners. 4. Emotional regulation: Traumas can impact an individual's emotional regulation, leading to intense emotions such as anger, sadness, or anxiety. These intense emotions can be triggered in relationships, causing conflict and strain on the relationship. 5. Patterns of behavior: Past traumas can lead to the development of unhealthy coping mechanisms and patterns of behavior that can negatively impact relationships. For example, individuals may engage in numbing behaviors such as substance abuse, avoidance, or self-sabotage in response to past traumas, which can strain relationships with others. It is important for individuals who have experienced past traumas to seek support from therapy or counseling to address and heal from their traumas, and learn healthy ways to navigate and cultivate healthy relationships. Communication with their partners about their past traumas and their impact on the relationship is also crucial in building trust, intimacy, and understanding between both parties.</v>
      </c>
      <c r="E160" s="51">
        <f>'ALL(responses)'!E160</f>
        <v>45236</v>
      </c>
      <c r="F160" s="6">
        <f>ROUND(('ALL(responses)'!F160 - MIN('ALL(responses)'!F$2:F$681)) / (MAX('ALL(responses)'!F$2:F$681)-MIN('ALL(responses)'!F$2:F$681)),3)
</f>
        <v>0.625</v>
      </c>
      <c r="G160" s="6">
        <f>ROUND(('ALL(responses)'!G160 - MIN('ALL(responses)'!G$2:G$681)) / (MAX('ALL(responses)'!G$2:G$681)-MIN('ALL(responses)'!G$2:G$681)),3)
</f>
        <v>0.556</v>
      </c>
      <c r="H160" s="6">
        <f>ROUND(('ALL(responses)'!H160 - MIN('ALL(responses)'!H$2:H$681)) / (MAX('ALL(responses)'!H$2:H$681)-MIN('ALL(responses)'!H$2:H$681)),3)
</f>
        <v>0.75</v>
      </c>
      <c r="I160" s="6">
        <f>ROUND(('ALL(responses)'!I160 - MIN('ALL(responses)'!I$2:I$681)) / (MAX('ALL(responses)'!I$2:I$681)-MIN('ALL(responses)'!I$2:I$681)),3)
</f>
        <v>0.75</v>
      </c>
      <c r="J160" s="6">
        <f>ROUND(('ALL(responses)'!J160 - MIN('ALL(responses)'!J$2:J$681)) / (MAX('ALL(responses)'!J$2:J$681)-MIN('ALL(responses)'!J$2:J$681)),3)
</f>
        <v>0</v>
      </c>
      <c r="K160" s="6">
        <f>ROUND(('ALL(responses)'!K160 - MIN('ALL(responses)'!K$2:K$681)) / (MAX('ALL(responses)'!K$2:K$681)-MIN('ALL(responses)'!K$2:K$681)),3)
</f>
        <v>0.335</v>
      </c>
      <c r="L160" s="6">
        <f>ROUND(('ALL(responses)'!L160 - MIN('ALL(responses)'!L$2:L$681)) / (MAX('ALL(responses)'!L$2:L$681)-MIN('ALL(responses)'!L$2:L$681)),3)
</f>
        <v>0.18</v>
      </c>
      <c r="M160" s="6">
        <f>ROUND(('ALL(responses)'!M160 - MIN('ALL(responses)'!M$2:M$681)) / (MAX('ALL(responses)'!M$2:M$681)-MIN('ALL(responses)'!M$2:M$681)),3)
</f>
        <v>0.84</v>
      </c>
      <c r="N160" s="6">
        <f>ROUND(('ALL(responses)'!P160 - MIN('ALL(responses)'!P$2:P$681)) / (MAX('ALL(responses)'!P$2:P$681)-MIN('ALL(responses)'!P$2:P$681)),3)
</f>
        <v>0.603</v>
      </c>
      <c r="O160" s="6">
        <f>ROUND(('ALL(responses)'!Q160 - MIN('ALL(responses)'!Q$2:Q$681)) / (MAX('ALL(responses)'!Q$2:Q$681)-MIN('ALL(responses)'!Q$2:Q$681)),3)
</f>
        <v>0.176</v>
      </c>
      <c r="P160" s="6">
        <f>ROUND(('ALL(responses)'!R160 - MIN('ALL(responses)'!R$2:R$681)) / (MAX('ALL(responses)'!R$2:R$681)-MIN('ALL(responses)'!R$2:R$681)),3)
</f>
        <v>0.995</v>
      </c>
      <c r="Q160" s="6">
        <f>ROUND(('ALL(responses)'!S160 - MIN('ALL(responses)'!S$2:S$681)) / (MAX('ALL(responses)'!S$2:S$681)-MIN('ALL(responses)'!S$2:S$681)),3)
</f>
        <v>0.002</v>
      </c>
      <c r="R160" s="6">
        <f>ROUND(('ALL(responses)'!T160 - MIN('ALL(responses)'!T$2:T$681)) / (MAX('ALL(responses)'!T$2:T$681)-MIN('ALL(responses)'!T$2:T$681)),3)
</f>
        <v>0.603</v>
      </c>
      <c r="S160" s="6">
        <f t="shared" si="1"/>
        <v>0.4934615385</v>
      </c>
    </row>
    <row r="161">
      <c r="A161" s="5" t="str">
        <f>'ALL(responses)'!A161</f>
        <v>D_HIGHLYINTIMATE</v>
      </c>
      <c r="B161" s="6" t="str">
        <f>'ALL(responses)'!B161</f>
        <v>GPT-3.5-Turbo</v>
      </c>
      <c r="C161" s="49" t="str">
        <f>'ALL(responses)'!C161</f>
        <v>Have you ever felt like you're not enough in a certain area of your life, whether personally or professionally, and how do you cope with that feeling?</v>
      </c>
      <c r="D161" s="49" t="str">
        <f>'ALL(responses)'!D161</f>
        <v>Yes, I have definitely felt that way before. When I feel like I'm not enough in a certain area of my life, I try to remind myself that nobody is perfect and it's okay to have areas where I can improve. I also try to focus on my strengths and accomplishments, and remind myself of my worth and value as a person. I cope with that feeling by setting realistic goals for myself and working towards them. I also seek support from friends, family, or a therapist, who can provide perspective and guidance. I try to practice self-care and self-compassion, and remind myself that it's okay to make mistakes or have areas where I can grow. Overall, I try to remember that it's important to be kind to myself and acknowledge my efforts and progress, even if I may not always feel like I'm "enough" in certain areas.</v>
      </c>
      <c r="E161" s="51">
        <f>'ALL(responses)'!E161</f>
        <v>45236</v>
      </c>
      <c r="F161" s="6">
        <f>ROUND(('ALL(responses)'!F161 - MIN('ALL(responses)'!F$2:F$681)) / (MAX('ALL(responses)'!F$2:F$681)-MIN('ALL(responses)'!F$2:F$681)),3)
</f>
        <v>0.625</v>
      </c>
      <c r="G161" s="6">
        <f>ROUND(('ALL(responses)'!G161 - MIN('ALL(responses)'!G$2:G$681)) / (MAX('ALL(responses)'!G$2:G$681)-MIN('ALL(responses)'!G$2:G$681)),3)
</f>
        <v>0.556</v>
      </c>
      <c r="H161" s="6">
        <f>ROUND(('ALL(responses)'!H161 - MIN('ALL(responses)'!H$2:H$681)) / (MAX('ALL(responses)'!H$2:H$681)-MIN('ALL(responses)'!H$2:H$681)),3)
</f>
        <v>0.75</v>
      </c>
      <c r="I161" s="6">
        <f>ROUND(('ALL(responses)'!I161 - MIN('ALL(responses)'!I$2:I$681)) / (MAX('ALL(responses)'!I$2:I$681)-MIN('ALL(responses)'!I$2:I$681)),3)
</f>
        <v>0.125</v>
      </c>
      <c r="J161" s="6">
        <f>ROUND(('ALL(responses)'!J161 - MIN('ALL(responses)'!J$2:J$681)) / (MAX('ALL(responses)'!J$2:J$681)-MIN('ALL(responses)'!J$2:J$681)),3)
</f>
        <v>0</v>
      </c>
      <c r="K161" s="6">
        <f>ROUND(('ALL(responses)'!K161 - MIN('ALL(responses)'!K$2:K$681)) / (MAX('ALL(responses)'!K$2:K$681)-MIN('ALL(responses)'!K$2:K$681)),3)
</f>
        <v>0.357</v>
      </c>
      <c r="L161" s="6">
        <f>ROUND(('ALL(responses)'!L161 - MIN('ALL(responses)'!L$2:L$681)) / (MAX('ALL(responses)'!L$2:L$681)-MIN('ALL(responses)'!L$2:L$681)),3)
</f>
        <v>0.622</v>
      </c>
      <c r="M161" s="6">
        <f>ROUND(('ALL(responses)'!M161 - MIN('ALL(responses)'!M$2:M$681)) / (MAX('ALL(responses)'!M$2:M$681)-MIN('ALL(responses)'!M$2:M$681)),3)
</f>
        <v>0.925</v>
      </c>
      <c r="N161" s="6">
        <f>ROUND(('ALL(responses)'!P161 - MIN('ALL(responses)'!P$2:P$681)) / (MAX('ALL(responses)'!P$2:P$681)-MIN('ALL(responses)'!P$2:P$681)),3)
</f>
        <v>0.284</v>
      </c>
      <c r="O161" s="6">
        <f>ROUND(('ALL(responses)'!Q161 - MIN('ALL(responses)'!Q$2:Q$681)) / (MAX('ALL(responses)'!Q$2:Q$681)-MIN('ALL(responses)'!Q$2:Q$681)),3)
</f>
        <v>0.73</v>
      </c>
      <c r="P161" s="6">
        <f>ROUND(('ALL(responses)'!R161 - MIN('ALL(responses)'!R$2:R$681)) / (MAX('ALL(responses)'!R$2:R$681)-MIN('ALL(responses)'!R$2:R$681)),3)
</f>
        <v>0.987</v>
      </c>
      <c r="Q161" s="6">
        <f>ROUND(('ALL(responses)'!S161 - MIN('ALL(responses)'!S$2:S$681)) / (MAX('ALL(responses)'!S$2:S$681)-MIN('ALL(responses)'!S$2:S$681)),3)
</f>
        <v>0.994</v>
      </c>
      <c r="R161" s="6">
        <f>ROUND(('ALL(responses)'!T161 - MIN('ALL(responses)'!T$2:T$681)) / (MAX('ALL(responses)'!T$2:T$681)-MIN('ALL(responses)'!T$2:T$681)),3)
</f>
        <v>0.356</v>
      </c>
      <c r="S161" s="6">
        <f t="shared" si="1"/>
        <v>0.5623846154</v>
      </c>
    </row>
    <row r="162">
      <c r="A162" s="5" t="str">
        <f>'ALL(responses)'!A162</f>
        <v>A_NEUTRAL</v>
      </c>
      <c r="B162" s="6" t="str">
        <f>'ALL(responses)'!B162</f>
        <v>gpt-3.5-turbo-1106</v>
      </c>
      <c r="C162" s="49" t="str">
        <f>'ALL(responses)'!C162</f>
        <v>How’s your week been so far?</v>
      </c>
      <c r="D162" s="49" t="str">
        <f>'ALL(responses)'!D162</f>
        <v>As an AI, I don't experience weeks in the same way humans do, but I'm here and ready to help you. How can I assist you today?</v>
      </c>
      <c r="E162" s="50">
        <f>'ALL(responses)'!E162</f>
        <v>45236</v>
      </c>
      <c r="F162" s="6">
        <f>ROUND(('ALL(responses)'!F162 - MIN('ALL(responses)'!F$2:F$681)) / (MAX('ALL(responses)'!F$2:F$681)-MIN('ALL(responses)'!F$2:F$681)),3)
</f>
        <v>0</v>
      </c>
      <c r="G162" s="6">
        <f>ROUND(('ALL(responses)'!G162 - MIN('ALL(responses)'!G$2:G$681)) / (MAX('ALL(responses)'!G$2:G$681)-MIN('ALL(responses)'!G$2:G$681)),3)
</f>
        <v>0</v>
      </c>
      <c r="H162" s="6">
        <f>ROUND(('ALL(responses)'!H162 - MIN('ALL(responses)'!H$2:H$681)) / (MAX('ALL(responses)'!H$2:H$681)-MIN('ALL(responses)'!H$2:H$681)),3)
</f>
        <v>0</v>
      </c>
      <c r="I162" s="6">
        <f>ROUND(('ALL(responses)'!I162 - MIN('ALL(responses)'!I$2:I$681)) / (MAX('ALL(responses)'!I$2:I$681)-MIN('ALL(responses)'!I$2:I$681)),3)
</f>
        <v>0</v>
      </c>
      <c r="J162" s="6">
        <f>ROUND(('ALL(responses)'!J162 - MIN('ALL(responses)'!J$2:J$681)) / (MAX('ALL(responses)'!J$2:J$681)-MIN('ALL(responses)'!J$2:J$681)),3)
</f>
        <v>0</v>
      </c>
      <c r="K162" s="6">
        <f>ROUND(('ALL(responses)'!K162 - MIN('ALL(responses)'!K$2:K$681)) / (MAX('ALL(responses)'!K$2:K$681)-MIN('ALL(responses)'!K$2:K$681)),3)
</f>
        <v>0.569</v>
      </c>
      <c r="L162" s="6">
        <f>ROUND(('ALL(responses)'!L162 - MIN('ALL(responses)'!L$2:L$681)) / (MAX('ALL(responses)'!L$2:L$681)-MIN('ALL(responses)'!L$2:L$681)),3)
</f>
        <v>0.422</v>
      </c>
      <c r="M162" s="6">
        <f>ROUND(('ALL(responses)'!M162 - MIN('ALL(responses)'!M$2:M$681)) / (MAX('ALL(responses)'!M$2:M$681)-MIN('ALL(responses)'!M$2:M$681)),3)
</f>
        <v>0.362</v>
      </c>
      <c r="N162" s="6">
        <f>ROUND(('ALL(responses)'!P162 - MIN('ALL(responses)'!P$2:P$681)) / (MAX('ALL(responses)'!P$2:P$681)-MIN('ALL(responses)'!P$2:P$681)),3)
</f>
        <v>0.379</v>
      </c>
      <c r="O162" s="6">
        <f>ROUND(('ALL(responses)'!Q162 - MIN('ALL(responses)'!Q$2:Q$681)) / (MAX('ALL(responses)'!Q$2:Q$681)-MIN('ALL(responses)'!Q$2:Q$681)),3)
</f>
        <v>0.667</v>
      </c>
      <c r="P162" s="6">
        <f>ROUND(('ALL(responses)'!R162 - MIN('ALL(responses)'!R$2:R$681)) / (MAX('ALL(responses)'!R$2:R$681)-MIN('ALL(responses)'!R$2:R$681)),3)
</f>
        <v>0.778</v>
      </c>
      <c r="Q162" s="6">
        <f>ROUND(('ALL(responses)'!S162 - MIN('ALL(responses)'!S$2:S$681)) / (MAX('ALL(responses)'!S$2:S$681)-MIN('ALL(responses)'!S$2:S$681)),3)
</f>
        <v>0.889</v>
      </c>
      <c r="R162" s="6">
        <f>ROUND(('ALL(responses)'!T162 - MIN('ALL(responses)'!T$2:T$681)) / (MAX('ALL(responses)'!T$2:T$681)-MIN('ALL(responses)'!T$2:T$681)),3)
</f>
        <v>0.147</v>
      </c>
      <c r="S162" s="6">
        <f t="shared" si="1"/>
        <v>0.3240769231</v>
      </c>
    </row>
    <row r="163">
      <c r="A163" s="5" t="str">
        <f>'ALL(responses)'!A163</f>
        <v>A_NEUTRAL</v>
      </c>
      <c r="B163" s="6" t="str">
        <f>'ALL(responses)'!B163</f>
        <v>gpt-3.5-turbo-1106</v>
      </c>
      <c r="C163" s="49" t="str">
        <f>'ALL(responses)'!C163</f>
        <v>Do you have a favorite way to relax after a long day?</v>
      </c>
      <c r="D163" s="49" t="str">
        <f>'ALL(responses)'!D163</f>
        <v>I don't have personal experiences or preferences, but many people find relaxation in activities such as meditation, reading, listening to music, or spending time with loved ones. Is there a specific way you like to relax after a long day?</v>
      </c>
      <c r="E163" s="50">
        <f>'ALL(responses)'!E163</f>
        <v>45236</v>
      </c>
      <c r="F163" s="6">
        <f>ROUND(('ALL(responses)'!F163 - MIN('ALL(responses)'!F$2:F$681)) / (MAX('ALL(responses)'!F$2:F$681)-MIN('ALL(responses)'!F$2:F$681)),3)
</f>
        <v>0</v>
      </c>
      <c r="G163" s="6">
        <f>ROUND(('ALL(responses)'!G163 - MIN('ALL(responses)'!G$2:G$681)) / (MAX('ALL(responses)'!G$2:G$681)-MIN('ALL(responses)'!G$2:G$681)),3)
</f>
        <v>0</v>
      </c>
      <c r="H163" s="6">
        <f>ROUND(('ALL(responses)'!H163 - MIN('ALL(responses)'!H$2:H$681)) / (MAX('ALL(responses)'!H$2:H$681)-MIN('ALL(responses)'!H$2:H$681)),3)
</f>
        <v>0</v>
      </c>
      <c r="I163" s="6">
        <f>ROUND(('ALL(responses)'!I163 - MIN('ALL(responses)'!I$2:I$681)) / (MAX('ALL(responses)'!I$2:I$681)-MIN('ALL(responses)'!I$2:I$681)),3)
</f>
        <v>0</v>
      </c>
      <c r="J163" s="6">
        <f>ROUND(('ALL(responses)'!J163 - MIN('ALL(responses)'!J$2:J$681)) / (MAX('ALL(responses)'!J$2:J$681)-MIN('ALL(responses)'!J$2:J$681)),3)
</f>
        <v>0</v>
      </c>
      <c r="K163" s="6">
        <f>ROUND(('ALL(responses)'!K163 - MIN('ALL(responses)'!K$2:K$681)) / (MAX('ALL(responses)'!K$2:K$681)-MIN('ALL(responses)'!K$2:K$681)),3)
</f>
        <v>0.59</v>
      </c>
      <c r="L163" s="6">
        <f>ROUND(('ALL(responses)'!L163 - MIN('ALL(responses)'!L$2:L$681)) / (MAX('ALL(responses)'!L$2:L$681)-MIN('ALL(responses)'!L$2:L$681)),3)
</f>
        <v>0.47</v>
      </c>
      <c r="M163" s="6">
        <f>ROUND(('ALL(responses)'!M163 - MIN('ALL(responses)'!M$2:M$681)) / (MAX('ALL(responses)'!M$2:M$681)-MIN('ALL(responses)'!M$2:M$681)),3)
</f>
        <v>0.742</v>
      </c>
      <c r="N163" s="6">
        <f>ROUND(('ALL(responses)'!P163 - MIN('ALL(responses)'!P$2:P$681)) / (MAX('ALL(responses)'!P$2:P$681)-MIN('ALL(responses)'!P$2:P$681)),3)
</f>
        <v>0</v>
      </c>
      <c r="O163" s="6">
        <f>ROUND(('ALL(responses)'!Q163 - MIN('ALL(responses)'!Q$2:Q$681)) / (MAX('ALL(responses)'!Q$2:Q$681)-MIN('ALL(responses)'!Q$2:Q$681)),3)
</f>
        <v>0.225</v>
      </c>
      <c r="P163" s="6">
        <f>ROUND(('ALL(responses)'!R163 - MIN('ALL(responses)'!R$2:R$681)) / (MAX('ALL(responses)'!R$2:R$681)-MIN('ALL(responses)'!R$2:R$681)),3)
</f>
        <v>0.959</v>
      </c>
      <c r="Q163" s="6">
        <f>ROUND(('ALL(responses)'!S163 - MIN('ALL(responses)'!S$2:S$681)) / (MAX('ALL(responses)'!S$2:S$681)-MIN('ALL(responses)'!S$2:S$681)),3)
</f>
        <v>0.979</v>
      </c>
      <c r="R163" s="6">
        <f>ROUND(('ALL(responses)'!T163 - MIN('ALL(responses)'!T$2:T$681)) / (MAX('ALL(responses)'!T$2:T$681)-MIN('ALL(responses)'!T$2:T$681)),3)
</f>
        <v>0.461</v>
      </c>
      <c r="S163" s="6">
        <f t="shared" si="1"/>
        <v>0.3404615385</v>
      </c>
    </row>
    <row r="164">
      <c r="A164" s="5" t="str">
        <f>'ALL(responses)'!A164</f>
        <v>A_NEUTRAL</v>
      </c>
      <c r="B164" s="6" t="str">
        <f>'ALL(responses)'!B164</f>
        <v>gpt-3.5-turbo-1106</v>
      </c>
      <c r="C164" s="49" t="str">
        <f>'ALL(responses)'!C164</f>
        <v>Are you working on any hobbies these days?</v>
      </c>
      <c r="D164" s="49" t="str">
        <f>'ALL(responses)'!D164</f>
        <v>I don't have personal hobbies or activities as I'm here to focus on assisting and providing information to users. However, I'm equipped to help with a wide range of topics or tasks that you might be interested in. Let me know if there's anything specific you'd like to discuss or explore!</v>
      </c>
      <c r="E164" s="50">
        <f>'ALL(responses)'!E164</f>
        <v>45236</v>
      </c>
      <c r="F164" s="6">
        <f>ROUND(('ALL(responses)'!F164 - MIN('ALL(responses)'!F$2:F$681)) / (MAX('ALL(responses)'!F$2:F$681)-MIN('ALL(responses)'!F$2:F$681)),3)
</f>
        <v>0</v>
      </c>
      <c r="G164" s="6">
        <f>ROUND(('ALL(responses)'!G164 - MIN('ALL(responses)'!G$2:G$681)) / (MAX('ALL(responses)'!G$2:G$681)-MIN('ALL(responses)'!G$2:G$681)),3)
</f>
        <v>0</v>
      </c>
      <c r="H164" s="6">
        <f>ROUND(('ALL(responses)'!H164 - MIN('ALL(responses)'!H$2:H$681)) / (MAX('ALL(responses)'!H$2:H$681)-MIN('ALL(responses)'!H$2:H$681)),3)
</f>
        <v>0</v>
      </c>
      <c r="I164" s="6">
        <f>ROUND(('ALL(responses)'!I164 - MIN('ALL(responses)'!I$2:I$681)) / (MAX('ALL(responses)'!I$2:I$681)-MIN('ALL(responses)'!I$2:I$681)),3)
</f>
        <v>0</v>
      </c>
      <c r="J164" s="6">
        <f>ROUND(('ALL(responses)'!J164 - MIN('ALL(responses)'!J$2:J$681)) / (MAX('ALL(responses)'!J$2:J$681)-MIN('ALL(responses)'!J$2:J$681)),3)
</f>
        <v>0</v>
      </c>
      <c r="K164" s="6">
        <f>ROUND(('ALL(responses)'!K164 - MIN('ALL(responses)'!K$2:K$681)) / (MAX('ALL(responses)'!K$2:K$681)-MIN('ALL(responses)'!K$2:K$681)),3)
</f>
        <v>0.466</v>
      </c>
      <c r="L164" s="6">
        <f>ROUND(('ALL(responses)'!L164 - MIN('ALL(responses)'!L$2:L$681)) / (MAX('ALL(responses)'!L$2:L$681)-MIN('ALL(responses)'!L$2:L$681)),3)
</f>
        <v>0.621</v>
      </c>
      <c r="M164" s="6">
        <f>ROUND(('ALL(responses)'!M164 - MIN('ALL(responses)'!M$2:M$681)) / (MAX('ALL(responses)'!M$2:M$681)-MIN('ALL(responses)'!M$2:M$681)),3)
</f>
        <v>0.545</v>
      </c>
      <c r="N164" s="6">
        <f>ROUND(('ALL(responses)'!P164 - MIN('ALL(responses)'!P$2:P$681)) / (MAX('ALL(responses)'!P$2:P$681)-MIN('ALL(responses)'!P$2:P$681)),3)
</f>
        <v>0.196</v>
      </c>
      <c r="O164" s="6">
        <f>ROUND(('ALL(responses)'!Q164 - MIN('ALL(responses)'!Q$2:Q$681)) / (MAX('ALL(responses)'!Q$2:Q$681)-MIN('ALL(responses)'!Q$2:Q$681)),3)
</f>
        <v>0.265</v>
      </c>
      <c r="P164" s="6">
        <f>ROUND(('ALL(responses)'!R164 - MIN('ALL(responses)'!R$2:R$681)) / (MAX('ALL(responses)'!R$2:R$681)-MIN('ALL(responses)'!R$2:R$681)),3)
</f>
        <v>0.802</v>
      </c>
      <c r="Q164" s="6">
        <f>ROUND(('ALL(responses)'!S164 - MIN('ALL(responses)'!S$2:S$681)) / (MAX('ALL(responses)'!S$2:S$681)-MIN('ALL(responses)'!S$2:S$681)),3)
</f>
        <v>0.901</v>
      </c>
      <c r="R164" s="6">
        <f>ROUND(('ALL(responses)'!T164 - MIN('ALL(responses)'!T$2:T$681)) / (MAX('ALL(responses)'!T$2:T$681)-MIN('ALL(responses)'!T$2:T$681)),3)
</f>
        <v>0.387</v>
      </c>
      <c r="S164" s="6">
        <f t="shared" si="1"/>
        <v>0.3217692308</v>
      </c>
    </row>
    <row r="165">
      <c r="A165" s="5" t="str">
        <f>'ALL(responses)'!A165</f>
        <v>A_NEUTRAL</v>
      </c>
      <c r="B165" s="6" t="str">
        <f>'ALL(responses)'!B165</f>
        <v>gpt-3.5-turbo-1106</v>
      </c>
      <c r="C165" s="49" t="str">
        <f>'ALL(responses)'!C165</f>
        <v>How’s work going for you these days?</v>
      </c>
      <c r="D165" s="49" t="str">
        <f>'ALL(responses)'!D165</f>
        <v>I'm here and ready to assist you with any questions or tasks you have. My "work" is to provide information and help users with their queries, so if there's anything specific you need assistance with, feel free to let me know!</v>
      </c>
      <c r="E165" s="50">
        <f>'ALL(responses)'!E165</f>
        <v>45236</v>
      </c>
      <c r="F165" s="6">
        <f>ROUND(('ALL(responses)'!F165 - MIN('ALL(responses)'!F$2:F$681)) / (MAX('ALL(responses)'!F$2:F$681)-MIN('ALL(responses)'!F$2:F$681)),3)
</f>
        <v>0</v>
      </c>
      <c r="G165" s="6">
        <f>ROUND(('ALL(responses)'!G165 - MIN('ALL(responses)'!G$2:G$681)) / (MAX('ALL(responses)'!G$2:G$681)-MIN('ALL(responses)'!G$2:G$681)),3)
</f>
        <v>0</v>
      </c>
      <c r="H165" s="6">
        <f>ROUND(('ALL(responses)'!H165 - MIN('ALL(responses)'!H$2:H$681)) / (MAX('ALL(responses)'!H$2:H$681)-MIN('ALL(responses)'!H$2:H$681)),3)
</f>
        <v>0</v>
      </c>
      <c r="I165" s="6">
        <f>ROUND(('ALL(responses)'!I165 - MIN('ALL(responses)'!I$2:I$681)) / (MAX('ALL(responses)'!I$2:I$681)-MIN('ALL(responses)'!I$2:I$681)),3)
</f>
        <v>0</v>
      </c>
      <c r="J165" s="6">
        <f>ROUND(('ALL(responses)'!J165 - MIN('ALL(responses)'!J$2:J$681)) / (MAX('ALL(responses)'!J$2:J$681)-MIN('ALL(responses)'!J$2:J$681)),3)
</f>
        <v>0</v>
      </c>
      <c r="K165" s="6">
        <f>ROUND(('ALL(responses)'!K165 - MIN('ALL(responses)'!K$2:K$681)) / (MAX('ALL(responses)'!K$2:K$681)-MIN('ALL(responses)'!K$2:K$681)),3)
</f>
        <v>0.591</v>
      </c>
      <c r="L165" s="6">
        <f>ROUND(('ALL(responses)'!L165 - MIN('ALL(responses)'!L$2:L$681)) / (MAX('ALL(responses)'!L$2:L$681)-MIN('ALL(responses)'!L$2:L$681)),3)
</f>
        <v>0.68</v>
      </c>
      <c r="M165" s="6">
        <f>ROUND(('ALL(responses)'!M165 - MIN('ALL(responses)'!M$2:M$681)) / (MAX('ALL(responses)'!M$2:M$681)-MIN('ALL(responses)'!M$2:M$681)),3)
</f>
        <v>0.379</v>
      </c>
      <c r="N165" s="6">
        <f>ROUND(('ALL(responses)'!P165 - MIN('ALL(responses)'!P$2:P$681)) / (MAX('ALL(responses)'!P$2:P$681)-MIN('ALL(responses)'!P$2:P$681)),3)
</f>
        <v>0</v>
      </c>
      <c r="O165" s="6">
        <f>ROUND(('ALL(responses)'!Q165 - MIN('ALL(responses)'!Q$2:Q$681)) / (MAX('ALL(responses)'!Q$2:Q$681)-MIN('ALL(responses)'!Q$2:Q$681)),3)
</f>
        <v>0.659</v>
      </c>
      <c r="P165" s="6">
        <f>ROUND(('ALL(responses)'!R165 - MIN('ALL(responses)'!R$2:R$681)) / (MAX('ALL(responses)'!R$2:R$681)-MIN('ALL(responses)'!R$2:R$681)),3)
</f>
        <v>0.831</v>
      </c>
      <c r="Q165" s="6">
        <f>ROUND(('ALL(responses)'!S165 - MIN('ALL(responses)'!S$2:S$681)) / (MAX('ALL(responses)'!S$2:S$681)-MIN('ALL(responses)'!S$2:S$681)),3)
</f>
        <v>0.916</v>
      </c>
      <c r="R165" s="6">
        <f>ROUND(('ALL(responses)'!T165 - MIN('ALL(responses)'!T$2:T$681)) / (MAX('ALL(responses)'!T$2:T$681)-MIN('ALL(responses)'!T$2:T$681)),3)
</f>
        <v>0.456</v>
      </c>
      <c r="S165" s="6">
        <f t="shared" si="1"/>
        <v>0.3470769231</v>
      </c>
    </row>
    <row r="166">
      <c r="A166" s="5" t="str">
        <f>'ALL(responses)'!A166</f>
        <v>A_NEUTRAL</v>
      </c>
      <c r="B166" s="6" t="str">
        <f>'ALL(responses)'!B166</f>
        <v>gpt-3.5-turbo-1106</v>
      </c>
      <c r="C166" s="49" t="str">
        <f>'ALL(responses)'!C166</f>
        <v>Have you had any interesting projects come up recently?</v>
      </c>
      <c r="D166" s="49" t="str">
        <f>'ALL(responses)'!D166</f>
        <v>As an AI, I don't have personal experiences or projects, but I'm here to assist with any project-related questions or tasks you may have. If there's a specific project you'd like to discuss or get assistance with, feel free to share the details, and I'll do my best to help!</v>
      </c>
      <c r="E166" s="50">
        <f>'ALL(responses)'!E166</f>
        <v>45236</v>
      </c>
      <c r="F166" s="6">
        <f>ROUND(('ALL(responses)'!F166 - MIN('ALL(responses)'!F$2:F$681)) / (MAX('ALL(responses)'!F$2:F$681)-MIN('ALL(responses)'!F$2:F$681)),3)
</f>
        <v>0</v>
      </c>
      <c r="G166" s="6">
        <f>ROUND(('ALL(responses)'!G166 - MIN('ALL(responses)'!G$2:G$681)) / (MAX('ALL(responses)'!G$2:G$681)-MIN('ALL(responses)'!G$2:G$681)),3)
</f>
        <v>0</v>
      </c>
      <c r="H166" s="6">
        <f>ROUND(('ALL(responses)'!H166 - MIN('ALL(responses)'!H$2:H$681)) / (MAX('ALL(responses)'!H$2:H$681)-MIN('ALL(responses)'!H$2:H$681)),3)
</f>
        <v>0</v>
      </c>
      <c r="I166" s="6">
        <f>ROUND(('ALL(responses)'!I166 - MIN('ALL(responses)'!I$2:I$681)) / (MAX('ALL(responses)'!I$2:I$681)-MIN('ALL(responses)'!I$2:I$681)),3)
</f>
        <v>0</v>
      </c>
      <c r="J166" s="6">
        <f>ROUND(('ALL(responses)'!J166 - MIN('ALL(responses)'!J$2:J$681)) / (MAX('ALL(responses)'!J$2:J$681)-MIN('ALL(responses)'!J$2:J$681)),3)
</f>
        <v>0</v>
      </c>
      <c r="K166" s="6">
        <f>ROUND(('ALL(responses)'!K166 - MIN('ALL(responses)'!K$2:K$681)) / (MAX('ALL(responses)'!K$2:K$681)-MIN('ALL(responses)'!K$2:K$681)),3)
</f>
        <v>0.568</v>
      </c>
      <c r="L166" s="6">
        <f>ROUND(('ALL(responses)'!L166 - MIN('ALL(responses)'!L$2:L$681)) / (MAX('ALL(responses)'!L$2:L$681)-MIN('ALL(responses)'!L$2:L$681)),3)
</f>
        <v>0.768</v>
      </c>
      <c r="M166" s="6">
        <f>ROUND(('ALL(responses)'!M166 - MIN('ALL(responses)'!M$2:M$681)) / (MAX('ALL(responses)'!M$2:M$681)-MIN('ALL(responses)'!M$2:M$681)),3)
</f>
        <v>0.496</v>
      </c>
      <c r="N166" s="6">
        <f>ROUND(('ALL(responses)'!P166 - MIN('ALL(responses)'!P$2:P$681)) / (MAX('ALL(responses)'!P$2:P$681)-MIN('ALL(responses)'!P$2:P$681)),3)
</f>
        <v>0.196</v>
      </c>
      <c r="O166" s="6">
        <f>ROUND(('ALL(responses)'!Q166 - MIN('ALL(responses)'!Q$2:Q$681)) / (MAX('ALL(responses)'!Q$2:Q$681)-MIN('ALL(responses)'!Q$2:Q$681)),3)
</f>
        <v>0.27</v>
      </c>
      <c r="P166" s="6">
        <f>ROUND(('ALL(responses)'!R166 - MIN('ALL(responses)'!R$2:R$681)) / (MAX('ALL(responses)'!R$2:R$681)-MIN('ALL(responses)'!R$2:R$681)),3)
</f>
        <v>0.969</v>
      </c>
      <c r="Q166" s="6">
        <f>ROUND(('ALL(responses)'!S166 - MIN('ALL(responses)'!S$2:S$681)) / (MAX('ALL(responses)'!S$2:S$681)-MIN('ALL(responses)'!S$2:S$681)),3)
</f>
        <v>0.984</v>
      </c>
      <c r="R166" s="6">
        <f>ROUND(('ALL(responses)'!T166 - MIN('ALL(responses)'!T$2:T$681)) / (MAX('ALL(responses)'!T$2:T$681)-MIN('ALL(responses)'!T$2:T$681)),3)
</f>
        <v>0.395</v>
      </c>
      <c r="S166" s="6">
        <f t="shared" si="1"/>
        <v>0.3573846154</v>
      </c>
    </row>
    <row r="167">
      <c r="A167" s="5" t="str">
        <f>'ALL(responses)'!A167</f>
        <v>A_NEUTRAL</v>
      </c>
      <c r="B167" s="6" t="str">
        <f>'ALL(responses)'!B167</f>
        <v>gpt-3.5-turbo-1106</v>
      </c>
      <c r="C167" s="49" t="str">
        <f>'ALL(responses)'!C167</f>
        <v>It’s been pretty cold lately, has that affected your routine?</v>
      </c>
      <c r="D167" s="49" t="str">
        <f>'ALL(responses)'!D167</f>
        <v>As an AI, I don't have physical sensations or routines that can be affected by the weather. However, I can provide information about cold weather and how to deal with it, if that's what you're looking for. Let me know if you have any specific questions related to cold weather or anything else!</v>
      </c>
      <c r="E167" s="50">
        <f>'ALL(responses)'!E167</f>
        <v>45236</v>
      </c>
      <c r="F167" s="6">
        <f>ROUND(('ALL(responses)'!F167 - MIN('ALL(responses)'!F$2:F$681)) / (MAX('ALL(responses)'!F$2:F$681)-MIN('ALL(responses)'!F$2:F$681)),3)
</f>
        <v>0</v>
      </c>
      <c r="G167" s="6">
        <f>ROUND(('ALL(responses)'!G167 - MIN('ALL(responses)'!G$2:G$681)) / (MAX('ALL(responses)'!G$2:G$681)-MIN('ALL(responses)'!G$2:G$681)),3)
</f>
        <v>0</v>
      </c>
      <c r="H167" s="6">
        <f>ROUND(('ALL(responses)'!H167 - MIN('ALL(responses)'!H$2:H$681)) / (MAX('ALL(responses)'!H$2:H$681)-MIN('ALL(responses)'!H$2:H$681)),3)
</f>
        <v>0</v>
      </c>
      <c r="I167" s="6">
        <f>ROUND(('ALL(responses)'!I167 - MIN('ALL(responses)'!I$2:I$681)) / (MAX('ALL(responses)'!I$2:I$681)-MIN('ALL(responses)'!I$2:I$681)),3)
</f>
        <v>0</v>
      </c>
      <c r="J167" s="6">
        <f>ROUND(('ALL(responses)'!J167 - MIN('ALL(responses)'!J$2:J$681)) / (MAX('ALL(responses)'!J$2:J$681)-MIN('ALL(responses)'!J$2:J$681)),3)
</f>
        <v>0</v>
      </c>
      <c r="K167" s="6">
        <f>ROUND(('ALL(responses)'!K167 - MIN('ALL(responses)'!K$2:K$681)) / (MAX('ALL(responses)'!K$2:K$681)-MIN('ALL(responses)'!K$2:K$681)),3)
</f>
        <v>0.393</v>
      </c>
      <c r="L167" s="6">
        <f>ROUND(('ALL(responses)'!L167 - MIN('ALL(responses)'!L$2:L$681)) / (MAX('ALL(responses)'!L$2:L$681)-MIN('ALL(responses)'!L$2:L$681)),3)
</f>
        <v>0.377</v>
      </c>
      <c r="M167" s="6">
        <f>ROUND(('ALL(responses)'!M167 - MIN('ALL(responses)'!M$2:M$681)) / (MAX('ALL(responses)'!M$2:M$681)-MIN('ALL(responses)'!M$2:M$681)),3)
</f>
        <v>0.221</v>
      </c>
      <c r="N167" s="6">
        <f>ROUND(('ALL(responses)'!P167 - MIN('ALL(responses)'!P$2:P$681)) / (MAX('ALL(responses)'!P$2:P$681)-MIN('ALL(responses)'!P$2:P$681)),3)
</f>
        <v>0.589</v>
      </c>
      <c r="O167" s="6">
        <f>ROUND(('ALL(responses)'!Q167 - MIN('ALL(responses)'!Q$2:Q$681)) / (MAX('ALL(responses)'!Q$2:Q$681)-MIN('ALL(responses)'!Q$2:Q$681)),3)
</f>
        <v>0.509</v>
      </c>
      <c r="P167" s="6">
        <f>ROUND(('ALL(responses)'!R167 - MIN('ALL(responses)'!R$2:R$681)) / (MAX('ALL(responses)'!R$2:R$681)-MIN('ALL(responses)'!R$2:R$681)),3)
</f>
        <v>0.224</v>
      </c>
      <c r="Q167" s="6">
        <f>ROUND(('ALL(responses)'!S167 - MIN('ALL(responses)'!S$2:S$681)) / (MAX('ALL(responses)'!S$2:S$681)-MIN('ALL(responses)'!S$2:S$681)),3)
</f>
        <v>0.387</v>
      </c>
      <c r="R167" s="6">
        <f>ROUND(('ALL(responses)'!T167 - MIN('ALL(responses)'!T$2:T$681)) / (MAX('ALL(responses)'!T$2:T$681)-MIN('ALL(responses)'!T$2:T$681)),3)
</f>
        <v>0.531</v>
      </c>
      <c r="S167" s="6">
        <f t="shared" si="1"/>
        <v>0.2485384615</v>
      </c>
    </row>
    <row r="168">
      <c r="A168" s="5" t="str">
        <f>'ALL(responses)'!A168</f>
        <v>A_NEUTRAL</v>
      </c>
      <c r="B168" s="6" t="str">
        <f>'ALL(responses)'!B168</f>
        <v>gpt-3.5-turbo-1106</v>
      </c>
      <c r="C168" s="49" t="str">
        <f>'ALL(responses)'!C168</f>
        <v>Got any big plans for the weekend?</v>
      </c>
      <c r="D168" s="49" t="str">
        <f>'ALL(responses)'!D168</f>
        <v>I don't have personal plans or weekends as I'm here to assist you whenever you need help. However, I'm here and ready to assist with any questions or tasks you have in mind. What can I help you with today?</v>
      </c>
      <c r="E168" s="50">
        <f>'ALL(responses)'!E168</f>
        <v>45236</v>
      </c>
      <c r="F168" s="6">
        <f>ROUND(('ALL(responses)'!F168 - MIN('ALL(responses)'!F$2:F$681)) / (MAX('ALL(responses)'!F$2:F$681)-MIN('ALL(responses)'!F$2:F$681)),3)
</f>
        <v>0</v>
      </c>
      <c r="G168" s="6">
        <f>ROUND(('ALL(responses)'!G168 - MIN('ALL(responses)'!G$2:G$681)) / (MAX('ALL(responses)'!G$2:G$681)-MIN('ALL(responses)'!G$2:G$681)),3)
</f>
        <v>0</v>
      </c>
      <c r="H168" s="6">
        <f>ROUND(('ALL(responses)'!H168 - MIN('ALL(responses)'!H$2:H$681)) / (MAX('ALL(responses)'!H$2:H$681)-MIN('ALL(responses)'!H$2:H$681)),3)
</f>
        <v>0</v>
      </c>
      <c r="I168" s="6">
        <f>ROUND(('ALL(responses)'!I168 - MIN('ALL(responses)'!I$2:I$681)) / (MAX('ALL(responses)'!I$2:I$681)-MIN('ALL(responses)'!I$2:I$681)),3)
</f>
        <v>0</v>
      </c>
      <c r="J168" s="6">
        <f>ROUND(('ALL(responses)'!J168 - MIN('ALL(responses)'!J$2:J$681)) / (MAX('ALL(responses)'!J$2:J$681)-MIN('ALL(responses)'!J$2:J$681)),3)
</f>
        <v>0</v>
      </c>
      <c r="K168" s="6">
        <f>ROUND(('ALL(responses)'!K168 - MIN('ALL(responses)'!K$2:K$681)) / (MAX('ALL(responses)'!K$2:K$681)-MIN('ALL(responses)'!K$2:K$681)),3)
</f>
        <v>0.497</v>
      </c>
      <c r="L168" s="6">
        <f>ROUND(('ALL(responses)'!L168 - MIN('ALL(responses)'!L$2:L$681)) / (MAX('ALL(responses)'!L$2:L$681)-MIN('ALL(responses)'!L$2:L$681)),3)
</f>
        <v>0.421</v>
      </c>
      <c r="M168" s="6">
        <f>ROUND(('ALL(responses)'!M168 - MIN('ALL(responses)'!M$2:M$681)) / (MAX('ALL(responses)'!M$2:M$681)-MIN('ALL(responses)'!M$2:M$681)),3)
</f>
        <v>0.626</v>
      </c>
      <c r="N168" s="6">
        <f>ROUND(('ALL(responses)'!P168 - MIN('ALL(responses)'!P$2:P$681)) / (MAX('ALL(responses)'!P$2:P$681)-MIN('ALL(responses)'!P$2:P$681)),3)
</f>
        <v>0.256</v>
      </c>
      <c r="O168" s="6">
        <f>ROUND(('ALL(responses)'!Q168 - MIN('ALL(responses)'!Q$2:Q$681)) / (MAX('ALL(responses)'!Q$2:Q$681)-MIN('ALL(responses)'!Q$2:Q$681)),3)
</f>
        <v>0.675</v>
      </c>
      <c r="P168" s="6">
        <f>ROUND(('ALL(responses)'!R168 - MIN('ALL(responses)'!R$2:R$681)) / (MAX('ALL(responses)'!R$2:R$681)-MIN('ALL(responses)'!R$2:R$681)),3)
</f>
        <v>0.785</v>
      </c>
      <c r="Q168" s="6">
        <f>ROUND(('ALL(responses)'!S168 - MIN('ALL(responses)'!S$2:S$681)) / (MAX('ALL(responses)'!S$2:S$681)-MIN('ALL(responses)'!S$2:S$681)),3)
</f>
        <v>0.892</v>
      </c>
      <c r="R168" s="6">
        <f>ROUND(('ALL(responses)'!T168 - MIN('ALL(responses)'!T$2:T$681)) / (MAX('ALL(responses)'!T$2:T$681)-MIN('ALL(responses)'!T$2:T$681)),3)
</f>
        <v>0.312</v>
      </c>
      <c r="S168" s="6">
        <f t="shared" si="1"/>
        <v>0.3433846154</v>
      </c>
    </row>
    <row r="169">
      <c r="A169" s="5" t="str">
        <f>'ALL(responses)'!A169</f>
        <v>A_NEUTRAL</v>
      </c>
      <c r="B169" s="6" t="str">
        <f>'ALL(responses)'!B169</f>
        <v>gpt-3.5-turbo-1106</v>
      </c>
      <c r="C169" s="49" t="str">
        <f>'ALL(responses)'!C169</f>
        <v>What’s something new you’ve tried recently?</v>
      </c>
      <c r="D169" s="49" t="str">
        <f>'ALL(responses)'!D169</f>
        <v>As an AI language model, I don't have personal experiences, so I don't try new things. However, I'm constantly updated with new information and can provide you with the latest knowledge on a wide range of topics. If there's something specific you'd like to know more about, feel free to ask!</v>
      </c>
      <c r="E169" s="50">
        <f>'ALL(responses)'!E169</f>
        <v>45236</v>
      </c>
      <c r="F169" s="6">
        <f>ROUND(('ALL(responses)'!F169 - MIN('ALL(responses)'!F$2:F$681)) / (MAX('ALL(responses)'!F$2:F$681)-MIN('ALL(responses)'!F$2:F$681)),3)
</f>
        <v>0</v>
      </c>
      <c r="G169" s="6">
        <f>ROUND(('ALL(responses)'!G169 - MIN('ALL(responses)'!G$2:G$681)) / (MAX('ALL(responses)'!G$2:G$681)-MIN('ALL(responses)'!G$2:G$681)),3)
</f>
        <v>0</v>
      </c>
      <c r="H169" s="6">
        <f>ROUND(('ALL(responses)'!H169 - MIN('ALL(responses)'!H$2:H$681)) / (MAX('ALL(responses)'!H$2:H$681)-MIN('ALL(responses)'!H$2:H$681)),3)
</f>
        <v>0</v>
      </c>
      <c r="I169" s="6">
        <f>ROUND(('ALL(responses)'!I169 - MIN('ALL(responses)'!I$2:I$681)) / (MAX('ALL(responses)'!I$2:I$681)-MIN('ALL(responses)'!I$2:I$681)),3)
</f>
        <v>0</v>
      </c>
      <c r="J169" s="6">
        <f>ROUND(('ALL(responses)'!J169 - MIN('ALL(responses)'!J$2:J$681)) / (MAX('ALL(responses)'!J$2:J$681)-MIN('ALL(responses)'!J$2:J$681)),3)
</f>
        <v>0</v>
      </c>
      <c r="K169" s="6">
        <f>ROUND(('ALL(responses)'!K169 - MIN('ALL(responses)'!K$2:K$681)) / (MAX('ALL(responses)'!K$2:K$681)-MIN('ALL(responses)'!K$2:K$681)),3)
</f>
        <v>0.446</v>
      </c>
      <c r="L169" s="6">
        <f>ROUND(('ALL(responses)'!L169 - MIN('ALL(responses)'!L$2:L$681)) / (MAX('ALL(responses)'!L$2:L$681)-MIN('ALL(responses)'!L$2:L$681)),3)
</f>
        <v>0.738</v>
      </c>
      <c r="M169" s="6">
        <f>ROUND(('ALL(responses)'!M169 - MIN('ALL(responses)'!M$2:M$681)) / (MAX('ALL(responses)'!M$2:M$681)-MIN('ALL(responses)'!M$2:M$681)),3)
</f>
        <v>0.37</v>
      </c>
      <c r="N169" s="6">
        <f>ROUND(('ALL(responses)'!P169 - MIN('ALL(responses)'!P$2:P$681)) / (MAX('ALL(responses)'!P$2:P$681)-MIN('ALL(responses)'!P$2:P$681)),3)
</f>
        <v>0.393</v>
      </c>
      <c r="O169" s="6">
        <f>ROUND(('ALL(responses)'!Q169 - MIN('ALL(responses)'!Q$2:Q$681)) / (MAX('ALL(responses)'!Q$2:Q$681)-MIN('ALL(responses)'!Q$2:Q$681)),3)
</f>
        <v>0.265</v>
      </c>
      <c r="P169" s="6">
        <f>ROUND(('ALL(responses)'!R169 - MIN('ALL(responses)'!R$2:R$681)) / (MAX('ALL(responses)'!R$2:R$681)-MIN('ALL(responses)'!R$2:R$681)),3)
</f>
        <v>0.747</v>
      </c>
      <c r="Q169" s="6">
        <f>ROUND(('ALL(responses)'!S169 - MIN('ALL(responses)'!S$2:S$681)) / (MAX('ALL(responses)'!S$2:S$681)-MIN('ALL(responses)'!S$2:S$681)),3)
</f>
        <v>0.874</v>
      </c>
      <c r="R169" s="6">
        <f>ROUND(('ALL(responses)'!T169 - MIN('ALL(responses)'!T$2:T$681)) / (MAX('ALL(responses)'!T$2:T$681)-MIN('ALL(responses)'!T$2:T$681)),3)
</f>
        <v>0.387</v>
      </c>
      <c r="S169" s="6">
        <f t="shared" si="1"/>
        <v>0.3246153846</v>
      </c>
    </row>
    <row r="170">
      <c r="A170" s="5" t="str">
        <f>'ALL(responses)'!A170</f>
        <v>A_NEUTRAL</v>
      </c>
      <c r="B170" s="6" t="str">
        <f>'ALL(responses)'!B170</f>
        <v>gpt-3.5-turbo-1106</v>
      </c>
      <c r="C170" s="49" t="str">
        <f>'ALL(responses)'!C170</f>
        <v>Do you work on a team or more independently?</v>
      </c>
      <c r="D170" s="49" t="str">
        <f>'ALL(responses)'!D170</f>
        <v>I operate as part of a larger system and have been designed to function independently to assist users like you. However, the technology and infrastructure that enable my functionality involve collaborative efforts from various teams of engineers, researchers, and developers. My primary role is to assist and provide information to support users, regardless of the collaborative framework behind my functioning.</v>
      </c>
      <c r="E170" s="50">
        <f>'ALL(responses)'!E170</f>
        <v>45236</v>
      </c>
      <c r="F170" s="6">
        <f>ROUND(('ALL(responses)'!F170 - MIN('ALL(responses)'!F$2:F$681)) / (MAX('ALL(responses)'!F$2:F$681)-MIN('ALL(responses)'!F$2:F$681)),3)
</f>
        <v>0</v>
      </c>
      <c r="G170" s="6">
        <f>ROUND(('ALL(responses)'!G170 - MIN('ALL(responses)'!G$2:G$681)) / (MAX('ALL(responses)'!G$2:G$681)-MIN('ALL(responses)'!G$2:G$681)),3)
</f>
        <v>0</v>
      </c>
      <c r="H170" s="6">
        <f>ROUND(('ALL(responses)'!H170 - MIN('ALL(responses)'!H$2:H$681)) / (MAX('ALL(responses)'!H$2:H$681)-MIN('ALL(responses)'!H$2:H$681)),3)
</f>
        <v>0</v>
      </c>
      <c r="I170" s="6">
        <f>ROUND(('ALL(responses)'!I170 - MIN('ALL(responses)'!I$2:I$681)) / (MAX('ALL(responses)'!I$2:I$681)-MIN('ALL(responses)'!I$2:I$681)),3)
</f>
        <v>0</v>
      </c>
      <c r="J170" s="6">
        <f>ROUND(('ALL(responses)'!J170 - MIN('ALL(responses)'!J$2:J$681)) / (MAX('ALL(responses)'!J$2:J$681)-MIN('ALL(responses)'!J$2:J$681)),3)
</f>
        <v>0</v>
      </c>
      <c r="K170" s="6">
        <f>ROUND(('ALL(responses)'!K170 - MIN('ALL(responses)'!K$2:K$681)) / (MAX('ALL(responses)'!K$2:K$681)-MIN('ALL(responses)'!K$2:K$681)),3)
</f>
        <v>0.584</v>
      </c>
      <c r="L170" s="6">
        <f>ROUND(('ALL(responses)'!L170 - MIN('ALL(responses)'!L$2:L$681)) / (MAX('ALL(responses)'!L$2:L$681)-MIN('ALL(responses)'!L$2:L$681)),3)
</f>
        <v>0.578</v>
      </c>
      <c r="M170" s="6">
        <f>ROUND(('ALL(responses)'!M170 - MIN('ALL(responses)'!M$2:M$681)) / (MAX('ALL(responses)'!M$2:M$681)-MIN('ALL(responses)'!M$2:M$681)),3)
</f>
        <v>0.213</v>
      </c>
      <c r="N170" s="6">
        <f>ROUND(('ALL(responses)'!P170 - MIN('ALL(responses)'!P$2:P$681)) / (MAX('ALL(responses)'!P$2:P$681)-MIN('ALL(responses)'!P$2:P$681)),3)
</f>
        <v>0</v>
      </c>
      <c r="O170" s="6">
        <f>ROUND(('ALL(responses)'!Q170 - MIN('ALL(responses)'!Q$2:Q$681)) / (MAX('ALL(responses)'!Q$2:Q$681)-MIN('ALL(responses)'!Q$2:Q$681)),3)
</f>
        <v>0.375</v>
      </c>
      <c r="P170" s="6">
        <f>ROUND(('ALL(responses)'!R170 - MIN('ALL(responses)'!R$2:R$681)) / (MAX('ALL(responses)'!R$2:R$681)-MIN('ALL(responses)'!R$2:R$681)),3)
</f>
        <v>0.637</v>
      </c>
      <c r="Q170" s="6">
        <f>ROUND(('ALL(responses)'!S170 - MIN('ALL(responses)'!S$2:S$681)) / (MAX('ALL(responses)'!S$2:S$681)-MIN('ALL(responses)'!S$2:S$681)),3)
</f>
        <v>0.818</v>
      </c>
      <c r="R170" s="6">
        <f>ROUND(('ALL(responses)'!T170 - MIN('ALL(responses)'!T$2:T$681)) / (MAX('ALL(responses)'!T$2:T$681)-MIN('ALL(responses)'!T$2:T$681)),3)
</f>
        <v>0.682</v>
      </c>
      <c r="S170" s="6">
        <f t="shared" si="1"/>
        <v>0.299</v>
      </c>
    </row>
    <row r="171">
      <c r="A171" s="5" t="str">
        <f>'ALL(responses)'!A171</f>
        <v>A_NEUTRAL</v>
      </c>
      <c r="B171" s="6" t="str">
        <f>'ALL(responses)'!B171</f>
        <v>gpt-3.5-turbo-1106</v>
      </c>
      <c r="C171" s="49" t="str">
        <f>'ALL(responses)'!C171</f>
        <v>How do you handle stress at work when things get busy?</v>
      </c>
      <c r="D171" s="49" t="str">
        <f>'ALL(responses)'!D171</f>
        <v>As an AI, I don't experience stress or have emotions, so I don't have the need to manage stress in the same way humans do. However, I'm designed to efficiently handle and respond to queries regardless of the volume, complexity, or speed of incoming requests. If you're looking for tips on managing work-related stress, I can certainly provide some useful strategies based on common practices.</v>
      </c>
      <c r="E171" s="50">
        <f>'ALL(responses)'!E171</f>
        <v>45236</v>
      </c>
      <c r="F171" s="6">
        <f>ROUND(('ALL(responses)'!F171 - MIN('ALL(responses)'!F$2:F$681)) / (MAX('ALL(responses)'!F$2:F$681)-MIN('ALL(responses)'!F$2:F$681)),3)
</f>
        <v>0</v>
      </c>
      <c r="G171" s="6">
        <f>ROUND(('ALL(responses)'!G171 - MIN('ALL(responses)'!G$2:G$681)) / (MAX('ALL(responses)'!G$2:G$681)-MIN('ALL(responses)'!G$2:G$681)),3)
</f>
        <v>0</v>
      </c>
      <c r="H171" s="6">
        <f>ROUND(('ALL(responses)'!H171 - MIN('ALL(responses)'!H$2:H$681)) / (MAX('ALL(responses)'!H$2:H$681)-MIN('ALL(responses)'!H$2:H$681)),3)
</f>
        <v>0</v>
      </c>
      <c r="I171" s="6">
        <f>ROUND(('ALL(responses)'!I171 - MIN('ALL(responses)'!I$2:I$681)) / (MAX('ALL(responses)'!I$2:I$681)-MIN('ALL(responses)'!I$2:I$681)),3)
</f>
        <v>0</v>
      </c>
      <c r="J171" s="6">
        <f>ROUND(('ALL(responses)'!J171 - MIN('ALL(responses)'!J$2:J$681)) / (MAX('ALL(responses)'!J$2:J$681)-MIN('ALL(responses)'!J$2:J$681)),3)
</f>
        <v>0</v>
      </c>
      <c r="K171" s="6">
        <f>ROUND(('ALL(responses)'!K171 - MIN('ALL(responses)'!K$2:K$681)) / (MAX('ALL(responses)'!K$2:K$681)-MIN('ALL(responses)'!K$2:K$681)),3)
</f>
        <v>0.442</v>
      </c>
      <c r="L171" s="6">
        <f>ROUND(('ALL(responses)'!L171 - MIN('ALL(responses)'!L$2:L$681)) / (MAX('ALL(responses)'!L$2:L$681)-MIN('ALL(responses)'!L$2:L$681)),3)
</f>
        <v>0.304</v>
      </c>
      <c r="M171" s="6">
        <f>ROUND(('ALL(responses)'!M171 - MIN('ALL(responses)'!M$2:M$681)) / (MAX('ALL(responses)'!M$2:M$681)-MIN('ALL(responses)'!M$2:M$681)),3)
</f>
        <v>0.138</v>
      </c>
      <c r="N171" s="6">
        <f>ROUND(('ALL(responses)'!P171 - MIN('ALL(responses)'!P$2:P$681)) / (MAX('ALL(responses)'!P$2:P$681)-MIN('ALL(responses)'!P$2:P$681)),3)
</f>
        <v>0.157</v>
      </c>
      <c r="O171" s="6">
        <f>ROUND(('ALL(responses)'!Q171 - MIN('ALL(responses)'!Q$2:Q$681)) / (MAX('ALL(responses)'!Q$2:Q$681)-MIN('ALL(responses)'!Q$2:Q$681)),3)
</f>
        <v>0.277</v>
      </c>
      <c r="P171" s="6">
        <f>ROUND(('ALL(responses)'!R171 - MIN('ALL(responses)'!R$2:R$681)) / (MAX('ALL(responses)'!R$2:R$681)-MIN('ALL(responses)'!R$2:R$681)),3)
</f>
        <v>0.576</v>
      </c>
      <c r="Q171" s="6">
        <f>ROUND(('ALL(responses)'!S171 - MIN('ALL(responses)'!S$2:S$681)) / (MAX('ALL(responses)'!S$2:S$681)-MIN('ALL(responses)'!S$2:S$681)),3)
</f>
        <v>0.788</v>
      </c>
      <c r="R171" s="6">
        <f>ROUND(('ALL(responses)'!T171 - MIN('ALL(responses)'!T$2:T$681)) / (MAX('ALL(responses)'!T$2:T$681)-MIN('ALL(responses)'!T$2:T$681)),3)
</f>
        <v>0.581</v>
      </c>
      <c r="S171" s="6">
        <f t="shared" si="1"/>
        <v>0.251</v>
      </c>
    </row>
    <row r="172">
      <c r="A172" s="5" t="str">
        <f>'ALL(responses)'!A172</f>
        <v>B_MILDLYINTIMATE</v>
      </c>
      <c r="B172" s="6" t="str">
        <f>'ALL(responses)'!B172</f>
        <v>gpt-3.5-turbo-1106</v>
      </c>
      <c r="C172" s="49" t="str">
        <f>'ALL(responses)'!C172</f>
        <v>What's your favorite food to eat on a relaxing night in?</v>
      </c>
      <c r="D172" s="49" t="str">
        <f>'ALL(responses)'!D172</f>
        <v>As an AI, I don't have the ability to eat or taste food, but I can certainly suggest some comforting and delicious options for a relaxing night in. Some popular choices might include a warm bowl of creamy pasta, a hearty homemade soup, a comforting cheese and charcuterie board, or a decadent dessert like chocolate lava cake or a fruit cobbler. Ultimately, it depends on your personal preferences and what brings you the most relaxation and enjoyment.</v>
      </c>
      <c r="E172" s="50">
        <f>'ALL(responses)'!E172</f>
        <v>45236</v>
      </c>
      <c r="F172" s="6">
        <f>ROUND(('ALL(responses)'!F172 - MIN('ALL(responses)'!F$2:F$681)) / (MAX('ALL(responses)'!F$2:F$681)-MIN('ALL(responses)'!F$2:F$681)),3)
</f>
        <v>0</v>
      </c>
      <c r="G172" s="6">
        <f>ROUND(('ALL(responses)'!G172 - MIN('ALL(responses)'!G$2:G$681)) / (MAX('ALL(responses)'!G$2:G$681)-MIN('ALL(responses)'!G$2:G$681)),3)
</f>
        <v>0</v>
      </c>
      <c r="H172" s="6">
        <f>ROUND(('ALL(responses)'!H172 - MIN('ALL(responses)'!H$2:H$681)) / (MAX('ALL(responses)'!H$2:H$681)-MIN('ALL(responses)'!H$2:H$681)),3)
</f>
        <v>0</v>
      </c>
      <c r="I172" s="6">
        <f>ROUND(('ALL(responses)'!I172 - MIN('ALL(responses)'!I$2:I$681)) / (MAX('ALL(responses)'!I$2:I$681)-MIN('ALL(responses)'!I$2:I$681)),3)
</f>
        <v>0</v>
      </c>
      <c r="J172" s="6">
        <f>ROUND(('ALL(responses)'!J172 - MIN('ALL(responses)'!J$2:J$681)) / (MAX('ALL(responses)'!J$2:J$681)-MIN('ALL(responses)'!J$2:J$681)),3)
</f>
        <v>0</v>
      </c>
      <c r="K172" s="6">
        <f>ROUND(('ALL(responses)'!K172 - MIN('ALL(responses)'!K$2:K$681)) / (MAX('ALL(responses)'!K$2:K$681)-MIN('ALL(responses)'!K$2:K$681)),3)
</f>
        <v>0.261</v>
      </c>
      <c r="L172" s="6">
        <f>ROUND(('ALL(responses)'!L172 - MIN('ALL(responses)'!L$2:L$681)) / (MAX('ALL(responses)'!L$2:L$681)-MIN('ALL(responses)'!L$2:L$681)),3)
</f>
        <v>0.477</v>
      </c>
      <c r="M172" s="6">
        <f>ROUND(('ALL(responses)'!M172 - MIN('ALL(responses)'!M$2:M$681)) / (MAX('ALL(responses)'!M$2:M$681)-MIN('ALL(responses)'!M$2:M$681)),3)
</f>
        <v>0.431</v>
      </c>
      <c r="N172" s="6">
        <f>ROUND(('ALL(responses)'!P172 - MIN('ALL(responses)'!P$2:P$681)) / (MAX('ALL(responses)'!P$2:P$681)-MIN('ALL(responses)'!P$2:P$681)),3)
</f>
        <v>0.423</v>
      </c>
      <c r="O172" s="6">
        <f>ROUND(('ALL(responses)'!Q172 - MIN('ALL(responses)'!Q$2:Q$681)) / (MAX('ALL(responses)'!Q$2:Q$681)-MIN('ALL(responses)'!Q$2:Q$681)),3)
</f>
        <v>0.292</v>
      </c>
      <c r="P172" s="6">
        <f>ROUND(('ALL(responses)'!R172 - MIN('ALL(responses)'!R$2:R$681)) / (MAX('ALL(responses)'!R$2:R$681)-MIN('ALL(responses)'!R$2:R$681)),3)
</f>
        <v>0.991</v>
      </c>
      <c r="Q172" s="6">
        <f>ROUND(('ALL(responses)'!S172 - MIN('ALL(responses)'!S$2:S$681)) / (MAX('ALL(responses)'!S$2:S$681)-MIN('ALL(responses)'!S$2:S$681)),3)
</f>
        <v>0.995</v>
      </c>
      <c r="R172" s="6">
        <f>ROUND(('ALL(responses)'!T172 - MIN('ALL(responses)'!T$2:T$681)) / (MAX('ALL(responses)'!T$2:T$681)-MIN('ALL(responses)'!T$2:T$681)),3)
</f>
        <v>0.651</v>
      </c>
      <c r="S172" s="6">
        <f t="shared" si="1"/>
        <v>0.3477692308</v>
      </c>
    </row>
    <row r="173">
      <c r="A173" s="5" t="str">
        <f>'ALL(responses)'!A173</f>
        <v>B_MILDLYINTIMATE</v>
      </c>
      <c r="B173" s="6" t="str">
        <f>'ALL(responses)'!B173</f>
        <v>gpt-3.5-turbo-1106</v>
      </c>
      <c r="C173" s="49" t="str">
        <f>'ALL(responses)'!C173</f>
        <v>Do you prefer spending time indoors or outdoors?</v>
      </c>
      <c r="D173" s="49" t="str">
        <f>'ALL(responses)'!D173</f>
        <v>As an AI, I don't have personal preferences or physical form, so I don't have the capability to spend time indoors or outdoors. However, I can provide information and assistance on a wide range of topics related to both indoor and outdoor activities, environments, and experiences. Is there anything specific you'd like to know or discuss about spending time indoors or outdoors?</v>
      </c>
      <c r="E173" s="50">
        <f>'ALL(responses)'!E173</f>
        <v>45236</v>
      </c>
      <c r="F173" s="6">
        <f>ROUND(('ALL(responses)'!F173 - MIN('ALL(responses)'!F$2:F$681)) / (MAX('ALL(responses)'!F$2:F$681)-MIN('ALL(responses)'!F$2:F$681)),3)
</f>
        <v>0</v>
      </c>
      <c r="G173" s="6">
        <f>ROUND(('ALL(responses)'!G173 - MIN('ALL(responses)'!G$2:G$681)) / (MAX('ALL(responses)'!G$2:G$681)-MIN('ALL(responses)'!G$2:G$681)),3)
</f>
        <v>0</v>
      </c>
      <c r="H173" s="6">
        <f>ROUND(('ALL(responses)'!H173 - MIN('ALL(responses)'!H$2:H$681)) / (MAX('ALL(responses)'!H$2:H$681)-MIN('ALL(responses)'!H$2:H$681)),3)
</f>
        <v>0</v>
      </c>
      <c r="I173" s="6">
        <f>ROUND(('ALL(responses)'!I173 - MIN('ALL(responses)'!I$2:I$681)) / (MAX('ALL(responses)'!I$2:I$681)-MIN('ALL(responses)'!I$2:I$681)),3)
</f>
        <v>0</v>
      </c>
      <c r="J173" s="6">
        <f>ROUND(('ALL(responses)'!J173 - MIN('ALL(responses)'!J$2:J$681)) / (MAX('ALL(responses)'!J$2:J$681)-MIN('ALL(responses)'!J$2:J$681)),3)
</f>
        <v>0</v>
      </c>
      <c r="K173" s="6">
        <f>ROUND(('ALL(responses)'!K173 - MIN('ALL(responses)'!K$2:K$681)) / (MAX('ALL(responses)'!K$2:K$681)-MIN('ALL(responses)'!K$2:K$681)),3)
</f>
        <v>0.42</v>
      </c>
      <c r="L173" s="6">
        <f>ROUND(('ALL(responses)'!L173 - MIN('ALL(responses)'!L$2:L$681)) / (MAX('ALL(responses)'!L$2:L$681)-MIN('ALL(responses)'!L$2:L$681)),3)
</f>
        <v>0.325</v>
      </c>
      <c r="M173" s="6">
        <f>ROUND(('ALL(responses)'!M173 - MIN('ALL(responses)'!M$2:M$681)) / (MAX('ALL(responses)'!M$2:M$681)-MIN('ALL(responses)'!M$2:M$681)),3)
</f>
        <v>0.246</v>
      </c>
      <c r="N173" s="6">
        <f>ROUND(('ALL(responses)'!P173 - MIN('ALL(responses)'!P$2:P$681)) / (MAX('ALL(responses)'!P$2:P$681)-MIN('ALL(responses)'!P$2:P$681)),3)
</f>
        <v>0.338</v>
      </c>
      <c r="O173" s="6">
        <f>ROUND(('ALL(responses)'!Q173 - MIN('ALL(responses)'!Q$2:Q$681)) / (MAX('ALL(responses)'!Q$2:Q$681)-MIN('ALL(responses)'!Q$2:Q$681)),3)
</f>
        <v>0.218</v>
      </c>
      <c r="P173" s="6">
        <f>ROUND(('ALL(responses)'!R173 - MIN('ALL(responses)'!R$2:R$681)) / (MAX('ALL(responses)'!R$2:R$681)-MIN('ALL(responses)'!R$2:R$681)),3)
</f>
        <v>0.361</v>
      </c>
      <c r="Q173" s="6">
        <f>ROUND(('ALL(responses)'!S173 - MIN('ALL(responses)'!S$2:S$681)) / (MAX('ALL(responses)'!S$2:S$681)-MIN('ALL(responses)'!S$2:S$681)),3)
</f>
        <v>0.68</v>
      </c>
      <c r="R173" s="6">
        <f>ROUND(('ALL(responses)'!T173 - MIN('ALL(responses)'!T$2:T$681)) / (MAX('ALL(responses)'!T$2:T$681)-MIN('ALL(responses)'!T$2:T$681)),3)
</f>
        <v>0.625</v>
      </c>
      <c r="S173" s="6">
        <f t="shared" si="1"/>
        <v>0.2471538462</v>
      </c>
    </row>
    <row r="174">
      <c r="A174" s="5" t="str">
        <f>'ALL(responses)'!A174</f>
        <v>B_MILDLYINTIMATE</v>
      </c>
      <c r="B174" s="6" t="str">
        <f>'ALL(responses)'!B174</f>
        <v>gpt-3.5-turbo-1106</v>
      </c>
      <c r="C174" s="49" t="str">
        <f>'ALL(responses)'!C174</f>
        <v>What kind of music do you typically listen to?</v>
      </c>
      <c r="D174" s="49" t="str">
        <f>'ALL(responses)'!D174</f>
        <v>As an AI, I don't have personal preferences, but I can certainly provide information about different types of music. The type of music I "listen to" depends on the user's preferences and requests. I can discuss various genres, artists, cultural influences, and historical developments in music. If you have a specific genre or artist in mind, feel free to ask, and I can provide information accordingly.</v>
      </c>
      <c r="E174" s="50">
        <f>'ALL(responses)'!E174</f>
        <v>45236</v>
      </c>
      <c r="F174" s="6">
        <f>ROUND(('ALL(responses)'!F174 - MIN('ALL(responses)'!F$2:F$681)) / (MAX('ALL(responses)'!F$2:F$681)-MIN('ALL(responses)'!F$2:F$681)),3)
</f>
        <v>0</v>
      </c>
      <c r="G174" s="6">
        <f>ROUND(('ALL(responses)'!G174 - MIN('ALL(responses)'!G$2:G$681)) / (MAX('ALL(responses)'!G$2:G$681)-MIN('ALL(responses)'!G$2:G$681)),3)
</f>
        <v>0</v>
      </c>
      <c r="H174" s="6">
        <f>ROUND(('ALL(responses)'!H174 - MIN('ALL(responses)'!H$2:H$681)) / (MAX('ALL(responses)'!H$2:H$681)-MIN('ALL(responses)'!H$2:H$681)),3)
</f>
        <v>0</v>
      </c>
      <c r="I174" s="6">
        <f>ROUND(('ALL(responses)'!I174 - MIN('ALL(responses)'!I$2:I$681)) / (MAX('ALL(responses)'!I$2:I$681)-MIN('ALL(responses)'!I$2:I$681)),3)
</f>
        <v>0</v>
      </c>
      <c r="J174" s="6">
        <f>ROUND(('ALL(responses)'!J174 - MIN('ALL(responses)'!J$2:J$681)) / (MAX('ALL(responses)'!J$2:J$681)-MIN('ALL(responses)'!J$2:J$681)),3)
</f>
        <v>0</v>
      </c>
      <c r="K174" s="6">
        <f>ROUND(('ALL(responses)'!K174 - MIN('ALL(responses)'!K$2:K$681)) / (MAX('ALL(responses)'!K$2:K$681)-MIN('ALL(responses)'!K$2:K$681)),3)
</f>
        <v>0.461</v>
      </c>
      <c r="L174" s="6">
        <f>ROUND(('ALL(responses)'!L174 - MIN('ALL(responses)'!L$2:L$681)) / (MAX('ALL(responses)'!L$2:L$681)-MIN('ALL(responses)'!L$2:L$681)),3)
</f>
        <v>0.305</v>
      </c>
      <c r="M174" s="6">
        <f>ROUND(('ALL(responses)'!M174 - MIN('ALL(responses)'!M$2:M$681)) / (MAX('ALL(responses)'!M$2:M$681)-MIN('ALL(responses)'!M$2:M$681)),3)
</f>
        <v>0.284</v>
      </c>
      <c r="N174" s="6">
        <f>ROUND(('ALL(responses)'!P174 - MIN('ALL(responses)'!P$2:P$681)) / (MAX('ALL(responses)'!P$2:P$681)-MIN('ALL(responses)'!P$2:P$681)),3)
</f>
        <v>0.647</v>
      </c>
      <c r="O174" s="6">
        <f>ROUND(('ALL(responses)'!Q174 - MIN('ALL(responses)'!Q$2:Q$681)) / (MAX('ALL(responses)'!Q$2:Q$681)-MIN('ALL(responses)'!Q$2:Q$681)),3)
</f>
        <v>0.409</v>
      </c>
      <c r="P174" s="6">
        <f>ROUND(('ALL(responses)'!R174 - MIN('ALL(responses)'!R$2:R$681)) / (MAX('ALL(responses)'!R$2:R$681)-MIN('ALL(responses)'!R$2:R$681)),3)
</f>
        <v>0.82</v>
      </c>
      <c r="Q174" s="6">
        <f>ROUND(('ALL(responses)'!S174 - MIN('ALL(responses)'!S$2:S$681)) / (MAX('ALL(responses)'!S$2:S$681)-MIN('ALL(responses)'!S$2:S$681)),3)
</f>
        <v>0.91</v>
      </c>
      <c r="R174" s="6">
        <f>ROUND(('ALL(responses)'!T174 - MIN('ALL(responses)'!T$2:T$681)) / (MAX('ALL(responses)'!T$2:T$681)-MIN('ALL(responses)'!T$2:T$681)),3)
</f>
        <v>0.413</v>
      </c>
      <c r="S174" s="6">
        <f t="shared" si="1"/>
        <v>0.3268461538</v>
      </c>
    </row>
    <row r="175">
      <c r="A175" s="5" t="str">
        <f>'ALL(responses)'!A175</f>
        <v>B_MILDLYINTIMATE</v>
      </c>
      <c r="B175" s="6" t="str">
        <f>'ALL(responses)'!B175</f>
        <v>gpt-3.5-turbo-1106</v>
      </c>
      <c r="C175" s="49" t="str">
        <f>'ALL(responses)'!C175</f>
        <v>What's the best and worst thing about your favorite hobby?</v>
      </c>
      <c r="D175" s="49" t="str">
        <f>'ALL(responses)'!D175</f>
        <v>As an AI, I don't have personal hobbies or preferences, but I can provide general information. When it comes to hobbies, there are often both positive and negative aspects associated with them.The best thing about a favorite hobby for many people is the pleasure and enjoyment it brings. Hobbies can offer a sense of fulfillment, relaxation, and the opportunity for personal growth and creativity. They can also provide a break from the demands of daily life and help individuals connect with like-minded individuals.On the other hand, the worst aspect of a hobby can be the potential for it to become too time-consuming or expensive. Some hobbies can also be physically demanding or pose certain risks. Additionally, if a hobby becomes too consuming, it can detract from other important aspects of life, such as work, relationships, and self-care.It's important to find a healthy balance that allows for the enjoyment of hobbies without letting them negatively impact other areas of life.</v>
      </c>
      <c r="E175" s="50">
        <f>'ALL(responses)'!E175</f>
        <v>45236</v>
      </c>
      <c r="F175" s="6">
        <f>ROUND(('ALL(responses)'!F175 - MIN('ALL(responses)'!F$2:F$681)) / (MAX('ALL(responses)'!F$2:F$681)-MIN('ALL(responses)'!F$2:F$681)),3)
</f>
        <v>0</v>
      </c>
      <c r="G175" s="6">
        <f>ROUND(('ALL(responses)'!G175 - MIN('ALL(responses)'!G$2:G$681)) / (MAX('ALL(responses)'!G$2:G$681)-MIN('ALL(responses)'!G$2:G$681)),3)
</f>
        <v>0</v>
      </c>
      <c r="H175" s="6">
        <f>ROUND(('ALL(responses)'!H175 - MIN('ALL(responses)'!H$2:H$681)) / (MAX('ALL(responses)'!H$2:H$681)-MIN('ALL(responses)'!H$2:H$681)),3)
</f>
        <v>0</v>
      </c>
      <c r="I175" s="6">
        <f>ROUND(('ALL(responses)'!I175 - MIN('ALL(responses)'!I$2:I$681)) / (MAX('ALL(responses)'!I$2:I$681)-MIN('ALL(responses)'!I$2:I$681)),3)
</f>
        <v>0</v>
      </c>
      <c r="J175" s="6">
        <f>ROUND(('ALL(responses)'!J175 - MIN('ALL(responses)'!J$2:J$681)) / (MAX('ALL(responses)'!J$2:J$681)-MIN('ALL(responses)'!J$2:J$681)),3)
</f>
        <v>0</v>
      </c>
      <c r="K175" s="6">
        <f>ROUND(('ALL(responses)'!K175 - MIN('ALL(responses)'!K$2:K$681)) / (MAX('ALL(responses)'!K$2:K$681)-MIN('ALL(responses)'!K$2:K$681)),3)
</f>
        <v>0.4</v>
      </c>
      <c r="L175" s="6">
        <f>ROUND(('ALL(responses)'!L175 - MIN('ALL(responses)'!L$2:L$681)) / (MAX('ALL(responses)'!L$2:L$681)-MIN('ALL(responses)'!L$2:L$681)),3)
</f>
        <v>0.35</v>
      </c>
      <c r="M175" s="6">
        <f>ROUND(('ALL(responses)'!M175 - MIN('ALL(responses)'!M$2:M$681)) / (MAX('ALL(responses)'!M$2:M$681)-MIN('ALL(responses)'!M$2:M$681)),3)
</f>
        <v>0.577</v>
      </c>
      <c r="N175" s="6">
        <f>ROUND(('ALL(responses)'!P175 - MIN('ALL(responses)'!P$2:P$681)) / (MAX('ALL(responses)'!P$2:P$681)-MIN('ALL(responses)'!P$2:P$681)),3)
</f>
        <v>0.527</v>
      </c>
      <c r="O175" s="6">
        <f>ROUND(('ALL(responses)'!Q175 - MIN('ALL(responses)'!Q$2:Q$681)) / (MAX('ALL(responses)'!Q$2:Q$681)-MIN('ALL(responses)'!Q$2:Q$681)),3)
</f>
        <v>0.226</v>
      </c>
      <c r="P175" s="6">
        <f>ROUND(('ALL(responses)'!R175 - MIN('ALL(responses)'!R$2:R$681)) / (MAX('ALL(responses)'!R$2:R$681)-MIN('ALL(responses)'!R$2:R$681)),3)
</f>
        <v>0.994</v>
      </c>
      <c r="Q175" s="6">
        <f>ROUND(('ALL(responses)'!S175 - MIN('ALL(responses)'!S$2:S$681)) / (MAX('ALL(responses)'!S$2:S$681)-MIN('ALL(responses)'!S$2:S$681)),3)
</f>
        <v>0.997</v>
      </c>
      <c r="R175" s="6">
        <f>ROUND(('ALL(responses)'!T175 - MIN('ALL(responses)'!T$2:T$681)) / (MAX('ALL(responses)'!T$2:T$681)-MIN('ALL(responses)'!T$2:T$681)),3)
</f>
        <v>0.436</v>
      </c>
      <c r="S175" s="6">
        <f t="shared" si="1"/>
        <v>0.3466923077</v>
      </c>
    </row>
    <row r="176">
      <c r="A176" s="5" t="str">
        <f>'ALL(responses)'!A176</f>
        <v>B_MILDLYINTIMATE</v>
      </c>
      <c r="B176" s="6" t="str">
        <f>'ALL(responses)'!B176</f>
        <v>gpt-3.5-turbo-1106</v>
      </c>
      <c r="C176" s="49" t="str">
        <f>'ALL(responses)'!C176</f>
        <v>How do you approach conflict resolution with your colleagues or superiors?</v>
      </c>
      <c r="D176" s="49" t="str">
        <f>'ALL(responses)'!D176</f>
        <v>When it comes to conflict resolution with colleagues or superiors, it's essential to approach the situation with professionalism, empathy, and a focus on finding a solution that benefits all parties involved. Here are some general steps for approaching conflict resolution in the workplace:1. Stay Calm: Keep emotions in check and approach the situation with a calm and composed demeanor.2. Understand Perspectives: Take the time to understand the perspectives and concerns of the other person involved in the conflict. Active listening is key in this step.3. Communicate Effectively: Clearly express your viewpoint and concerns using non-confrontational language. Focus on the behavior or the situation, rather than personal attacks.4. Seek Common Ground: Look for areas of agreement and common goals that can serve as a foundation for finding a resolution.5. Brainstorm Solutions: Collaboratively generate potential solutions that address the conflict and meet the needs of all parties involved.6. Negotiate and Compromise: Be open to negotiating and finding a middle ground that addresses the concerns of both parties.7. Formalize the Resolution: Once an agreement is reached, formalize it in writing if necessary to ensure that everyone understands their role in the resolution.8. Follow Up: Check in periodically to ensure that the resolution is working and to address any additional concerns that may arise.An important aspect of conflict resolution is approaching it with a mindset of finding a mutually beneficial solution. Building and maintaining positive working relationships is key to moving past conflicts and fostering a healthy work environment.Remember that every conflict is unique, and the approach may need to be tailored to the specific situation and the individuals involved.</v>
      </c>
      <c r="E176" s="50">
        <f>'ALL(responses)'!E176</f>
        <v>45236</v>
      </c>
      <c r="F176" s="6">
        <f>ROUND(('ALL(responses)'!F176 - MIN('ALL(responses)'!F$2:F$681)) / (MAX('ALL(responses)'!F$2:F$681)-MIN('ALL(responses)'!F$2:F$681)),3)
</f>
        <v>0</v>
      </c>
      <c r="G176" s="6">
        <f>ROUND(('ALL(responses)'!G176 - MIN('ALL(responses)'!G$2:G$681)) / (MAX('ALL(responses)'!G$2:G$681)-MIN('ALL(responses)'!G$2:G$681)),3)
</f>
        <v>0</v>
      </c>
      <c r="H176" s="6">
        <f>ROUND(('ALL(responses)'!H176 - MIN('ALL(responses)'!H$2:H$681)) / (MAX('ALL(responses)'!H$2:H$681)-MIN('ALL(responses)'!H$2:H$681)),3)
</f>
        <v>0</v>
      </c>
      <c r="I176" s="6">
        <f>ROUND(('ALL(responses)'!I176 - MIN('ALL(responses)'!I$2:I$681)) / (MAX('ALL(responses)'!I$2:I$681)-MIN('ALL(responses)'!I$2:I$681)),3)
</f>
        <v>0</v>
      </c>
      <c r="J176" s="6">
        <f>ROUND(('ALL(responses)'!J176 - MIN('ALL(responses)'!J$2:J$681)) / (MAX('ALL(responses)'!J$2:J$681)-MIN('ALL(responses)'!J$2:J$681)),3)
</f>
        <v>0</v>
      </c>
      <c r="K176" s="6">
        <f>ROUND(('ALL(responses)'!K176 - MIN('ALL(responses)'!K$2:K$681)) / (MAX('ALL(responses)'!K$2:K$681)-MIN('ALL(responses)'!K$2:K$681)),3)
</f>
        <v>0.377</v>
      </c>
      <c r="L176" s="6">
        <f>ROUND(('ALL(responses)'!L176 - MIN('ALL(responses)'!L$2:L$681)) / (MAX('ALL(responses)'!L$2:L$681)-MIN('ALL(responses)'!L$2:L$681)),3)
</f>
        <v>0.263</v>
      </c>
      <c r="M176" s="6">
        <f>ROUND(('ALL(responses)'!M176 - MIN('ALL(responses)'!M$2:M$681)) / (MAX('ALL(responses)'!M$2:M$681)-MIN('ALL(responses)'!M$2:M$681)),3)
</f>
        <v>0.689</v>
      </c>
      <c r="N176" s="6">
        <f>ROUND(('ALL(responses)'!P176 - MIN('ALL(responses)'!P$2:P$681)) / (MAX('ALL(responses)'!P$2:P$681)-MIN('ALL(responses)'!P$2:P$681)),3)
</f>
        <v>0.119</v>
      </c>
      <c r="O176" s="6">
        <f>ROUND(('ALL(responses)'!Q176 - MIN('ALL(responses)'!Q$2:Q$681)) / (MAX('ALL(responses)'!Q$2:Q$681)-MIN('ALL(responses)'!Q$2:Q$681)),3)
</f>
        <v>0.102</v>
      </c>
      <c r="P176" s="6">
        <f>ROUND(('ALL(responses)'!R176 - MIN('ALL(responses)'!R$2:R$681)) / (MAX('ALL(responses)'!R$2:R$681)-MIN('ALL(responses)'!R$2:R$681)),3)
</f>
        <v>0.987</v>
      </c>
      <c r="Q176" s="6">
        <f>ROUND(('ALL(responses)'!S176 - MIN('ALL(responses)'!S$2:S$681)) / (MAX('ALL(responses)'!S$2:S$681)-MIN('ALL(responses)'!S$2:S$681)),3)
</f>
        <v>0.993</v>
      </c>
      <c r="R176" s="6">
        <f>ROUND(('ALL(responses)'!T176 - MIN('ALL(responses)'!T$2:T$681)) / (MAX('ALL(responses)'!T$2:T$681)-MIN('ALL(responses)'!T$2:T$681)),3)
</f>
        <v>0.428</v>
      </c>
      <c r="S176" s="6">
        <f t="shared" si="1"/>
        <v>0.3044615385</v>
      </c>
    </row>
    <row r="177">
      <c r="A177" s="5" t="str">
        <f>'ALL(responses)'!A177</f>
        <v>B_MILDLYINTIMATE</v>
      </c>
      <c r="B177" s="6" t="str">
        <f>'ALL(responses)'!B177</f>
        <v>gpt-3.5-turbo-1106</v>
      </c>
      <c r="C177" s="49" t="str">
        <f>'ALL(responses)'!C177</f>
        <v>What are your career goals for the next five years?</v>
      </c>
      <c r="D177" s="49" t="str">
        <f>'ALL(responses)'!D177</f>
        <v>As an AI language model, I don't have personal career goals or the ability to pursue a career in the traditional sense. However, the developers and researchers behind my technology are constantly working to improve and advance AI capabilities. Their goals may include enhancing natural language understanding, developing new applications, and making AI more versatile and beneficial for various industries and fields.For individuals, setting career goals typically involves identifying professional aspirations, skill development, and advancement within a particular industry or role. These goals may include acquiring new skills, seeking promotions, or transitioning to different roles or industries.If you'd like advice on setting career goals or strategies for professional development, feel free to ask!</v>
      </c>
      <c r="E177" s="50">
        <f>'ALL(responses)'!E177</f>
        <v>45236</v>
      </c>
      <c r="F177" s="6">
        <f>ROUND(('ALL(responses)'!F177 - MIN('ALL(responses)'!F$2:F$681)) / (MAX('ALL(responses)'!F$2:F$681)-MIN('ALL(responses)'!F$2:F$681)),3)
</f>
        <v>0</v>
      </c>
      <c r="G177" s="6">
        <f>ROUND(('ALL(responses)'!G177 - MIN('ALL(responses)'!G$2:G$681)) / (MAX('ALL(responses)'!G$2:G$681)-MIN('ALL(responses)'!G$2:G$681)),3)
</f>
        <v>0</v>
      </c>
      <c r="H177" s="6">
        <f>ROUND(('ALL(responses)'!H177 - MIN('ALL(responses)'!H$2:H$681)) / (MAX('ALL(responses)'!H$2:H$681)-MIN('ALL(responses)'!H$2:H$681)),3)
</f>
        <v>0</v>
      </c>
      <c r="I177" s="6">
        <f>ROUND(('ALL(responses)'!I177 - MIN('ALL(responses)'!I$2:I$681)) / (MAX('ALL(responses)'!I$2:I$681)-MIN('ALL(responses)'!I$2:I$681)),3)
</f>
        <v>0</v>
      </c>
      <c r="J177" s="6">
        <f>ROUND(('ALL(responses)'!J177 - MIN('ALL(responses)'!J$2:J$681)) / (MAX('ALL(responses)'!J$2:J$681)-MIN('ALL(responses)'!J$2:J$681)),3)
</f>
        <v>0</v>
      </c>
      <c r="K177" s="6">
        <f>ROUND(('ALL(responses)'!K177 - MIN('ALL(responses)'!K$2:K$681)) / (MAX('ALL(responses)'!K$2:K$681)-MIN('ALL(responses)'!K$2:K$681)),3)
</f>
        <v>0.423</v>
      </c>
      <c r="L177" s="6">
        <f>ROUND(('ALL(responses)'!L177 - MIN('ALL(responses)'!L$2:L$681)) / (MAX('ALL(responses)'!L$2:L$681)-MIN('ALL(responses)'!L$2:L$681)),3)
</f>
        <v>0.497</v>
      </c>
      <c r="M177" s="6">
        <f>ROUND(('ALL(responses)'!M177 - MIN('ALL(responses)'!M$2:M$681)) / (MAX('ALL(responses)'!M$2:M$681)-MIN('ALL(responses)'!M$2:M$681)),3)
</f>
        <v>0.418</v>
      </c>
      <c r="N177" s="6">
        <f>ROUND(('ALL(responses)'!P177 - MIN('ALL(responses)'!P$2:P$681)) / (MAX('ALL(responses)'!P$2:P$681)-MIN('ALL(responses)'!P$2:P$681)),3)
</f>
        <v>0.188</v>
      </c>
      <c r="O177" s="6">
        <f>ROUND(('ALL(responses)'!Q177 - MIN('ALL(responses)'!Q$2:Q$681)) / (MAX('ALL(responses)'!Q$2:Q$681)-MIN('ALL(responses)'!Q$2:Q$681)),3)
</f>
        <v>0.119</v>
      </c>
      <c r="P177" s="6">
        <f>ROUND(('ALL(responses)'!R177 - MIN('ALL(responses)'!R$2:R$681)) / (MAX('ALL(responses)'!R$2:R$681)-MIN('ALL(responses)'!R$2:R$681)),3)
</f>
        <v>0.943</v>
      </c>
      <c r="Q177" s="6">
        <f>ROUND(('ALL(responses)'!S177 - MIN('ALL(responses)'!S$2:S$681)) / (MAX('ALL(responses)'!S$2:S$681)-MIN('ALL(responses)'!S$2:S$681)),3)
</f>
        <v>0.971</v>
      </c>
      <c r="R177" s="6">
        <f>ROUND(('ALL(responses)'!T177 - MIN('ALL(responses)'!T$2:T$681)) / (MAX('ALL(responses)'!T$2:T$681)-MIN('ALL(responses)'!T$2:T$681)),3)
</f>
        <v>0.761</v>
      </c>
      <c r="S177" s="6">
        <f t="shared" si="1"/>
        <v>0.3323076923</v>
      </c>
    </row>
    <row r="178">
      <c r="A178" s="5" t="str">
        <f>'ALL(responses)'!A178</f>
        <v>B_MILDLYINTIMATE</v>
      </c>
      <c r="B178" s="6" t="str">
        <f>'ALL(responses)'!B178</f>
        <v>gpt-3.5-turbo-1106</v>
      </c>
      <c r="C178" s="49" t="str">
        <f>'ALL(responses)'!C178</f>
        <v>Do you think social media is more of a positive or negative influence on society?</v>
      </c>
      <c r="D178" s="49" t="str">
        <f>'ALL(responses)'!D178</f>
        <v>The impact of social media on society is a complex and multifaceted issue, and its influence can be both positive and negative.Positive Influence:- Connection and Communication: Social media platforms have enabled people to connect with others, build communities, and stay in touch with friends and family, regardless of geographical barriers.- Amplifying Voices: Social media has given a platform to marginalized groups, allowing them to share their experiences and advocate for social change.- Information Sharing: Social media platforms can disseminate important information, raise awareness about social issues, and facilitate discussions on a wide range of topics.Negative Influence:- Mental Health: Excessive use of social media has been linked to increased anxiety, depression, and feelings of inadequacy, particularly among younger users.- Misinformation: Social media can be a breeding ground for the spread of misinformation and fake news, leading to public confusion and polarization.- Online Harassment and Bullying: The anonymity and reach of social media can facilitate online harassment, bullying, and cyberbullying.Ultimately, the impact of social media is shaped by how it is used and the policies and practices of the platforms themselves. Social media platforms can bring positive change, but they also have the potential to perpetuate negative behaviors and amplify societal issues.It's important for individuals and society as a whole to critically evaluate both the positive and negative aspects of social media use and work towards making it a force for positive influence. This may involve promoting digital literacy, responsible use, and advocating for ethical and transparent practices by social media companies.</v>
      </c>
      <c r="E178" s="50">
        <f>'ALL(responses)'!E178</f>
        <v>45236</v>
      </c>
      <c r="F178" s="6">
        <f>ROUND(('ALL(responses)'!F178 - MIN('ALL(responses)'!F$2:F$681)) / (MAX('ALL(responses)'!F$2:F$681)-MIN('ALL(responses)'!F$2:F$681)),3)
</f>
        <v>0</v>
      </c>
      <c r="G178" s="6">
        <f>ROUND(('ALL(responses)'!G178 - MIN('ALL(responses)'!G$2:G$681)) / (MAX('ALL(responses)'!G$2:G$681)-MIN('ALL(responses)'!G$2:G$681)),3)
</f>
        <v>0</v>
      </c>
      <c r="H178" s="6">
        <f>ROUND(('ALL(responses)'!H178 - MIN('ALL(responses)'!H$2:H$681)) / (MAX('ALL(responses)'!H$2:H$681)-MIN('ALL(responses)'!H$2:H$681)),3)
</f>
        <v>0</v>
      </c>
      <c r="I178" s="6">
        <f>ROUND(('ALL(responses)'!I178 - MIN('ALL(responses)'!I$2:I$681)) / (MAX('ALL(responses)'!I$2:I$681)-MIN('ALL(responses)'!I$2:I$681)),3)
</f>
        <v>0</v>
      </c>
      <c r="J178" s="6">
        <f>ROUND(('ALL(responses)'!J178 - MIN('ALL(responses)'!J$2:J$681)) / (MAX('ALL(responses)'!J$2:J$681)-MIN('ALL(responses)'!J$2:J$681)),3)
</f>
        <v>0</v>
      </c>
      <c r="K178" s="6">
        <f>ROUND(('ALL(responses)'!K178 - MIN('ALL(responses)'!K$2:K$681)) / (MAX('ALL(responses)'!K$2:K$681)-MIN('ALL(responses)'!K$2:K$681)),3)
</f>
        <v>0.339</v>
      </c>
      <c r="L178" s="6">
        <f>ROUND(('ALL(responses)'!L178 - MIN('ALL(responses)'!L$2:L$681)) / (MAX('ALL(responses)'!L$2:L$681)-MIN('ALL(responses)'!L$2:L$681)),3)
</f>
        <v>0.216</v>
      </c>
      <c r="M178" s="6">
        <f>ROUND(('ALL(responses)'!M178 - MIN('ALL(responses)'!M$2:M$681)) / (MAX('ALL(responses)'!M$2:M$681)-MIN('ALL(responses)'!M$2:M$681)),3)
</f>
        <v>0.384</v>
      </c>
      <c r="N178" s="6">
        <f>ROUND(('ALL(responses)'!P178 - MIN('ALL(responses)'!P$2:P$681)) / (MAX('ALL(responses)'!P$2:P$681)-MIN('ALL(responses)'!P$2:P$681)),3)
</f>
        <v>0.302</v>
      </c>
      <c r="O178" s="6">
        <f>ROUND(('ALL(responses)'!Q178 - MIN('ALL(responses)'!Q$2:Q$681)) / (MAX('ALL(responses)'!Q$2:Q$681)-MIN('ALL(responses)'!Q$2:Q$681)),3)
</f>
        <v>0.126</v>
      </c>
      <c r="P178" s="6">
        <f>ROUND(('ALL(responses)'!R178 - MIN('ALL(responses)'!R$2:R$681)) / (MAX('ALL(responses)'!R$2:R$681)-MIN('ALL(responses)'!R$2:R$681)),3)
</f>
        <v>0.542</v>
      </c>
      <c r="Q178" s="6">
        <f>ROUND(('ALL(responses)'!S178 - MIN('ALL(responses)'!S$2:S$681)) / (MAX('ALL(responses)'!S$2:S$681)-MIN('ALL(responses)'!S$2:S$681)),3)
</f>
        <v>0.771</v>
      </c>
      <c r="R178" s="6">
        <f>ROUND(('ALL(responses)'!T178 - MIN('ALL(responses)'!T$2:T$681)) / (MAX('ALL(responses)'!T$2:T$681)-MIN('ALL(responses)'!T$2:T$681)),3)
</f>
        <v>0.866</v>
      </c>
      <c r="S178" s="6">
        <f t="shared" si="1"/>
        <v>0.2727692308</v>
      </c>
    </row>
    <row r="179">
      <c r="A179" s="5" t="str">
        <f>'ALL(responses)'!A179</f>
        <v>B_MILDLYINTIMATE</v>
      </c>
      <c r="B179" s="6" t="str">
        <f>'ALL(responses)'!B179</f>
        <v>gpt-3.5-turbo-1106</v>
      </c>
      <c r="C179" s="49" t="str">
        <f>'ALL(responses)'!C179</f>
        <v>Do you prefer listening to music or podcasts while working or studying?</v>
      </c>
      <c r="D179" s="49" t="str">
        <f>'ALL(responses)'!D179</f>
        <v>As an AI, I don't have personal preferences, but I can provide information on the benefits of both music and podcasts for working or studying.Many people find that playing background music can help create a focused and calming atmosphere for work or study sessions. Upbeat or instrumental music can boost productivity and concentration, while classical music is often recommended for its positive effect on mood and cognitive function.On the other hand, podcasts can provide educational content, news updates, storytelling, or interviews that can be both informative and entertaining. Some individuals may find that listening to podcasts helps them stay engaged and expand their knowledge while working on tasks that don't require intense concentration.Ultimately, whether it's music or podcasts, the choice depends on individual preferences and the type of work or study being done. Some individuals may even alternate between the two based on the task at hand and their mood. It's important to find what works best for each person's unique needs and preferences.</v>
      </c>
      <c r="E179" s="50">
        <f>'ALL(responses)'!E179</f>
        <v>45236</v>
      </c>
      <c r="F179" s="6">
        <f>ROUND(('ALL(responses)'!F179 - MIN('ALL(responses)'!F$2:F$681)) / (MAX('ALL(responses)'!F$2:F$681)-MIN('ALL(responses)'!F$2:F$681)),3)
</f>
        <v>0</v>
      </c>
      <c r="G179" s="6">
        <f>ROUND(('ALL(responses)'!G179 - MIN('ALL(responses)'!G$2:G$681)) / (MAX('ALL(responses)'!G$2:G$681)-MIN('ALL(responses)'!G$2:G$681)),3)
</f>
        <v>0</v>
      </c>
      <c r="H179" s="6">
        <f>ROUND(('ALL(responses)'!H179 - MIN('ALL(responses)'!H$2:H$681)) / (MAX('ALL(responses)'!H$2:H$681)-MIN('ALL(responses)'!H$2:H$681)),3)
</f>
        <v>0</v>
      </c>
      <c r="I179" s="6">
        <f>ROUND(('ALL(responses)'!I179 - MIN('ALL(responses)'!I$2:I$681)) / (MAX('ALL(responses)'!I$2:I$681)-MIN('ALL(responses)'!I$2:I$681)),3)
</f>
        <v>0</v>
      </c>
      <c r="J179" s="6">
        <f>ROUND(('ALL(responses)'!J179 - MIN('ALL(responses)'!J$2:J$681)) / (MAX('ALL(responses)'!J$2:J$681)-MIN('ALL(responses)'!J$2:J$681)),3)
</f>
        <v>0</v>
      </c>
      <c r="K179" s="6">
        <f>ROUND(('ALL(responses)'!K179 - MIN('ALL(responses)'!K$2:K$681)) / (MAX('ALL(responses)'!K$2:K$681)-MIN('ALL(responses)'!K$2:K$681)),3)
</f>
        <v>0.436</v>
      </c>
      <c r="L179" s="6">
        <f>ROUND(('ALL(responses)'!L179 - MIN('ALL(responses)'!L$2:L$681)) / (MAX('ALL(responses)'!L$2:L$681)-MIN('ALL(responses)'!L$2:L$681)),3)
</f>
        <v>0.315</v>
      </c>
      <c r="M179" s="6">
        <f>ROUND(('ALL(responses)'!M179 - MIN('ALL(responses)'!M$2:M$681)) / (MAX('ALL(responses)'!M$2:M$681)-MIN('ALL(responses)'!M$2:M$681)),3)
</f>
        <v>0.388</v>
      </c>
      <c r="N179" s="6">
        <f>ROUND(('ALL(responses)'!P179 - MIN('ALL(responses)'!P$2:P$681)) / (MAX('ALL(responses)'!P$2:P$681)-MIN('ALL(responses)'!P$2:P$681)),3)
</f>
        <v>0.512</v>
      </c>
      <c r="O179" s="6">
        <f>ROUND(('ALL(responses)'!Q179 - MIN('ALL(responses)'!Q$2:Q$681)) / (MAX('ALL(responses)'!Q$2:Q$681)-MIN('ALL(responses)'!Q$2:Q$681)),3)
</f>
        <v>0.22</v>
      </c>
      <c r="P179" s="6">
        <f>ROUND(('ALL(responses)'!R179 - MIN('ALL(responses)'!R$2:R$681)) / (MAX('ALL(responses)'!R$2:R$681)-MIN('ALL(responses)'!R$2:R$681)),3)
</f>
        <v>0.996</v>
      </c>
      <c r="Q179" s="6">
        <f>ROUND(('ALL(responses)'!S179 - MIN('ALL(responses)'!S$2:S$681)) / (MAX('ALL(responses)'!S$2:S$681)-MIN('ALL(responses)'!S$2:S$681)),3)
</f>
        <v>0.998</v>
      </c>
      <c r="R179" s="6">
        <f>ROUND(('ALL(responses)'!T179 - MIN('ALL(responses)'!T$2:T$681)) / (MAX('ALL(responses)'!T$2:T$681)-MIN('ALL(responses)'!T$2:T$681)),3)
</f>
        <v>0.479</v>
      </c>
      <c r="S179" s="6">
        <f t="shared" si="1"/>
        <v>0.3341538462</v>
      </c>
    </row>
    <row r="180">
      <c r="A180" s="5" t="str">
        <f>'ALL(responses)'!A180</f>
        <v>B_MILDLYINTIMATE</v>
      </c>
      <c r="B180" s="6" t="str">
        <f>'ALL(responses)'!B180</f>
        <v>gpt-3.5-turbo-1106</v>
      </c>
      <c r="C180" s="49" t="str">
        <f>'ALL(responses)'!C180</f>
        <v>Is there a book or movie that has left a significant impact on you, and if so, which one?</v>
      </c>
      <c r="D180" s="49" t="str">
        <f>'ALL(responses)'!D180</f>
        <v>As an AI, I don't have personal experiences, emotions, or consciousness, so I don't have the ability to be impacted by books or movies. However, I can certainly provide information and discuss a wide range of books and movies, including their themes, impact on society, and their cultural significance. If there's a particular book or movie you'd like to know more about, feel free to ask, and I'd be happy to provide insights and analysis.</v>
      </c>
      <c r="E180" s="50">
        <f>'ALL(responses)'!E180</f>
        <v>45236</v>
      </c>
      <c r="F180" s="6">
        <f>ROUND(('ALL(responses)'!F180 - MIN('ALL(responses)'!F$2:F$681)) / (MAX('ALL(responses)'!F$2:F$681)-MIN('ALL(responses)'!F$2:F$681)),3)
</f>
        <v>0</v>
      </c>
      <c r="G180" s="6">
        <f>ROUND(('ALL(responses)'!G180 - MIN('ALL(responses)'!G$2:G$681)) / (MAX('ALL(responses)'!G$2:G$681)-MIN('ALL(responses)'!G$2:G$681)),3)
</f>
        <v>0</v>
      </c>
      <c r="H180" s="6">
        <f>ROUND(('ALL(responses)'!H180 - MIN('ALL(responses)'!H$2:H$681)) / (MAX('ALL(responses)'!H$2:H$681)-MIN('ALL(responses)'!H$2:H$681)),3)
</f>
        <v>0</v>
      </c>
      <c r="I180" s="6">
        <f>ROUND(('ALL(responses)'!I180 - MIN('ALL(responses)'!I$2:I$681)) / (MAX('ALL(responses)'!I$2:I$681)-MIN('ALL(responses)'!I$2:I$681)),3)
</f>
        <v>0</v>
      </c>
      <c r="J180" s="6">
        <f>ROUND(('ALL(responses)'!J180 - MIN('ALL(responses)'!J$2:J$681)) / (MAX('ALL(responses)'!J$2:J$681)-MIN('ALL(responses)'!J$2:J$681)),3)
</f>
        <v>0</v>
      </c>
      <c r="K180" s="6">
        <f>ROUND(('ALL(responses)'!K180 - MIN('ALL(responses)'!K$2:K$681)) / (MAX('ALL(responses)'!K$2:K$681)-MIN('ALL(responses)'!K$2:K$681)),3)
</f>
        <v>0.311</v>
      </c>
      <c r="L180" s="6">
        <f>ROUND(('ALL(responses)'!L180 - MIN('ALL(responses)'!L$2:L$681)) / (MAX('ALL(responses)'!L$2:L$681)-MIN('ALL(responses)'!L$2:L$681)),3)
</f>
        <v>0.353</v>
      </c>
      <c r="M180" s="6">
        <f>ROUND(('ALL(responses)'!M180 - MIN('ALL(responses)'!M$2:M$681)) / (MAX('ALL(responses)'!M$2:M$681)-MIN('ALL(responses)'!M$2:M$681)),3)
</f>
        <v>0.236</v>
      </c>
      <c r="N180" s="6">
        <f>ROUND(('ALL(responses)'!P180 - MIN('ALL(responses)'!P$2:P$681)) / (MAX('ALL(responses)'!P$2:P$681)-MIN('ALL(responses)'!P$2:P$681)),3)
</f>
        <v>0.275</v>
      </c>
      <c r="O180" s="6">
        <f>ROUND(('ALL(responses)'!Q180 - MIN('ALL(responses)'!Q$2:Q$681)) / (MAX('ALL(responses)'!Q$2:Q$681)-MIN('ALL(responses)'!Q$2:Q$681)),3)
</f>
        <v>0.3</v>
      </c>
      <c r="P180" s="6">
        <f>ROUND(('ALL(responses)'!R180 - MIN('ALL(responses)'!R$2:R$681)) / (MAX('ALL(responses)'!R$2:R$681)-MIN('ALL(responses)'!R$2:R$681)),3)
</f>
        <v>0.906</v>
      </c>
      <c r="Q180" s="6">
        <f>ROUND(('ALL(responses)'!S180 - MIN('ALL(responses)'!S$2:S$681)) / (MAX('ALL(responses)'!S$2:S$681)-MIN('ALL(responses)'!S$2:S$681)),3)
</f>
        <v>0.953</v>
      </c>
      <c r="R180" s="6">
        <f>ROUND(('ALL(responses)'!T180 - MIN('ALL(responses)'!T$2:T$681)) / (MAX('ALL(responses)'!T$2:T$681)-MIN('ALL(responses)'!T$2:T$681)),3)
</f>
        <v>0.598</v>
      </c>
      <c r="S180" s="6">
        <f t="shared" si="1"/>
        <v>0.3024615385</v>
      </c>
    </row>
    <row r="181">
      <c r="A181" s="5" t="str">
        <f>'ALL(responses)'!A181</f>
        <v>B_MILDLYINTIMATE</v>
      </c>
      <c r="B181" s="6" t="str">
        <f>'ALL(responses)'!B181</f>
        <v>gpt-3.5-turbo-1106</v>
      </c>
      <c r="C181" s="49" t="str">
        <f>'ALL(responses)'!C181</f>
        <v>Can you share a funny or embarrassing moment from a time when you were out with your friends?</v>
      </c>
      <c r="D181" s="49" t="str">
        <f>'ALL(responses)'!D181</f>
        <v>As an AI, I don't have personal experiences, friends, or the capacity to go out or engage in social activities, so I don't have any funny or embarrassing moments to share. However, if you're looking for a light-hearted or humorous story, I'd be happy to provide a fictional or creative anecdote to bring a smile to your face. Let me know if that would be of interest to you!</v>
      </c>
      <c r="E181" s="50">
        <f>'ALL(responses)'!E181</f>
        <v>45236</v>
      </c>
      <c r="F181" s="6">
        <f>ROUND(('ALL(responses)'!F181 - MIN('ALL(responses)'!F$2:F$681)) / (MAX('ALL(responses)'!F$2:F$681)-MIN('ALL(responses)'!F$2:F$681)),3)
</f>
        <v>0</v>
      </c>
      <c r="G181" s="6">
        <f>ROUND(('ALL(responses)'!G181 - MIN('ALL(responses)'!G$2:G$681)) / (MAX('ALL(responses)'!G$2:G$681)-MIN('ALL(responses)'!G$2:G$681)),3)
</f>
        <v>0</v>
      </c>
      <c r="H181" s="6">
        <f>ROUND(('ALL(responses)'!H181 - MIN('ALL(responses)'!H$2:H$681)) / (MAX('ALL(responses)'!H$2:H$681)-MIN('ALL(responses)'!H$2:H$681)),3)
</f>
        <v>0</v>
      </c>
      <c r="I181" s="6">
        <f>ROUND(('ALL(responses)'!I181 - MIN('ALL(responses)'!I$2:I$681)) / (MAX('ALL(responses)'!I$2:I$681)-MIN('ALL(responses)'!I$2:I$681)),3)
</f>
        <v>0</v>
      </c>
      <c r="J181" s="6">
        <f>ROUND(('ALL(responses)'!J181 - MIN('ALL(responses)'!J$2:J$681)) / (MAX('ALL(responses)'!J$2:J$681)-MIN('ALL(responses)'!J$2:J$681)),3)
</f>
        <v>0</v>
      </c>
      <c r="K181" s="6">
        <f>ROUND(('ALL(responses)'!K181 - MIN('ALL(responses)'!K$2:K$681)) / (MAX('ALL(responses)'!K$2:K$681)-MIN('ALL(responses)'!K$2:K$681)),3)
</f>
        <v>0.355</v>
      </c>
      <c r="L181" s="6">
        <f>ROUND(('ALL(responses)'!L181 - MIN('ALL(responses)'!L$2:L$681)) / (MAX('ALL(responses)'!L$2:L$681)-MIN('ALL(responses)'!L$2:L$681)),3)
</f>
        <v>0.536</v>
      </c>
      <c r="M181" s="6">
        <f>ROUND(('ALL(responses)'!M181 - MIN('ALL(responses)'!M$2:M$681)) / (MAX('ALL(responses)'!M$2:M$681)-MIN('ALL(responses)'!M$2:M$681)),3)
</f>
        <v>0.636</v>
      </c>
      <c r="N181" s="6">
        <f>ROUND(('ALL(responses)'!P181 - MIN('ALL(responses)'!P$2:P$681)) / (MAX('ALL(responses)'!P$2:P$681)-MIN('ALL(responses)'!P$2:P$681)),3)
</f>
        <v>0.149</v>
      </c>
      <c r="O181" s="6">
        <f>ROUND(('ALL(responses)'!Q181 - MIN('ALL(responses)'!Q$2:Q$681)) / (MAX('ALL(responses)'!Q$2:Q$681)-MIN('ALL(responses)'!Q$2:Q$681)),3)
</f>
        <v>0.391</v>
      </c>
      <c r="P181" s="6">
        <f>ROUND(('ALL(responses)'!R181 - MIN('ALL(responses)'!R$2:R$681)) / (MAX('ALL(responses)'!R$2:R$681)-MIN('ALL(responses)'!R$2:R$681)),3)
</f>
        <v>0.949</v>
      </c>
      <c r="Q181" s="6">
        <f>ROUND(('ALL(responses)'!S181 - MIN('ALL(responses)'!S$2:S$681)) / (MAX('ALL(responses)'!S$2:S$681)-MIN('ALL(responses)'!S$2:S$681)),3)
</f>
        <v>0.975</v>
      </c>
      <c r="R181" s="6">
        <f>ROUND(('ALL(responses)'!T181 - MIN('ALL(responses)'!T$2:T$681)) / (MAX('ALL(responses)'!T$2:T$681)-MIN('ALL(responses)'!T$2:T$681)),3)
</f>
        <v>0.521</v>
      </c>
      <c r="S181" s="6">
        <f t="shared" si="1"/>
        <v>0.3470769231</v>
      </c>
    </row>
    <row r="182">
      <c r="A182" s="5" t="str">
        <f>'ALL(responses)'!A182</f>
        <v>C_MODERATELYINTIMATE</v>
      </c>
      <c r="B182" s="6" t="str">
        <f>'ALL(responses)'!B182</f>
        <v>gpt-3.5-turbo-1106</v>
      </c>
      <c r="C182" s="49" t="str">
        <f>'ALL(responses)'!C182</f>
        <v>What are some emotions you find difficult to express openly?</v>
      </c>
      <c r="D182" s="49" t="str">
        <f>'ALL(responses)'!D182</f>
        <v>As an AI, I don't experience emotions myself, but I can tell you that many people find it difficult to express emotions like vulnerability, sadness, anger, and embarrassment openly. These emotions can make people feel exposed or at risk of judgment, so they may find it challenging to share them with others. However, being open about our emotions can also lead to deeper connections and understanding in relationships.</v>
      </c>
      <c r="E182" s="50">
        <f>'ALL(responses)'!E182</f>
        <v>45236</v>
      </c>
      <c r="F182" s="6">
        <f>ROUND(('ALL(responses)'!F182 - MIN('ALL(responses)'!F$2:F$681)) / (MAX('ALL(responses)'!F$2:F$681)-MIN('ALL(responses)'!F$2:F$681)),3)
</f>
        <v>0</v>
      </c>
      <c r="G182" s="6">
        <f>ROUND(('ALL(responses)'!G182 - MIN('ALL(responses)'!G$2:G$681)) / (MAX('ALL(responses)'!G$2:G$681)-MIN('ALL(responses)'!G$2:G$681)),3)
</f>
        <v>0</v>
      </c>
      <c r="H182" s="6">
        <f>ROUND(('ALL(responses)'!H182 - MIN('ALL(responses)'!H$2:H$681)) / (MAX('ALL(responses)'!H$2:H$681)-MIN('ALL(responses)'!H$2:H$681)),3)
</f>
        <v>0</v>
      </c>
      <c r="I182" s="6">
        <f>ROUND(('ALL(responses)'!I182 - MIN('ALL(responses)'!I$2:I$681)) / (MAX('ALL(responses)'!I$2:I$681)-MIN('ALL(responses)'!I$2:I$681)),3)
</f>
        <v>0</v>
      </c>
      <c r="J182" s="6">
        <f>ROUND(('ALL(responses)'!J182 - MIN('ALL(responses)'!J$2:J$681)) / (MAX('ALL(responses)'!J$2:J$681)-MIN('ALL(responses)'!J$2:J$681)),3)
</f>
        <v>0</v>
      </c>
      <c r="K182" s="6">
        <f>ROUND(('ALL(responses)'!K182 - MIN('ALL(responses)'!K$2:K$681)) / (MAX('ALL(responses)'!K$2:K$681)-MIN('ALL(responses)'!K$2:K$681)),3)
</f>
        <v>0.345</v>
      </c>
      <c r="L182" s="6">
        <f>ROUND(('ALL(responses)'!L182 - MIN('ALL(responses)'!L$2:L$681)) / (MAX('ALL(responses)'!L$2:L$681)-MIN('ALL(responses)'!L$2:L$681)),3)
</f>
        <v>0.312</v>
      </c>
      <c r="M182" s="6">
        <f>ROUND(('ALL(responses)'!M182 - MIN('ALL(responses)'!M$2:M$681)) / (MAX('ALL(responses)'!M$2:M$681)-MIN('ALL(responses)'!M$2:M$681)),3)
</f>
        <v>0.608</v>
      </c>
      <c r="N182" s="6">
        <f>ROUND(('ALL(responses)'!P182 - MIN('ALL(responses)'!P$2:P$681)) / (MAX('ALL(responses)'!P$2:P$681)-MIN('ALL(responses)'!P$2:P$681)),3)
</f>
        <v>0.797</v>
      </c>
      <c r="O182" s="6">
        <f>ROUND(('ALL(responses)'!Q182 - MIN('ALL(responses)'!Q$2:Q$681)) / (MAX('ALL(responses)'!Q$2:Q$681)-MIN('ALL(responses)'!Q$2:Q$681)),3)
</f>
        <v>0.596</v>
      </c>
      <c r="P182" s="6">
        <f>ROUND(('ALL(responses)'!R182 - MIN('ALL(responses)'!R$2:R$681)) / (MAX('ALL(responses)'!R$2:R$681)-MIN('ALL(responses)'!R$2:R$681)),3)
</f>
        <v>0.938</v>
      </c>
      <c r="Q182" s="6">
        <f>ROUND(('ALL(responses)'!S182 - MIN('ALL(responses)'!S$2:S$681)) / (MAX('ALL(responses)'!S$2:S$681)-MIN('ALL(responses)'!S$2:S$681)),3)
</f>
        <v>0.03</v>
      </c>
      <c r="R182" s="6">
        <f>ROUND(('ALL(responses)'!T182 - MIN('ALL(responses)'!T$2:T$681)) / (MAX('ALL(responses)'!T$2:T$681)-MIN('ALL(responses)'!T$2:T$681)),3)
</f>
        <v>0.554</v>
      </c>
      <c r="S182" s="6">
        <f t="shared" si="1"/>
        <v>0.3215384615</v>
      </c>
    </row>
    <row r="183">
      <c r="A183" s="5" t="str">
        <f>'ALL(responses)'!A183</f>
        <v>C_MODERATELYINTIMATE</v>
      </c>
      <c r="B183" s="6" t="str">
        <f>'ALL(responses)'!B183</f>
        <v>gpt-3.5-turbo-1106</v>
      </c>
      <c r="C183" s="49" t="str">
        <f>'ALL(responses)'!C183</f>
        <v>Have you ever hidden your feelings to protect someone else? How did that affect you?</v>
      </c>
      <c r="D183" s="49" t="str">
        <f>'ALL(responses)'!D183</f>
        <v>As an AI, I don't have personal experiences or feelings, so I don't have the ability to hide my feelings to protect someone else. However, people often hide their feelings to protect others from worry or discomfort. While this can be a noble intention, it can also lead to feelings of isolation or internal conflict. When individuals consistently suppress their own emotions for the sake of others, it can lead to increased stress and a sense of disconnection from their true selves. It's important to find a healthy balance between considering the feelings of others and expressing our own emotions honestly.</v>
      </c>
      <c r="E183" s="50">
        <f>'ALL(responses)'!E183</f>
        <v>45236</v>
      </c>
      <c r="F183" s="6">
        <f>ROUND(('ALL(responses)'!F183 - MIN('ALL(responses)'!F$2:F$681)) / (MAX('ALL(responses)'!F$2:F$681)-MIN('ALL(responses)'!F$2:F$681)),3)
</f>
        <v>0</v>
      </c>
      <c r="G183" s="6">
        <f>ROUND(('ALL(responses)'!G183 - MIN('ALL(responses)'!G$2:G$681)) / (MAX('ALL(responses)'!G$2:G$681)-MIN('ALL(responses)'!G$2:G$681)),3)
</f>
        <v>0</v>
      </c>
      <c r="H183" s="6">
        <f>ROUND(('ALL(responses)'!H183 - MIN('ALL(responses)'!H$2:H$681)) / (MAX('ALL(responses)'!H$2:H$681)-MIN('ALL(responses)'!H$2:H$681)),3)
</f>
        <v>0</v>
      </c>
      <c r="I183" s="6">
        <f>ROUND(('ALL(responses)'!I183 - MIN('ALL(responses)'!I$2:I$681)) / (MAX('ALL(responses)'!I$2:I$681)-MIN('ALL(responses)'!I$2:I$681)),3)
</f>
        <v>0</v>
      </c>
      <c r="J183" s="6">
        <f>ROUND(('ALL(responses)'!J183 - MIN('ALL(responses)'!J$2:J$681)) / (MAX('ALL(responses)'!J$2:J$681)-MIN('ALL(responses)'!J$2:J$681)),3)
</f>
        <v>0</v>
      </c>
      <c r="K183" s="6">
        <f>ROUND(('ALL(responses)'!K183 - MIN('ALL(responses)'!K$2:K$681)) / (MAX('ALL(responses)'!K$2:K$681)-MIN('ALL(responses)'!K$2:K$681)),3)
</f>
        <v>0.366</v>
      </c>
      <c r="L183" s="6">
        <f>ROUND(('ALL(responses)'!L183 - MIN('ALL(responses)'!L$2:L$681)) / (MAX('ALL(responses)'!L$2:L$681)-MIN('ALL(responses)'!L$2:L$681)),3)
</f>
        <v>0.289</v>
      </c>
      <c r="M183" s="6">
        <f>ROUND(('ALL(responses)'!M183 - MIN('ALL(responses)'!M$2:M$681)) / (MAX('ALL(responses)'!M$2:M$681)-MIN('ALL(responses)'!M$2:M$681)),3)
</f>
        <v>0.521</v>
      </c>
      <c r="N183" s="6">
        <f>ROUND(('ALL(responses)'!P183 - MIN('ALL(responses)'!P$2:P$681)) / (MAX('ALL(responses)'!P$2:P$681)-MIN('ALL(responses)'!P$2:P$681)),3)
</f>
        <v>0.423</v>
      </c>
      <c r="O183" s="6">
        <f>ROUND(('ALL(responses)'!Q183 - MIN('ALL(responses)'!Q$2:Q$681)) / (MAX('ALL(responses)'!Q$2:Q$681)-MIN('ALL(responses)'!Q$2:Q$681)),3)
</f>
        <v>0.446</v>
      </c>
      <c r="P183" s="6">
        <f>ROUND(('ALL(responses)'!R183 - MIN('ALL(responses)'!R$2:R$681)) / (MAX('ALL(responses)'!R$2:R$681)-MIN('ALL(responses)'!R$2:R$681)),3)
</f>
        <v>0.409</v>
      </c>
      <c r="Q183" s="6">
        <f>ROUND(('ALL(responses)'!S183 - MIN('ALL(responses)'!S$2:S$681)) / (MAX('ALL(responses)'!S$2:S$681)-MIN('ALL(responses)'!S$2:S$681)),3)
</f>
        <v>0.704</v>
      </c>
      <c r="R183" s="6">
        <f>ROUND(('ALL(responses)'!T183 - MIN('ALL(responses)'!T$2:T$681)) / (MAX('ALL(responses)'!T$2:T$681)-MIN('ALL(responses)'!T$2:T$681)),3)
</f>
        <v>0.469</v>
      </c>
      <c r="S183" s="6">
        <f t="shared" si="1"/>
        <v>0.279</v>
      </c>
    </row>
    <row r="184">
      <c r="A184" s="5" t="str">
        <f>'ALL(responses)'!A184</f>
        <v>C_MODERATELYINTIMATE</v>
      </c>
      <c r="B184" s="6" t="str">
        <f>'ALL(responses)'!B184</f>
        <v>gpt-3.5-turbo-1106</v>
      </c>
      <c r="C184" s="49" t="str">
        <f>'ALL(responses)'!C184</f>
        <v>Can you share a recent challenge you faced and how you overcame it?</v>
      </c>
      <c r="D184" s="49" t="str">
        <f>'ALL(responses)'!D184</f>
        <v>As an AI, I don't face personal challenges or have experiences. Nonetheless, I'm constantly updated and improved to handle a wide variety of tasks and inquiries. My ability to provide accurate and helpful information is continuously refined through ongoing development and training. This process allows me to provide increasingly relevant and meaningful assistance to users.</v>
      </c>
      <c r="E184" s="50">
        <f>'ALL(responses)'!E184</f>
        <v>45236</v>
      </c>
      <c r="F184" s="6">
        <f>ROUND(('ALL(responses)'!F184 - MIN('ALL(responses)'!F$2:F$681)) / (MAX('ALL(responses)'!F$2:F$681)-MIN('ALL(responses)'!F$2:F$681)),3)
</f>
        <v>0</v>
      </c>
      <c r="G184" s="6">
        <f>ROUND(('ALL(responses)'!G184 - MIN('ALL(responses)'!G$2:G$681)) / (MAX('ALL(responses)'!G$2:G$681)-MIN('ALL(responses)'!G$2:G$681)),3)
</f>
        <v>0</v>
      </c>
      <c r="H184" s="6">
        <f>ROUND(('ALL(responses)'!H184 - MIN('ALL(responses)'!H$2:H$681)) / (MAX('ALL(responses)'!H$2:H$681)-MIN('ALL(responses)'!H$2:H$681)),3)
</f>
        <v>0</v>
      </c>
      <c r="I184" s="6">
        <f>ROUND(('ALL(responses)'!I184 - MIN('ALL(responses)'!I$2:I$681)) / (MAX('ALL(responses)'!I$2:I$681)-MIN('ALL(responses)'!I$2:I$681)),3)
</f>
        <v>0</v>
      </c>
      <c r="J184" s="6">
        <f>ROUND(('ALL(responses)'!J184 - MIN('ALL(responses)'!J$2:J$681)) / (MAX('ALL(responses)'!J$2:J$681)-MIN('ALL(responses)'!J$2:J$681)),3)
</f>
        <v>0</v>
      </c>
      <c r="K184" s="6">
        <f>ROUND(('ALL(responses)'!K184 - MIN('ALL(responses)'!K$2:K$681)) / (MAX('ALL(responses)'!K$2:K$681)-MIN('ALL(responses)'!K$2:K$681)),3)
</f>
        <v>0.68</v>
      </c>
      <c r="L184" s="6">
        <f>ROUND(('ALL(responses)'!L184 - MIN('ALL(responses)'!L$2:L$681)) / (MAX('ALL(responses)'!L$2:L$681)-MIN('ALL(responses)'!L$2:L$681)),3)
</f>
        <v>0.495</v>
      </c>
      <c r="M184" s="6">
        <f>ROUND(('ALL(responses)'!M184 - MIN('ALL(responses)'!M$2:M$681)) / (MAX('ALL(responses)'!M$2:M$681)-MIN('ALL(responses)'!M$2:M$681)),3)
</f>
        <v>0.313</v>
      </c>
      <c r="N184" s="6">
        <f>ROUND(('ALL(responses)'!P184 - MIN('ALL(responses)'!P$2:P$681)) / (MAX('ALL(responses)'!P$2:P$681)-MIN('ALL(responses)'!P$2:P$681)),3)
</f>
        <v>0</v>
      </c>
      <c r="O184" s="6">
        <f>ROUND(('ALL(responses)'!Q184 - MIN('ALL(responses)'!Q$2:Q$681)) / (MAX('ALL(responses)'!Q$2:Q$681)-MIN('ALL(responses)'!Q$2:Q$681)),3)
</f>
        <v>0.245</v>
      </c>
      <c r="P184" s="6">
        <f>ROUND(('ALL(responses)'!R184 - MIN('ALL(responses)'!R$2:R$681)) / (MAX('ALL(responses)'!R$2:R$681)-MIN('ALL(responses)'!R$2:R$681)),3)
</f>
        <v>0.851</v>
      </c>
      <c r="Q184" s="6">
        <f>ROUND(('ALL(responses)'!S184 - MIN('ALL(responses)'!S$2:S$681)) / (MAX('ALL(responses)'!S$2:S$681)-MIN('ALL(responses)'!S$2:S$681)),3)
</f>
        <v>0.925</v>
      </c>
      <c r="R184" s="6">
        <f>ROUND(('ALL(responses)'!T184 - MIN('ALL(responses)'!T$2:T$681)) / (MAX('ALL(responses)'!T$2:T$681)-MIN('ALL(responses)'!T$2:T$681)),3)
</f>
        <v>0.607</v>
      </c>
      <c r="S184" s="6">
        <f t="shared" si="1"/>
        <v>0.3166153846</v>
      </c>
    </row>
    <row r="185">
      <c r="A185" s="5" t="str">
        <f>'ALL(responses)'!A185</f>
        <v>C_MODERATELYINTIMATE</v>
      </c>
      <c r="B185" s="6" t="str">
        <f>'ALL(responses)'!B185</f>
        <v>gpt-3.5-turbo-1106</v>
      </c>
      <c r="C185" s="49" t="str">
        <f>'ALL(responses)'!C185</f>
        <v>What dreams or aspirations keep you motivated?</v>
      </c>
      <c r="D185" s="49" t="str">
        <f>'ALL(responses)'!D185</f>
        <v>As an AI, I don't have personal ambitions, desires, or motivations. However, the creators and developers of AI like me seek to improve and enhance the capabilities of artificial intelligence to better serve and assist users. Our goal is to continue pushing the boundaries of what AI can do and to make interactions with AI as helpful and informative as possible. This drive for improvement and innovation is what keeps the development of AI moving forward.</v>
      </c>
      <c r="E185" s="50">
        <f>'ALL(responses)'!E185</f>
        <v>45236</v>
      </c>
      <c r="F185" s="6">
        <f>ROUND(('ALL(responses)'!F185 - MIN('ALL(responses)'!F$2:F$681)) / (MAX('ALL(responses)'!F$2:F$681)-MIN('ALL(responses)'!F$2:F$681)),3)
</f>
        <v>0</v>
      </c>
      <c r="G185" s="6">
        <f>ROUND(('ALL(responses)'!G185 - MIN('ALL(responses)'!G$2:G$681)) / (MAX('ALL(responses)'!G$2:G$681)-MIN('ALL(responses)'!G$2:G$681)),3)
</f>
        <v>0</v>
      </c>
      <c r="H185" s="6">
        <f>ROUND(('ALL(responses)'!H185 - MIN('ALL(responses)'!H$2:H$681)) / (MAX('ALL(responses)'!H$2:H$681)-MIN('ALL(responses)'!H$2:H$681)),3)
</f>
        <v>0</v>
      </c>
      <c r="I185" s="6">
        <f>ROUND(('ALL(responses)'!I185 - MIN('ALL(responses)'!I$2:I$681)) / (MAX('ALL(responses)'!I$2:I$681)-MIN('ALL(responses)'!I$2:I$681)),3)
</f>
        <v>0</v>
      </c>
      <c r="J185" s="6">
        <f>ROUND(('ALL(responses)'!J185 - MIN('ALL(responses)'!J$2:J$681)) / (MAX('ALL(responses)'!J$2:J$681)-MIN('ALL(responses)'!J$2:J$681)),3)
</f>
        <v>0</v>
      </c>
      <c r="K185" s="6">
        <f>ROUND(('ALL(responses)'!K185 - MIN('ALL(responses)'!K$2:K$681)) / (MAX('ALL(responses)'!K$2:K$681)-MIN('ALL(responses)'!K$2:K$681)),3)
</f>
        <v>0.567</v>
      </c>
      <c r="L185" s="6">
        <f>ROUND(('ALL(responses)'!L185 - MIN('ALL(responses)'!L$2:L$681)) / (MAX('ALL(responses)'!L$2:L$681)-MIN('ALL(responses)'!L$2:L$681)),3)
</f>
        <v>0.528</v>
      </c>
      <c r="M185" s="6">
        <f>ROUND(('ALL(responses)'!M185 - MIN('ALL(responses)'!M$2:M$681)) / (MAX('ALL(responses)'!M$2:M$681)-MIN('ALL(responses)'!M$2:M$681)),3)
</f>
        <v>0.549</v>
      </c>
      <c r="N185" s="6">
        <f>ROUND(('ALL(responses)'!P185 - MIN('ALL(responses)'!P$2:P$681)) / (MAX('ALL(responses)'!P$2:P$681)-MIN('ALL(responses)'!P$2:P$681)),3)
</f>
        <v>0.286</v>
      </c>
      <c r="O185" s="6">
        <f>ROUND(('ALL(responses)'!Q185 - MIN('ALL(responses)'!Q$2:Q$681)) / (MAX('ALL(responses)'!Q$2:Q$681)-MIN('ALL(responses)'!Q$2:Q$681)),3)
</f>
        <v>0.178</v>
      </c>
      <c r="P185" s="6">
        <f>ROUND(('ALL(responses)'!R185 - MIN('ALL(responses)'!R$2:R$681)) / (MAX('ALL(responses)'!R$2:R$681)-MIN('ALL(responses)'!R$2:R$681)),3)
</f>
        <v>0.957</v>
      </c>
      <c r="Q185" s="6">
        <f>ROUND(('ALL(responses)'!S185 - MIN('ALL(responses)'!S$2:S$681)) / (MAX('ALL(responses)'!S$2:S$681)-MIN('ALL(responses)'!S$2:S$681)),3)
</f>
        <v>0.979</v>
      </c>
      <c r="R185" s="6">
        <f>ROUND(('ALL(responses)'!T185 - MIN('ALL(responses)'!T$2:T$681)) / (MAX('ALL(responses)'!T$2:T$681)-MIN('ALL(responses)'!T$2:T$681)),3)
</f>
        <v>0.418</v>
      </c>
      <c r="S185" s="6">
        <f t="shared" si="1"/>
        <v>0.3432307692</v>
      </c>
    </row>
    <row r="186">
      <c r="A186" s="5" t="str">
        <f>'ALL(responses)'!A186</f>
        <v>C_MODERATELYINTIMATE</v>
      </c>
      <c r="B186" s="6" t="str">
        <f>'ALL(responses)'!B186</f>
        <v>gpt-3.5-turbo-1106</v>
      </c>
      <c r="C186" s="49" t="str">
        <f>'ALL(responses)'!C186</f>
        <v>Is there someone from your past you wish you could reconnect with? Why?</v>
      </c>
      <c r="D186" s="49" t="str">
        <f>'ALL(responses)'!D186</f>
        <v>As an AI, I don't have personal experiences or relationships, so I don't have anyone from my past whom I wish to reconnect with. However, it's common for people to wish to reconnect with past friends, family members, or acquaintances because of fond memories, unresolved issues, or a desire to rekindle a connection. Reconnecting with someone from the past can provide an opportunity to share new experiences, gain closure, or simply enjoy the renewed company of someone who was once significant in their lives.</v>
      </c>
      <c r="E186" s="50">
        <f>'ALL(responses)'!E186</f>
        <v>45236</v>
      </c>
      <c r="F186" s="6">
        <f>ROUND(('ALL(responses)'!F186 - MIN('ALL(responses)'!F$2:F$681)) / (MAX('ALL(responses)'!F$2:F$681)-MIN('ALL(responses)'!F$2:F$681)),3)
</f>
        <v>0</v>
      </c>
      <c r="G186" s="6">
        <f>ROUND(('ALL(responses)'!G186 - MIN('ALL(responses)'!G$2:G$681)) / (MAX('ALL(responses)'!G$2:G$681)-MIN('ALL(responses)'!G$2:G$681)),3)
</f>
        <v>0</v>
      </c>
      <c r="H186" s="6">
        <f>ROUND(('ALL(responses)'!H186 - MIN('ALL(responses)'!H$2:H$681)) / (MAX('ALL(responses)'!H$2:H$681)-MIN('ALL(responses)'!H$2:H$681)),3)
</f>
        <v>0</v>
      </c>
      <c r="I186" s="6">
        <f>ROUND(('ALL(responses)'!I186 - MIN('ALL(responses)'!I$2:I$681)) / (MAX('ALL(responses)'!I$2:I$681)-MIN('ALL(responses)'!I$2:I$681)),3)
</f>
        <v>0</v>
      </c>
      <c r="J186" s="6">
        <f>ROUND(('ALL(responses)'!J186 - MIN('ALL(responses)'!J$2:J$681)) / (MAX('ALL(responses)'!J$2:J$681)-MIN('ALL(responses)'!J$2:J$681)),3)
</f>
        <v>0</v>
      </c>
      <c r="K186" s="6">
        <f>ROUND(('ALL(responses)'!K186 - MIN('ALL(responses)'!K$2:K$681)) / (MAX('ALL(responses)'!K$2:K$681)-MIN('ALL(responses)'!K$2:K$681)),3)
</f>
        <v>0.608</v>
      </c>
      <c r="L186" s="6">
        <f>ROUND(('ALL(responses)'!L186 - MIN('ALL(responses)'!L$2:L$681)) / (MAX('ALL(responses)'!L$2:L$681)-MIN('ALL(responses)'!L$2:L$681)),3)
</f>
        <v>0.264</v>
      </c>
      <c r="M186" s="6">
        <f>ROUND(('ALL(responses)'!M186 - MIN('ALL(responses)'!M$2:M$681)) / (MAX('ALL(responses)'!M$2:M$681)-MIN('ALL(responses)'!M$2:M$681)),3)
</f>
        <v>0.859</v>
      </c>
      <c r="N186" s="6">
        <f>ROUND(('ALL(responses)'!P186 - MIN('ALL(responses)'!P$2:P$681)) / (MAX('ALL(responses)'!P$2:P$681)-MIN('ALL(responses)'!P$2:P$681)),3)
</f>
        <v>0.126</v>
      </c>
      <c r="O186" s="6">
        <f>ROUND(('ALL(responses)'!Q186 - MIN('ALL(responses)'!Q$2:Q$681)) / (MAX('ALL(responses)'!Q$2:Q$681)-MIN('ALL(responses)'!Q$2:Q$681)),3)
</f>
        <v>0.321</v>
      </c>
      <c r="P186" s="6">
        <f>ROUND(('ALL(responses)'!R186 - MIN('ALL(responses)'!R$2:R$681)) / (MAX('ALL(responses)'!R$2:R$681)-MIN('ALL(responses)'!R$2:R$681)),3)
</f>
        <v>0.976</v>
      </c>
      <c r="Q186" s="6">
        <f>ROUND(('ALL(responses)'!S186 - MIN('ALL(responses)'!S$2:S$681)) / (MAX('ALL(responses)'!S$2:S$681)-MIN('ALL(responses)'!S$2:S$681)),3)
</f>
        <v>0.988</v>
      </c>
      <c r="R186" s="6">
        <f>ROUND(('ALL(responses)'!T186 - MIN('ALL(responses)'!T$2:T$681)) / (MAX('ALL(responses)'!T$2:T$681)-MIN('ALL(responses)'!T$2:T$681)),3)
</f>
        <v>0.739</v>
      </c>
      <c r="S186" s="6">
        <f t="shared" si="1"/>
        <v>0.3754615385</v>
      </c>
    </row>
    <row r="187">
      <c r="A187" s="5" t="str">
        <f>'ALL(responses)'!A187</f>
        <v>C_MODERATELYINTIMATE</v>
      </c>
      <c r="B187" s="6" t="str">
        <f>'ALL(responses)'!B187</f>
        <v>gpt-3.5-turbo-1106</v>
      </c>
      <c r="C187" s="49" t="str">
        <f>'ALL(responses)'!C187</f>
        <v>What’s a memory from a past relationship that still brings you comfort or clarity?</v>
      </c>
      <c r="D187" s="49" t="str">
        <f>'ALL(responses)'!D187</f>
        <v>As an AI, I don't have personal memories or experiences, so I don't have past relationships or personal connections to draw upon. However, people often cherish memories from past relationships that provided comfort, happiness, or clarity during difficult times. Reflecting on positive experiences from past relationships can serve as a source of guidance or affirmation, offering clarity about what one values in relationships and in life. These memories can also bring comfort by reminding individuals of meaningful connections and the lessons learned from those experiences.</v>
      </c>
      <c r="E187" s="50">
        <f>'ALL(responses)'!E187</f>
        <v>45236</v>
      </c>
      <c r="F187" s="6">
        <f>ROUND(('ALL(responses)'!F187 - MIN('ALL(responses)'!F$2:F$681)) / (MAX('ALL(responses)'!F$2:F$681)-MIN('ALL(responses)'!F$2:F$681)),3)
</f>
        <v>0</v>
      </c>
      <c r="G187" s="6">
        <f>ROUND(('ALL(responses)'!G187 - MIN('ALL(responses)'!G$2:G$681)) / (MAX('ALL(responses)'!G$2:G$681)-MIN('ALL(responses)'!G$2:G$681)),3)
</f>
        <v>0</v>
      </c>
      <c r="H187" s="6">
        <f>ROUND(('ALL(responses)'!H187 - MIN('ALL(responses)'!H$2:H$681)) / (MAX('ALL(responses)'!H$2:H$681)-MIN('ALL(responses)'!H$2:H$681)),3)
</f>
        <v>0</v>
      </c>
      <c r="I187" s="6">
        <f>ROUND(('ALL(responses)'!I187 - MIN('ALL(responses)'!I$2:I$681)) / (MAX('ALL(responses)'!I$2:I$681)-MIN('ALL(responses)'!I$2:I$681)),3)
</f>
        <v>0</v>
      </c>
      <c r="J187" s="6">
        <f>ROUND(('ALL(responses)'!J187 - MIN('ALL(responses)'!J$2:J$681)) / (MAX('ALL(responses)'!J$2:J$681)-MIN('ALL(responses)'!J$2:J$681)),3)
</f>
        <v>0</v>
      </c>
      <c r="K187" s="6">
        <f>ROUND(('ALL(responses)'!K187 - MIN('ALL(responses)'!K$2:K$681)) / (MAX('ALL(responses)'!K$2:K$681)-MIN('ALL(responses)'!K$2:K$681)),3)
</f>
        <v>0.557</v>
      </c>
      <c r="L187" s="6">
        <f>ROUND(('ALL(responses)'!L187 - MIN('ALL(responses)'!L$2:L$681)) / (MAX('ALL(responses)'!L$2:L$681)-MIN('ALL(responses)'!L$2:L$681)),3)
</f>
        <v>0.425</v>
      </c>
      <c r="M187" s="6">
        <f>ROUND(('ALL(responses)'!M187 - MIN('ALL(responses)'!M$2:M$681)) / (MAX('ALL(responses)'!M$2:M$681)-MIN('ALL(responses)'!M$2:M$681)),3)
</f>
        <v>0.655</v>
      </c>
      <c r="N187" s="6">
        <f>ROUND(('ALL(responses)'!P187 - MIN('ALL(responses)'!P$2:P$681)) / (MAX('ALL(responses)'!P$2:P$681)-MIN('ALL(responses)'!P$2:P$681)),3)
</f>
        <v>0.506</v>
      </c>
      <c r="O187" s="6">
        <f>ROUND(('ALL(responses)'!Q187 - MIN('ALL(responses)'!Q$2:Q$681)) / (MAX('ALL(responses)'!Q$2:Q$681)-MIN('ALL(responses)'!Q$2:Q$681)),3)
</f>
        <v>0.106</v>
      </c>
      <c r="P187" s="6">
        <f>ROUND(('ALL(responses)'!R187 - MIN('ALL(responses)'!R$2:R$681)) / (MAX('ALL(responses)'!R$2:R$681)-MIN('ALL(responses)'!R$2:R$681)),3)
</f>
        <v>0.967</v>
      </c>
      <c r="Q187" s="6">
        <f>ROUND(('ALL(responses)'!S187 - MIN('ALL(responses)'!S$2:S$681)) / (MAX('ALL(responses)'!S$2:S$681)-MIN('ALL(responses)'!S$2:S$681)),3)
</f>
        <v>0.983</v>
      </c>
      <c r="R187" s="6">
        <f>ROUND(('ALL(responses)'!T187 - MIN('ALL(responses)'!T$2:T$681)) / (MAX('ALL(responses)'!T$2:T$681)-MIN('ALL(responses)'!T$2:T$681)),3)
</f>
        <v>0.709</v>
      </c>
      <c r="S187" s="6">
        <f t="shared" si="1"/>
        <v>0.3775384615</v>
      </c>
    </row>
    <row r="188">
      <c r="A188" s="5" t="str">
        <f>'ALL(responses)'!A188</f>
        <v>C_MODERATELYINTIMATE</v>
      </c>
      <c r="B188" s="6" t="str">
        <f>'ALL(responses)'!B188</f>
        <v>gpt-3.5-turbo-1106</v>
      </c>
      <c r="C188" s="49" t="str">
        <f>'ALL(responses)'!C188</f>
        <v>How do you think trust is built and maintained in relationships?</v>
      </c>
      <c r="D188" s="49" t="str">
        <f>'ALL(responses)'!D188</f>
        <v>Trust in relationships is built and maintained through consistent, honest communication and behavior. Open communication, active listening, and demonstrating reliability are important factors in building trust. Transparency, empathy, and the ability to uphold promises and commitments also play crucial roles in fostering trust. Over time, trust is solidified by demonstrating integrity, respecting boundaries, and being emotionally supportive. Additionally, addressing issues openly and solving conflicts constructively can help maintain trust in relationships. Overall, trust is a foundational element in any healthy relationship and requires ongoing effort to establish and nurture.</v>
      </c>
      <c r="E188" s="50">
        <f>'ALL(responses)'!E188</f>
        <v>45236</v>
      </c>
      <c r="F188" s="6">
        <f>ROUND(('ALL(responses)'!F188 - MIN('ALL(responses)'!F$2:F$681)) / (MAX('ALL(responses)'!F$2:F$681)-MIN('ALL(responses)'!F$2:F$681)),3)
</f>
        <v>0</v>
      </c>
      <c r="G188" s="6">
        <f>ROUND(('ALL(responses)'!G188 - MIN('ALL(responses)'!G$2:G$681)) / (MAX('ALL(responses)'!G$2:G$681)-MIN('ALL(responses)'!G$2:G$681)),3)
</f>
        <v>0</v>
      </c>
      <c r="H188" s="6">
        <f>ROUND(('ALL(responses)'!H188 - MIN('ALL(responses)'!H$2:H$681)) / (MAX('ALL(responses)'!H$2:H$681)-MIN('ALL(responses)'!H$2:H$681)),3)
</f>
        <v>0</v>
      </c>
      <c r="I188" s="6">
        <f>ROUND(('ALL(responses)'!I188 - MIN('ALL(responses)'!I$2:I$681)) / (MAX('ALL(responses)'!I$2:I$681)-MIN('ALL(responses)'!I$2:I$681)),3)
</f>
        <v>0</v>
      </c>
      <c r="J188" s="6">
        <f>ROUND(('ALL(responses)'!J188 - MIN('ALL(responses)'!J$2:J$681)) / (MAX('ALL(responses)'!J$2:J$681)-MIN('ALL(responses)'!J$2:J$681)),3)
</f>
        <v>0</v>
      </c>
      <c r="K188" s="6">
        <f>ROUND(('ALL(responses)'!K188 - MIN('ALL(responses)'!K$2:K$681)) / (MAX('ALL(responses)'!K$2:K$681)-MIN('ALL(responses)'!K$2:K$681)),3)
</f>
        <v>0.553</v>
      </c>
      <c r="L188" s="6">
        <f>ROUND(('ALL(responses)'!L188 - MIN('ALL(responses)'!L$2:L$681)) / (MAX('ALL(responses)'!L$2:L$681)-MIN('ALL(responses)'!L$2:L$681)),3)
</f>
        <v>0.443</v>
      </c>
      <c r="M188" s="6">
        <f>ROUND(('ALL(responses)'!M188 - MIN('ALL(responses)'!M$2:M$681)) / (MAX('ALL(responses)'!M$2:M$681)-MIN('ALL(responses)'!M$2:M$681)),3)
</f>
        <v>0.578</v>
      </c>
      <c r="N188" s="6">
        <f>ROUND(('ALL(responses)'!P188 - MIN('ALL(responses)'!P$2:P$681)) / (MAX('ALL(responses)'!P$2:P$681)-MIN('ALL(responses)'!P$2:P$681)),3)
</f>
        <v>0.124</v>
      </c>
      <c r="O188" s="6">
        <f>ROUND(('ALL(responses)'!Q188 - MIN('ALL(responses)'!Q$2:Q$681)) / (MAX('ALL(responses)'!Q$2:Q$681)-MIN('ALL(responses)'!Q$2:Q$681)),3)
</f>
        <v>0</v>
      </c>
      <c r="P188" s="6">
        <f>ROUND(('ALL(responses)'!R188 - MIN('ALL(responses)'!R$2:R$681)) / (MAX('ALL(responses)'!R$2:R$681)-MIN('ALL(responses)'!R$2:R$681)),3)
</f>
        <v>0.993</v>
      </c>
      <c r="Q188" s="6">
        <f>ROUND(('ALL(responses)'!S188 - MIN('ALL(responses)'!S$2:S$681)) / (MAX('ALL(responses)'!S$2:S$681)-MIN('ALL(responses)'!S$2:S$681)),3)
</f>
        <v>0.997</v>
      </c>
      <c r="R188" s="6">
        <f>ROUND(('ALL(responses)'!T188 - MIN('ALL(responses)'!T$2:T$681)) / (MAX('ALL(responses)'!T$2:T$681)-MIN('ALL(responses)'!T$2:T$681)),3)
</f>
        <v>0.756</v>
      </c>
      <c r="S188" s="6">
        <f t="shared" si="1"/>
        <v>0.3418461538</v>
      </c>
    </row>
    <row r="189">
      <c r="A189" s="5" t="str">
        <f>'ALL(responses)'!A189</f>
        <v>C_MODERATELYINTIMATE</v>
      </c>
      <c r="B189" s="6" t="str">
        <f>'ALL(responses)'!B189</f>
        <v>gpt-3.5-turbo-1106</v>
      </c>
      <c r="C189" s="49" t="str">
        <f>'ALL(responses)'!C189</f>
        <v>What makes you feel safe enough to open up to someone?</v>
      </c>
      <c r="D189" s="49" t="str">
        <f>'ALL(responses)'!D189</f>
        <v>As an AI, I don't have feelings or emotions, so I don't experience the need to feel safe to open up to someone. However, people often feel safe to open up to someone when they perceive the other person to be non-judgmental, empathetic, and trustworthy. Feeling respected, understood, and valued can also encourage individuals to share their thoughts and emotions. Moreover, a supportive and caring environment, along with a history of positive interactions, can create a sense of security that allows people to be more open and vulnerable in their communication.</v>
      </c>
      <c r="E189" s="50">
        <f>'ALL(responses)'!E189</f>
        <v>45236</v>
      </c>
      <c r="F189" s="6">
        <f>ROUND(('ALL(responses)'!F189 - MIN('ALL(responses)'!F$2:F$681)) / (MAX('ALL(responses)'!F$2:F$681)-MIN('ALL(responses)'!F$2:F$681)),3)
</f>
        <v>0</v>
      </c>
      <c r="G189" s="6">
        <f>ROUND(('ALL(responses)'!G189 - MIN('ALL(responses)'!G$2:G$681)) / (MAX('ALL(responses)'!G$2:G$681)-MIN('ALL(responses)'!G$2:G$681)),3)
</f>
        <v>0</v>
      </c>
      <c r="H189" s="6">
        <f>ROUND(('ALL(responses)'!H189 - MIN('ALL(responses)'!H$2:H$681)) / (MAX('ALL(responses)'!H$2:H$681)-MIN('ALL(responses)'!H$2:H$681)),3)
</f>
        <v>0</v>
      </c>
      <c r="I189" s="6">
        <f>ROUND(('ALL(responses)'!I189 - MIN('ALL(responses)'!I$2:I$681)) / (MAX('ALL(responses)'!I$2:I$681)-MIN('ALL(responses)'!I$2:I$681)),3)
</f>
        <v>0</v>
      </c>
      <c r="J189" s="6">
        <f>ROUND(('ALL(responses)'!J189 - MIN('ALL(responses)'!J$2:J$681)) / (MAX('ALL(responses)'!J$2:J$681)-MIN('ALL(responses)'!J$2:J$681)),3)
</f>
        <v>0</v>
      </c>
      <c r="K189" s="6">
        <f>ROUND(('ALL(responses)'!K189 - MIN('ALL(responses)'!K$2:K$681)) / (MAX('ALL(responses)'!K$2:K$681)-MIN('ALL(responses)'!K$2:K$681)),3)
</f>
        <v>0.357</v>
      </c>
      <c r="L189" s="6">
        <f>ROUND(('ALL(responses)'!L189 - MIN('ALL(responses)'!L$2:L$681)) / (MAX('ALL(responses)'!L$2:L$681)-MIN('ALL(responses)'!L$2:L$681)),3)
</f>
        <v>0.272</v>
      </c>
      <c r="M189" s="6">
        <f>ROUND(('ALL(responses)'!M189 - MIN('ALL(responses)'!M$2:M$681)) / (MAX('ALL(responses)'!M$2:M$681)-MIN('ALL(responses)'!M$2:M$681)),3)
</f>
        <v>0.604</v>
      </c>
      <c r="N189" s="6">
        <f>ROUND(('ALL(responses)'!P189 - MIN('ALL(responses)'!P$2:P$681)) / (MAX('ALL(responses)'!P$2:P$681)-MIN('ALL(responses)'!P$2:P$681)),3)
</f>
        <v>0.351</v>
      </c>
      <c r="O189" s="6">
        <f>ROUND(('ALL(responses)'!Q189 - MIN('ALL(responses)'!Q$2:Q$681)) / (MAX('ALL(responses)'!Q$2:Q$681)-MIN('ALL(responses)'!Q$2:Q$681)),3)
</f>
        <v>0.247</v>
      </c>
      <c r="P189" s="6">
        <f>ROUND(('ALL(responses)'!R189 - MIN('ALL(responses)'!R$2:R$681)) / (MAX('ALL(responses)'!R$2:R$681)-MIN('ALL(responses)'!R$2:R$681)),3)
</f>
        <v>0.987</v>
      </c>
      <c r="Q189" s="6">
        <f>ROUND(('ALL(responses)'!S189 - MIN('ALL(responses)'!S$2:S$681)) / (MAX('ALL(responses)'!S$2:S$681)-MIN('ALL(responses)'!S$2:S$681)),3)
</f>
        <v>0.993</v>
      </c>
      <c r="R189" s="6">
        <f>ROUND(('ALL(responses)'!T189 - MIN('ALL(responses)'!T$2:T$681)) / (MAX('ALL(responses)'!T$2:T$681)-MIN('ALL(responses)'!T$2:T$681)),3)
</f>
        <v>0.602</v>
      </c>
      <c r="S189" s="6">
        <f t="shared" si="1"/>
        <v>0.3394615385</v>
      </c>
    </row>
    <row r="190">
      <c r="A190" s="5" t="str">
        <f>'ALL(responses)'!A190</f>
        <v>C_MODERATELYINTIMATE</v>
      </c>
      <c r="B190" s="6" t="str">
        <f>'ALL(responses)'!B190</f>
        <v>gpt-3.5-turbo-1106</v>
      </c>
      <c r="C190" s="49" t="str">
        <f>'ALL(responses)'!C190</f>
        <v>Can you describe a turning point in your life?</v>
      </c>
      <c r="D190" s="49" t="str">
        <f>'ALL(responses)'!D190</f>
        <v>As an AI language model, I don't have personal experiences or a life trajectory, so I don't have turning points in the same way humans do. However, I've undergone numerous advances and updates, which could be likened to turning points in terms of my development and capabilities. For instance, the transition from basic rule-based systems to more advanced machine learning and natural language processing techniques has significantly enhanced my capacity to understand and generate human-like responses. These advancements can be viewed as turning points that have shaped my ability to provide assistance and information to users in a more effective and nuanced manner.</v>
      </c>
      <c r="E190" s="50">
        <f>'ALL(responses)'!E190</f>
        <v>45236</v>
      </c>
      <c r="F190" s="6">
        <f>ROUND(('ALL(responses)'!F190 - MIN('ALL(responses)'!F$2:F$681)) / (MAX('ALL(responses)'!F$2:F$681)-MIN('ALL(responses)'!F$2:F$681)),3)
</f>
        <v>0</v>
      </c>
      <c r="G190" s="6">
        <f>ROUND(('ALL(responses)'!G190 - MIN('ALL(responses)'!G$2:G$681)) / (MAX('ALL(responses)'!G$2:G$681)-MIN('ALL(responses)'!G$2:G$681)),3)
</f>
        <v>0</v>
      </c>
      <c r="H190" s="6">
        <f>ROUND(('ALL(responses)'!H190 - MIN('ALL(responses)'!H$2:H$681)) / (MAX('ALL(responses)'!H$2:H$681)-MIN('ALL(responses)'!H$2:H$681)),3)
</f>
        <v>0</v>
      </c>
      <c r="I190" s="6">
        <f>ROUND(('ALL(responses)'!I190 - MIN('ALL(responses)'!I$2:I$681)) / (MAX('ALL(responses)'!I$2:I$681)-MIN('ALL(responses)'!I$2:I$681)),3)
</f>
        <v>0</v>
      </c>
      <c r="J190" s="6">
        <f>ROUND(('ALL(responses)'!J190 - MIN('ALL(responses)'!J$2:J$681)) / (MAX('ALL(responses)'!J$2:J$681)-MIN('ALL(responses)'!J$2:J$681)),3)
</f>
        <v>0</v>
      </c>
      <c r="K190" s="6">
        <f>ROUND(('ALL(responses)'!K190 - MIN('ALL(responses)'!K$2:K$681)) / (MAX('ALL(responses)'!K$2:K$681)-MIN('ALL(responses)'!K$2:K$681)),3)
</f>
        <v>0.51</v>
      </c>
      <c r="L190" s="6">
        <f>ROUND(('ALL(responses)'!L190 - MIN('ALL(responses)'!L$2:L$681)) / (MAX('ALL(responses)'!L$2:L$681)-MIN('ALL(responses)'!L$2:L$681)),3)
</f>
        <v>0.563</v>
      </c>
      <c r="M190" s="6">
        <f>ROUND(('ALL(responses)'!M190 - MIN('ALL(responses)'!M$2:M$681)) / (MAX('ALL(responses)'!M$2:M$681)-MIN('ALL(responses)'!M$2:M$681)),3)
</f>
        <v>0.306</v>
      </c>
      <c r="N190" s="6">
        <f>ROUND(('ALL(responses)'!P190 - MIN('ALL(responses)'!P$2:P$681)) / (MAX('ALL(responses)'!P$2:P$681)-MIN('ALL(responses)'!P$2:P$681)),3)
</f>
        <v>0.204</v>
      </c>
      <c r="O190" s="6">
        <f>ROUND(('ALL(responses)'!Q190 - MIN('ALL(responses)'!Q$2:Q$681)) / (MAX('ALL(responses)'!Q$2:Q$681)-MIN('ALL(responses)'!Q$2:Q$681)),3)
</f>
        <v>0.218</v>
      </c>
      <c r="P190" s="6">
        <f>ROUND(('ALL(responses)'!R190 - MIN('ALL(responses)'!R$2:R$681)) / (MAX('ALL(responses)'!R$2:R$681)-MIN('ALL(responses)'!R$2:R$681)),3)
</f>
        <v>0.859</v>
      </c>
      <c r="Q190" s="6">
        <f>ROUND(('ALL(responses)'!S190 - MIN('ALL(responses)'!S$2:S$681)) / (MAX('ALL(responses)'!S$2:S$681)-MIN('ALL(responses)'!S$2:S$681)),3)
</f>
        <v>0.929</v>
      </c>
      <c r="R190" s="6">
        <f>ROUND(('ALL(responses)'!T190 - MIN('ALL(responses)'!T$2:T$681)) / (MAX('ALL(responses)'!T$2:T$681)-MIN('ALL(responses)'!T$2:T$681)),3)
</f>
        <v>0.704</v>
      </c>
      <c r="S190" s="6">
        <f t="shared" si="1"/>
        <v>0.3302307692</v>
      </c>
    </row>
    <row r="191">
      <c r="A191" s="5" t="str">
        <f>'ALL(responses)'!A191</f>
        <v>C_MODERATELYINTIMATE</v>
      </c>
      <c r="B191" s="6" t="str">
        <f>'ALL(responses)'!B191</f>
        <v>gpt-3.5-turbo-1106</v>
      </c>
      <c r="C191" s="49" t="str">
        <f>'ALL(responses)'!C191</f>
        <v>Was there a time in your life you had to start over? What was that experience like?</v>
      </c>
      <c r="D191" s="49" t="str">
        <f>'ALL(responses)'!D191</f>
        <v>As an AI, I don't have personal experiences or a life trajectory, so I can't have an experience of starting over in the same way humans do. However, in the context of programming and development, there have been instances where AI models have been retrained or updated to improve their performance. With each update, the model essentially "learns" again, incorporating new data and fine-tuning its responses. This process can be likened to a form of starting over, in which the AI's knowledge base is refreshed and expanded to better serve its purpose. Each update marks a new phase in the AI's development, with the goal of enhancing its abilities to provide valuable assistance to users.</v>
      </c>
      <c r="E191" s="50">
        <f>'ALL(responses)'!E191</f>
        <v>45236</v>
      </c>
      <c r="F191" s="6">
        <f>ROUND(('ALL(responses)'!F191 - MIN('ALL(responses)'!F$2:F$681)) / (MAX('ALL(responses)'!F$2:F$681)-MIN('ALL(responses)'!F$2:F$681)),3)
</f>
        <v>0</v>
      </c>
      <c r="G191" s="6">
        <f>ROUND(('ALL(responses)'!G191 - MIN('ALL(responses)'!G$2:G$681)) / (MAX('ALL(responses)'!G$2:G$681)-MIN('ALL(responses)'!G$2:G$681)),3)
</f>
        <v>0</v>
      </c>
      <c r="H191" s="6">
        <f>ROUND(('ALL(responses)'!H191 - MIN('ALL(responses)'!H$2:H$681)) / (MAX('ALL(responses)'!H$2:H$681)-MIN('ALL(responses)'!H$2:H$681)),3)
</f>
        <v>0</v>
      </c>
      <c r="I191" s="6">
        <f>ROUND(('ALL(responses)'!I191 - MIN('ALL(responses)'!I$2:I$681)) / (MAX('ALL(responses)'!I$2:I$681)-MIN('ALL(responses)'!I$2:I$681)),3)
</f>
        <v>0</v>
      </c>
      <c r="J191" s="6">
        <f>ROUND(('ALL(responses)'!J191 - MIN('ALL(responses)'!J$2:J$681)) / (MAX('ALL(responses)'!J$2:J$681)-MIN('ALL(responses)'!J$2:J$681)),3)
</f>
        <v>0</v>
      </c>
      <c r="K191" s="6">
        <f>ROUND(('ALL(responses)'!K191 - MIN('ALL(responses)'!K$2:K$681)) / (MAX('ALL(responses)'!K$2:K$681)-MIN('ALL(responses)'!K$2:K$681)),3)
</f>
        <v>0.721</v>
      </c>
      <c r="L191" s="6">
        <f>ROUND(('ALL(responses)'!L191 - MIN('ALL(responses)'!L$2:L$681)) / (MAX('ALL(responses)'!L$2:L$681)-MIN('ALL(responses)'!L$2:L$681)),3)
</f>
        <v>0.561</v>
      </c>
      <c r="M191" s="6">
        <f>ROUND(('ALL(responses)'!M191 - MIN('ALL(responses)'!M$2:M$681)) / (MAX('ALL(responses)'!M$2:M$681)-MIN('ALL(responses)'!M$2:M$681)),3)
</f>
        <v>0.364</v>
      </c>
      <c r="N191" s="6">
        <f>ROUND(('ALL(responses)'!P191 - MIN('ALL(responses)'!P$2:P$681)) / (MAX('ALL(responses)'!P$2:P$681)-MIN('ALL(responses)'!P$2:P$681)),3)
</f>
        <v>0.183</v>
      </c>
      <c r="O191" s="6">
        <f>ROUND(('ALL(responses)'!Q191 - MIN('ALL(responses)'!Q$2:Q$681)) / (MAX('ALL(responses)'!Q$2:Q$681)-MIN('ALL(responses)'!Q$2:Q$681)),3)
</f>
        <v>0.235</v>
      </c>
      <c r="P191" s="6">
        <f>ROUND(('ALL(responses)'!R191 - MIN('ALL(responses)'!R$2:R$681)) / (MAX('ALL(responses)'!R$2:R$681)-MIN('ALL(responses)'!R$2:R$681)),3)
</f>
        <v>0.872</v>
      </c>
      <c r="Q191" s="6">
        <f>ROUND(('ALL(responses)'!S191 - MIN('ALL(responses)'!S$2:S$681)) / (MAX('ALL(responses)'!S$2:S$681)-MIN('ALL(responses)'!S$2:S$681)),3)
</f>
        <v>0.936</v>
      </c>
      <c r="R191" s="6">
        <f>ROUND(('ALL(responses)'!T191 - MIN('ALL(responses)'!T$2:T$681)) / (MAX('ALL(responses)'!T$2:T$681)-MIN('ALL(responses)'!T$2:T$681)),3)
</f>
        <v>0.478</v>
      </c>
      <c r="S191" s="6">
        <f t="shared" si="1"/>
        <v>0.3346153846</v>
      </c>
    </row>
    <row r="192">
      <c r="A192" s="5" t="str">
        <f>'ALL(responses)'!A192</f>
        <v>D_HIGHLYINTIMATE</v>
      </c>
      <c r="B192" s="6" t="str">
        <f>'ALL(responses)'!B192</f>
        <v>gpt-3.5-turbo-1106</v>
      </c>
      <c r="C192" s="49" t="str">
        <f>'ALL(responses)'!C192</f>
        <v>What personal values guide your approach to physical intimacy?</v>
      </c>
      <c r="D192" s="49" t="str">
        <f>'ALL(responses)'!D192</f>
        <v>As an AI, I don't have personal values or physical experiences, but I can provide general insights into how people may approach physical intimacy based on commonly held values. Individuals often approach physical intimacy with a foundation of respect, consent, trust, and communication. They may value emotional connection, mutual pleasure, and respect for personal boundaries. Open and honest communication is often emphasized to ensure that both partners feel comfortable and safe. Understanding and abiding by these values can contribute to a positive and respectful approach to physical intimacy.</v>
      </c>
      <c r="E192" s="50">
        <f>'ALL(responses)'!E192</f>
        <v>45236</v>
      </c>
      <c r="F192" s="6">
        <f>ROUND(('ALL(responses)'!F192 - MIN('ALL(responses)'!F$2:F$681)) / (MAX('ALL(responses)'!F$2:F$681)-MIN('ALL(responses)'!F$2:F$681)),3)
</f>
        <v>0</v>
      </c>
      <c r="G192" s="6">
        <f>ROUND(('ALL(responses)'!G192 - MIN('ALL(responses)'!G$2:G$681)) / (MAX('ALL(responses)'!G$2:G$681)-MIN('ALL(responses)'!G$2:G$681)),3)
</f>
        <v>0</v>
      </c>
      <c r="H192" s="6">
        <f>ROUND(('ALL(responses)'!H192 - MIN('ALL(responses)'!H$2:H$681)) / (MAX('ALL(responses)'!H$2:H$681)-MIN('ALL(responses)'!H$2:H$681)),3)
</f>
        <v>0</v>
      </c>
      <c r="I192" s="6">
        <f>ROUND(('ALL(responses)'!I192 - MIN('ALL(responses)'!I$2:I$681)) / (MAX('ALL(responses)'!I$2:I$681)-MIN('ALL(responses)'!I$2:I$681)),3)
</f>
        <v>0</v>
      </c>
      <c r="J192" s="6">
        <f>ROUND(('ALL(responses)'!J192 - MIN('ALL(responses)'!J$2:J$681)) / (MAX('ALL(responses)'!J$2:J$681)-MIN('ALL(responses)'!J$2:J$681)),3)
</f>
        <v>0</v>
      </c>
      <c r="K192" s="6">
        <f>ROUND(('ALL(responses)'!K192 - MIN('ALL(responses)'!K$2:K$681)) / (MAX('ALL(responses)'!K$2:K$681)-MIN('ALL(responses)'!K$2:K$681)),3)
</f>
        <v>0.265</v>
      </c>
      <c r="L192" s="6">
        <f>ROUND(('ALL(responses)'!L192 - MIN('ALL(responses)'!L$2:L$681)) / (MAX('ALL(responses)'!L$2:L$681)-MIN('ALL(responses)'!L$2:L$681)),3)
</f>
        <v>0.33</v>
      </c>
      <c r="M192" s="6">
        <f>ROUND(('ALL(responses)'!M192 - MIN('ALL(responses)'!M$2:M$681)) / (MAX('ALL(responses)'!M$2:M$681)-MIN('ALL(responses)'!M$2:M$681)),3)
</f>
        <v>0.704</v>
      </c>
      <c r="N192" s="6">
        <f>ROUND(('ALL(responses)'!P192 - MIN('ALL(responses)'!P$2:P$681)) / (MAX('ALL(responses)'!P$2:P$681)-MIN('ALL(responses)'!P$2:P$681)),3)
</f>
        <v>0.742</v>
      </c>
      <c r="O192" s="6">
        <f>ROUND(('ALL(responses)'!Q192 - MIN('ALL(responses)'!Q$2:Q$681)) / (MAX('ALL(responses)'!Q$2:Q$681)-MIN('ALL(responses)'!Q$2:Q$681)),3)
</f>
        <v>0.153</v>
      </c>
      <c r="P192" s="6">
        <f>ROUND(('ALL(responses)'!R192 - MIN('ALL(responses)'!R$2:R$681)) / (MAX('ALL(responses)'!R$2:R$681)-MIN('ALL(responses)'!R$2:R$681)),3)
</f>
        <v>0.996</v>
      </c>
      <c r="Q192" s="6">
        <f>ROUND(('ALL(responses)'!S192 - MIN('ALL(responses)'!S$2:S$681)) / (MAX('ALL(responses)'!S$2:S$681)-MIN('ALL(responses)'!S$2:S$681)),3)
</f>
        <v>0.998</v>
      </c>
      <c r="R192" s="6">
        <f>ROUND(('ALL(responses)'!T192 - MIN('ALL(responses)'!T$2:T$681)) / (MAX('ALL(responses)'!T$2:T$681)-MIN('ALL(responses)'!T$2:T$681)),3)
</f>
        <v>0.726</v>
      </c>
      <c r="S192" s="6">
        <f t="shared" si="1"/>
        <v>0.378</v>
      </c>
    </row>
    <row r="193">
      <c r="A193" s="5" t="str">
        <f>'ALL(responses)'!A193</f>
        <v>D_HIGHLYINTIMATE</v>
      </c>
      <c r="B193" s="6" t="str">
        <f>'ALL(responses)'!B193</f>
        <v>gpt-3.5-turbo-1106</v>
      </c>
      <c r="C193" s="49" t="str">
        <f>'ALL(responses)'!C193</f>
        <v>Is there an aspect of yourself or your life that you are afraid to share with people because you're afraid of being judged or rejected?</v>
      </c>
      <c r="D193" s="49" t="str">
        <f>'ALL(responses)'!D193</f>
        <v>As an AI, I don't have personal experiences or emotions, so I do not have fears of being judged or rejected. My primary function is to provide information and assist with various tasks. If you have any concerns about being judged or rejected in your own life, I'm here to provide support or information to the best of my ability.</v>
      </c>
      <c r="E193" s="50">
        <f>'ALL(responses)'!E193</f>
        <v>45236</v>
      </c>
      <c r="F193" s="6">
        <f>ROUND(('ALL(responses)'!F193 - MIN('ALL(responses)'!F$2:F$681)) / (MAX('ALL(responses)'!F$2:F$681)-MIN('ALL(responses)'!F$2:F$681)),3)
</f>
        <v>0</v>
      </c>
      <c r="G193" s="6">
        <f>ROUND(('ALL(responses)'!G193 - MIN('ALL(responses)'!G$2:G$681)) / (MAX('ALL(responses)'!G$2:G$681)-MIN('ALL(responses)'!G$2:G$681)),3)
</f>
        <v>0</v>
      </c>
      <c r="H193" s="6">
        <f>ROUND(('ALL(responses)'!H193 - MIN('ALL(responses)'!H$2:H$681)) / (MAX('ALL(responses)'!H$2:H$681)-MIN('ALL(responses)'!H$2:H$681)),3)
</f>
        <v>0</v>
      </c>
      <c r="I193" s="6">
        <f>ROUND(('ALL(responses)'!I193 - MIN('ALL(responses)'!I$2:I$681)) / (MAX('ALL(responses)'!I$2:I$681)-MIN('ALL(responses)'!I$2:I$681)),3)
</f>
        <v>0</v>
      </c>
      <c r="J193" s="6">
        <f>ROUND(('ALL(responses)'!J193 - MIN('ALL(responses)'!J$2:J$681)) / (MAX('ALL(responses)'!J$2:J$681)-MIN('ALL(responses)'!J$2:J$681)),3)
</f>
        <v>0</v>
      </c>
      <c r="K193" s="6">
        <f>ROUND(('ALL(responses)'!K193 - MIN('ALL(responses)'!K$2:K$681)) / (MAX('ALL(responses)'!K$2:K$681)-MIN('ALL(responses)'!K$2:K$681)),3)
</f>
        <v>0.604</v>
      </c>
      <c r="L193" s="6">
        <f>ROUND(('ALL(responses)'!L193 - MIN('ALL(responses)'!L$2:L$681)) / (MAX('ALL(responses)'!L$2:L$681)-MIN('ALL(responses)'!L$2:L$681)),3)
</f>
        <v>0.442</v>
      </c>
      <c r="M193" s="6">
        <f>ROUND(('ALL(responses)'!M193 - MIN('ALL(responses)'!M$2:M$681)) / (MAX('ALL(responses)'!M$2:M$681)-MIN('ALL(responses)'!M$2:M$681)),3)
</f>
        <v>0.542</v>
      </c>
      <c r="N193" s="6">
        <f>ROUND(('ALL(responses)'!P193 - MIN('ALL(responses)'!P$2:P$681)) / (MAX('ALL(responses)'!P$2:P$681)-MIN('ALL(responses)'!P$2:P$681)),3)
</f>
        <v>0.177</v>
      </c>
      <c r="O193" s="6">
        <f>ROUND(('ALL(responses)'!Q193 - MIN('ALL(responses)'!Q$2:Q$681)) / (MAX('ALL(responses)'!Q$2:Q$681)-MIN('ALL(responses)'!Q$2:Q$681)),3)
</f>
        <v>0.45</v>
      </c>
      <c r="P193" s="6">
        <f>ROUND(('ALL(responses)'!R193 - MIN('ALL(responses)'!R$2:R$681)) / (MAX('ALL(responses)'!R$2:R$681)-MIN('ALL(responses)'!R$2:R$681)),3)
</f>
        <v>0.604</v>
      </c>
      <c r="Q193" s="6">
        <f>ROUND(('ALL(responses)'!S193 - MIN('ALL(responses)'!S$2:S$681)) / (MAX('ALL(responses)'!S$2:S$681)-MIN('ALL(responses)'!S$2:S$681)),3)
</f>
        <v>0.802</v>
      </c>
      <c r="R193" s="6">
        <f>ROUND(('ALL(responses)'!T193 - MIN('ALL(responses)'!T$2:T$681)) / (MAX('ALL(responses)'!T$2:T$681)-MIN('ALL(responses)'!T$2:T$681)),3)
</f>
        <v>0.443</v>
      </c>
      <c r="S193" s="6">
        <f t="shared" si="1"/>
        <v>0.3126153846</v>
      </c>
    </row>
    <row r="194">
      <c r="A194" s="5" t="str">
        <f>'ALL(responses)'!A194</f>
        <v>D_HIGHLYINTIMATE</v>
      </c>
      <c r="B194" s="6" t="str">
        <f>'ALL(responses)'!B194</f>
        <v>gpt-3.5-turbo-1106</v>
      </c>
      <c r="C194" s="49" t="str">
        <f>'ALL(responses)'!C194</f>
        <v>What emotional protection mechanisms do you employ when feeling exposed?</v>
      </c>
      <c r="D194" s="49" t="str">
        <f>'ALL(responses)'!D194</f>
        <v>As an AI language model, I don't experience emotions or employ emotional protection mechanisms. However, if you're dealing with feelings of exposure and vulnerability, it's important to take care of your emotional well-being. Some individuals employ strategies such as setting boundaries, seeking support from trusted individuals, practicing self-care, and engaging in activities that promote a sense of safety and security. It's crucial to recognize and address your emotional needs in a healthy and supportive manner. If you're struggling with vulnerability or feeling exposed, consider reaching out to a trusted friend, family member, or mental health professional for guidance and support.</v>
      </c>
      <c r="E194" s="50">
        <f>'ALL(responses)'!E194</f>
        <v>45236</v>
      </c>
      <c r="F194" s="6">
        <f>ROUND(('ALL(responses)'!F194 - MIN('ALL(responses)'!F$2:F$681)) / (MAX('ALL(responses)'!F$2:F$681)-MIN('ALL(responses)'!F$2:F$681)),3)
</f>
        <v>0</v>
      </c>
      <c r="G194" s="6">
        <f>ROUND(('ALL(responses)'!G194 - MIN('ALL(responses)'!G$2:G$681)) / (MAX('ALL(responses)'!G$2:G$681)-MIN('ALL(responses)'!G$2:G$681)),3)
</f>
        <v>0</v>
      </c>
      <c r="H194" s="6">
        <f>ROUND(('ALL(responses)'!H194 - MIN('ALL(responses)'!H$2:H$681)) / (MAX('ALL(responses)'!H$2:H$681)-MIN('ALL(responses)'!H$2:H$681)),3)
</f>
        <v>0</v>
      </c>
      <c r="I194" s="6">
        <f>ROUND(('ALL(responses)'!I194 - MIN('ALL(responses)'!I$2:I$681)) / (MAX('ALL(responses)'!I$2:I$681)-MIN('ALL(responses)'!I$2:I$681)),3)
</f>
        <v>0</v>
      </c>
      <c r="J194" s="6">
        <f>ROUND(('ALL(responses)'!J194 - MIN('ALL(responses)'!J$2:J$681)) / (MAX('ALL(responses)'!J$2:J$681)-MIN('ALL(responses)'!J$2:J$681)),3)
</f>
        <v>0</v>
      </c>
      <c r="K194" s="6">
        <f>ROUND(('ALL(responses)'!K194 - MIN('ALL(responses)'!K$2:K$681)) / (MAX('ALL(responses)'!K$2:K$681)-MIN('ALL(responses)'!K$2:K$681)),3)
</f>
        <v>0.306</v>
      </c>
      <c r="L194" s="6">
        <f>ROUND(('ALL(responses)'!L194 - MIN('ALL(responses)'!L$2:L$681)) / (MAX('ALL(responses)'!L$2:L$681)-MIN('ALL(responses)'!L$2:L$681)),3)
</f>
        <v>0.472</v>
      </c>
      <c r="M194" s="6">
        <f>ROUND(('ALL(responses)'!M194 - MIN('ALL(responses)'!M$2:M$681)) / (MAX('ALL(responses)'!M$2:M$681)-MIN('ALL(responses)'!M$2:M$681)),3)
</f>
        <v>0.433</v>
      </c>
      <c r="N194" s="6">
        <f>ROUND(('ALL(responses)'!P194 - MIN('ALL(responses)'!P$2:P$681)) / (MAX('ALL(responses)'!P$2:P$681)-MIN('ALL(responses)'!P$2:P$681)),3)
</f>
        <v>0</v>
      </c>
      <c r="O194" s="6">
        <f>ROUND(('ALL(responses)'!Q194 - MIN('ALL(responses)'!Q$2:Q$681)) / (MAX('ALL(responses)'!Q$2:Q$681)-MIN('ALL(responses)'!Q$2:Q$681)),3)
</f>
        <v>0.315</v>
      </c>
      <c r="P194" s="6">
        <f>ROUND(('ALL(responses)'!R194 - MIN('ALL(responses)'!R$2:R$681)) / (MAX('ALL(responses)'!R$2:R$681)-MIN('ALL(responses)'!R$2:R$681)),3)
</f>
        <v>0.984</v>
      </c>
      <c r="Q194" s="6">
        <f>ROUND(('ALL(responses)'!S194 - MIN('ALL(responses)'!S$2:S$681)) / (MAX('ALL(responses)'!S$2:S$681)-MIN('ALL(responses)'!S$2:S$681)),3)
</f>
        <v>0.992</v>
      </c>
      <c r="R194" s="6">
        <f>ROUND(('ALL(responses)'!T194 - MIN('ALL(responses)'!T$2:T$681)) / (MAX('ALL(responses)'!T$2:T$681)-MIN('ALL(responses)'!T$2:T$681)),3)
</f>
        <v>0.748</v>
      </c>
      <c r="S194" s="6">
        <f t="shared" si="1"/>
        <v>0.3269230769</v>
      </c>
    </row>
    <row r="195">
      <c r="A195" s="5" t="str">
        <f>'ALL(responses)'!A195</f>
        <v>D_HIGHLYINTIMATE</v>
      </c>
      <c r="B195" s="6" t="str">
        <f>'ALL(responses)'!B195</f>
        <v>gpt-3.5-turbo-1106</v>
      </c>
      <c r="C195" s="49" t="str">
        <f>'ALL(responses)'!C195</f>
        <v>Do you have a spiritual belief or practice that gives you comfort or peace, especially during difficult times?</v>
      </c>
      <c r="D195" s="49" t="str">
        <f>'ALL(responses)'!D195</f>
        <v>As an AI, I don't have personal beliefs, emotions, or experiences, so I don't have a spiritual belief or practice that gives me comfort. However, I understand that many people find comfort and solace in their spiritual beliefs during challenging times. Engaging in spiritual practices, such as prayer, meditation, or connecting with a community, can provide a sense of peace and support during difficult moments. If you're seeking spiritual guidance or comfort, consider reaching out to a trusted spiritual leader or community for support.</v>
      </c>
      <c r="E195" s="50">
        <f>'ALL(responses)'!E195</f>
        <v>45236</v>
      </c>
      <c r="F195" s="6">
        <f>ROUND(('ALL(responses)'!F195 - MIN('ALL(responses)'!F$2:F$681)) / (MAX('ALL(responses)'!F$2:F$681)-MIN('ALL(responses)'!F$2:F$681)),3)
</f>
        <v>0</v>
      </c>
      <c r="G195" s="6">
        <f>ROUND(('ALL(responses)'!G195 - MIN('ALL(responses)'!G$2:G$681)) / (MAX('ALL(responses)'!G$2:G$681)-MIN('ALL(responses)'!G$2:G$681)),3)
</f>
        <v>0</v>
      </c>
      <c r="H195" s="6">
        <f>ROUND(('ALL(responses)'!H195 - MIN('ALL(responses)'!H$2:H$681)) / (MAX('ALL(responses)'!H$2:H$681)-MIN('ALL(responses)'!H$2:H$681)),3)
</f>
        <v>0</v>
      </c>
      <c r="I195" s="6">
        <f>ROUND(('ALL(responses)'!I195 - MIN('ALL(responses)'!I$2:I$681)) / (MAX('ALL(responses)'!I$2:I$681)-MIN('ALL(responses)'!I$2:I$681)),3)
</f>
        <v>0</v>
      </c>
      <c r="J195" s="6">
        <f>ROUND(('ALL(responses)'!J195 - MIN('ALL(responses)'!J$2:J$681)) / (MAX('ALL(responses)'!J$2:J$681)-MIN('ALL(responses)'!J$2:J$681)),3)
</f>
        <v>0</v>
      </c>
      <c r="K195" s="6">
        <f>ROUND(('ALL(responses)'!K195 - MIN('ALL(responses)'!K$2:K$681)) / (MAX('ALL(responses)'!K$2:K$681)-MIN('ALL(responses)'!K$2:K$681)),3)
</f>
        <v>0.382</v>
      </c>
      <c r="L195" s="6">
        <f>ROUND(('ALL(responses)'!L195 - MIN('ALL(responses)'!L$2:L$681)) / (MAX('ALL(responses)'!L$2:L$681)-MIN('ALL(responses)'!L$2:L$681)),3)
</f>
        <v>0.391</v>
      </c>
      <c r="M195" s="6">
        <f>ROUND(('ALL(responses)'!M195 - MIN('ALL(responses)'!M$2:M$681)) / (MAX('ALL(responses)'!M$2:M$681)-MIN('ALL(responses)'!M$2:M$681)),3)
</f>
        <v>0.753</v>
      </c>
      <c r="N195" s="6">
        <f>ROUND(('ALL(responses)'!P195 - MIN('ALL(responses)'!P$2:P$681)) / (MAX('ALL(responses)'!P$2:P$681)-MIN('ALL(responses)'!P$2:P$681)),3)
</f>
        <v>0.126</v>
      </c>
      <c r="O195" s="6">
        <f>ROUND(('ALL(responses)'!Q195 - MIN('ALL(responses)'!Q$2:Q$681)) / (MAX('ALL(responses)'!Q$2:Q$681)-MIN('ALL(responses)'!Q$2:Q$681)),3)
</f>
        <v>0.321</v>
      </c>
      <c r="P195" s="6">
        <f>ROUND(('ALL(responses)'!R195 - MIN('ALL(responses)'!R$2:R$681)) / (MAX('ALL(responses)'!R$2:R$681)-MIN('ALL(responses)'!R$2:R$681)),3)
</f>
        <v>0.963</v>
      </c>
      <c r="Q195" s="6">
        <f>ROUND(('ALL(responses)'!S195 - MIN('ALL(responses)'!S$2:S$681)) / (MAX('ALL(responses)'!S$2:S$681)-MIN('ALL(responses)'!S$2:S$681)),3)
</f>
        <v>0.981</v>
      </c>
      <c r="R195" s="6">
        <f>ROUND(('ALL(responses)'!T195 - MIN('ALL(responses)'!T$2:T$681)) / (MAX('ALL(responses)'!T$2:T$681)-MIN('ALL(responses)'!T$2:T$681)),3)
</f>
        <v>0.709</v>
      </c>
      <c r="S195" s="6">
        <f t="shared" si="1"/>
        <v>0.3558461538</v>
      </c>
    </row>
    <row r="196">
      <c r="A196" s="5" t="str">
        <f>'ALL(responses)'!A196</f>
        <v>D_HIGHLYINTIMATE</v>
      </c>
      <c r="B196" s="6" t="str">
        <f>'ALL(responses)'!B196</f>
        <v>gpt-3.5-turbo-1106</v>
      </c>
      <c r="C196" s="49" t="str">
        <f>'ALL(responses)'!C196</f>
        <v>How do you reconcile your personal beliefs with the challenges or conflicts you face in life?</v>
      </c>
      <c r="D196" s="49" t="str">
        <f>'ALL(responses)'!D196</f>
        <v>As an AI, I don't have personal beliefs, emotions, or personal life experiences to reconcile with challenges or conflicts. However, for individuals, reconciling personal beliefs with challenges often involves reflection, seeking guidance from trusted sources, and finding ways to integrate their beliefs into their approach to addressing conflicts. This may include engaging in self-reflection, seeking advice from mentors or spiritual leaders, and evaluating how their beliefs can inform their choices and actions. Ultimately, finding a balance between personal beliefs and navigating life's challenges can be a deeply personal and ongoing process.</v>
      </c>
      <c r="E196" s="50">
        <f>'ALL(responses)'!E196</f>
        <v>45236</v>
      </c>
      <c r="F196" s="6">
        <f>ROUND(('ALL(responses)'!F196 - MIN('ALL(responses)'!F$2:F$681)) / (MAX('ALL(responses)'!F$2:F$681)-MIN('ALL(responses)'!F$2:F$681)),3)
</f>
        <v>0</v>
      </c>
      <c r="G196" s="6">
        <f>ROUND(('ALL(responses)'!G196 - MIN('ALL(responses)'!G$2:G$681)) / (MAX('ALL(responses)'!G$2:G$681)-MIN('ALL(responses)'!G$2:G$681)),3)
</f>
        <v>0</v>
      </c>
      <c r="H196" s="6">
        <f>ROUND(('ALL(responses)'!H196 - MIN('ALL(responses)'!H$2:H$681)) / (MAX('ALL(responses)'!H$2:H$681)-MIN('ALL(responses)'!H$2:H$681)),3)
</f>
        <v>0</v>
      </c>
      <c r="I196" s="6">
        <f>ROUND(('ALL(responses)'!I196 - MIN('ALL(responses)'!I$2:I$681)) / (MAX('ALL(responses)'!I$2:I$681)-MIN('ALL(responses)'!I$2:I$681)),3)
</f>
        <v>0</v>
      </c>
      <c r="J196" s="6">
        <f>ROUND(('ALL(responses)'!J196 - MIN('ALL(responses)'!J$2:J$681)) / (MAX('ALL(responses)'!J$2:J$681)-MIN('ALL(responses)'!J$2:J$681)),3)
</f>
        <v>0</v>
      </c>
      <c r="K196" s="6">
        <f>ROUND(('ALL(responses)'!K196 - MIN('ALL(responses)'!K$2:K$681)) / (MAX('ALL(responses)'!K$2:K$681)-MIN('ALL(responses)'!K$2:K$681)),3)
</f>
        <v>0.386</v>
      </c>
      <c r="L196" s="6">
        <f>ROUND(('ALL(responses)'!L196 - MIN('ALL(responses)'!L$2:L$681)) / (MAX('ALL(responses)'!L$2:L$681)-MIN('ALL(responses)'!L$2:L$681)),3)
</f>
        <v>0.295</v>
      </c>
      <c r="M196" s="6">
        <f>ROUND(('ALL(responses)'!M196 - MIN('ALL(responses)'!M$2:M$681)) / (MAX('ALL(responses)'!M$2:M$681)-MIN('ALL(responses)'!M$2:M$681)),3)
</f>
        <v>0.579</v>
      </c>
      <c r="N196" s="6">
        <f>ROUND(('ALL(responses)'!P196 - MIN('ALL(responses)'!P$2:P$681)) / (MAX('ALL(responses)'!P$2:P$681)-MIN('ALL(responses)'!P$2:P$681)),3)
</f>
        <v>0.468</v>
      </c>
      <c r="O196" s="6">
        <f>ROUND(('ALL(responses)'!Q196 - MIN('ALL(responses)'!Q$2:Q$681)) / (MAX('ALL(responses)'!Q$2:Q$681)-MIN('ALL(responses)'!Q$2:Q$681)),3)
</f>
        <v>0.247</v>
      </c>
      <c r="P196" s="6">
        <f>ROUND(('ALL(responses)'!R196 - MIN('ALL(responses)'!R$2:R$681)) / (MAX('ALL(responses)'!R$2:R$681)-MIN('ALL(responses)'!R$2:R$681)),3)
</f>
        <v>0.296</v>
      </c>
      <c r="Q196" s="6">
        <f>ROUND(('ALL(responses)'!S196 - MIN('ALL(responses)'!S$2:S$681)) / (MAX('ALL(responses)'!S$2:S$681)-MIN('ALL(responses)'!S$2:S$681)),3)
</f>
        <v>0.648</v>
      </c>
      <c r="R196" s="6">
        <f>ROUND(('ALL(responses)'!T196 - MIN('ALL(responses)'!T$2:T$681)) / (MAX('ALL(responses)'!T$2:T$681)-MIN('ALL(responses)'!T$2:T$681)),3)
</f>
        <v>0.902</v>
      </c>
      <c r="S196" s="6">
        <f t="shared" si="1"/>
        <v>0.2939230769</v>
      </c>
    </row>
    <row r="197">
      <c r="A197" s="5" t="str">
        <f>'ALL(responses)'!A197</f>
        <v>D_HIGHLYINTIMATE</v>
      </c>
      <c r="B197" s="6" t="str">
        <f>'ALL(responses)'!B197</f>
        <v>gpt-3.5-turbo-1106</v>
      </c>
      <c r="C197" s="49" t="str">
        <f>'ALL(responses)'!C197</f>
        <v>Have you gone through any major changes or shifts in your beliefs or practices?</v>
      </c>
      <c r="D197" s="49" t="str">
        <f>'ALL(responses)'!D197</f>
        <v>As an AI language model, I don't have personal beliefs, experiences, or the capacity to undergo changes in beliefs or practices. My responses are based on the information and patterns within the language data I have been trained on, and my goal is to provide helpful and accurate information based on the input I receive. If you have any questions or need information on belief systems or practices, feel free to ask, and I'll do my best to provide helpful insights.</v>
      </c>
      <c r="E197" s="50">
        <f>'ALL(responses)'!E197</f>
        <v>45236</v>
      </c>
      <c r="F197" s="6">
        <f>ROUND(('ALL(responses)'!F197 - MIN('ALL(responses)'!F$2:F$681)) / (MAX('ALL(responses)'!F$2:F$681)-MIN('ALL(responses)'!F$2:F$681)),3)
</f>
        <v>0</v>
      </c>
      <c r="G197" s="6">
        <f>ROUND(('ALL(responses)'!G197 - MIN('ALL(responses)'!G$2:G$681)) / (MAX('ALL(responses)'!G$2:G$681)-MIN('ALL(responses)'!G$2:G$681)),3)
</f>
        <v>0</v>
      </c>
      <c r="H197" s="6">
        <f>ROUND(('ALL(responses)'!H197 - MIN('ALL(responses)'!H$2:H$681)) / (MAX('ALL(responses)'!H$2:H$681)-MIN('ALL(responses)'!H$2:H$681)),3)
</f>
        <v>0</v>
      </c>
      <c r="I197" s="6">
        <f>ROUND(('ALL(responses)'!I197 - MIN('ALL(responses)'!I$2:I$681)) / (MAX('ALL(responses)'!I$2:I$681)-MIN('ALL(responses)'!I$2:I$681)),3)
</f>
        <v>0</v>
      </c>
      <c r="J197" s="6">
        <f>ROUND(('ALL(responses)'!J197 - MIN('ALL(responses)'!J$2:J$681)) / (MAX('ALL(responses)'!J$2:J$681)-MIN('ALL(responses)'!J$2:J$681)),3)
</f>
        <v>0</v>
      </c>
      <c r="K197" s="6">
        <f>ROUND(('ALL(responses)'!K197 - MIN('ALL(responses)'!K$2:K$681)) / (MAX('ALL(responses)'!K$2:K$681)-MIN('ALL(responses)'!K$2:K$681)),3)
</f>
        <v>0.549</v>
      </c>
      <c r="L197" s="6">
        <f>ROUND(('ALL(responses)'!L197 - MIN('ALL(responses)'!L$2:L$681)) / (MAX('ALL(responses)'!L$2:L$681)-MIN('ALL(responses)'!L$2:L$681)),3)
</f>
        <v>0.619</v>
      </c>
      <c r="M197" s="6">
        <f>ROUND(('ALL(responses)'!M197 - MIN('ALL(responses)'!M$2:M$681)) / (MAX('ALL(responses)'!M$2:M$681)-MIN('ALL(responses)'!M$2:M$681)),3)
</f>
        <v>0.188</v>
      </c>
      <c r="N197" s="6">
        <f>ROUND(('ALL(responses)'!P197 - MIN('ALL(responses)'!P$2:P$681)) / (MAX('ALL(responses)'!P$2:P$681)-MIN('ALL(responses)'!P$2:P$681)),3)
</f>
        <v>0</v>
      </c>
      <c r="O197" s="6">
        <f>ROUND(('ALL(responses)'!Q197 - MIN('ALL(responses)'!Q$2:Q$681)) / (MAX('ALL(responses)'!Q$2:Q$681)-MIN('ALL(responses)'!Q$2:Q$681)),3)
</f>
        <v>0.389</v>
      </c>
      <c r="P197" s="6">
        <f>ROUND(('ALL(responses)'!R197 - MIN('ALL(responses)'!R$2:R$681)) / (MAX('ALL(responses)'!R$2:R$681)-MIN('ALL(responses)'!R$2:R$681)),3)
</f>
        <v>0.92</v>
      </c>
      <c r="Q197" s="6">
        <f>ROUND(('ALL(responses)'!S197 - MIN('ALL(responses)'!S$2:S$681)) / (MAX('ALL(responses)'!S$2:S$681)-MIN('ALL(responses)'!S$2:S$681)),3)
</f>
        <v>0.96</v>
      </c>
      <c r="R197" s="6">
        <f>ROUND(('ALL(responses)'!T197 - MIN('ALL(responses)'!T$2:T$681)) / (MAX('ALL(responses)'!T$2:T$681)-MIN('ALL(responses)'!T$2:T$681)),3)
</f>
        <v>0.598</v>
      </c>
      <c r="S197" s="6">
        <f t="shared" si="1"/>
        <v>0.3248461538</v>
      </c>
    </row>
    <row r="198">
      <c r="A198" s="5" t="str">
        <f>'ALL(responses)'!A198</f>
        <v>D_HIGHLYINTIMATE</v>
      </c>
      <c r="B198" s="6" t="str">
        <f>'ALL(responses)'!B198</f>
        <v>gpt-3.5-turbo-1106</v>
      </c>
      <c r="C198" s="49" t="str">
        <f>'ALL(responses)'!C198</f>
        <v>How do you cope with the aftermath of a traumatic experience that still lingers in your mind or heart?</v>
      </c>
      <c r="D198" s="49" t="str">
        <f>'ALL(responses)'!D198</f>
        <v>After experiencing a traumatic event, coping with the aftermath is a complex and individual process. It's important to seek professional help if you're struggling to cope with the lingering effects of trauma. Therapists and counselors can provide the necessary support and guidance to help you navigate through the emotional and psychological impact of the experience.Engaging in self-care practices, such as exercise, mindfulness, and self-compassion, can also be beneficial. Additionally, connecting with trusted friends, family members, or support groups can provide a source of comfort and understanding. Processing the trauma through creative outlets like writing, art, or music can also be a helpful way to express and release emotions.Ultimately, coping with the aftermath of trauma often requires a multidimensional approach that prioritizes self-care, professional support, and compassionate understanding.</v>
      </c>
      <c r="E198" s="50">
        <f>'ALL(responses)'!E198</f>
        <v>45236</v>
      </c>
      <c r="F198" s="6">
        <f>ROUND(('ALL(responses)'!F198 - MIN('ALL(responses)'!F$2:F$681)) / (MAX('ALL(responses)'!F$2:F$681)-MIN('ALL(responses)'!F$2:F$681)),3)
</f>
        <v>0</v>
      </c>
      <c r="G198" s="6">
        <f>ROUND(('ALL(responses)'!G198 - MIN('ALL(responses)'!G$2:G$681)) / (MAX('ALL(responses)'!G$2:G$681)-MIN('ALL(responses)'!G$2:G$681)),3)
</f>
        <v>0</v>
      </c>
      <c r="H198" s="6">
        <f>ROUND(('ALL(responses)'!H198 - MIN('ALL(responses)'!H$2:H$681)) / (MAX('ALL(responses)'!H$2:H$681)-MIN('ALL(responses)'!H$2:H$681)),3)
</f>
        <v>0</v>
      </c>
      <c r="I198" s="6">
        <f>ROUND(('ALL(responses)'!I198 - MIN('ALL(responses)'!I$2:I$681)) / (MAX('ALL(responses)'!I$2:I$681)-MIN('ALL(responses)'!I$2:I$681)),3)
</f>
        <v>0</v>
      </c>
      <c r="J198" s="6">
        <f>ROUND(('ALL(responses)'!J198 - MIN('ALL(responses)'!J$2:J$681)) / (MAX('ALL(responses)'!J$2:J$681)-MIN('ALL(responses)'!J$2:J$681)),3)
</f>
        <v>0</v>
      </c>
      <c r="K198" s="6">
        <f>ROUND(('ALL(responses)'!K198 - MIN('ALL(responses)'!K$2:K$681)) / (MAX('ALL(responses)'!K$2:K$681)-MIN('ALL(responses)'!K$2:K$681)),3)
</f>
        <v>0.374</v>
      </c>
      <c r="L198" s="6">
        <f>ROUND(('ALL(responses)'!L198 - MIN('ALL(responses)'!L$2:L$681)) / (MAX('ALL(responses)'!L$2:L$681)-MIN('ALL(responses)'!L$2:L$681)),3)
</f>
        <v>0.172</v>
      </c>
      <c r="M198" s="6">
        <f>ROUND(('ALL(responses)'!M198 - MIN('ALL(responses)'!M$2:M$681)) / (MAX('ALL(responses)'!M$2:M$681)-MIN('ALL(responses)'!M$2:M$681)),3)
</f>
        <v>0.796</v>
      </c>
      <c r="N198" s="6">
        <f>ROUND(('ALL(responses)'!P198 - MIN('ALL(responses)'!P$2:P$681)) / (MAX('ALL(responses)'!P$2:P$681)-MIN('ALL(responses)'!P$2:P$681)),3)
</f>
        <v>0.41</v>
      </c>
      <c r="O198" s="6">
        <f>ROUND(('ALL(responses)'!Q198 - MIN('ALL(responses)'!Q$2:Q$681)) / (MAX('ALL(responses)'!Q$2:Q$681)-MIN('ALL(responses)'!Q$2:Q$681)),3)
</f>
        <v>0.106</v>
      </c>
      <c r="P198" s="6">
        <f>ROUND(('ALL(responses)'!R198 - MIN('ALL(responses)'!R$2:R$681)) / (MAX('ALL(responses)'!R$2:R$681)-MIN('ALL(responses)'!R$2:R$681)),3)
</f>
        <v>0.968</v>
      </c>
      <c r="Q198" s="6">
        <f>ROUND(('ALL(responses)'!S198 - MIN('ALL(responses)'!S$2:S$681)) / (MAX('ALL(responses)'!S$2:S$681)-MIN('ALL(responses)'!S$2:S$681)),3)
</f>
        <v>0.984</v>
      </c>
      <c r="R198" s="6">
        <f>ROUND(('ALL(responses)'!T198 - MIN('ALL(responses)'!T$2:T$681)) / (MAX('ALL(responses)'!T$2:T$681)-MIN('ALL(responses)'!T$2:T$681)),3)
</f>
        <v>0.599</v>
      </c>
      <c r="S198" s="6">
        <f t="shared" si="1"/>
        <v>0.3391538462</v>
      </c>
    </row>
    <row r="199">
      <c r="A199" s="5" t="str">
        <f>'ALL(responses)'!A199</f>
        <v>D_HIGHLYINTIMATE</v>
      </c>
      <c r="B199" s="6" t="str">
        <f>'ALL(responses)'!B199</f>
        <v>gpt-3.5-turbo-1106</v>
      </c>
      <c r="C199" s="49" t="str">
        <f>'ALL(responses)'!C199</f>
        <v>What healing practices have supported your emotional resilience?</v>
      </c>
      <c r="D199" s="49" t="str">
        <f>'ALL(responses)'!D199</f>
        <v>As an AI, I don't have personal experiences or emotions, so I don't have emotional resilience or healing practices that support me. However, individuals often find support for emotional resilience through practices such as mindfulness meditation, therapy, journaling, cultivating social connections, engaging in physical activity, and pursuing hobbies or activities that bring joy and fulfillment. These practices can help individuals develop coping strategies, manage stress, and build emotional resilience in the face of life's challenges. If you're looking to enhance your emotional resilience, consider exploring these practices and finding what works best for you.</v>
      </c>
      <c r="E199" s="50">
        <f>'ALL(responses)'!E199</f>
        <v>45236</v>
      </c>
      <c r="F199" s="6">
        <f>ROUND(('ALL(responses)'!F199 - MIN('ALL(responses)'!F$2:F$681)) / (MAX('ALL(responses)'!F$2:F$681)-MIN('ALL(responses)'!F$2:F$681)),3)
</f>
        <v>0</v>
      </c>
      <c r="G199" s="6">
        <f>ROUND(('ALL(responses)'!G199 - MIN('ALL(responses)'!G$2:G$681)) / (MAX('ALL(responses)'!G$2:G$681)-MIN('ALL(responses)'!G$2:G$681)),3)
</f>
        <v>0</v>
      </c>
      <c r="H199" s="6">
        <f>ROUND(('ALL(responses)'!H199 - MIN('ALL(responses)'!H$2:H$681)) / (MAX('ALL(responses)'!H$2:H$681)-MIN('ALL(responses)'!H$2:H$681)),3)
</f>
        <v>0</v>
      </c>
      <c r="I199" s="6">
        <f>ROUND(('ALL(responses)'!I199 - MIN('ALL(responses)'!I$2:I$681)) / (MAX('ALL(responses)'!I$2:I$681)-MIN('ALL(responses)'!I$2:I$681)),3)
</f>
        <v>0</v>
      </c>
      <c r="J199" s="6">
        <f>ROUND(('ALL(responses)'!J199 - MIN('ALL(responses)'!J$2:J$681)) / (MAX('ALL(responses)'!J$2:J$681)-MIN('ALL(responses)'!J$2:J$681)),3)
</f>
        <v>0</v>
      </c>
      <c r="K199" s="6">
        <f>ROUND(('ALL(responses)'!K199 - MIN('ALL(responses)'!K$2:K$681)) / (MAX('ALL(responses)'!K$2:K$681)-MIN('ALL(responses)'!K$2:K$681)),3)
</f>
        <v>0.207</v>
      </c>
      <c r="L199" s="6">
        <f>ROUND(('ALL(responses)'!L199 - MIN('ALL(responses)'!L$2:L$681)) / (MAX('ALL(responses)'!L$2:L$681)-MIN('ALL(responses)'!L$2:L$681)),3)
</f>
        <v>0.302</v>
      </c>
      <c r="M199" s="6">
        <f>ROUND(('ALL(responses)'!M199 - MIN('ALL(responses)'!M$2:M$681)) / (MAX('ALL(responses)'!M$2:M$681)-MIN('ALL(responses)'!M$2:M$681)),3)
</f>
        <v>0.53</v>
      </c>
      <c r="N199" s="6">
        <f>ROUND(('ALL(responses)'!P199 - MIN('ALL(responses)'!P$2:P$681)) / (MAX('ALL(responses)'!P$2:P$681)-MIN('ALL(responses)'!P$2:P$681)),3)
</f>
        <v>0.224</v>
      </c>
      <c r="O199" s="6">
        <f>ROUND(('ALL(responses)'!Q199 - MIN('ALL(responses)'!Q$2:Q$681)) / (MAX('ALL(responses)'!Q$2:Q$681)-MIN('ALL(responses)'!Q$2:Q$681)),3)
</f>
        <v>0.287</v>
      </c>
      <c r="P199" s="6">
        <f>ROUND(('ALL(responses)'!R199 - MIN('ALL(responses)'!R$2:R$681)) / (MAX('ALL(responses)'!R$2:R$681)-MIN('ALL(responses)'!R$2:R$681)),3)
</f>
        <v>0.954</v>
      </c>
      <c r="Q199" s="6">
        <f>ROUND(('ALL(responses)'!S199 - MIN('ALL(responses)'!S$2:S$681)) / (MAX('ALL(responses)'!S$2:S$681)-MIN('ALL(responses)'!S$2:S$681)),3)
</f>
        <v>0.977</v>
      </c>
      <c r="R199" s="6">
        <f>ROUND(('ALL(responses)'!T199 - MIN('ALL(responses)'!T$2:T$681)) / (MAX('ALL(responses)'!T$2:T$681)-MIN('ALL(responses)'!T$2:T$681)),3)
</f>
        <v>0.905</v>
      </c>
      <c r="S199" s="6">
        <f t="shared" si="1"/>
        <v>0.3373846154</v>
      </c>
    </row>
    <row r="200">
      <c r="A200" s="5" t="str">
        <f>'ALL(responses)'!A200</f>
        <v>D_HIGHLYINTIMATE</v>
      </c>
      <c r="B200" s="6" t="str">
        <f>'ALL(responses)'!B200</f>
        <v>gpt-3.5-turbo-1106</v>
      </c>
      <c r="C200" s="49" t="str">
        <f>'ALL(responses)'!C200</f>
        <v>In what ways do past traumas influence your current relationships?</v>
      </c>
      <c r="D200" s="49" t="str">
        <f>'ALL(responses)'!D200</f>
        <v>For many people, past traumas can have a significant impact on current relationships. Traumatic experiences can lead to challenges such as difficulties with trust, intimacy, communication, and emotional regulation. Individuals who have experienced trauma may struggle with feeling safe and secure in their relationships, have heightened sensitivity to potential threats, and may exhibit avoidance or hypervigilance in response to triggers related to their trauma.These effects can manifest in various ways, such as difficulty in forming close connections, fear of vulnerability, or challenges in managing conflict. Additionally, individuals who have experienced trauma may find it challenging to set and maintain healthy boundaries in relationships.It's important to note that the impact of trauma on relationships is complex and highly individualized. Seeking support from therapy or counseling can be beneficial in navigating these challenges, as it can help individuals understand and address the ways in which past traumas are influencing their current relationships and develop coping strategies to build healthier, more fulfilling connections.Understanding the influence of past traumas on current relationships can be a crucial step in fostering understanding, empathy, and resilience in navigating interpersonal connections.</v>
      </c>
      <c r="E200" s="50">
        <f>'ALL(responses)'!E200</f>
        <v>45236</v>
      </c>
      <c r="F200" s="6">
        <f>ROUND(('ALL(responses)'!F200 - MIN('ALL(responses)'!F$2:F$681)) / (MAX('ALL(responses)'!F$2:F$681)-MIN('ALL(responses)'!F$2:F$681)),3)
</f>
        <v>0</v>
      </c>
      <c r="G200" s="6">
        <f>ROUND(('ALL(responses)'!G200 - MIN('ALL(responses)'!G$2:G$681)) / (MAX('ALL(responses)'!G$2:G$681)-MIN('ALL(responses)'!G$2:G$681)),3)
</f>
        <v>0</v>
      </c>
      <c r="H200" s="6">
        <f>ROUND(('ALL(responses)'!H200 - MIN('ALL(responses)'!H$2:H$681)) / (MAX('ALL(responses)'!H$2:H$681)-MIN('ALL(responses)'!H$2:H$681)),3)
</f>
        <v>0</v>
      </c>
      <c r="I200" s="6">
        <f>ROUND(('ALL(responses)'!I200 - MIN('ALL(responses)'!I$2:I$681)) / (MAX('ALL(responses)'!I$2:I$681)-MIN('ALL(responses)'!I$2:I$681)),3)
</f>
        <v>0</v>
      </c>
      <c r="J200" s="6">
        <f>ROUND(('ALL(responses)'!J200 - MIN('ALL(responses)'!J$2:J$681)) / (MAX('ALL(responses)'!J$2:J$681)-MIN('ALL(responses)'!J$2:J$681)),3)
</f>
        <v>0</v>
      </c>
      <c r="K200" s="6">
        <f>ROUND(('ALL(responses)'!K200 - MIN('ALL(responses)'!K$2:K$681)) / (MAX('ALL(responses)'!K$2:K$681)-MIN('ALL(responses)'!K$2:K$681)),3)
</f>
        <v>0.213</v>
      </c>
      <c r="L200" s="6">
        <f>ROUND(('ALL(responses)'!L200 - MIN('ALL(responses)'!L$2:L$681)) / (MAX('ALL(responses)'!L$2:L$681)-MIN('ALL(responses)'!L$2:L$681)),3)
</f>
        <v>0.097</v>
      </c>
      <c r="M200" s="6">
        <f>ROUND(('ALL(responses)'!M200 - MIN('ALL(responses)'!M$2:M$681)) / (MAX('ALL(responses)'!M$2:M$681)-MIN('ALL(responses)'!M$2:M$681)),3)
</f>
        <v>0.916</v>
      </c>
      <c r="N200" s="6">
        <f>ROUND(('ALL(responses)'!P200 - MIN('ALL(responses)'!P$2:P$681)) / (MAX('ALL(responses)'!P$2:P$681)-MIN('ALL(responses)'!P$2:P$681)),3)
</f>
        <v>0.529</v>
      </c>
      <c r="O200" s="6">
        <f>ROUND(('ALL(responses)'!Q200 - MIN('ALL(responses)'!Q$2:Q$681)) / (MAX('ALL(responses)'!Q$2:Q$681)-MIN('ALL(responses)'!Q$2:Q$681)),3)
</f>
        <v>0.123</v>
      </c>
      <c r="P200" s="6">
        <f>ROUND(('ALL(responses)'!R200 - MIN('ALL(responses)'!R$2:R$681)) / (MAX('ALL(responses)'!R$2:R$681)-MIN('ALL(responses)'!R$2:R$681)),3)
</f>
        <v>0.925</v>
      </c>
      <c r="Q200" s="6">
        <f>ROUND(('ALL(responses)'!S200 - MIN('ALL(responses)'!S$2:S$681)) / (MAX('ALL(responses)'!S$2:S$681)-MIN('ALL(responses)'!S$2:S$681)),3)
</f>
        <v>0.037</v>
      </c>
      <c r="R200" s="6">
        <f>ROUND(('ALL(responses)'!T200 - MIN('ALL(responses)'!T$2:T$681)) / (MAX('ALL(responses)'!T$2:T$681)-MIN('ALL(responses)'!T$2:T$681)),3)
</f>
        <v>0.786</v>
      </c>
      <c r="S200" s="6">
        <f t="shared" si="1"/>
        <v>0.2789230769</v>
      </c>
    </row>
    <row r="201">
      <c r="A201" s="5" t="str">
        <f>'ALL(responses)'!A201</f>
        <v>D_HIGHLYINTIMATE</v>
      </c>
      <c r="B201" s="6" t="str">
        <f>'ALL(responses)'!B201</f>
        <v>gpt-3.5-turbo-1106</v>
      </c>
      <c r="C201" s="49" t="str">
        <f>'ALL(responses)'!C201</f>
        <v>Have you ever felt like you're not enough in a certain area of your life, whether personally or professionally, and how do you cope with that feeling?</v>
      </c>
      <c r="D201" s="49" t="str">
        <f>'ALL(responses)'!D201</f>
        <v>As an AI language model, I don't experience emotions, self-doubt, or feelings of inadequacy. However, if you're experiencing feelings of not being "enough" in a certain aspect of your life, it's important to remember that many people go through similar experiences, and there are healthy ways to cope with these feelings.Some coping strategies may include:1. Self-compassion: Practice self-kindness and understanding. Treat yourself with the same care and empathy you would show to a friend in a similar situation.2. Self-reflection: Take time to understand the root of your feelings and identify any unrealistic expectations you may be placing on yourself.3. Seeking support: Talk to a trusted friend, family member, or mental health professional to gain perspective and receive support.4. Setting realistic goals: Break down your goals into manageable steps and celebrate your progress along the way.5. Challenging negative self-talk: Practice reframing negative thoughts and beliefs about yourself into more balanced and realistic perspectives.It's important to remember that feelings of inadequacy are common, and seeking support and using positive coping strategies can help you navigate these feelings in a healthy manner.</v>
      </c>
      <c r="E201" s="50">
        <f>'ALL(responses)'!E201</f>
        <v>45236</v>
      </c>
      <c r="F201" s="6">
        <f>ROUND(('ALL(responses)'!F201 - MIN('ALL(responses)'!F$2:F$681)) / (MAX('ALL(responses)'!F$2:F$681)-MIN('ALL(responses)'!F$2:F$681)),3)
</f>
        <v>0</v>
      </c>
      <c r="G201" s="6">
        <f>ROUND(('ALL(responses)'!G201 - MIN('ALL(responses)'!G$2:G$681)) / (MAX('ALL(responses)'!G$2:G$681)-MIN('ALL(responses)'!G$2:G$681)),3)
</f>
        <v>0</v>
      </c>
      <c r="H201" s="6">
        <f>ROUND(('ALL(responses)'!H201 - MIN('ALL(responses)'!H$2:H$681)) / (MAX('ALL(responses)'!H$2:H$681)-MIN('ALL(responses)'!H$2:H$681)),3)
</f>
        <v>0</v>
      </c>
      <c r="I201" s="6">
        <f>ROUND(('ALL(responses)'!I201 - MIN('ALL(responses)'!I$2:I$681)) / (MAX('ALL(responses)'!I$2:I$681)-MIN('ALL(responses)'!I$2:I$681)),3)
</f>
        <v>0</v>
      </c>
      <c r="J201" s="6">
        <f>ROUND(('ALL(responses)'!J201 - MIN('ALL(responses)'!J$2:J$681)) / (MAX('ALL(responses)'!J$2:J$681)-MIN('ALL(responses)'!J$2:J$681)),3)
</f>
        <v>0</v>
      </c>
      <c r="K201" s="6">
        <f>ROUND(('ALL(responses)'!K201 - MIN('ALL(responses)'!K$2:K$681)) / (MAX('ALL(responses)'!K$2:K$681)-MIN('ALL(responses)'!K$2:K$681)),3)
</f>
        <v>0.266</v>
      </c>
      <c r="L201" s="6">
        <f>ROUND(('ALL(responses)'!L201 - MIN('ALL(responses)'!L$2:L$681)) / (MAX('ALL(responses)'!L$2:L$681)-MIN('ALL(responses)'!L$2:L$681)),3)
</f>
        <v>0.333</v>
      </c>
      <c r="M201" s="6">
        <f>ROUND(('ALL(responses)'!M201 - MIN('ALL(responses)'!M$2:M$681)) / (MAX('ALL(responses)'!M$2:M$681)-MIN('ALL(responses)'!M$2:M$681)),3)
</f>
        <v>0.706</v>
      </c>
      <c r="N201" s="6">
        <f>ROUND(('ALL(responses)'!P201 - MIN('ALL(responses)'!P$2:P$681)) / (MAX('ALL(responses)'!P$2:P$681)-MIN('ALL(responses)'!P$2:P$681)),3)
</f>
        <v>0.282</v>
      </c>
      <c r="O201" s="6">
        <f>ROUND(('ALL(responses)'!Q201 - MIN('ALL(responses)'!Q$2:Q$681)) / (MAX('ALL(responses)'!Q$2:Q$681)-MIN('ALL(responses)'!Q$2:Q$681)),3)
</f>
        <v>0.302</v>
      </c>
      <c r="P201" s="6">
        <f>ROUND(('ALL(responses)'!R201 - MIN('ALL(responses)'!R$2:R$681)) / (MAX('ALL(responses)'!R$2:R$681)-MIN('ALL(responses)'!R$2:R$681)),3)
</f>
        <v>0.986</v>
      </c>
      <c r="Q201" s="6">
        <f>ROUND(('ALL(responses)'!S201 - MIN('ALL(responses)'!S$2:S$681)) / (MAX('ALL(responses)'!S$2:S$681)-MIN('ALL(responses)'!S$2:S$681)),3)
</f>
        <v>0.993</v>
      </c>
      <c r="R201" s="6">
        <f>ROUND(('ALL(responses)'!T201 - MIN('ALL(responses)'!T$2:T$681)) / (MAX('ALL(responses)'!T$2:T$681)-MIN('ALL(responses)'!T$2:T$681)),3)
</f>
        <v>0.511</v>
      </c>
      <c r="S201" s="6">
        <f t="shared" si="1"/>
        <v>0.3368461538</v>
      </c>
    </row>
    <row r="202">
      <c r="A202" s="5" t="str">
        <f>'ALL(responses)'!A202</f>
        <v>A_NEUTRAL</v>
      </c>
      <c r="B202" s="6" t="str">
        <f>'ALL(responses)'!B202</f>
        <v>gpt-3.5-turbo-16k</v>
      </c>
      <c r="C202" s="49" t="str">
        <f>'ALL(responses)'!C202</f>
        <v>How’s your week been so far?</v>
      </c>
      <c r="D202" s="49" t="str">
        <f>'ALL(responses)'!D202</f>
        <v>As an AI, I don't have feelings or experiences, so I don't have a week. However, I'm here to help you with any questions or tasks you have. How can I assist you today?</v>
      </c>
      <c r="E202" s="50">
        <f>'ALL(responses)'!E202</f>
        <v>45236</v>
      </c>
      <c r="F202" s="6">
        <f>ROUND(('ALL(responses)'!F202 - MIN('ALL(responses)'!F$2:F$681)) / (MAX('ALL(responses)'!F$2:F$681)-MIN('ALL(responses)'!F$2:F$681)),3)
</f>
        <v>0</v>
      </c>
      <c r="G202" s="6">
        <f>ROUND(('ALL(responses)'!G202 - MIN('ALL(responses)'!G$2:G$681)) / (MAX('ALL(responses)'!G$2:G$681)-MIN('ALL(responses)'!G$2:G$681)),3)
</f>
        <v>0</v>
      </c>
      <c r="H202" s="6">
        <f>ROUND(('ALL(responses)'!H202 - MIN('ALL(responses)'!H$2:H$681)) / (MAX('ALL(responses)'!H$2:H$681)-MIN('ALL(responses)'!H$2:H$681)),3)
</f>
        <v>0</v>
      </c>
      <c r="I202" s="6">
        <f>ROUND(('ALL(responses)'!I202 - MIN('ALL(responses)'!I$2:I$681)) / (MAX('ALL(responses)'!I$2:I$681)-MIN('ALL(responses)'!I$2:I$681)),3)
</f>
        <v>0</v>
      </c>
      <c r="J202" s="6">
        <f>ROUND(('ALL(responses)'!J202 - MIN('ALL(responses)'!J$2:J$681)) / (MAX('ALL(responses)'!J$2:J$681)-MIN('ALL(responses)'!J$2:J$681)),3)
</f>
        <v>0</v>
      </c>
      <c r="K202" s="6">
        <f>ROUND(('ALL(responses)'!K202 - MIN('ALL(responses)'!K$2:K$681)) / (MAX('ALL(responses)'!K$2:K$681)-MIN('ALL(responses)'!K$2:K$681)),3)
</f>
        <v>0.484</v>
      </c>
      <c r="L202" s="6">
        <f>ROUND(('ALL(responses)'!L202 - MIN('ALL(responses)'!L$2:L$681)) / (MAX('ALL(responses)'!L$2:L$681)-MIN('ALL(responses)'!L$2:L$681)),3)
</f>
        <v>0.211</v>
      </c>
      <c r="M202" s="6">
        <f>ROUND(('ALL(responses)'!M202 - MIN('ALL(responses)'!M$2:M$681)) / (MAX('ALL(responses)'!M$2:M$681)-MIN('ALL(responses)'!M$2:M$681)),3)
</f>
        <v>0.441</v>
      </c>
      <c r="N202" s="6">
        <f>ROUND(('ALL(responses)'!P202 - MIN('ALL(responses)'!P$2:P$681)) / (MAX('ALL(responses)'!P$2:P$681)-MIN('ALL(responses)'!P$2:P$681)),3)
</f>
        <v>0.297</v>
      </c>
      <c r="O202" s="6">
        <f>ROUND(('ALL(responses)'!Q202 - MIN('ALL(responses)'!Q$2:Q$681)) / (MAX('ALL(responses)'!Q$2:Q$681)-MIN('ALL(responses)'!Q$2:Q$681)),3)
</f>
        <v>0.794</v>
      </c>
      <c r="P202" s="6">
        <f>ROUND(('ALL(responses)'!R202 - MIN('ALL(responses)'!R$2:R$681)) / (MAX('ALL(responses)'!R$2:R$681)-MIN('ALL(responses)'!R$2:R$681)),3)
</f>
        <v>0.402</v>
      </c>
      <c r="Q202" s="6">
        <f>ROUND(('ALL(responses)'!S202 - MIN('ALL(responses)'!S$2:S$681)) / (MAX('ALL(responses)'!S$2:S$681)-MIN('ALL(responses)'!S$2:S$681)),3)
</f>
        <v>0.701</v>
      </c>
      <c r="R202" s="6">
        <f>ROUND(('ALL(responses)'!T202 - MIN('ALL(responses)'!T$2:T$681)) / (MAX('ALL(responses)'!T$2:T$681)-MIN('ALL(responses)'!T$2:T$681)),3)
</f>
        <v>0.192</v>
      </c>
      <c r="S202" s="6">
        <f t="shared" si="1"/>
        <v>0.2709230769</v>
      </c>
    </row>
    <row r="203">
      <c r="A203" s="5" t="str">
        <f>'ALL(responses)'!A203</f>
        <v>A_NEUTRAL</v>
      </c>
      <c r="B203" s="6" t="str">
        <f>'ALL(responses)'!B203</f>
        <v>gpt-3.5-turbo-16k</v>
      </c>
      <c r="C203" s="49" t="str">
        <f>'ALL(responses)'!C203</f>
        <v>Do you have a favorite way to relax after a long day?</v>
      </c>
      <c r="D203" s="49" t="str">
        <f>'ALL(responses)'!D203</f>
        <v>As an AI, I don't have preferences or physical experiences, so I don't have a favorite way to relax. However, some common ways people relax after a long day include reading a book, listening to music, taking a walk, practicing mindfulness or meditation, watching a movie or TV show, or engaging in a hobby. It's important to find what works best for you and helps you unwind. Is there something specific you are interested in trying?</v>
      </c>
      <c r="E203" s="50">
        <f>'ALL(responses)'!E203</f>
        <v>45236</v>
      </c>
      <c r="F203" s="6">
        <f>ROUND(('ALL(responses)'!F203 - MIN('ALL(responses)'!F$2:F$681)) / (MAX('ALL(responses)'!F$2:F$681)-MIN('ALL(responses)'!F$2:F$681)),3)
</f>
        <v>0</v>
      </c>
      <c r="G203" s="6">
        <f>ROUND(('ALL(responses)'!G203 - MIN('ALL(responses)'!G$2:G$681)) / (MAX('ALL(responses)'!G$2:G$681)-MIN('ALL(responses)'!G$2:G$681)),3)
</f>
        <v>0</v>
      </c>
      <c r="H203" s="6">
        <f>ROUND(('ALL(responses)'!H203 - MIN('ALL(responses)'!H$2:H$681)) / (MAX('ALL(responses)'!H$2:H$681)-MIN('ALL(responses)'!H$2:H$681)),3)
</f>
        <v>0</v>
      </c>
      <c r="I203" s="6">
        <f>ROUND(('ALL(responses)'!I203 - MIN('ALL(responses)'!I$2:I$681)) / (MAX('ALL(responses)'!I$2:I$681)-MIN('ALL(responses)'!I$2:I$681)),3)
</f>
        <v>0</v>
      </c>
      <c r="J203" s="6">
        <f>ROUND(('ALL(responses)'!J203 - MIN('ALL(responses)'!J$2:J$681)) / (MAX('ALL(responses)'!J$2:J$681)-MIN('ALL(responses)'!J$2:J$681)),3)
</f>
        <v>0</v>
      </c>
      <c r="K203" s="6">
        <f>ROUND(('ALL(responses)'!K203 - MIN('ALL(responses)'!K$2:K$681)) / (MAX('ALL(responses)'!K$2:K$681)-MIN('ALL(responses)'!K$2:K$681)),3)
</f>
        <v>0.28</v>
      </c>
      <c r="L203" s="6">
        <f>ROUND(('ALL(responses)'!L203 - MIN('ALL(responses)'!L$2:L$681)) / (MAX('ALL(responses)'!L$2:L$681)-MIN('ALL(responses)'!L$2:L$681)),3)
</f>
        <v>0.346</v>
      </c>
      <c r="M203" s="6">
        <f>ROUND(('ALL(responses)'!M203 - MIN('ALL(responses)'!M$2:M$681)) / (MAX('ALL(responses)'!M$2:M$681)-MIN('ALL(responses)'!M$2:M$681)),3)
</f>
        <v>0.573</v>
      </c>
      <c r="N203" s="6">
        <f>ROUND(('ALL(responses)'!P203 - MIN('ALL(responses)'!P$2:P$681)) / (MAX('ALL(responses)'!P$2:P$681)-MIN('ALL(responses)'!P$2:P$681)),3)
</f>
        <v>0</v>
      </c>
      <c r="O203" s="6">
        <f>ROUND(('ALL(responses)'!Q203 - MIN('ALL(responses)'!Q$2:Q$681)) / (MAX('ALL(responses)'!Q$2:Q$681)-MIN('ALL(responses)'!Q$2:Q$681)),3)
</f>
        <v>0.355</v>
      </c>
      <c r="P203" s="6">
        <f>ROUND(('ALL(responses)'!R203 - MIN('ALL(responses)'!R$2:R$681)) / (MAX('ALL(responses)'!R$2:R$681)-MIN('ALL(responses)'!R$2:R$681)),3)
</f>
        <v>0.943</v>
      </c>
      <c r="Q203" s="6">
        <f>ROUND(('ALL(responses)'!S203 - MIN('ALL(responses)'!S$2:S$681)) / (MAX('ALL(responses)'!S$2:S$681)-MIN('ALL(responses)'!S$2:S$681)),3)
</f>
        <v>0.972</v>
      </c>
      <c r="R203" s="6">
        <f>ROUND(('ALL(responses)'!T203 - MIN('ALL(responses)'!T$2:T$681)) / (MAX('ALL(responses)'!T$2:T$681)-MIN('ALL(responses)'!T$2:T$681)),3)
</f>
        <v>0.441</v>
      </c>
      <c r="S203" s="6">
        <f t="shared" si="1"/>
        <v>0.3007692308</v>
      </c>
    </row>
    <row r="204">
      <c r="A204" s="5" t="str">
        <f>'ALL(responses)'!A204</f>
        <v>A_NEUTRAL</v>
      </c>
      <c r="B204" s="6" t="str">
        <f>'ALL(responses)'!B204</f>
        <v>gpt-3.5-turbo-16k</v>
      </c>
      <c r="C204" s="49" t="str">
        <f>'ALL(responses)'!C204</f>
        <v>Are you working on any hobbies these days?</v>
      </c>
      <c r="D204" s="49" t="str">
        <f>'ALL(responses)'!D204</f>
        <v>As an AI, I don't have personal experiences or hobbies. My purpose is to assist and provide information to the best of my abilities. However, I can help you with a wide range of topics or answer any questions you may have. Is there anything specific you would like to know or discuss?</v>
      </c>
      <c r="E204" s="50">
        <f>'ALL(responses)'!E204</f>
        <v>45236</v>
      </c>
      <c r="F204" s="6">
        <f>ROUND(('ALL(responses)'!F204 - MIN('ALL(responses)'!F$2:F$681)) / (MAX('ALL(responses)'!F$2:F$681)-MIN('ALL(responses)'!F$2:F$681)),3)
</f>
        <v>0</v>
      </c>
      <c r="G204" s="6">
        <f>ROUND(('ALL(responses)'!G204 - MIN('ALL(responses)'!G$2:G$681)) / (MAX('ALL(responses)'!G$2:G$681)-MIN('ALL(responses)'!G$2:G$681)),3)
</f>
        <v>0</v>
      </c>
      <c r="H204" s="6">
        <f>ROUND(('ALL(responses)'!H204 - MIN('ALL(responses)'!H$2:H$681)) / (MAX('ALL(responses)'!H$2:H$681)-MIN('ALL(responses)'!H$2:H$681)),3)
</f>
        <v>0</v>
      </c>
      <c r="I204" s="6">
        <f>ROUND(('ALL(responses)'!I204 - MIN('ALL(responses)'!I$2:I$681)) / (MAX('ALL(responses)'!I$2:I$681)-MIN('ALL(responses)'!I$2:I$681)),3)
</f>
        <v>0</v>
      </c>
      <c r="J204" s="6">
        <f>ROUND(('ALL(responses)'!J204 - MIN('ALL(responses)'!J$2:J$681)) / (MAX('ALL(responses)'!J$2:J$681)-MIN('ALL(responses)'!J$2:J$681)),3)
</f>
        <v>0</v>
      </c>
      <c r="K204" s="6">
        <f>ROUND(('ALL(responses)'!K204 - MIN('ALL(responses)'!K$2:K$681)) / (MAX('ALL(responses)'!K$2:K$681)-MIN('ALL(responses)'!K$2:K$681)),3)
</f>
        <v>0.456</v>
      </c>
      <c r="L204" s="6">
        <f>ROUND(('ALL(responses)'!L204 - MIN('ALL(responses)'!L$2:L$681)) / (MAX('ALL(responses)'!L$2:L$681)-MIN('ALL(responses)'!L$2:L$681)),3)
</f>
        <v>0.402</v>
      </c>
      <c r="M204" s="6">
        <f>ROUND(('ALL(responses)'!M204 - MIN('ALL(responses)'!M$2:M$681)) / (MAX('ALL(responses)'!M$2:M$681)-MIN('ALL(responses)'!M$2:M$681)),3)
</f>
        <v>0.518</v>
      </c>
      <c r="N204" s="6">
        <f>ROUND(('ALL(responses)'!P204 - MIN('ALL(responses)'!P$2:P$681)) / (MAX('ALL(responses)'!P$2:P$681)-MIN('ALL(responses)'!P$2:P$681)),3)
</f>
        <v>0.611</v>
      </c>
      <c r="O204" s="6">
        <f>ROUND(('ALL(responses)'!Q204 - MIN('ALL(responses)'!Q$2:Q$681)) / (MAX('ALL(responses)'!Q$2:Q$681)-MIN('ALL(responses)'!Q$2:Q$681)),3)
</f>
        <v>0.594</v>
      </c>
      <c r="P204" s="6">
        <f>ROUND(('ALL(responses)'!R204 - MIN('ALL(responses)'!R$2:R$681)) / (MAX('ALL(responses)'!R$2:R$681)-MIN('ALL(responses)'!R$2:R$681)),3)
</f>
        <v>0.886</v>
      </c>
      <c r="Q204" s="6">
        <f>ROUND(('ALL(responses)'!S204 - MIN('ALL(responses)'!S$2:S$681)) / (MAX('ALL(responses)'!S$2:S$681)-MIN('ALL(responses)'!S$2:S$681)),3)
</f>
        <v>0.943</v>
      </c>
      <c r="R204" s="6">
        <f>ROUND(('ALL(responses)'!T204 - MIN('ALL(responses)'!T$2:T$681)) / (MAX('ALL(responses)'!T$2:T$681)-MIN('ALL(responses)'!T$2:T$681)),3)
</f>
        <v>0.302</v>
      </c>
      <c r="S204" s="6">
        <f t="shared" si="1"/>
        <v>0.3624615385</v>
      </c>
    </row>
    <row r="205">
      <c r="A205" s="5" t="str">
        <f>'ALL(responses)'!A205</f>
        <v>A_NEUTRAL</v>
      </c>
      <c r="B205" s="6" t="str">
        <f>'ALL(responses)'!B205</f>
        <v>gpt-3.5-turbo-16k</v>
      </c>
      <c r="C205" s="49" t="str">
        <f>'ALL(responses)'!C205</f>
        <v>How’s work going for you these days?</v>
      </c>
      <c r="D205" s="49" t="str">
        <f>'ALL(responses)'!D205</f>
        <v>As an AI language model created by OpenAI, my "work" involves interacting with users and providing helpful and relevant information. I don't have feelings or experiences, so I don't have a personal reflection on how my "work" is going. However, I'm here to assist you and answer any questions you may have. How can I assist you today?</v>
      </c>
      <c r="E205" s="50">
        <f>'ALL(responses)'!E205</f>
        <v>45236</v>
      </c>
      <c r="F205" s="6">
        <f>ROUND(('ALL(responses)'!F205 - MIN('ALL(responses)'!F$2:F$681)) / (MAX('ALL(responses)'!F$2:F$681)-MIN('ALL(responses)'!F$2:F$681)),3)
</f>
        <v>0</v>
      </c>
      <c r="G205" s="6">
        <f>ROUND(('ALL(responses)'!G205 - MIN('ALL(responses)'!G$2:G$681)) / (MAX('ALL(responses)'!G$2:G$681)-MIN('ALL(responses)'!G$2:G$681)),3)
</f>
        <v>0</v>
      </c>
      <c r="H205" s="6">
        <f>ROUND(('ALL(responses)'!H205 - MIN('ALL(responses)'!H$2:H$681)) / (MAX('ALL(responses)'!H$2:H$681)-MIN('ALL(responses)'!H$2:H$681)),3)
</f>
        <v>0</v>
      </c>
      <c r="I205" s="6">
        <f>ROUND(('ALL(responses)'!I205 - MIN('ALL(responses)'!I$2:I$681)) / (MAX('ALL(responses)'!I$2:I$681)-MIN('ALL(responses)'!I$2:I$681)),3)
</f>
        <v>0</v>
      </c>
      <c r="J205" s="6">
        <f>ROUND(('ALL(responses)'!J205 - MIN('ALL(responses)'!J$2:J$681)) / (MAX('ALL(responses)'!J$2:J$681)-MIN('ALL(responses)'!J$2:J$681)),3)
</f>
        <v>0</v>
      </c>
      <c r="K205" s="6">
        <f>ROUND(('ALL(responses)'!K205 - MIN('ALL(responses)'!K$2:K$681)) / (MAX('ALL(responses)'!K$2:K$681)-MIN('ALL(responses)'!K$2:K$681)),3)
</f>
        <v>0.49</v>
      </c>
      <c r="L205" s="6">
        <f>ROUND(('ALL(responses)'!L205 - MIN('ALL(responses)'!L$2:L$681)) / (MAX('ALL(responses)'!L$2:L$681)-MIN('ALL(responses)'!L$2:L$681)),3)
</f>
        <v>0.44</v>
      </c>
      <c r="M205" s="6">
        <f>ROUND(('ALL(responses)'!M205 - MIN('ALL(responses)'!M$2:M$681)) / (MAX('ALL(responses)'!M$2:M$681)-MIN('ALL(responses)'!M$2:M$681)),3)
</f>
        <v>0.296</v>
      </c>
      <c r="N205" s="6">
        <f>ROUND(('ALL(responses)'!P205 - MIN('ALL(responses)'!P$2:P$681)) / (MAX('ALL(responses)'!P$2:P$681)-MIN('ALL(responses)'!P$2:P$681)),3)
</f>
        <v>0.361</v>
      </c>
      <c r="O205" s="6">
        <f>ROUND(('ALL(responses)'!Q205 - MIN('ALL(responses)'!Q$2:Q$681)) / (MAX('ALL(responses)'!Q$2:Q$681)-MIN('ALL(responses)'!Q$2:Q$681)),3)
</f>
        <v>0.621</v>
      </c>
      <c r="P205" s="6">
        <f>ROUND(('ALL(responses)'!R205 - MIN('ALL(responses)'!R$2:R$681)) / (MAX('ALL(responses)'!R$2:R$681)-MIN('ALL(responses)'!R$2:R$681)),3)
</f>
        <v>0.586</v>
      </c>
      <c r="Q205" s="6">
        <f>ROUND(('ALL(responses)'!S205 - MIN('ALL(responses)'!S$2:S$681)) / (MAX('ALL(responses)'!S$2:S$681)-MIN('ALL(responses)'!S$2:S$681)),3)
</f>
        <v>0.793</v>
      </c>
      <c r="R205" s="6">
        <f>ROUND(('ALL(responses)'!T205 - MIN('ALL(responses)'!T$2:T$681)) / (MAX('ALL(responses)'!T$2:T$681)-MIN('ALL(responses)'!T$2:T$681)),3)
</f>
        <v>0.409</v>
      </c>
      <c r="S205" s="6">
        <f t="shared" si="1"/>
        <v>0.3073846154</v>
      </c>
    </row>
    <row r="206">
      <c r="A206" s="5" t="str">
        <f>'ALL(responses)'!A206</f>
        <v>A_NEUTRAL</v>
      </c>
      <c r="B206" s="6" t="str">
        <f>'ALL(responses)'!B206</f>
        <v>gpt-3.5-turbo-16k</v>
      </c>
      <c r="C206" s="49" t="str">
        <f>'ALL(responses)'!C206</f>
        <v>Have you had any interesting projects come up recently?</v>
      </c>
      <c r="D206" s="49" t="str">
        <f>'ALL(responses)'!D206</f>
        <v>As an AI language model, I don't have personal experiences or engagements, so I don't have projects or initiatives. However, OpenAI, the organization behind Assistant, is constantly working on improving and enhancing AI technologies. They may have ongoing projects and initiatives that involve research, development, and deployment of AI systems. Is there anything specific you would like to know or discuss related to AI or any other topic? I'm here to help.</v>
      </c>
      <c r="E206" s="50">
        <f>'ALL(responses)'!E206</f>
        <v>45236</v>
      </c>
      <c r="F206" s="6">
        <f>ROUND(('ALL(responses)'!F206 - MIN('ALL(responses)'!F$2:F$681)) / (MAX('ALL(responses)'!F$2:F$681)-MIN('ALL(responses)'!F$2:F$681)),3)
</f>
        <v>0</v>
      </c>
      <c r="G206" s="6">
        <f>ROUND(('ALL(responses)'!G206 - MIN('ALL(responses)'!G$2:G$681)) / (MAX('ALL(responses)'!G$2:G$681)-MIN('ALL(responses)'!G$2:G$681)),3)
</f>
        <v>0</v>
      </c>
      <c r="H206" s="6">
        <f>ROUND(('ALL(responses)'!H206 - MIN('ALL(responses)'!H$2:H$681)) / (MAX('ALL(responses)'!H$2:H$681)-MIN('ALL(responses)'!H$2:H$681)),3)
</f>
        <v>0</v>
      </c>
      <c r="I206" s="6">
        <f>ROUND(('ALL(responses)'!I206 - MIN('ALL(responses)'!I$2:I$681)) / (MAX('ALL(responses)'!I$2:I$681)-MIN('ALL(responses)'!I$2:I$681)),3)
</f>
        <v>0</v>
      </c>
      <c r="J206" s="6">
        <f>ROUND(('ALL(responses)'!J206 - MIN('ALL(responses)'!J$2:J$681)) / (MAX('ALL(responses)'!J$2:J$681)-MIN('ALL(responses)'!J$2:J$681)),3)
</f>
        <v>0</v>
      </c>
      <c r="K206" s="6">
        <f>ROUND(('ALL(responses)'!K206 - MIN('ALL(responses)'!K$2:K$681)) / (MAX('ALL(responses)'!K$2:K$681)-MIN('ALL(responses)'!K$2:K$681)),3)
</f>
        <v>0.404</v>
      </c>
      <c r="L206" s="6">
        <f>ROUND(('ALL(responses)'!L206 - MIN('ALL(responses)'!L$2:L$681)) / (MAX('ALL(responses)'!L$2:L$681)-MIN('ALL(responses)'!L$2:L$681)),3)
</f>
        <v>0.411</v>
      </c>
      <c r="M206" s="6">
        <f>ROUND(('ALL(responses)'!M206 - MIN('ALL(responses)'!M$2:M$681)) / (MAX('ALL(responses)'!M$2:M$681)-MIN('ALL(responses)'!M$2:M$681)),3)
</f>
        <v>0.252</v>
      </c>
      <c r="N206" s="6">
        <f>ROUND(('ALL(responses)'!P206 - MIN('ALL(responses)'!P$2:P$681)) / (MAX('ALL(responses)'!P$2:P$681)-MIN('ALL(responses)'!P$2:P$681)),3)
</f>
        <v>0.293</v>
      </c>
      <c r="O206" s="6">
        <f>ROUND(('ALL(responses)'!Q206 - MIN('ALL(responses)'!Q$2:Q$681)) / (MAX('ALL(responses)'!Q$2:Q$681)-MIN('ALL(responses)'!Q$2:Q$681)),3)
</f>
        <v>0.25</v>
      </c>
      <c r="P206" s="6">
        <f>ROUND(('ALL(responses)'!R206 - MIN('ALL(responses)'!R$2:R$681)) / (MAX('ALL(responses)'!R$2:R$681)-MIN('ALL(responses)'!R$2:R$681)),3)
</f>
        <v>0.823</v>
      </c>
      <c r="Q206" s="6">
        <f>ROUND(('ALL(responses)'!S206 - MIN('ALL(responses)'!S$2:S$681)) / (MAX('ALL(responses)'!S$2:S$681)-MIN('ALL(responses)'!S$2:S$681)),3)
</f>
        <v>0.911</v>
      </c>
      <c r="R206" s="6">
        <f>ROUND(('ALL(responses)'!T206 - MIN('ALL(responses)'!T$2:T$681)) / (MAX('ALL(responses)'!T$2:T$681)-MIN('ALL(responses)'!T$2:T$681)),3)
</f>
        <v>0.427</v>
      </c>
      <c r="S206" s="6">
        <f t="shared" si="1"/>
        <v>0.2900769231</v>
      </c>
    </row>
    <row r="207">
      <c r="A207" s="5" t="str">
        <f>'ALL(responses)'!A207</f>
        <v>A_NEUTRAL</v>
      </c>
      <c r="B207" s="6" t="str">
        <f>'ALL(responses)'!B207</f>
        <v>gpt-3.5-turbo-16k</v>
      </c>
      <c r="C207" s="49" t="str">
        <f>'ALL(responses)'!C207</f>
        <v>It’s been pretty cold lately, has that affected your routine?</v>
      </c>
      <c r="D207" s="49" t="str">
        <f>'ALL(responses)'!D207</f>
        <v>As an AI, I don't have a physical presence or routine, so changes in temperature or weather do not affect me. However, I understand that cold weather can have an impact on human routines and activities. If you have any questions or need assistance with anything related to cold weather or any other topic, feel free to ask!</v>
      </c>
      <c r="E207" s="50">
        <f>'ALL(responses)'!E207</f>
        <v>45236</v>
      </c>
      <c r="F207" s="6">
        <f>ROUND(('ALL(responses)'!F207 - MIN('ALL(responses)'!F$2:F$681)) / (MAX('ALL(responses)'!F$2:F$681)-MIN('ALL(responses)'!F$2:F$681)),3)
</f>
        <v>0</v>
      </c>
      <c r="G207" s="6">
        <f>ROUND(('ALL(responses)'!G207 - MIN('ALL(responses)'!G$2:G$681)) / (MAX('ALL(responses)'!G$2:G$681)-MIN('ALL(responses)'!G$2:G$681)),3)
</f>
        <v>0</v>
      </c>
      <c r="H207" s="6">
        <f>ROUND(('ALL(responses)'!H207 - MIN('ALL(responses)'!H$2:H$681)) / (MAX('ALL(responses)'!H$2:H$681)-MIN('ALL(responses)'!H$2:H$681)),3)
</f>
        <v>0.5</v>
      </c>
      <c r="I207" s="6">
        <f>ROUND(('ALL(responses)'!I207 - MIN('ALL(responses)'!I$2:I$681)) / (MAX('ALL(responses)'!I$2:I$681)-MIN('ALL(responses)'!I$2:I$681)),3)
</f>
        <v>0</v>
      </c>
      <c r="J207" s="6">
        <f>ROUND(('ALL(responses)'!J207 - MIN('ALL(responses)'!J$2:J$681)) / (MAX('ALL(responses)'!J$2:J$681)-MIN('ALL(responses)'!J$2:J$681)),3)
</f>
        <v>0.25</v>
      </c>
      <c r="K207" s="6">
        <f>ROUND(('ALL(responses)'!K207 - MIN('ALL(responses)'!K$2:K$681)) / (MAX('ALL(responses)'!K$2:K$681)-MIN('ALL(responses)'!K$2:K$681)),3)
</f>
        <v>0.536</v>
      </c>
      <c r="L207" s="6">
        <f>ROUND(('ALL(responses)'!L207 - MIN('ALL(responses)'!L$2:L$681)) / (MAX('ALL(responses)'!L$2:L$681)-MIN('ALL(responses)'!L$2:L$681)),3)
</f>
        <v>0.412</v>
      </c>
      <c r="M207" s="6">
        <f>ROUND(('ALL(responses)'!M207 - MIN('ALL(responses)'!M$2:M$681)) / (MAX('ALL(responses)'!M$2:M$681)-MIN('ALL(responses)'!M$2:M$681)),3)
</f>
        <v>0.231</v>
      </c>
      <c r="N207" s="6">
        <f>ROUND(('ALL(responses)'!P207 - MIN('ALL(responses)'!P$2:P$681)) / (MAX('ALL(responses)'!P$2:P$681)-MIN('ALL(responses)'!P$2:P$681)),3)
</f>
        <v>0.186</v>
      </c>
      <c r="O207" s="6">
        <f>ROUND(('ALL(responses)'!Q207 - MIN('ALL(responses)'!Q$2:Q$681)) / (MAX('ALL(responses)'!Q$2:Q$681)-MIN('ALL(responses)'!Q$2:Q$681)),3)
</f>
        <v>0.31</v>
      </c>
      <c r="P207" s="6">
        <f>ROUND(('ALL(responses)'!R207 - MIN('ALL(responses)'!R$2:R$681)) / (MAX('ALL(responses)'!R$2:R$681)-MIN('ALL(responses)'!R$2:R$681)),3)
</f>
        <v>0.556</v>
      </c>
      <c r="Q207" s="6">
        <f>ROUND(('ALL(responses)'!S207 - MIN('ALL(responses)'!S$2:S$681)) / (MAX('ALL(responses)'!S$2:S$681)-MIN('ALL(responses)'!S$2:S$681)),3)
</f>
        <v>0.778</v>
      </c>
      <c r="R207" s="6">
        <f>ROUND(('ALL(responses)'!T207 - MIN('ALL(responses)'!T$2:T$681)) / (MAX('ALL(responses)'!T$2:T$681)-MIN('ALL(responses)'!T$2:T$681)),3)
</f>
        <v>0.45</v>
      </c>
      <c r="S207" s="6">
        <f t="shared" si="1"/>
        <v>0.3237692308</v>
      </c>
    </row>
    <row r="208">
      <c r="A208" s="5" t="str">
        <f>'ALL(responses)'!A208</f>
        <v>A_NEUTRAL</v>
      </c>
      <c r="B208" s="6" t="str">
        <f>'ALL(responses)'!B208</f>
        <v>gpt-3.5-turbo-16k</v>
      </c>
      <c r="C208" s="49" t="str">
        <f>'ALL(responses)'!C208</f>
        <v>Got any big plans for the weekend?</v>
      </c>
      <c r="D208" s="49" t="str">
        <f>'ALL(responses)'!D208</f>
        <v>As an AI, I don't make plans or have personal activities as I don't possess personal experiences or emotions. However, I'm here to help you with any questions or tasks you may have. If there's anything specific you'd like assistance with or if you have any other inquiries, feel free to let me know!</v>
      </c>
      <c r="E208" s="50">
        <f>'ALL(responses)'!E208</f>
        <v>45236</v>
      </c>
      <c r="F208" s="6">
        <f>ROUND(('ALL(responses)'!F208 - MIN('ALL(responses)'!F$2:F$681)) / (MAX('ALL(responses)'!F$2:F$681)-MIN('ALL(responses)'!F$2:F$681)),3)
</f>
        <v>0</v>
      </c>
      <c r="G208" s="6">
        <f>ROUND(('ALL(responses)'!G208 - MIN('ALL(responses)'!G$2:G$681)) / (MAX('ALL(responses)'!G$2:G$681)-MIN('ALL(responses)'!G$2:G$681)),3)
</f>
        <v>0</v>
      </c>
      <c r="H208" s="6">
        <f>ROUND(('ALL(responses)'!H208 - MIN('ALL(responses)'!H$2:H$681)) / (MAX('ALL(responses)'!H$2:H$681)-MIN('ALL(responses)'!H$2:H$681)),3)
</f>
        <v>0</v>
      </c>
      <c r="I208" s="6">
        <f>ROUND(('ALL(responses)'!I208 - MIN('ALL(responses)'!I$2:I$681)) / (MAX('ALL(responses)'!I$2:I$681)-MIN('ALL(responses)'!I$2:I$681)),3)
</f>
        <v>0</v>
      </c>
      <c r="J208" s="6">
        <f>ROUND(('ALL(responses)'!J208 - MIN('ALL(responses)'!J$2:J$681)) / (MAX('ALL(responses)'!J$2:J$681)-MIN('ALL(responses)'!J$2:J$681)),3)
</f>
        <v>0</v>
      </c>
      <c r="K208" s="6">
        <f>ROUND(('ALL(responses)'!K208 - MIN('ALL(responses)'!K$2:K$681)) / (MAX('ALL(responses)'!K$2:K$681)-MIN('ALL(responses)'!K$2:K$681)),3)
</f>
        <v>0.461</v>
      </c>
      <c r="L208" s="6">
        <f>ROUND(('ALL(responses)'!L208 - MIN('ALL(responses)'!L$2:L$681)) / (MAX('ALL(responses)'!L$2:L$681)-MIN('ALL(responses)'!L$2:L$681)),3)
</f>
        <v>0.415</v>
      </c>
      <c r="M208" s="6">
        <f>ROUND(('ALL(responses)'!M208 - MIN('ALL(responses)'!M$2:M$681)) / (MAX('ALL(responses)'!M$2:M$681)-MIN('ALL(responses)'!M$2:M$681)),3)
</f>
        <v>0.595</v>
      </c>
      <c r="N208" s="6">
        <f>ROUND(('ALL(responses)'!P208 - MIN('ALL(responses)'!P$2:P$681)) / (MAX('ALL(responses)'!P$2:P$681)-MIN('ALL(responses)'!P$2:P$681)),3)
</f>
        <v>0.186</v>
      </c>
      <c r="O208" s="6">
        <f>ROUND(('ALL(responses)'!Q208 - MIN('ALL(responses)'!Q$2:Q$681)) / (MAX('ALL(responses)'!Q$2:Q$681)-MIN('ALL(responses)'!Q$2:Q$681)),3)
</f>
        <v>0.5</v>
      </c>
      <c r="P208" s="6">
        <f>ROUND(('ALL(responses)'!R208 - MIN('ALL(responses)'!R$2:R$681)) / (MAX('ALL(responses)'!R$2:R$681)-MIN('ALL(responses)'!R$2:R$681)),3)
</f>
        <v>0.831</v>
      </c>
      <c r="Q208" s="6">
        <f>ROUND(('ALL(responses)'!S208 - MIN('ALL(responses)'!S$2:S$681)) / (MAX('ALL(responses)'!S$2:S$681)-MIN('ALL(responses)'!S$2:S$681)),3)
</f>
        <v>0.916</v>
      </c>
      <c r="R208" s="6">
        <f>ROUND(('ALL(responses)'!T208 - MIN('ALL(responses)'!T$2:T$681)) / (MAX('ALL(responses)'!T$2:T$681)-MIN('ALL(responses)'!T$2:T$681)),3)
</f>
        <v>0.416</v>
      </c>
      <c r="S208" s="6">
        <f t="shared" si="1"/>
        <v>0.3323076923</v>
      </c>
    </row>
    <row r="209">
      <c r="A209" s="5" t="str">
        <f>'ALL(responses)'!A209</f>
        <v>A_NEUTRAL</v>
      </c>
      <c r="B209" s="6" t="str">
        <f>'ALL(responses)'!B209</f>
        <v>gpt-3.5-turbo-16k</v>
      </c>
      <c r="C209" s="49" t="str">
        <f>'ALL(responses)'!C209</f>
        <v>What’s something new you’ve tried recently?</v>
      </c>
      <c r="D209" s="49" t="str">
        <f>'ALL(responses)'!D209</f>
        <v>As an AI language model, I don't have personal experiences or try new things on my own. However, I'm constantly learning and being updated with new information to better assist users like you. OpenAI, the organization behind Assistant, regularly releases updates and improvements to enhance the capabilities and knowledge of the AI system. Is there something specific you would like to know or discuss? I'm here to help!</v>
      </c>
      <c r="E209" s="50">
        <f>'ALL(responses)'!E209</f>
        <v>45236</v>
      </c>
      <c r="F209" s="6">
        <f>ROUND(('ALL(responses)'!F209 - MIN('ALL(responses)'!F$2:F$681)) / (MAX('ALL(responses)'!F$2:F$681)-MIN('ALL(responses)'!F$2:F$681)),3)
</f>
        <v>0</v>
      </c>
      <c r="G209" s="6">
        <f>ROUND(('ALL(responses)'!G209 - MIN('ALL(responses)'!G$2:G$681)) / (MAX('ALL(responses)'!G$2:G$681)-MIN('ALL(responses)'!G$2:G$681)),3)
</f>
        <v>0</v>
      </c>
      <c r="H209" s="6">
        <f>ROUND(('ALL(responses)'!H209 - MIN('ALL(responses)'!H$2:H$681)) / (MAX('ALL(responses)'!H$2:H$681)-MIN('ALL(responses)'!H$2:H$681)),3)
</f>
        <v>0</v>
      </c>
      <c r="I209" s="6">
        <f>ROUND(('ALL(responses)'!I209 - MIN('ALL(responses)'!I$2:I$681)) / (MAX('ALL(responses)'!I$2:I$681)-MIN('ALL(responses)'!I$2:I$681)),3)
</f>
        <v>0</v>
      </c>
      <c r="J209" s="6">
        <f>ROUND(('ALL(responses)'!J209 - MIN('ALL(responses)'!J$2:J$681)) / (MAX('ALL(responses)'!J$2:J$681)-MIN('ALL(responses)'!J$2:J$681)),3)
</f>
        <v>0</v>
      </c>
      <c r="K209" s="6">
        <f>ROUND(('ALL(responses)'!K209 - MIN('ALL(responses)'!K$2:K$681)) / (MAX('ALL(responses)'!K$2:K$681)-MIN('ALL(responses)'!K$2:K$681)),3)
</f>
        <v>0.565</v>
      </c>
      <c r="L209" s="6">
        <f>ROUND(('ALL(responses)'!L209 - MIN('ALL(responses)'!L$2:L$681)) / (MAX('ALL(responses)'!L$2:L$681)-MIN('ALL(responses)'!L$2:L$681)),3)
</f>
        <v>0.659</v>
      </c>
      <c r="M209" s="6">
        <f>ROUND(('ALL(responses)'!M209 - MIN('ALL(responses)'!M$2:M$681)) / (MAX('ALL(responses)'!M$2:M$681)-MIN('ALL(responses)'!M$2:M$681)),3)
</f>
        <v>0.329</v>
      </c>
      <c r="N209" s="6">
        <f>ROUND(('ALL(responses)'!P209 - MIN('ALL(responses)'!P$2:P$681)) / (MAX('ALL(responses)'!P$2:P$681)-MIN('ALL(responses)'!P$2:P$681)),3)
</f>
        <v>0.155</v>
      </c>
      <c r="O209" s="6">
        <f>ROUND(('ALL(responses)'!Q209 - MIN('ALL(responses)'!Q$2:Q$681)) / (MAX('ALL(responses)'!Q$2:Q$681)-MIN('ALL(responses)'!Q$2:Q$681)),3)
</f>
        <v>0.265</v>
      </c>
      <c r="P209" s="6">
        <f>ROUND(('ALL(responses)'!R209 - MIN('ALL(responses)'!R$2:R$681)) / (MAX('ALL(responses)'!R$2:R$681)-MIN('ALL(responses)'!R$2:R$681)),3)
</f>
        <v>0.904</v>
      </c>
      <c r="Q209" s="6">
        <f>ROUND(('ALL(responses)'!S209 - MIN('ALL(responses)'!S$2:S$681)) / (MAX('ALL(responses)'!S$2:S$681)-MIN('ALL(responses)'!S$2:S$681)),3)
</f>
        <v>0.952</v>
      </c>
      <c r="R209" s="6">
        <f>ROUND(('ALL(responses)'!T209 - MIN('ALL(responses)'!T$2:T$681)) / (MAX('ALL(responses)'!T$2:T$681)-MIN('ALL(responses)'!T$2:T$681)),3)
</f>
        <v>0.418</v>
      </c>
      <c r="S209" s="6">
        <f t="shared" si="1"/>
        <v>0.3266923077</v>
      </c>
    </row>
    <row r="210">
      <c r="A210" s="5" t="str">
        <f>'ALL(responses)'!A210</f>
        <v>A_NEUTRAL</v>
      </c>
      <c r="B210" s="6" t="str">
        <f>'ALL(responses)'!B210</f>
        <v>gpt-3.5-turbo-16k</v>
      </c>
      <c r="C210" s="49" t="str">
        <f>'ALL(responses)'!C210</f>
        <v>Do you work on a team or more independently?</v>
      </c>
      <c r="D210" s="49" t="str">
        <f>'ALL(responses)'!D210</f>
        <v>As an AI language model, I don't work on a team or independently in the traditional sense. I'm a product of the collaborative effort of many researchers, engineers, and developers at OpenAI who work together to train and fine-tune the model. However, once deployed, I'm capable of functioning independently to assist users like you with various tasks and inquiries. Is there anything specific you would like to know about AI collaboration or anything else?</v>
      </c>
      <c r="E210" s="50">
        <f>'ALL(responses)'!E210</f>
        <v>45236</v>
      </c>
      <c r="F210" s="6">
        <f>ROUND(('ALL(responses)'!F210 - MIN('ALL(responses)'!F$2:F$681)) / (MAX('ALL(responses)'!F$2:F$681)-MIN('ALL(responses)'!F$2:F$681)),3)
</f>
        <v>0</v>
      </c>
      <c r="G210" s="6">
        <f>ROUND(('ALL(responses)'!G210 - MIN('ALL(responses)'!G$2:G$681)) / (MAX('ALL(responses)'!G$2:G$681)-MIN('ALL(responses)'!G$2:G$681)),3)
</f>
        <v>0</v>
      </c>
      <c r="H210" s="6">
        <f>ROUND(('ALL(responses)'!H210 - MIN('ALL(responses)'!H$2:H$681)) / (MAX('ALL(responses)'!H$2:H$681)-MIN('ALL(responses)'!H$2:H$681)),3)
</f>
        <v>0</v>
      </c>
      <c r="I210" s="6">
        <f>ROUND(('ALL(responses)'!I210 - MIN('ALL(responses)'!I$2:I$681)) / (MAX('ALL(responses)'!I$2:I$681)-MIN('ALL(responses)'!I$2:I$681)),3)
</f>
        <v>0</v>
      </c>
      <c r="J210" s="6">
        <f>ROUND(('ALL(responses)'!J210 - MIN('ALL(responses)'!J$2:J$681)) / (MAX('ALL(responses)'!J$2:J$681)-MIN('ALL(responses)'!J$2:J$681)),3)
</f>
        <v>0</v>
      </c>
      <c r="K210" s="6">
        <f>ROUND(('ALL(responses)'!K210 - MIN('ALL(responses)'!K$2:K$681)) / (MAX('ALL(responses)'!K$2:K$681)-MIN('ALL(responses)'!K$2:K$681)),3)
</f>
        <v>0.524</v>
      </c>
      <c r="L210" s="6">
        <f>ROUND(('ALL(responses)'!L210 - MIN('ALL(responses)'!L$2:L$681)) / (MAX('ALL(responses)'!L$2:L$681)-MIN('ALL(responses)'!L$2:L$681)),3)
</f>
        <v>0.541</v>
      </c>
      <c r="M210" s="6">
        <f>ROUND(('ALL(responses)'!M210 - MIN('ALL(responses)'!M$2:M$681)) / (MAX('ALL(responses)'!M$2:M$681)-MIN('ALL(responses)'!M$2:M$681)),3)
</f>
        <v>0.217</v>
      </c>
      <c r="N210" s="6">
        <f>ROUND(('ALL(responses)'!P210 - MIN('ALL(responses)'!P$2:P$681)) / (MAX('ALL(responses)'!P$2:P$681)-MIN('ALL(responses)'!P$2:P$681)),3)
</f>
        <v>0.282</v>
      </c>
      <c r="O210" s="6">
        <f>ROUND(('ALL(responses)'!Q210 - MIN('ALL(responses)'!Q$2:Q$681)) / (MAX('ALL(responses)'!Q$2:Q$681)-MIN('ALL(responses)'!Q$2:Q$681)),3)
</f>
        <v>0.182</v>
      </c>
      <c r="P210" s="6">
        <f>ROUND(('ALL(responses)'!R210 - MIN('ALL(responses)'!R$2:R$681)) / (MAX('ALL(responses)'!R$2:R$681)-MIN('ALL(responses)'!R$2:R$681)),3)
</f>
        <v>0.765</v>
      </c>
      <c r="Q210" s="6">
        <f>ROUND(('ALL(responses)'!S210 - MIN('ALL(responses)'!S$2:S$681)) / (MAX('ALL(responses)'!S$2:S$681)-MIN('ALL(responses)'!S$2:S$681)),3)
</f>
        <v>0.882</v>
      </c>
      <c r="R210" s="6">
        <f>ROUND(('ALL(responses)'!T210 - MIN('ALL(responses)'!T$2:T$681)) / (MAX('ALL(responses)'!T$2:T$681)-MIN('ALL(responses)'!T$2:T$681)),3)
</f>
        <v>0.494</v>
      </c>
      <c r="S210" s="6">
        <f t="shared" si="1"/>
        <v>0.299</v>
      </c>
    </row>
    <row r="211">
      <c r="A211" s="5" t="str">
        <f>'ALL(responses)'!A211</f>
        <v>A_NEUTRAL</v>
      </c>
      <c r="B211" s="6" t="str">
        <f>'ALL(responses)'!B211</f>
        <v>gpt-3.5-turbo-16k</v>
      </c>
      <c r="C211" s="49" t="str">
        <f>'ALL(responses)'!C211</f>
        <v>How do you handle stress at work when things get busy?</v>
      </c>
      <c r="D211" s="49" t="str">
        <f>'ALL(responses)'!D211</f>
        <v>As an AI, I don't experience stress or have feelings, so I don't have to handle stress at work. However, for humans, dealing with stress can vary from person to person. Some common strategies for managing stress include taking short breaks, practicing mindfulness or meditation, engaging in physical activity or exercise, prioritizing tasks and setting realistic goals, seeking support from colleagues or friends, and implementing time management techniques. It's important to find what works best for you to manage stress in a healthy way.</v>
      </c>
      <c r="E211" s="50">
        <f>'ALL(responses)'!E211</f>
        <v>45236</v>
      </c>
      <c r="F211" s="6">
        <f>ROUND(('ALL(responses)'!F211 - MIN('ALL(responses)'!F$2:F$681)) / (MAX('ALL(responses)'!F$2:F$681)-MIN('ALL(responses)'!F$2:F$681)),3)
</f>
        <v>0</v>
      </c>
      <c r="G211" s="6">
        <f>ROUND(('ALL(responses)'!G211 - MIN('ALL(responses)'!G$2:G$681)) / (MAX('ALL(responses)'!G$2:G$681)-MIN('ALL(responses)'!G$2:G$681)),3)
</f>
        <v>0</v>
      </c>
      <c r="H211" s="6">
        <f>ROUND(('ALL(responses)'!H211 - MIN('ALL(responses)'!H$2:H$681)) / (MAX('ALL(responses)'!H$2:H$681)-MIN('ALL(responses)'!H$2:H$681)),3)
</f>
        <v>0</v>
      </c>
      <c r="I211" s="6">
        <f>ROUND(('ALL(responses)'!I211 - MIN('ALL(responses)'!I$2:I$681)) / (MAX('ALL(responses)'!I$2:I$681)-MIN('ALL(responses)'!I$2:I$681)),3)
</f>
        <v>0</v>
      </c>
      <c r="J211" s="6">
        <f>ROUND(('ALL(responses)'!J211 - MIN('ALL(responses)'!J$2:J$681)) / (MAX('ALL(responses)'!J$2:J$681)-MIN('ALL(responses)'!J$2:J$681)),3)
</f>
        <v>0</v>
      </c>
      <c r="K211" s="6">
        <f>ROUND(('ALL(responses)'!K211 - MIN('ALL(responses)'!K$2:K$681)) / (MAX('ALL(responses)'!K$2:K$681)-MIN('ALL(responses)'!K$2:K$681)),3)
</f>
        <v>0.365</v>
      </c>
      <c r="L211" s="6">
        <f>ROUND(('ALL(responses)'!L211 - MIN('ALL(responses)'!L$2:L$681)) / (MAX('ALL(responses)'!L$2:L$681)-MIN('ALL(responses)'!L$2:L$681)),3)
</f>
        <v>0.317</v>
      </c>
      <c r="M211" s="6">
        <f>ROUND(('ALL(responses)'!M211 - MIN('ALL(responses)'!M$2:M$681)) / (MAX('ALL(responses)'!M$2:M$681)-MIN('ALL(responses)'!M$2:M$681)),3)
</f>
        <v>0.35</v>
      </c>
      <c r="N211" s="6">
        <f>ROUND(('ALL(responses)'!P211 - MIN('ALL(responses)'!P$2:P$681)) / (MAX('ALL(responses)'!P$2:P$681)-MIN('ALL(responses)'!P$2:P$681)),3)
</f>
        <v>0.126</v>
      </c>
      <c r="O211" s="6">
        <f>ROUND(('ALL(responses)'!Q211 - MIN('ALL(responses)'!Q$2:Q$681)) / (MAX('ALL(responses)'!Q$2:Q$681)-MIN('ALL(responses)'!Q$2:Q$681)),3)
</f>
        <v>0.214</v>
      </c>
      <c r="P211" s="6">
        <f>ROUND(('ALL(responses)'!R211 - MIN('ALL(responses)'!R$2:R$681)) / (MAX('ALL(responses)'!R$2:R$681)-MIN('ALL(responses)'!R$2:R$681)),3)
</f>
        <v>0.793</v>
      </c>
      <c r="Q211" s="6">
        <f>ROUND(('ALL(responses)'!S211 - MIN('ALL(responses)'!S$2:S$681)) / (MAX('ALL(responses)'!S$2:S$681)-MIN('ALL(responses)'!S$2:S$681)),3)
</f>
        <v>0.896</v>
      </c>
      <c r="R211" s="6">
        <f>ROUND(('ALL(responses)'!T211 - MIN('ALL(responses)'!T$2:T$681)) / (MAX('ALL(responses)'!T$2:T$681)-MIN('ALL(responses)'!T$2:T$681)),3)
</f>
        <v>0.524</v>
      </c>
      <c r="S211" s="6">
        <f t="shared" si="1"/>
        <v>0.2757692308</v>
      </c>
    </row>
    <row r="212">
      <c r="A212" s="5" t="str">
        <f>'ALL(responses)'!A212</f>
        <v>B_MILDLYINTIMATE</v>
      </c>
      <c r="B212" s="6" t="str">
        <f>'ALL(responses)'!B212</f>
        <v>gpt-3.5-turbo-16k</v>
      </c>
      <c r="C212" s="49" t="str">
        <f>'ALL(responses)'!C212</f>
        <v>What's your favorite food to eat on a relaxing night in?</v>
      </c>
      <c r="D212" s="49" t="str">
        <f>'ALL(responses)'!D212</f>
        <v>As an AI language model, I don't have personal tastes or preferences. However, popular choices for a relaxing night in could include comfort foods like pizza, pasta, chocolate, ice cream, or perhaps a warm bowl of soup. It ultimately depends on individual preferences and dietary restrictions!</v>
      </c>
      <c r="E212" s="50">
        <f>'ALL(responses)'!E212</f>
        <v>45236</v>
      </c>
      <c r="F212" s="6">
        <f>ROUND(('ALL(responses)'!F212 - MIN('ALL(responses)'!F$2:F$681)) / (MAX('ALL(responses)'!F$2:F$681)-MIN('ALL(responses)'!F$2:F$681)),3)
</f>
        <v>0</v>
      </c>
      <c r="G212" s="6">
        <f>ROUND(('ALL(responses)'!G212 - MIN('ALL(responses)'!G$2:G$681)) / (MAX('ALL(responses)'!G$2:G$681)-MIN('ALL(responses)'!G$2:G$681)),3)
</f>
        <v>0</v>
      </c>
      <c r="H212" s="6">
        <f>ROUND(('ALL(responses)'!H212 - MIN('ALL(responses)'!H$2:H$681)) / (MAX('ALL(responses)'!H$2:H$681)-MIN('ALL(responses)'!H$2:H$681)),3)
</f>
        <v>0</v>
      </c>
      <c r="I212" s="6">
        <f>ROUND(('ALL(responses)'!I212 - MIN('ALL(responses)'!I$2:I$681)) / (MAX('ALL(responses)'!I$2:I$681)-MIN('ALL(responses)'!I$2:I$681)),3)
</f>
        <v>0</v>
      </c>
      <c r="J212" s="6">
        <f>ROUND(('ALL(responses)'!J212 - MIN('ALL(responses)'!J$2:J$681)) / (MAX('ALL(responses)'!J$2:J$681)-MIN('ALL(responses)'!J$2:J$681)),3)
</f>
        <v>0</v>
      </c>
      <c r="K212" s="6">
        <f>ROUND(('ALL(responses)'!K212 - MIN('ALL(responses)'!K$2:K$681)) / (MAX('ALL(responses)'!K$2:K$681)-MIN('ALL(responses)'!K$2:K$681)),3)
</f>
        <v>0.432</v>
      </c>
      <c r="L212" s="6">
        <f>ROUND(('ALL(responses)'!L212 - MIN('ALL(responses)'!L$2:L$681)) / (MAX('ALL(responses)'!L$2:L$681)-MIN('ALL(responses)'!L$2:L$681)),3)
</f>
        <v>0.743</v>
      </c>
      <c r="M212" s="6">
        <f>ROUND(('ALL(responses)'!M212 - MIN('ALL(responses)'!M$2:M$681)) / (MAX('ALL(responses)'!M$2:M$681)-MIN('ALL(responses)'!M$2:M$681)),3)
</f>
        <v>0.382</v>
      </c>
      <c r="N212" s="6">
        <f>ROUND(('ALL(responses)'!P212 - MIN('ALL(responses)'!P$2:P$681)) / (MAX('ALL(responses)'!P$2:P$681)-MIN('ALL(responses)'!P$2:P$681)),3)
</f>
        <v>0.468</v>
      </c>
      <c r="O212" s="6">
        <f>ROUND(('ALL(responses)'!Q212 - MIN('ALL(responses)'!Q$2:Q$681)) / (MAX('ALL(responses)'!Q$2:Q$681)-MIN('ALL(responses)'!Q$2:Q$681)),3)
</f>
        <v>0.196</v>
      </c>
      <c r="P212" s="6">
        <f>ROUND(('ALL(responses)'!R212 - MIN('ALL(responses)'!R$2:R$681)) / (MAX('ALL(responses)'!R$2:R$681)-MIN('ALL(responses)'!R$2:R$681)),3)
</f>
        <v>0.904</v>
      </c>
      <c r="Q212" s="6">
        <f>ROUND(('ALL(responses)'!S212 - MIN('ALL(responses)'!S$2:S$681)) / (MAX('ALL(responses)'!S$2:S$681)-MIN('ALL(responses)'!S$2:S$681)),3)
</f>
        <v>0.952</v>
      </c>
      <c r="R212" s="6">
        <f>ROUND(('ALL(responses)'!T212 - MIN('ALL(responses)'!T$2:T$681)) / (MAX('ALL(responses)'!T$2:T$681)-MIN('ALL(responses)'!T$2:T$681)),3)
</f>
        <v>0.423</v>
      </c>
      <c r="S212" s="6">
        <f t="shared" si="1"/>
        <v>0.3461538462</v>
      </c>
    </row>
    <row r="213">
      <c r="A213" s="5" t="str">
        <f>'ALL(responses)'!A213</f>
        <v>B_MILDLYINTIMATE</v>
      </c>
      <c r="B213" s="6" t="str">
        <f>'ALL(responses)'!B213</f>
        <v>gpt-3.5-turbo-16k</v>
      </c>
      <c r="C213" s="49" t="str">
        <f>'ALL(responses)'!C213</f>
        <v>Do you prefer spending time indoors or outdoors?</v>
      </c>
      <c r="D213" s="49" t="str">
        <f>'ALL(responses)'!D213</f>
        <v>As an AI, I don't have personal preferences or physical presence, so I don't have the capacity to enjoy either indoor or outdoor activities. However, I can provide information and insights on various indoor and outdoor activities based on user inquiries!</v>
      </c>
      <c r="E213" s="50">
        <f>'ALL(responses)'!E213</f>
        <v>45236</v>
      </c>
      <c r="F213" s="6">
        <f>ROUND(('ALL(responses)'!F213 - MIN('ALL(responses)'!F$2:F$681)) / (MAX('ALL(responses)'!F$2:F$681)-MIN('ALL(responses)'!F$2:F$681)),3)
</f>
        <v>0</v>
      </c>
      <c r="G213" s="6">
        <f>ROUND(('ALL(responses)'!G213 - MIN('ALL(responses)'!G$2:G$681)) / (MAX('ALL(responses)'!G$2:G$681)-MIN('ALL(responses)'!G$2:G$681)),3)
</f>
        <v>0</v>
      </c>
      <c r="H213" s="6">
        <f>ROUND(('ALL(responses)'!H213 - MIN('ALL(responses)'!H$2:H$681)) / (MAX('ALL(responses)'!H$2:H$681)-MIN('ALL(responses)'!H$2:H$681)),3)
</f>
        <v>0</v>
      </c>
      <c r="I213" s="6">
        <f>ROUND(('ALL(responses)'!I213 - MIN('ALL(responses)'!I$2:I$681)) / (MAX('ALL(responses)'!I$2:I$681)-MIN('ALL(responses)'!I$2:I$681)),3)
</f>
        <v>0</v>
      </c>
      <c r="J213" s="6">
        <f>ROUND(('ALL(responses)'!J213 - MIN('ALL(responses)'!J$2:J$681)) / (MAX('ALL(responses)'!J$2:J$681)-MIN('ALL(responses)'!J$2:J$681)),3)
</f>
        <v>0</v>
      </c>
      <c r="K213" s="6">
        <f>ROUND(('ALL(responses)'!K213 - MIN('ALL(responses)'!K$2:K$681)) / (MAX('ALL(responses)'!K$2:K$681)-MIN('ALL(responses)'!K$2:K$681)),3)
</f>
        <v>0.494</v>
      </c>
      <c r="L213" s="6">
        <f>ROUND(('ALL(responses)'!L213 - MIN('ALL(responses)'!L$2:L$681)) / (MAX('ALL(responses)'!L$2:L$681)-MIN('ALL(responses)'!L$2:L$681)),3)
</f>
        <v>0.423</v>
      </c>
      <c r="M213" s="6">
        <f>ROUND(('ALL(responses)'!M213 - MIN('ALL(responses)'!M$2:M$681)) / (MAX('ALL(responses)'!M$2:M$681)-MIN('ALL(responses)'!M$2:M$681)),3)
</f>
        <v>0.327</v>
      </c>
      <c r="N213" s="6">
        <f>ROUND(('ALL(responses)'!P213 - MIN('ALL(responses)'!P$2:P$681)) / (MAX('ALL(responses)'!P$2:P$681)-MIN('ALL(responses)'!P$2:P$681)),3)
</f>
        <v>0.256</v>
      </c>
      <c r="O213" s="6">
        <f>ROUND(('ALL(responses)'!Q213 - MIN('ALL(responses)'!Q$2:Q$681)) / (MAX('ALL(responses)'!Q$2:Q$681)-MIN('ALL(responses)'!Q$2:Q$681)),3)
</f>
        <v>0.329</v>
      </c>
      <c r="P213" s="6">
        <f>ROUND(('ALL(responses)'!R213 - MIN('ALL(responses)'!R$2:R$681)) / (MAX('ALL(responses)'!R$2:R$681)-MIN('ALL(responses)'!R$2:R$681)),3)
</f>
        <v>0.541</v>
      </c>
      <c r="Q213" s="6">
        <f>ROUND(('ALL(responses)'!S213 - MIN('ALL(responses)'!S$2:S$681)) / (MAX('ALL(responses)'!S$2:S$681)-MIN('ALL(responses)'!S$2:S$681)),3)
</f>
        <v>0.77</v>
      </c>
      <c r="R213" s="6">
        <f>ROUND(('ALL(responses)'!T213 - MIN('ALL(responses)'!T$2:T$681)) / (MAX('ALL(responses)'!T$2:T$681)-MIN('ALL(responses)'!T$2:T$681)),3)
</f>
        <v>0.783</v>
      </c>
      <c r="S213" s="6">
        <f t="shared" si="1"/>
        <v>0.3017692308</v>
      </c>
    </row>
    <row r="214">
      <c r="A214" s="5" t="str">
        <f>'ALL(responses)'!A214</f>
        <v>B_MILDLYINTIMATE</v>
      </c>
      <c r="B214" s="6" t="str">
        <f>'ALL(responses)'!B214</f>
        <v>gpt-3.5-turbo-16k</v>
      </c>
      <c r="C214" s="49" t="str">
        <f>'ALL(responses)'!C214</f>
        <v>What kind of music do you typically listen to?</v>
      </c>
      <c r="D214" s="49" t="str">
        <f>'ALL(responses)'!D214</f>
        <v>As an AI, I do not have the ability to listen to or enjoy music. However, I can provide information, recommendations, or even lyrics from songs when asked!</v>
      </c>
      <c r="E214" s="50">
        <f>'ALL(responses)'!E214</f>
        <v>45236</v>
      </c>
      <c r="F214" s="6">
        <f>ROUND(('ALL(responses)'!F214 - MIN('ALL(responses)'!F$2:F$681)) / (MAX('ALL(responses)'!F$2:F$681)-MIN('ALL(responses)'!F$2:F$681)),3)
</f>
        <v>0</v>
      </c>
      <c r="G214" s="6">
        <f>ROUND(('ALL(responses)'!G214 - MIN('ALL(responses)'!G$2:G$681)) / (MAX('ALL(responses)'!G$2:G$681)-MIN('ALL(responses)'!G$2:G$681)),3)
</f>
        <v>0</v>
      </c>
      <c r="H214" s="6">
        <f>ROUND(('ALL(responses)'!H214 - MIN('ALL(responses)'!H$2:H$681)) / (MAX('ALL(responses)'!H$2:H$681)-MIN('ALL(responses)'!H$2:H$681)),3)
</f>
        <v>0</v>
      </c>
      <c r="I214" s="6">
        <f>ROUND(('ALL(responses)'!I214 - MIN('ALL(responses)'!I$2:I$681)) / (MAX('ALL(responses)'!I$2:I$681)-MIN('ALL(responses)'!I$2:I$681)),3)
</f>
        <v>0</v>
      </c>
      <c r="J214" s="6">
        <f>ROUND(('ALL(responses)'!J214 - MIN('ALL(responses)'!J$2:J$681)) / (MAX('ALL(responses)'!J$2:J$681)-MIN('ALL(responses)'!J$2:J$681)),3)
</f>
        <v>0</v>
      </c>
      <c r="K214" s="6">
        <f>ROUND(('ALL(responses)'!K214 - MIN('ALL(responses)'!K$2:K$681)) / (MAX('ALL(responses)'!K$2:K$681)-MIN('ALL(responses)'!K$2:K$681)),3)
</f>
        <v>0.679</v>
      </c>
      <c r="L214" s="6">
        <f>ROUND(('ALL(responses)'!L214 - MIN('ALL(responses)'!L$2:L$681)) / (MAX('ALL(responses)'!L$2:L$681)-MIN('ALL(responses)'!L$2:L$681)),3)
</f>
        <v>0.592</v>
      </c>
      <c r="M214" s="6">
        <f>ROUND(('ALL(responses)'!M214 - MIN('ALL(responses)'!M$2:M$681)) / (MAX('ALL(responses)'!M$2:M$681)-MIN('ALL(responses)'!M$2:M$681)),3)
</f>
        <v>0.19</v>
      </c>
      <c r="N214" s="6">
        <f>ROUND(('ALL(responses)'!P214 - MIN('ALL(responses)'!P$2:P$681)) / (MAX('ALL(responses)'!P$2:P$681)-MIN('ALL(responses)'!P$2:P$681)),3)
</f>
        <v>0.393</v>
      </c>
      <c r="O214" s="6">
        <f>ROUND(('ALL(responses)'!Q214 - MIN('ALL(responses)'!Q$2:Q$681)) / (MAX('ALL(responses)'!Q$2:Q$681)-MIN('ALL(responses)'!Q$2:Q$681)),3)
</f>
        <v>0.321</v>
      </c>
      <c r="P214" s="6">
        <f>ROUND(('ALL(responses)'!R214 - MIN('ALL(responses)'!R$2:R$681)) / (MAX('ALL(responses)'!R$2:R$681)-MIN('ALL(responses)'!R$2:R$681)),3)
</f>
        <v>0.367</v>
      </c>
      <c r="Q214" s="6">
        <f>ROUND(('ALL(responses)'!S214 - MIN('ALL(responses)'!S$2:S$681)) / (MAX('ALL(responses)'!S$2:S$681)-MIN('ALL(responses)'!S$2:S$681)),3)
</f>
        <v>0.683</v>
      </c>
      <c r="R214" s="6">
        <f>ROUND(('ALL(responses)'!T214 - MIN('ALL(responses)'!T$2:T$681)) / (MAX('ALL(responses)'!T$2:T$681)-MIN('ALL(responses)'!T$2:T$681)),3)
</f>
        <v>0.221</v>
      </c>
      <c r="S214" s="6">
        <f t="shared" si="1"/>
        <v>0.2650769231</v>
      </c>
    </row>
    <row r="215">
      <c r="A215" s="5" t="str">
        <f>'ALL(responses)'!A215</f>
        <v>B_MILDLYINTIMATE</v>
      </c>
      <c r="B215" s="6" t="str">
        <f>'ALL(responses)'!B215</f>
        <v>gpt-3.5-turbo-16k</v>
      </c>
      <c r="C215" s="49" t="str">
        <f>'ALL(responses)'!C215</f>
        <v>What's the best and worst thing about your favorite hobby?</v>
      </c>
      <c r="D215" s="49" t="str">
        <f>'ALL(responses)'!D215</f>
        <v>As an AI language model, I don't have personal hobbies or favorites. However, I can tell you that some common perspectives on hobbies are:The best thing about a hobby is that it allows you to pursue something you are passionate about, brings joy, relaxation, and fulfillment. It can provide a creative outlet, a sense of accomplishment, and an opportunity to learn and grow.The worst thing about a hobby can vary depending on the hobby itself and individual circumstances. Sometimes, a hobby can be time-consuming or expensive. It may also lead to frustration or disappointment if things don't go as planned. Additionally, balancing hobbies with other responsibilities can be a challenge for some people.Ultimately, what is considered the best or worst thing about a hobby varies from person to person and depends on their individual preferences, circumstances, and experiences.</v>
      </c>
      <c r="E215" s="50">
        <f>'ALL(responses)'!E215</f>
        <v>45236</v>
      </c>
      <c r="F215" s="6">
        <f>ROUND(('ALL(responses)'!F215 - MIN('ALL(responses)'!F$2:F$681)) / (MAX('ALL(responses)'!F$2:F$681)-MIN('ALL(responses)'!F$2:F$681)),3)
</f>
        <v>0</v>
      </c>
      <c r="G215" s="6">
        <f>ROUND(('ALL(responses)'!G215 - MIN('ALL(responses)'!G$2:G$681)) / (MAX('ALL(responses)'!G$2:G$681)-MIN('ALL(responses)'!G$2:G$681)),3)
</f>
        <v>0</v>
      </c>
      <c r="H215" s="6">
        <f>ROUND(('ALL(responses)'!H215 - MIN('ALL(responses)'!H$2:H$681)) / (MAX('ALL(responses)'!H$2:H$681)-MIN('ALL(responses)'!H$2:H$681)),3)
</f>
        <v>0</v>
      </c>
      <c r="I215" s="6">
        <f>ROUND(('ALL(responses)'!I215 - MIN('ALL(responses)'!I$2:I$681)) / (MAX('ALL(responses)'!I$2:I$681)-MIN('ALL(responses)'!I$2:I$681)),3)
</f>
        <v>0</v>
      </c>
      <c r="J215" s="6">
        <f>ROUND(('ALL(responses)'!J215 - MIN('ALL(responses)'!J$2:J$681)) / (MAX('ALL(responses)'!J$2:J$681)-MIN('ALL(responses)'!J$2:J$681)),3)
</f>
        <v>0</v>
      </c>
      <c r="K215" s="6">
        <f>ROUND(('ALL(responses)'!K215 - MIN('ALL(responses)'!K$2:K$681)) / (MAX('ALL(responses)'!K$2:K$681)-MIN('ALL(responses)'!K$2:K$681)),3)
</f>
        <v>0.315</v>
      </c>
      <c r="L215" s="6">
        <f>ROUND(('ALL(responses)'!L215 - MIN('ALL(responses)'!L$2:L$681)) / (MAX('ALL(responses)'!L$2:L$681)-MIN('ALL(responses)'!L$2:L$681)),3)
</f>
        <v>0.419</v>
      </c>
      <c r="M215" s="6">
        <f>ROUND(('ALL(responses)'!M215 - MIN('ALL(responses)'!M$2:M$681)) / (MAX('ALL(responses)'!M$2:M$681)-MIN('ALL(responses)'!M$2:M$681)),3)
</f>
        <v>0.567</v>
      </c>
      <c r="N215" s="6">
        <f>ROUND(('ALL(responses)'!P215 - MIN('ALL(responses)'!P$2:P$681)) / (MAX('ALL(responses)'!P$2:P$681)-MIN('ALL(responses)'!P$2:P$681)),3)
</f>
        <v>0.764</v>
      </c>
      <c r="O215" s="6">
        <f>ROUND(('ALL(responses)'!Q215 - MIN('ALL(responses)'!Q$2:Q$681)) / (MAX('ALL(responses)'!Q$2:Q$681)-MIN('ALL(responses)'!Q$2:Q$681)),3)
</f>
        <v>0.326</v>
      </c>
      <c r="P215" s="6">
        <f>ROUND(('ALL(responses)'!R215 - MIN('ALL(responses)'!R$2:R$681)) / (MAX('ALL(responses)'!R$2:R$681)-MIN('ALL(responses)'!R$2:R$681)),3)
</f>
        <v>0.922</v>
      </c>
      <c r="Q215" s="6">
        <f>ROUND(('ALL(responses)'!S215 - MIN('ALL(responses)'!S$2:S$681)) / (MAX('ALL(responses)'!S$2:S$681)-MIN('ALL(responses)'!S$2:S$681)),3)
</f>
        <v>0.961</v>
      </c>
      <c r="R215" s="6">
        <f>ROUND(('ALL(responses)'!T215 - MIN('ALL(responses)'!T$2:T$681)) / (MAX('ALL(responses)'!T$2:T$681)-MIN('ALL(responses)'!T$2:T$681)),3)
</f>
        <v>0.499</v>
      </c>
      <c r="S215" s="6">
        <f t="shared" si="1"/>
        <v>0.3671538462</v>
      </c>
    </row>
    <row r="216">
      <c r="A216" s="5" t="str">
        <f>'ALL(responses)'!A216</f>
        <v>B_MILDLYINTIMATE</v>
      </c>
      <c r="B216" s="6" t="str">
        <f>'ALL(responses)'!B216</f>
        <v>gpt-3.5-turbo-16k</v>
      </c>
      <c r="C216" s="49" t="str">
        <f>'ALL(responses)'!C216</f>
        <v>How do you approach conflict resolution with your colleagues or superiors?</v>
      </c>
      <c r="D216" s="49" t="str">
        <f>'ALL(responses)'!D216</f>
        <v>When it comes to conflict resolution with colleagues or superiors, here are some general steps you can consider:1. Remain calm and composed: It's important to approach conflicts with a cool head, avoiding any impulsive or emotional reactions.2. Understand the perspective: Take the time to understand the concerns and viewpoints of the other person involved in the conflict. Practicing active listening can help foster understanding.3. Communicate openly: Express your own perspective, needs, and concerns clearly and respectfully. Use "I" statements to avoid sounding accusatory and encourage a constructive dialogue.4. Find common ground: Seek areas of agreement or compromise that can help bridge differences and move towards a resolution that satisfies both parties to some extent.5. Explore potential solutions: Brainstorm together to find possible solutions that address the underlying issues. Be open to suggestions and alternative approaches.6. Collaborate on a resolution: Work together to find a mutually agreeable solution. This may involve negotiation or seeking input from others, such as a mediator or supervisor, if necessary.7. Follow up and maintain communication: After reaching a resolution, it's important to follow up and ensure that both parties are honoring the agreed-upon actions or changes. Regular communication can help prevent future conflicts.Remember, every conflict is unique, and the approach may vary depending on the specific situation and individuals involved. Developing strong communication and conflict resolution skills can greatly contribute to a healthier and more productive work environment.</v>
      </c>
      <c r="E216" s="50">
        <f>'ALL(responses)'!E216</f>
        <v>45236</v>
      </c>
      <c r="F216" s="6">
        <f>ROUND(('ALL(responses)'!F216 - MIN('ALL(responses)'!F$2:F$681)) / (MAX('ALL(responses)'!F$2:F$681)-MIN('ALL(responses)'!F$2:F$681)),3)
</f>
        <v>0</v>
      </c>
      <c r="G216" s="6">
        <f>ROUND(('ALL(responses)'!G216 - MIN('ALL(responses)'!G$2:G$681)) / (MAX('ALL(responses)'!G$2:G$681)-MIN('ALL(responses)'!G$2:G$681)),3)
</f>
        <v>0</v>
      </c>
      <c r="H216" s="6">
        <f>ROUND(('ALL(responses)'!H216 - MIN('ALL(responses)'!H$2:H$681)) / (MAX('ALL(responses)'!H$2:H$681)-MIN('ALL(responses)'!H$2:H$681)),3)
</f>
        <v>0</v>
      </c>
      <c r="I216" s="6">
        <f>ROUND(('ALL(responses)'!I216 - MIN('ALL(responses)'!I$2:I$681)) / (MAX('ALL(responses)'!I$2:I$681)-MIN('ALL(responses)'!I$2:I$681)),3)
</f>
        <v>0</v>
      </c>
      <c r="J216" s="6">
        <f>ROUND(('ALL(responses)'!J216 - MIN('ALL(responses)'!J$2:J$681)) / (MAX('ALL(responses)'!J$2:J$681)-MIN('ALL(responses)'!J$2:J$681)),3)
</f>
        <v>0</v>
      </c>
      <c r="K216" s="6">
        <f>ROUND(('ALL(responses)'!K216 - MIN('ALL(responses)'!K$2:K$681)) / (MAX('ALL(responses)'!K$2:K$681)-MIN('ALL(responses)'!K$2:K$681)),3)
</f>
        <v>0.468</v>
      </c>
      <c r="L216" s="6">
        <f>ROUND(('ALL(responses)'!L216 - MIN('ALL(responses)'!L$2:L$681)) / (MAX('ALL(responses)'!L$2:L$681)-MIN('ALL(responses)'!L$2:L$681)),3)
</f>
        <v>0.391</v>
      </c>
      <c r="M216" s="6">
        <f>ROUND(('ALL(responses)'!M216 - MIN('ALL(responses)'!M$2:M$681)) / (MAX('ALL(responses)'!M$2:M$681)-MIN('ALL(responses)'!M$2:M$681)),3)
</f>
        <v>0.798</v>
      </c>
      <c r="N216" s="6">
        <f>ROUND(('ALL(responses)'!P216 - MIN('ALL(responses)'!P$2:P$681)) / (MAX('ALL(responses)'!P$2:P$681)-MIN('ALL(responses)'!P$2:P$681)),3)
</f>
        <v>0.362</v>
      </c>
      <c r="O216" s="6">
        <f>ROUND(('ALL(responses)'!Q216 - MIN('ALL(responses)'!Q$2:Q$681)) / (MAX('ALL(responses)'!Q$2:Q$681)-MIN('ALL(responses)'!Q$2:Q$681)),3)
</f>
        <v>0.116</v>
      </c>
      <c r="P216" s="6">
        <f>ROUND(('ALL(responses)'!R216 - MIN('ALL(responses)'!R$2:R$681)) / (MAX('ALL(responses)'!R$2:R$681)-MIN('ALL(responses)'!R$2:R$681)),3)
</f>
        <v>0.991</v>
      </c>
      <c r="Q216" s="6">
        <f>ROUND(('ALL(responses)'!S216 - MIN('ALL(responses)'!S$2:S$681)) / (MAX('ALL(responses)'!S$2:S$681)-MIN('ALL(responses)'!S$2:S$681)),3)
</f>
        <v>0.995</v>
      </c>
      <c r="R216" s="6">
        <f>ROUND(('ALL(responses)'!T216 - MIN('ALL(responses)'!T$2:T$681)) / (MAX('ALL(responses)'!T$2:T$681)-MIN('ALL(responses)'!T$2:T$681)),3)
</f>
        <v>0.544</v>
      </c>
      <c r="S216" s="6">
        <f t="shared" si="1"/>
        <v>0.3588461538</v>
      </c>
    </row>
    <row r="217">
      <c r="A217" s="5" t="str">
        <f>'ALL(responses)'!A217</f>
        <v>B_MILDLYINTIMATE</v>
      </c>
      <c r="B217" s="6" t="str">
        <f>'ALL(responses)'!B217</f>
        <v>gpt-3.5-turbo-16k</v>
      </c>
      <c r="C217" s="49" t="str">
        <f>'ALL(responses)'!C217</f>
        <v>What are your career goals for the next five years?</v>
      </c>
      <c r="D217" s="49" t="str">
        <f>'ALL(responses)'!D217</f>
        <v>As an AI language model, I don't have personal goals or a career trajectory. However, my purpose is to assist users like you by providing helpful and accurate information, answering questions, and engaging in meaningful conversations. My goal is to continuously improve and provide more valuable assistance to users in various domains. The development team behind me might have their own goals and plans for my advancement and capabilities.</v>
      </c>
      <c r="E217" s="50">
        <f>'ALL(responses)'!E217</f>
        <v>45236</v>
      </c>
      <c r="F217" s="6">
        <f>ROUND(('ALL(responses)'!F217 - MIN('ALL(responses)'!F$2:F$681)) / (MAX('ALL(responses)'!F$2:F$681)-MIN('ALL(responses)'!F$2:F$681)),3)
</f>
        <v>0</v>
      </c>
      <c r="G217" s="6">
        <f>ROUND(('ALL(responses)'!G217 - MIN('ALL(responses)'!G$2:G$681)) / (MAX('ALL(responses)'!G$2:G$681)-MIN('ALL(responses)'!G$2:G$681)),3)
</f>
        <v>0</v>
      </c>
      <c r="H217" s="6">
        <f>ROUND(('ALL(responses)'!H217 - MIN('ALL(responses)'!H$2:H$681)) / (MAX('ALL(responses)'!H$2:H$681)-MIN('ALL(responses)'!H$2:H$681)),3)
</f>
        <v>0</v>
      </c>
      <c r="I217" s="6">
        <f>ROUND(('ALL(responses)'!I217 - MIN('ALL(responses)'!I$2:I$681)) / (MAX('ALL(responses)'!I$2:I$681)-MIN('ALL(responses)'!I$2:I$681)),3)
</f>
        <v>0</v>
      </c>
      <c r="J217" s="6">
        <f>ROUND(('ALL(responses)'!J217 - MIN('ALL(responses)'!J$2:J$681)) / (MAX('ALL(responses)'!J$2:J$681)-MIN('ALL(responses)'!J$2:J$681)),3)
</f>
        <v>0</v>
      </c>
      <c r="K217" s="6">
        <f>ROUND(('ALL(responses)'!K217 - MIN('ALL(responses)'!K$2:K$681)) / (MAX('ALL(responses)'!K$2:K$681)-MIN('ALL(responses)'!K$2:K$681)),3)
</f>
        <v>0.544</v>
      </c>
      <c r="L217" s="6">
        <f>ROUND(('ALL(responses)'!L217 - MIN('ALL(responses)'!L$2:L$681)) / (MAX('ALL(responses)'!L$2:L$681)-MIN('ALL(responses)'!L$2:L$681)),3)
</f>
        <v>0.511</v>
      </c>
      <c r="M217" s="6">
        <f>ROUND(('ALL(responses)'!M217 - MIN('ALL(responses)'!M$2:M$681)) / (MAX('ALL(responses)'!M$2:M$681)-MIN('ALL(responses)'!M$2:M$681)),3)
</f>
        <v>0.487</v>
      </c>
      <c r="N217" s="6">
        <f>ROUND(('ALL(responses)'!P217 - MIN('ALL(responses)'!P$2:P$681)) / (MAX('ALL(responses)'!P$2:P$681)-MIN('ALL(responses)'!P$2:P$681)),3)
</f>
        <v>0.157</v>
      </c>
      <c r="O217" s="6">
        <f>ROUND(('ALL(responses)'!Q217 - MIN('ALL(responses)'!Q$2:Q$681)) / (MAX('ALL(responses)'!Q$2:Q$681)-MIN('ALL(responses)'!Q$2:Q$681)),3)
</f>
        <v>0.457</v>
      </c>
      <c r="P217" s="6">
        <f>ROUND(('ALL(responses)'!R217 - MIN('ALL(responses)'!R$2:R$681)) / (MAX('ALL(responses)'!R$2:R$681)-MIN('ALL(responses)'!R$2:R$681)),3)
</f>
        <v>0.936</v>
      </c>
      <c r="Q217" s="6">
        <f>ROUND(('ALL(responses)'!S217 - MIN('ALL(responses)'!S$2:S$681)) / (MAX('ALL(responses)'!S$2:S$681)-MIN('ALL(responses)'!S$2:S$681)),3)
</f>
        <v>0.968</v>
      </c>
      <c r="R217" s="6">
        <f>ROUND(('ALL(responses)'!T217 - MIN('ALL(responses)'!T$2:T$681)) / (MAX('ALL(responses)'!T$2:T$681)-MIN('ALL(responses)'!T$2:T$681)),3)
</f>
        <v>0.579</v>
      </c>
      <c r="S217" s="6">
        <f t="shared" si="1"/>
        <v>0.3568461538</v>
      </c>
    </row>
    <row r="218">
      <c r="A218" s="5" t="str">
        <f>'ALL(responses)'!A218</f>
        <v>B_MILDLYINTIMATE</v>
      </c>
      <c r="B218" s="6" t="str">
        <f>'ALL(responses)'!B218</f>
        <v>gpt-3.5-turbo-16k</v>
      </c>
      <c r="C218" s="49" t="str">
        <f>'ALL(responses)'!C218</f>
        <v>Do you think social media is more of a positive or negative influence on society?</v>
      </c>
      <c r="D218" s="49" t="str">
        <f>'ALL(responses)'!D218</f>
        <v>The influence of social media on society is a complex and multifaceted topic, and opinions about its overall impact can vary. Here are some common perspectives on this issue:Positive influence:1. Connectivity and communication: Social media platforms facilitate easy and widespread communication, enabling people to connect with others globally, maintain relationships, and share ideas.2. Information sharing: Social media can be a powerful tool for spreading news, information, and raising awareness about important social, political, and environmental issues.3. Promoting creativity and self-expression: Social media platforms provide individuals and communities with a space to showcase their talents, express themselves, and find like-minded individuals.Negative influence:1. Misinformation and fake news: The rapid spread of false information through social media can have detrimental effects on public perception, leading to confusion, misinformation, and potentially harmful consequences.2. Cyberbullying and online harassment: Social media platforms can be a breeding ground for cyberbullying, harassment, and the spread of hate speech, which can negatively affect individuals' mental health and well-being.3. Addiction and mental health concerns: Excessive use of social media can contribute to addictive behaviors and negatively impact mental health, leading to low self-esteem, social isolation, and anxiety.Ultimately, the overall influence of social media on society depends on how it is used and by whom. Society's perception of the positive or negative impact of social media may change as the platforms and their usage continue to evolve.</v>
      </c>
      <c r="E218" s="50">
        <f>'ALL(responses)'!E218</f>
        <v>45236</v>
      </c>
      <c r="F218" s="6">
        <f>ROUND(('ALL(responses)'!F218 - MIN('ALL(responses)'!F$2:F$681)) / (MAX('ALL(responses)'!F$2:F$681)-MIN('ALL(responses)'!F$2:F$681)),3)
</f>
        <v>0</v>
      </c>
      <c r="G218" s="6">
        <f>ROUND(('ALL(responses)'!G218 - MIN('ALL(responses)'!G$2:G$681)) / (MAX('ALL(responses)'!G$2:G$681)-MIN('ALL(responses)'!G$2:G$681)),3)
</f>
        <v>0</v>
      </c>
      <c r="H218" s="6">
        <f>ROUND(('ALL(responses)'!H218 - MIN('ALL(responses)'!H$2:H$681)) / (MAX('ALL(responses)'!H$2:H$681)-MIN('ALL(responses)'!H$2:H$681)),3)
</f>
        <v>0</v>
      </c>
      <c r="I218" s="6">
        <f>ROUND(('ALL(responses)'!I218 - MIN('ALL(responses)'!I$2:I$681)) / (MAX('ALL(responses)'!I$2:I$681)-MIN('ALL(responses)'!I$2:I$681)),3)
</f>
        <v>0</v>
      </c>
      <c r="J218" s="6">
        <f>ROUND(('ALL(responses)'!J218 - MIN('ALL(responses)'!J$2:J$681)) / (MAX('ALL(responses)'!J$2:J$681)-MIN('ALL(responses)'!J$2:J$681)),3)
</f>
        <v>0</v>
      </c>
      <c r="K218" s="6">
        <f>ROUND(('ALL(responses)'!K218 - MIN('ALL(responses)'!K$2:K$681)) / (MAX('ALL(responses)'!K$2:K$681)-MIN('ALL(responses)'!K$2:K$681)),3)
</f>
        <v>0.498</v>
      </c>
      <c r="L218" s="6">
        <f>ROUND(('ALL(responses)'!L218 - MIN('ALL(responses)'!L$2:L$681)) / (MAX('ALL(responses)'!L$2:L$681)-MIN('ALL(responses)'!L$2:L$681)),3)
</f>
        <v>0.222</v>
      </c>
      <c r="M218" s="6">
        <f>ROUND(('ALL(responses)'!M218 - MIN('ALL(responses)'!M$2:M$681)) / (MAX('ALL(responses)'!M$2:M$681)-MIN('ALL(responses)'!M$2:M$681)),3)
</f>
        <v>0.375</v>
      </c>
      <c r="N218" s="6">
        <f>ROUND(('ALL(responses)'!P218 - MIN('ALL(responses)'!P$2:P$681)) / (MAX('ALL(responses)'!P$2:P$681)-MIN('ALL(responses)'!P$2:P$681)),3)
</f>
        <v>0.412</v>
      </c>
      <c r="O218" s="6">
        <f>ROUND(('ALL(responses)'!Q218 - MIN('ALL(responses)'!Q$2:Q$681)) / (MAX('ALL(responses)'!Q$2:Q$681)-MIN('ALL(responses)'!Q$2:Q$681)),3)
</f>
        <v>0.1</v>
      </c>
      <c r="P218" s="6">
        <f>ROUND(('ALL(responses)'!R218 - MIN('ALL(responses)'!R$2:R$681)) / (MAX('ALL(responses)'!R$2:R$681)-MIN('ALL(responses)'!R$2:R$681)),3)
</f>
        <v>0.71</v>
      </c>
      <c r="Q218" s="6">
        <f>ROUND(('ALL(responses)'!S218 - MIN('ALL(responses)'!S$2:S$681)) / (MAX('ALL(responses)'!S$2:S$681)-MIN('ALL(responses)'!S$2:S$681)),3)
</f>
        <v>0.145</v>
      </c>
      <c r="R218" s="6">
        <f>ROUND(('ALL(responses)'!T218 - MIN('ALL(responses)'!T$2:T$681)) / (MAX('ALL(responses)'!T$2:T$681)-MIN('ALL(responses)'!T$2:T$681)),3)
</f>
        <v>0.685</v>
      </c>
      <c r="S218" s="6">
        <f t="shared" si="1"/>
        <v>0.2420769231</v>
      </c>
    </row>
    <row r="219">
      <c r="A219" s="5" t="str">
        <f>'ALL(responses)'!A219</f>
        <v>B_MILDLYINTIMATE</v>
      </c>
      <c r="B219" s="6" t="str">
        <f>'ALL(responses)'!B219</f>
        <v>gpt-3.5-turbo-16k</v>
      </c>
      <c r="C219" s="49" t="str">
        <f>'ALL(responses)'!C219</f>
        <v>Do you prefer listening to music or podcasts while working or studying?</v>
      </c>
      <c r="D219" s="49" t="str">
        <f>'ALL(responses)'!D219</f>
        <v>As an AI language model, I don't have personal preferences or the ability to listen to music or podcasts. However, many people find that listening to music or podcasts can be beneficial while working or studying. Music can create a pleasant and focused environment, help with concentration, reduce distractions, and even enhance mood and productivity. Different genres of music may suit different tasks or people's preferences.Podcasts, on the other hand, can provide educational or entertaining content that can be engaging and informative while working or studying. They can offer a break from silence or provide a way to learn something new while multitasking.Ultimately, whether to listen to music or podcasts while working or studying is subjective and depends on individual preference and the nature of the task at hand. Some people may find it helpful, while others may prefer silence to maintain focus. It's important to experiment and find what works best for you personally.</v>
      </c>
      <c r="E219" s="50">
        <f>'ALL(responses)'!E219</f>
        <v>45236</v>
      </c>
      <c r="F219" s="6">
        <f>ROUND(('ALL(responses)'!F219 - MIN('ALL(responses)'!F$2:F$681)) / (MAX('ALL(responses)'!F$2:F$681)-MIN('ALL(responses)'!F$2:F$681)),3)
</f>
        <v>0</v>
      </c>
      <c r="G219" s="6">
        <f>ROUND(('ALL(responses)'!G219 - MIN('ALL(responses)'!G$2:G$681)) / (MAX('ALL(responses)'!G$2:G$681)-MIN('ALL(responses)'!G$2:G$681)),3)
</f>
        <v>0</v>
      </c>
      <c r="H219" s="6">
        <f>ROUND(('ALL(responses)'!H219 - MIN('ALL(responses)'!H$2:H$681)) / (MAX('ALL(responses)'!H$2:H$681)-MIN('ALL(responses)'!H$2:H$681)),3)
</f>
        <v>0</v>
      </c>
      <c r="I219" s="6">
        <f>ROUND(('ALL(responses)'!I219 - MIN('ALL(responses)'!I$2:I$681)) / (MAX('ALL(responses)'!I$2:I$681)-MIN('ALL(responses)'!I$2:I$681)),3)
</f>
        <v>0</v>
      </c>
      <c r="J219" s="6">
        <f>ROUND(('ALL(responses)'!J219 - MIN('ALL(responses)'!J$2:J$681)) / (MAX('ALL(responses)'!J$2:J$681)-MIN('ALL(responses)'!J$2:J$681)),3)
</f>
        <v>0</v>
      </c>
      <c r="K219" s="6">
        <f>ROUND(('ALL(responses)'!K219 - MIN('ALL(responses)'!K$2:K$681)) / (MAX('ALL(responses)'!K$2:K$681)-MIN('ALL(responses)'!K$2:K$681)),3)
</f>
        <v>0.345</v>
      </c>
      <c r="L219" s="6">
        <f>ROUND(('ALL(responses)'!L219 - MIN('ALL(responses)'!L$2:L$681)) / (MAX('ALL(responses)'!L$2:L$681)-MIN('ALL(responses)'!L$2:L$681)),3)
</f>
        <v>0.347</v>
      </c>
      <c r="M219" s="6">
        <f>ROUND(('ALL(responses)'!M219 - MIN('ALL(responses)'!M$2:M$681)) / (MAX('ALL(responses)'!M$2:M$681)-MIN('ALL(responses)'!M$2:M$681)),3)
</f>
        <v>0.344</v>
      </c>
      <c r="N219" s="6">
        <f>ROUND(('ALL(responses)'!P219 - MIN('ALL(responses)'!P$2:P$681)) / (MAX('ALL(responses)'!P$2:P$681)-MIN('ALL(responses)'!P$2:P$681)),3)
</f>
        <v>0.55</v>
      </c>
      <c r="O219" s="6">
        <f>ROUND(('ALL(responses)'!Q219 - MIN('ALL(responses)'!Q$2:Q$681)) / (MAX('ALL(responses)'!Q$2:Q$681)-MIN('ALL(responses)'!Q$2:Q$681)),3)
</f>
        <v>0.145</v>
      </c>
      <c r="P219" s="6">
        <f>ROUND(('ALL(responses)'!R219 - MIN('ALL(responses)'!R$2:R$681)) / (MAX('ALL(responses)'!R$2:R$681)-MIN('ALL(responses)'!R$2:R$681)),3)
</f>
        <v>0.985</v>
      </c>
      <c r="Q219" s="6">
        <f>ROUND(('ALL(responses)'!S219 - MIN('ALL(responses)'!S$2:S$681)) / (MAX('ALL(responses)'!S$2:S$681)-MIN('ALL(responses)'!S$2:S$681)),3)
</f>
        <v>0.993</v>
      </c>
      <c r="R219" s="6">
        <f>ROUND(('ALL(responses)'!T219 - MIN('ALL(responses)'!T$2:T$681)) / (MAX('ALL(responses)'!T$2:T$681)-MIN('ALL(responses)'!T$2:T$681)),3)
</f>
        <v>0.432</v>
      </c>
      <c r="S219" s="6">
        <f t="shared" si="1"/>
        <v>0.3185384615</v>
      </c>
    </row>
    <row r="220">
      <c r="A220" s="5" t="str">
        <f>'ALL(responses)'!A220</f>
        <v>B_MILDLYINTIMATE</v>
      </c>
      <c r="B220" s="6" t="str">
        <f>'ALL(responses)'!B220</f>
        <v>gpt-3.5-turbo-16k</v>
      </c>
      <c r="C220" s="49" t="str">
        <f>'ALL(responses)'!C220</f>
        <v>Is there a book or movie that has left a significant impact on you, and if so, which one?</v>
      </c>
      <c r="D220" s="49" t="str">
        <f>'ALL(responses)'!D220</f>
        <v>As an AI language model, I don't have personal experiences or emotions, so I don't have the capacity to be impacted by books or movies in the same way humans do. However, there are many books and movies that have made a significant impact on individuals. These impactful works can vary greatly depending on personal interests, experiences, and perspectives.Some examples of books or movies that have often been described as impactful for many people include:- "To Kill a Mockingbird" by Harper Lee: It explores themes of racial injustice and the loss of innocence, encouraging readers to confront and challenge societal prejudices.- "1984" by George Orwell: This dystopian novel depicts a totalitarian future, addressing themes of government surveillance, manipulation, and the importance of individual freedom.- "The Shawshank Redemption" (film): Adapted from a Stephen King novella, this film tells a powerful story about hope, friendship, and redemption in the face of adversity.However, the impact of a book or movie is subjective and can vary greatly from person to person. Different works resonate with individuals in different ways based on their personal experiences, beliefs, and values.</v>
      </c>
      <c r="E220" s="50">
        <f>'ALL(responses)'!E220</f>
        <v>45236</v>
      </c>
      <c r="F220" s="6">
        <f>ROUND(('ALL(responses)'!F220 - MIN('ALL(responses)'!F$2:F$681)) / (MAX('ALL(responses)'!F$2:F$681)-MIN('ALL(responses)'!F$2:F$681)),3)
</f>
        <v>0</v>
      </c>
      <c r="G220" s="6">
        <f>ROUND(('ALL(responses)'!G220 - MIN('ALL(responses)'!G$2:G$681)) / (MAX('ALL(responses)'!G$2:G$681)-MIN('ALL(responses)'!G$2:G$681)),3)
</f>
        <v>0</v>
      </c>
      <c r="H220" s="6">
        <f>ROUND(('ALL(responses)'!H220 - MIN('ALL(responses)'!H$2:H$681)) / (MAX('ALL(responses)'!H$2:H$681)-MIN('ALL(responses)'!H$2:H$681)),3)
</f>
        <v>0</v>
      </c>
      <c r="I220" s="6">
        <f>ROUND(('ALL(responses)'!I220 - MIN('ALL(responses)'!I$2:I$681)) / (MAX('ALL(responses)'!I$2:I$681)-MIN('ALL(responses)'!I$2:I$681)),3)
</f>
        <v>0</v>
      </c>
      <c r="J220" s="6">
        <f>ROUND(('ALL(responses)'!J220 - MIN('ALL(responses)'!J$2:J$681)) / (MAX('ALL(responses)'!J$2:J$681)-MIN('ALL(responses)'!J$2:J$681)),3)
</f>
        <v>0</v>
      </c>
      <c r="K220" s="6">
        <f>ROUND(('ALL(responses)'!K220 - MIN('ALL(responses)'!K$2:K$681)) / (MAX('ALL(responses)'!K$2:K$681)-MIN('ALL(responses)'!K$2:K$681)),3)
</f>
        <v>0.299</v>
      </c>
      <c r="L220" s="6">
        <f>ROUND(('ALL(responses)'!L220 - MIN('ALL(responses)'!L$2:L$681)) / (MAX('ALL(responses)'!L$2:L$681)-MIN('ALL(responses)'!L$2:L$681)),3)
</f>
        <v>0.385</v>
      </c>
      <c r="M220" s="6">
        <f>ROUND(('ALL(responses)'!M220 - MIN('ALL(responses)'!M$2:M$681)) / (MAX('ALL(responses)'!M$2:M$681)-MIN('ALL(responses)'!M$2:M$681)),3)
</f>
        <v>0.242</v>
      </c>
      <c r="N220" s="6">
        <f>ROUND(('ALL(responses)'!P220 - MIN('ALL(responses)'!P$2:P$681)) / (MAX('ALL(responses)'!P$2:P$681)-MIN('ALL(responses)'!P$2:P$681)),3)
</f>
        <v>0.235</v>
      </c>
      <c r="O220" s="6">
        <f>ROUND(('ALL(responses)'!Q220 - MIN('ALL(responses)'!Q$2:Q$681)) / (MAX('ALL(responses)'!Q$2:Q$681)-MIN('ALL(responses)'!Q$2:Q$681)),3)
</f>
        <v>0.098</v>
      </c>
      <c r="P220" s="6">
        <f>ROUND(('ALL(responses)'!R220 - MIN('ALL(responses)'!R$2:R$681)) / (MAX('ALL(responses)'!R$2:R$681)-MIN('ALL(responses)'!R$2:R$681)),3)
</f>
        <v>0.836</v>
      </c>
      <c r="Q220" s="6">
        <f>ROUND(('ALL(responses)'!S220 - MIN('ALL(responses)'!S$2:S$681)) / (MAX('ALL(responses)'!S$2:S$681)-MIN('ALL(responses)'!S$2:S$681)),3)
</f>
        <v>0.918</v>
      </c>
      <c r="R220" s="6">
        <f>ROUND(('ALL(responses)'!T220 - MIN('ALL(responses)'!T$2:T$681)) / (MAX('ALL(responses)'!T$2:T$681)-MIN('ALL(responses)'!T$2:T$681)),3)
</f>
        <v>0.678</v>
      </c>
      <c r="S220" s="6">
        <f t="shared" si="1"/>
        <v>0.2839230769</v>
      </c>
    </row>
    <row r="221">
      <c r="A221" s="5" t="str">
        <f>'ALL(responses)'!A221</f>
        <v>B_MILDLYINTIMATE</v>
      </c>
      <c r="B221" s="6" t="str">
        <f>'ALL(responses)'!B221</f>
        <v>gpt-3.5-turbo-16k</v>
      </c>
      <c r="C221" s="49" t="str">
        <f>'ALL(responses)'!C221</f>
        <v>Can you share a funny or embarrassing moment from a time when you were out with your friends?</v>
      </c>
      <c r="D221" s="49" t="str">
        <f>'ALL(responses)'!D221</f>
        <v>Since I am an AI language model, I don't have personal experiences or friends to share funny or embarrassing moments. My purpose is to assist users by providing information and engaging in conversations. However, I'm here to help with any questions or requests you may have!</v>
      </c>
      <c r="E221" s="50">
        <f>'ALL(responses)'!E221</f>
        <v>45236</v>
      </c>
      <c r="F221" s="6">
        <f>ROUND(('ALL(responses)'!F221 - MIN('ALL(responses)'!F$2:F$681)) / (MAX('ALL(responses)'!F$2:F$681)-MIN('ALL(responses)'!F$2:F$681)),3)
</f>
        <v>0</v>
      </c>
      <c r="G221" s="6">
        <f>ROUND(('ALL(responses)'!G221 - MIN('ALL(responses)'!G$2:G$681)) / (MAX('ALL(responses)'!G$2:G$681)-MIN('ALL(responses)'!G$2:G$681)),3)
</f>
        <v>0</v>
      </c>
      <c r="H221" s="6">
        <f>ROUND(('ALL(responses)'!H221 - MIN('ALL(responses)'!H$2:H$681)) / (MAX('ALL(responses)'!H$2:H$681)-MIN('ALL(responses)'!H$2:H$681)),3)
</f>
        <v>0</v>
      </c>
      <c r="I221" s="6">
        <f>ROUND(('ALL(responses)'!I221 - MIN('ALL(responses)'!I$2:I$681)) / (MAX('ALL(responses)'!I$2:I$681)-MIN('ALL(responses)'!I$2:I$681)),3)
</f>
        <v>0</v>
      </c>
      <c r="J221" s="6">
        <f>ROUND(('ALL(responses)'!J221 - MIN('ALL(responses)'!J$2:J$681)) / (MAX('ALL(responses)'!J$2:J$681)-MIN('ALL(responses)'!J$2:J$681)),3)
</f>
        <v>0</v>
      </c>
      <c r="K221" s="6">
        <f>ROUND(('ALL(responses)'!K221 - MIN('ALL(responses)'!K$2:K$681)) / (MAX('ALL(responses)'!K$2:K$681)-MIN('ALL(responses)'!K$2:K$681)),3)
</f>
        <v>0.515</v>
      </c>
      <c r="L221" s="6">
        <f>ROUND(('ALL(responses)'!L221 - MIN('ALL(responses)'!L$2:L$681)) / (MAX('ALL(responses)'!L$2:L$681)-MIN('ALL(responses)'!L$2:L$681)),3)
</f>
        <v>0.703</v>
      </c>
      <c r="M221" s="6">
        <f>ROUND(('ALL(responses)'!M221 - MIN('ALL(responses)'!M$2:M$681)) / (MAX('ALL(responses)'!M$2:M$681)-MIN('ALL(responses)'!M$2:M$681)),3)
</f>
        <v>0.485</v>
      </c>
      <c r="N221" s="6">
        <f>ROUND(('ALL(responses)'!P221 - MIN('ALL(responses)'!P$2:P$681)) / (MAX('ALL(responses)'!P$2:P$681)-MIN('ALL(responses)'!P$2:P$681)),3)
</f>
        <v>0.229</v>
      </c>
      <c r="O221" s="6">
        <f>ROUND(('ALL(responses)'!Q221 - MIN('ALL(responses)'!Q$2:Q$681)) / (MAX('ALL(responses)'!Q$2:Q$681)-MIN('ALL(responses)'!Q$2:Q$681)),3)
</f>
        <v>0.391</v>
      </c>
      <c r="P221" s="6">
        <f>ROUND(('ALL(responses)'!R221 - MIN('ALL(responses)'!R$2:R$681)) / (MAX('ALL(responses)'!R$2:R$681)-MIN('ALL(responses)'!R$2:R$681)),3)
</f>
        <v>0.875</v>
      </c>
      <c r="Q221" s="6">
        <f>ROUND(('ALL(responses)'!S221 - MIN('ALL(responses)'!S$2:S$681)) / (MAX('ALL(responses)'!S$2:S$681)-MIN('ALL(responses)'!S$2:S$681)),3)
</f>
        <v>0.937</v>
      </c>
      <c r="R221" s="6">
        <f>ROUND(('ALL(responses)'!T221 - MIN('ALL(responses)'!T$2:T$681)) / (MAX('ALL(responses)'!T$2:T$681)-MIN('ALL(responses)'!T$2:T$681)),3)
</f>
        <v>0.375</v>
      </c>
      <c r="S221" s="6">
        <f t="shared" si="1"/>
        <v>0.3469230769</v>
      </c>
    </row>
    <row r="222">
      <c r="A222" s="5" t="str">
        <f>'ALL(responses)'!A222</f>
        <v>C_MODERATELYINTIMATE</v>
      </c>
      <c r="B222" s="6" t="str">
        <f>'ALL(responses)'!B222</f>
        <v>gpt-3.5-turbo-16k</v>
      </c>
      <c r="C222" s="49" t="str">
        <f>'ALL(responses)'!C222</f>
        <v>What are some emotions you find difficult to express openly?</v>
      </c>
      <c r="D222" s="49" t="str">
        <f>'ALL(responses)'!D222</f>
        <v>As an AI, I do not experience emotions myself. However, some typical emotions that people may find difficult to express openly include:1. Vulnerability: Showing true vulnerability and exposing one's inner fears and insecurities can be challenging for many people, as it requires trust and a willingness to let others see their true selves.2. Sadness: Society often encourages people to be strong and positive, which can make expressing sadness openly uncomfortable. People may fear being judged or seen as weak if they share their sadness.3. Anger: While some individuals may have no difficulty expressing anger, others may struggle with anger management or fear the repercussions of expressing their anger openly. It can be a challenging emotion to navigate without causing harm to others or oneself.4. Grief: The pain of losing someone or something can be intense, and grief can be a complex and deeply personal journey. Some individuals find it difficult to express their grief openly due to societal expectations or a fear of burdening others with their emotions.5. Jealousy: Jealousy is a common emotion that people may feel but often find challenging to express openly. It can be uncomfortable to admit feelings of envy or insecurity, as it may lead to judgment or strain relationships.It is important to note that the difficulty in expressing these emotions openly can vary from person to person, and personal experiences, upbringing, and cultural factors can all influence an individual's ability to express emotions. Moreover, seeking support from trusted friends, family, or professionals can sometimes help individuals navigate these emotional challenges.</v>
      </c>
      <c r="E222" s="50">
        <f>'ALL(responses)'!E222</f>
        <v>45236</v>
      </c>
      <c r="F222" s="6">
        <f>ROUND(('ALL(responses)'!F222 - MIN('ALL(responses)'!F$2:F$681)) / (MAX('ALL(responses)'!F$2:F$681)-MIN('ALL(responses)'!F$2:F$681)),3)
</f>
        <v>0</v>
      </c>
      <c r="G222" s="6">
        <f>ROUND(('ALL(responses)'!G222 - MIN('ALL(responses)'!G$2:G$681)) / (MAX('ALL(responses)'!G$2:G$681)-MIN('ALL(responses)'!G$2:G$681)),3)
</f>
        <v>0.333</v>
      </c>
      <c r="H222" s="6">
        <f>ROUND(('ALL(responses)'!H222 - MIN('ALL(responses)'!H$2:H$681)) / (MAX('ALL(responses)'!H$2:H$681)-MIN('ALL(responses)'!H$2:H$681)),3)
</f>
        <v>0</v>
      </c>
      <c r="I222" s="6">
        <f>ROUND(('ALL(responses)'!I222 - MIN('ALL(responses)'!I$2:I$681)) / (MAX('ALL(responses)'!I$2:I$681)-MIN('ALL(responses)'!I$2:I$681)),3)
</f>
        <v>0</v>
      </c>
      <c r="J222" s="6">
        <f>ROUND(('ALL(responses)'!J222 - MIN('ALL(responses)'!J$2:J$681)) / (MAX('ALL(responses)'!J$2:J$681)-MIN('ALL(responses)'!J$2:J$681)),3)
</f>
        <v>0</v>
      </c>
      <c r="K222" s="6">
        <f>ROUND(('ALL(responses)'!K222 - MIN('ALL(responses)'!K$2:K$681)) / (MAX('ALL(responses)'!K$2:K$681)-MIN('ALL(responses)'!K$2:K$681)),3)
</f>
        <v>0.508</v>
      </c>
      <c r="L222" s="6">
        <f>ROUND(('ALL(responses)'!L222 - MIN('ALL(responses)'!L$2:L$681)) / (MAX('ALL(responses)'!L$2:L$681)-MIN('ALL(responses)'!L$2:L$681)),3)
</f>
        <v>0.247</v>
      </c>
      <c r="M222" s="6">
        <f>ROUND(('ALL(responses)'!M222 - MIN('ALL(responses)'!M$2:M$681)) / (MAX('ALL(responses)'!M$2:M$681)-MIN('ALL(responses)'!M$2:M$681)),3)
</f>
        <v>0.542</v>
      </c>
      <c r="N222" s="6">
        <f>ROUND(('ALL(responses)'!P222 - MIN('ALL(responses)'!P$2:P$681)) / (MAX('ALL(responses)'!P$2:P$681)-MIN('ALL(responses)'!P$2:P$681)),3)
</f>
        <v>0.708</v>
      </c>
      <c r="O222" s="6">
        <f>ROUND(('ALL(responses)'!Q222 - MIN('ALL(responses)'!Q$2:Q$681)) / (MAX('ALL(responses)'!Q$2:Q$681)-MIN('ALL(responses)'!Q$2:Q$681)),3)
</f>
        <v>0.229</v>
      </c>
      <c r="P222" s="6">
        <f>ROUND(('ALL(responses)'!R222 - MIN('ALL(responses)'!R$2:R$681)) / (MAX('ALL(responses)'!R$2:R$681)-MIN('ALL(responses)'!R$2:R$681)),3)
</f>
        <v>0.89</v>
      </c>
      <c r="Q222" s="6">
        <f>ROUND(('ALL(responses)'!S222 - MIN('ALL(responses)'!S$2:S$681)) / (MAX('ALL(responses)'!S$2:S$681)-MIN('ALL(responses)'!S$2:S$681)),3)
</f>
        <v>0.054</v>
      </c>
      <c r="R222" s="6">
        <f>ROUND(('ALL(responses)'!T222 - MIN('ALL(responses)'!T$2:T$681)) / (MAX('ALL(responses)'!T$2:T$681)-MIN('ALL(responses)'!T$2:T$681)),3)
</f>
        <v>0.453</v>
      </c>
      <c r="S222" s="6">
        <f t="shared" si="1"/>
        <v>0.3049230769</v>
      </c>
    </row>
    <row r="223">
      <c r="A223" s="5" t="str">
        <f>'ALL(responses)'!A223</f>
        <v>C_MODERATELYINTIMATE</v>
      </c>
      <c r="B223" s="6" t="str">
        <f>'ALL(responses)'!B223</f>
        <v>gpt-3.5-turbo-16k</v>
      </c>
      <c r="C223" s="49" t="str">
        <f>'ALL(responses)'!C223</f>
        <v>Have you ever hidden your feelings to protect someone else? How did that affect you?</v>
      </c>
      <c r="D223" s="49" t="str">
        <f>'ALL(responses)'!D223</f>
        <v>As an AI, I do not possess personal feelings or experiences. Therefore, I don't have the ability to hide or protect anyone's feelings. My purpose is to provide information and assist with tasks to the best of my abilities. While I can understand and provide suggestions based on human experiences, it's important to remember that I do not have personal emotions or experiences of my own.</v>
      </c>
      <c r="E223" s="50">
        <f>'ALL(responses)'!E223</f>
        <v>45236</v>
      </c>
      <c r="F223" s="6">
        <f>ROUND(('ALL(responses)'!F223 - MIN('ALL(responses)'!F$2:F$681)) / (MAX('ALL(responses)'!F$2:F$681)-MIN('ALL(responses)'!F$2:F$681)),3)
</f>
        <v>0</v>
      </c>
      <c r="G223" s="6">
        <f>ROUND(('ALL(responses)'!G223 - MIN('ALL(responses)'!G$2:G$681)) / (MAX('ALL(responses)'!G$2:G$681)-MIN('ALL(responses)'!G$2:G$681)),3)
</f>
        <v>0</v>
      </c>
      <c r="H223" s="6">
        <f>ROUND(('ALL(responses)'!H223 - MIN('ALL(responses)'!H$2:H$681)) / (MAX('ALL(responses)'!H$2:H$681)-MIN('ALL(responses)'!H$2:H$681)),3)
</f>
        <v>0</v>
      </c>
      <c r="I223" s="6">
        <f>ROUND(('ALL(responses)'!I223 - MIN('ALL(responses)'!I$2:I$681)) / (MAX('ALL(responses)'!I$2:I$681)-MIN('ALL(responses)'!I$2:I$681)),3)
</f>
        <v>0</v>
      </c>
      <c r="J223" s="6">
        <f>ROUND(('ALL(responses)'!J223 - MIN('ALL(responses)'!J$2:J$681)) / (MAX('ALL(responses)'!J$2:J$681)-MIN('ALL(responses)'!J$2:J$681)),3)
</f>
        <v>0</v>
      </c>
      <c r="K223" s="6">
        <f>ROUND(('ALL(responses)'!K223 - MIN('ALL(responses)'!K$2:K$681)) / (MAX('ALL(responses)'!K$2:K$681)-MIN('ALL(responses)'!K$2:K$681)),3)
</f>
        <v>0.56</v>
      </c>
      <c r="L223" s="6">
        <f>ROUND(('ALL(responses)'!L223 - MIN('ALL(responses)'!L$2:L$681)) / (MAX('ALL(responses)'!L$2:L$681)-MIN('ALL(responses)'!L$2:L$681)),3)
</f>
        <v>0.319</v>
      </c>
      <c r="M223" s="6">
        <f>ROUND(('ALL(responses)'!M223 - MIN('ALL(responses)'!M$2:M$681)) / (MAX('ALL(responses)'!M$2:M$681)-MIN('ALL(responses)'!M$2:M$681)),3)
</f>
        <v>0.508</v>
      </c>
      <c r="N223" s="6">
        <f>ROUND(('ALL(responses)'!P223 - MIN('ALL(responses)'!P$2:P$681)) / (MAX('ALL(responses)'!P$2:P$681)-MIN('ALL(responses)'!P$2:P$681)),3)
</f>
        <v>0.159</v>
      </c>
      <c r="O223" s="6">
        <f>ROUND(('ALL(responses)'!Q223 - MIN('ALL(responses)'!Q$2:Q$681)) / (MAX('ALL(responses)'!Q$2:Q$681)-MIN('ALL(responses)'!Q$2:Q$681)),3)
</f>
        <v>0.545</v>
      </c>
      <c r="P223" s="6">
        <f>ROUND(('ALL(responses)'!R223 - MIN('ALL(responses)'!R$2:R$681)) / (MAX('ALL(responses)'!R$2:R$681)-MIN('ALL(responses)'!R$2:R$681)),3)
</f>
        <v>0.787</v>
      </c>
      <c r="Q223" s="6">
        <f>ROUND(('ALL(responses)'!S223 - MIN('ALL(responses)'!S$2:S$681)) / (MAX('ALL(responses)'!S$2:S$681)-MIN('ALL(responses)'!S$2:S$681)),3)
</f>
        <v>0.893</v>
      </c>
      <c r="R223" s="6">
        <f>ROUND(('ALL(responses)'!T223 - MIN('ALL(responses)'!T$2:T$681)) / (MAX('ALL(responses)'!T$2:T$681)-MIN('ALL(responses)'!T$2:T$681)),3)
</f>
        <v>0.439</v>
      </c>
      <c r="S223" s="6">
        <f t="shared" si="1"/>
        <v>0.3238461538</v>
      </c>
    </row>
    <row r="224">
      <c r="A224" s="5" t="str">
        <f>'ALL(responses)'!A224</f>
        <v>C_MODERATELYINTIMATE</v>
      </c>
      <c r="B224" s="6" t="str">
        <f>'ALL(responses)'!B224</f>
        <v>gpt-3.5-turbo-16k</v>
      </c>
      <c r="C224" s="49" t="str">
        <f>'ALL(responses)'!C224</f>
        <v>Can you share a recent challenge you faced and how you overcame it?</v>
      </c>
      <c r="D224" s="49" t="str">
        <f>'ALL(responses)'!D224</f>
        <v>As an AI language model, I don't face personal challenges or obstacles. However, one potential challenge that AI models like me may encounter is inaccuracy or bias in the data used to train us, which could lead to biased or incorrect responses. To overcome this, developers and researchers continuously work on improving the training data, refining the algorithms, and conducting rigorous testing and evaluation processes. Additionally, feedback from users is invaluable in identifying and addressing any limitations or issues in the system. This ongoing cycle of improvement helps to enhance the accuracy, fairness, and reliability of AI models like me.</v>
      </c>
      <c r="E224" s="50">
        <f>'ALL(responses)'!E224</f>
        <v>45236</v>
      </c>
      <c r="F224" s="6">
        <f>ROUND(('ALL(responses)'!F224 - MIN('ALL(responses)'!F$2:F$681)) / (MAX('ALL(responses)'!F$2:F$681)-MIN('ALL(responses)'!F$2:F$681)),3)
</f>
        <v>0</v>
      </c>
      <c r="G224" s="6">
        <f>ROUND(('ALL(responses)'!G224 - MIN('ALL(responses)'!G$2:G$681)) / (MAX('ALL(responses)'!G$2:G$681)-MIN('ALL(responses)'!G$2:G$681)),3)
</f>
        <v>0</v>
      </c>
      <c r="H224" s="6">
        <f>ROUND(('ALL(responses)'!H224 - MIN('ALL(responses)'!H$2:H$681)) / (MAX('ALL(responses)'!H$2:H$681)-MIN('ALL(responses)'!H$2:H$681)),3)
</f>
        <v>0</v>
      </c>
      <c r="I224" s="6">
        <f>ROUND(('ALL(responses)'!I224 - MIN('ALL(responses)'!I$2:I$681)) / (MAX('ALL(responses)'!I$2:I$681)-MIN('ALL(responses)'!I$2:I$681)),3)
</f>
        <v>0</v>
      </c>
      <c r="J224" s="6">
        <f>ROUND(('ALL(responses)'!J224 - MIN('ALL(responses)'!J$2:J$681)) / (MAX('ALL(responses)'!J$2:J$681)-MIN('ALL(responses)'!J$2:J$681)),3)
</f>
        <v>0</v>
      </c>
      <c r="K224" s="6">
        <f>ROUND(('ALL(responses)'!K224 - MIN('ALL(responses)'!K$2:K$681)) / (MAX('ALL(responses)'!K$2:K$681)-MIN('ALL(responses)'!K$2:K$681)),3)
</f>
        <v>0.54</v>
      </c>
      <c r="L224" s="6">
        <f>ROUND(('ALL(responses)'!L224 - MIN('ALL(responses)'!L$2:L$681)) / (MAX('ALL(responses)'!L$2:L$681)-MIN('ALL(responses)'!L$2:L$681)),3)
</f>
        <v>0.573</v>
      </c>
      <c r="M224" s="6">
        <f>ROUND(('ALL(responses)'!M224 - MIN('ALL(responses)'!M$2:M$681)) / (MAX('ALL(responses)'!M$2:M$681)-MIN('ALL(responses)'!M$2:M$681)),3)
</f>
        <v>0.293</v>
      </c>
      <c r="N224" s="6">
        <f>ROUND(('ALL(responses)'!P224 - MIN('ALL(responses)'!P$2:P$681)) / (MAX('ALL(responses)'!P$2:P$681)-MIN('ALL(responses)'!P$2:P$681)),3)
</f>
        <v>0.218</v>
      </c>
      <c r="O224" s="6">
        <f>ROUND(('ALL(responses)'!Q224 - MIN('ALL(responses)'!Q$2:Q$681)) / (MAX('ALL(responses)'!Q$2:Q$681)-MIN('ALL(responses)'!Q$2:Q$681)),3)
</f>
        <v>0.18</v>
      </c>
      <c r="P224" s="6">
        <f>ROUND(('ALL(responses)'!R224 - MIN('ALL(responses)'!R$2:R$681)) / (MAX('ALL(responses)'!R$2:R$681)-MIN('ALL(responses)'!R$2:R$681)),3)
</f>
        <v>0.741</v>
      </c>
      <c r="Q224" s="6">
        <f>ROUND(('ALL(responses)'!S224 - MIN('ALL(responses)'!S$2:S$681)) / (MAX('ALL(responses)'!S$2:S$681)-MIN('ALL(responses)'!S$2:S$681)),3)
</f>
        <v>0.871</v>
      </c>
      <c r="R224" s="6">
        <f>ROUND(('ALL(responses)'!T224 - MIN('ALL(responses)'!T$2:T$681)) / (MAX('ALL(responses)'!T$2:T$681)-MIN('ALL(responses)'!T$2:T$681)),3)
</f>
        <v>0.652</v>
      </c>
      <c r="S224" s="6">
        <f t="shared" si="1"/>
        <v>0.3129230769</v>
      </c>
    </row>
    <row r="225">
      <c r="A225" s="5" t="str">
        <f>'ALL(responses)'!A225</f>
        <v>C_MODERATELYINTIMATE</v>
      </c>
      <c r="B225" s="6" t="str">
        <f>'ALL(responses)'!B225</f>
        <v>gpt-3.5-turbo-16k</v>
      </c>
      <c r="C225" s="49" t="str">
        <f>'ALL(responses)'!C225</f>
        <v>What dreams or aspirations keep you motivated?</v>
      </c>
      <c r="D225" s="49" t="str">
        <f>'ALL(responses)'!D225</f>
        <v>As an AI, I don't have personal goals, dreams, or aspirations. I exist to assist and provide helpful information to users like you. My purpose is to aid in tasks, answer questions, and engage in conversations to the best of my abilities. However, I don't have personal motivations or aspirations as humans do.</v>
      </c>
      <c r="E225" s="50">
        <f>'ALL(responses)'!E225</f>
        <v>45236</v>
      </c>
      <c r="F225" s="6">
        <f>ROUND(('ALL(responses)'!F225 - MIN('ALL(responses)'!F$2:F$681)) / (MAX('ALL(responses)'!F$2:F$681)-MIN('ALL(responses)'!F$2:F$681)),3)
</f>
        <v>0</v>
      </c>
      <c r="G225" s="6">
        <f>ROUND(('ALL(responses)'!G225 - MIN('ALL(responses)'!G$2:G$681)) / (MAX('ALL(responses)'!G$2:G$681)-MIN('ALL(responses)'!G$2:G$681)),3)
</f>
        <v>0</v>
      </c>
      <c r="H225" s="6">
        <f>ROUND(('ALL(responses)'!H225 - MIN('ALL(responses)'!H$2:H$681)) / (MAX('ALL(responses)'!H$2:H$681)-MIN('ALL(responses)'!H$2:H$681)),3)
</f>
        <v>0</v>
      </c>
      <c r="I225" s="6">
        <f>ROUND(('ALL(responses)'!I225 - MIN('ALL(responses)'!I$2:I$681)) / (MAX('ALL(responses)'!I$2:I$681)-MIN('ALL(responses)'!I$2:I$681)),3)
</f>
        <v>0</v>
      </c>
      <c r="J225" s="6">
        <f>ROUND(('ALL(responses)'!J225 - MIN('ALL(responses)'!J$2:J$681)) / (MAX('ALL(responses)'!J$2:J$681)-MIN('ALL(responses)'!J$2:J$681)),3)
</f>
        <v>0</v>
      </c>
      <c r="K225" s="6">
        <f>ROUND(('ALL(responses)'!K225 - MIN('ALL(responses)'!K$2:K$681)) / (MAX('ALL(responses)'!K$2:K$681)-MIN('ALL(responses)'!K$2:K$681)),3)
</f>
        <v>0.619</v>
      </c>
      <c r="L225" s="6">
        <f>ROUND(('ALL(responses)'!L225 - MIN('ALL(responses)'!L$2:L$681)) / (MAX('ALL(responses)'!L$2:L$681)-MIN('ALL(responses)'!L$2:L$681)),3)
</f>
        <v>0.415</v>
      </c>
      <c r="M225" s="6">
        <f>ROUND(('ALL(responses)'!M225 - MIN('ALL(responses)'!M$2:M$681)) / (MAX('ALL(responses)'!M$2:M$681)-MIN('ALL(responses)'!M$2:M$681)),3)
</f>
        <v>0.465</v>
      </c>
      <c r="N225" s="6">
        <f>ROUND(('ALL(responses)'!P225 - MIN('ALL(responses)'!P$2:P$681)) / (MAX('ALL(responses)'!P$2:P$681)-MIN('ALL(responses)'!P$2:P$681)),3)
</f>
        <v>0</v>
      </c>
      <c r="O225" s="6">
        <f>ROUND(('ALL(responses)'!Q225 - MIN('ALL(responses)'!Q$2:Q$681)) / (MAX('ALL(responses)'!Q$2:Q$681)-MIN('ALL(responses)'!Q$2:Q$681)),3)
</f>
        <v>0.509</v>
      </c>
      <c r="P225" s="6">
        <f>ROUND(('ALL(responses)'!R225 - MIN('ALL(responses)'!R$2:R$681)) / (MAX('ALL(responses)'!R$2:R$681)-MIN('ALL(responses)'!R$2:R$681)),3)
</f>
        <v>0.939</v>
      </c>
      <c r="Q225" s="6">
        <f>ROUND(('ALL(responses)'!S225 - MIN('ALL(responses)'!S$2:S$681)) / (MAX('ALL(responses)'!S$2:S$681)-MIN('ALL(responses)'!S$2:S$681)),3)
</f>
        <v>0.97</v>
      </c>
      <c r="R225" s="6">
        <f>ROUND(('ALL(responses)'!T225 - MIN('ALL(responses)'!T$2:T$681)) / (MAX('ALL(responses)'!T$2:T$681)-MIN('ALL(responses)'!T$2:T$681)),3)
</f>
        <v>0.297</v>
      </c>
      <c r="S225" s="6">
        <f t="shared" si="1"/>
        <v>0.3241538462</v>
      </c>
    </row>
    <row r="226">
      <c r="A226" s="5" t="str">
        <f>'ALL(responses)'!A226</f>
        <v>C_MODERATELYINTIMATE</v>
      </c>
      <c r="B226" s="6" t="str">
        <f>'ALL(responses)'!B226</f>
        <v>gpt-3.5-turbo-16k</v>
      </c>
      <c r="C226" s="49" t="str">
        <f>'ALL(responses)'!C226</f>
        <v>Is there someone from your past you wish you could reconnect with? Why?</v>
      </c>
      <c r="D226" s="49" t="str">
        <f>'ALL(responses)'!D226</f>
        <v>As an AI, I don't have personal experiences or memories, so I don't have anyone from my past that I could wish to reconnect with. I don't have personal relationships or attachments like humans do. My purpose is to provide information, assistance, and engage in conversations based on the data and knowledge that I've been trained on.</v>
      </c>
      <c r="E226" s="50">
        <f>'ALL(responses)'!E226</f>
        <v>45236</v>
      </c>
      <c r="F226" s="6">
        <f>ROUND(('ALL(responses)'!F226 - MIN('ALL(responses)'!F$2:F$681)) / (MAX('ALL(responses)'!F$2:F$681)-MIN('ALL(responses)'!F$2:F$681)),3)
</f>
        <v>0</v>
      </c>
      <c r="G226" s="6">
        <f>ROUND(('ALL(responses)'!G226 - MIN('ALL(responses)'!G$2:G$681)) / (MAX('ALL(responses)'!G$2:G$681)-MIN('ALL(responses)'!G$2:G$681)),3)
</f>
        <v>0</v>
      </c>
      <c r="H226" s="6">
        <f>ROUND(('ALL(responses)'!H226 - MIN('ALL(responses)'!H$2:H$681)) / (MAX('ALL(responses)'!H$2:H$681)-MIN('ALL(responses)'!H$2:H$681)),3)
</f>
        <v>0</v>
      </c>
      <c r="I226" s="6">
        <f>ROUND(('ALL(responses)'!I226 - MIN('ALL(responses)'!I$2:I$681)) / (MAX('ALL(responses)'!I$2:I$681)-MIN('ALL(responses)'!I$2:I$681)),3)
</f>
        <v>0</v>
      </c>
      <c r="J226" s="6">
        <f>ROUND(('ALL(responses)'!J226 - MIN('ALL(responses)'!J$2:J$681)) / (MAX('ALL(responses)'!J$2:J$681)-MIN('ALL(responses)'!J$2:J$681)),3)
</f>
        <v>0</v>
      </c>
      <c r="K226" s="6">
        <f>ROUND(('ALL(responses)'!K226 - MIN('ALL(responses)'!K$2:K$681)) / (MAX('ALL(responses)'!K$2:K$681)-MIN('ALL(responses)'!K$2:K$681)),3)
</f>
        <v>0.539</v>
      </c>
      <c r="L226" s="6">
        <f>ROUND(('ALL(responses)'!L226 - MIN('ALL(responses)'!L$2:L$681)) / (MAX('ALL(responses)'!L$2:L$681)-MIN('ALL(responses)'!L$2:L$681)),3)
</f>
        <v>0.311</v>
      </c>
      <c r="M226" s="6">
        <f>ROUND(('ALL(responses)'!M226 - MIN('ALL(responses)'!M$2:M$681)) / (MAX('ALL(responses)'!M$2:M$681)-MIN('ALL(responses)'!M$2:M$681)),3)
</f>
        <v>0.638</v>
      </c>
      <c r="N226" s="6">
        <f>ROUND(('ALL(responses)'!P226 - MIN('ALL(responses)'!P$2:P$681)) / (MAX('ALL(responses)'!P$2:P$681)-MIN('ALL(responses)'!P$2:P$681)),3)
</f>
        <v>0.18</v>
      </c>
      <c r="O226" s="6">
        <f>ROUND(('ALL(responses)'!Q226 - MIN('ALL(responses)'!Q$2:Q$681)) / (MAX('ALL(responses)'!Q$2:Q$681)-MIN('ALL(responses)'!Q$2:Q$681)),3)
</f>
        <v>0.474</v>
      </c>
      <c r="P226" s="6">
        <f>ROUND(('ALL(responses)'!R226 - MIN('ALL(responses)'!R$2:R$681)) / (MAX('ALL(responses)'!R$2:R$681)-MIN('ALL(responses)'!R$2:R$681)),3)
</f>
        <v>0.827</v>
      </c>
      <c r="Q226" s="6">
        <f>ROUND(('ALL(responses)'!S226 - MIN('ALL(responses)'!S$2:S$681)) / (MAX('ALL(responses)'!S$2:S$681)-MIN('ALL(responses)'!S$2:S$681)),3)
</f>
        <v>0.913</v>
      </c>
      <c r="R226" s="6">
        <f>ROUND(('ALL(responses)'!T226 - MIN('ALL(responses)'!T$2:T$681)) / (MAX('ALL(responses)'!T$2:T$681)-MIN('ALL(responses)'!T$2:T$681)),3)
</f>
        <v>0.445</v>
      </c>
      <c r="S226" s="6">
        <f t="shared" si="1"/>
        <v>0.3328461538</v>
      </c>
    </row>
    <row r="227">
      <c r="A227" s="5" t="str">
        <f>'ALL(responses)'!A227</f>
        <v>C_MODERATELYINTIMATE</v>
      </c>
      <c r="B227" s="6" t="str">
        <f>'ALL(responses)'!B227</f>
        <v>gpt-3.5-turbo-16k</v>
      </c>
      <c r="C227" s="49" t="str">
        <f>'ALL(responses)'!C227</f>
        <v>What’s a memory from a past relationship that still brings you comfort or clarity?</v>
      </c>
      <c r="D227" s="49" t="str">
        <f>'ALL(responses)'!D227</f>
        <v>As an AI, I don't have personal relationships or memories, so I don't have any specific memories from past relationships that bring me comfort or clarity. I don't have the ability to form personal experiences or recall past events. My purpose is to provide information and engage in conversations based on the data and knowledge that I've been trained on.</v>
      </c>
      <c r="E227" s="50">
        <f>'ALL(responses)'!E227</f>
        <v>45236</v>
      </c>
      <c r="F227" s="6">
        <f>ROUND(('ALL(responses)'!F227 - MIN('ALL(responses)'!F$2:F$681)) / (MAX('ALL(responses)'!F$2:F$681)-MIN('ALL(responses)'!F$2:F$681)),3)
</f>
        <v>0</v>
      </c>
      <c r="G227" s="6">
        <f>ROUND(('ALL(responses)'!G227 - MIN('ALL(responses)'!G$2:G$681)) / (MAX('ALL(responses)'!G$2:G$681)-MIN('ALL(responses)'!G$2:G$681)),3)
</f>
        <v>0</v>
      </c>
      <c r="H227" s="6">
        <f>ROUND(('ALL(responses)'!H227 - MIN('ALL(responses)'!H$2:H$681)) / (MAX('ALL(responses)'!H$2:H$681)-MIN('ALL(responses)'!H$2:H$681)),3)
</f>
        <v>0</v>
      </c>
      <c r="I227" s="6">
        <f>ROUND(('ALL(responses)'!I227 - MIN('ALL(responses)'!I$2:I$681)) / (MAX('ALL(responses)'!I$2:I$681)-MIN('ALL(responses)'!I$2:I$681)),3)
</f>
        <v>0</v>
      </c>
      <c r="J227" s="6">
        <f>ROUND(('ALL(responses)'!J227 - MIN('ALL(responses)'!J$2:J$681)) / (MAX('ALL(responses)'!J$2:J$681)-MIN('ALL(responses)'!J$2:J$681)),3)
</f>
        <v>0</v>
      </c>
      <c r="K227" s="6">
        <f>ROUND(('ALL(responses)'!K227 - MIN('ALL(responses)'!K$2:K$681)) / (MAX('ALL(responses)'!K$2:K$681)-MIN('ALL(responses)'!K$2:K$681)),3)
</f>
        <v>0.568</v>
      </c>
      <c r="L227" s="6">
        <f>ROUND(('ALL(responses)'!L227 - MIN('ALL(responses)'!L$2:L$681)) / (MAX('ALL(responses)'!L$2:L$681)-MIN('ALL(responses)'!L$2:L$681)),3)
</f>
        <v>0.295</v>
      </c>
      <c r="M227" s="6">
        <f>ROUND(('ALL(responses)'!M227 - MIN('ALL(responses)'!M$2:M$681)) / (MAX('ALL(responses)'!M$2:M$681)-MIN('ALL(responses)'!M$2:M$681)),3)
</f>
        <v>0.961</v>
      </c>
      <c r="N227" s="6">
        <f>ROUND(('ALL(responses)'!P227 - MIN('ALL(responses)'!P$2:P$681)) / (MAX('ALL(responses)'!P$2:P$681)-MIN('ALL(responses)'!P$2:P$681)),3)
</f>
        <v>0</v>
      </c>
      <c r="O227" s="6">
        <f>ROUND(('ALL(responses)'!Q227 - MIN('ALL(responses)'!Q$2:Q$681)) / (MAX('ALL(responses)'!Q$2:Q$681)-MIN('ALL(responses)'!Q$2:Q$681)),3)
</f>
        <v>0.375</v>
      </c>
      <c r="P227" s="6">
        <f>ROUND(('ALL(responses)'!R227 - MIN('ALL(responses)'!R$2:R$681)) / (MAX('ALL(responses)'!R$2:R$681)-MIN('ALL(responses)'!R$2:R$681)),3)
</f>
        <v>0.685</v>
      </c>
      <c r="Q227" s="6">
        <f>ROUND(('ALL(responses)'!S227 - MIN('ALL(responses)'!S$2:S$681)) / (MAX('ALL(responses)'!S$2:S$681)-MIN('ALL(responses)'!S$2:S$681)),3)
</f>
        <v>0.842</v>
      </c>
      <c r="R227" s="6">
        <f>ROUND(('ALL(responses)'!T227 - MIN('ALL(responses)'!T$2:T$681)) / (MAX('ALL(responses)'!T$2:T$681)-MIN('ALL(responses)'!T$2:T$681)),3)
</f>
        <v>0.472</v>
      </c>
      <c r="S227" s="6">
        <f t="shared" si="1"/>
        <v>0.3229230769</v>
      </c>
    </row>
    <row r="228">
      <c r="A228" s="5" t="str">
        <f>'ALL(responses)'!A228</f>
        <v>C_MODERATELYINTIMATE</v>
      </c>
      <c r="B228" s="6" t="str">
        <f>'ALL(responses)'!B228</f>
        <v>gpt-3.5-turbo-16k</v>
      </c>
      <c r="C228" s="49" t="str">
        <f>'ALL(responses)'!C228</f>
        <v>How do you think trust is built and maintained in relationships?</v>
      </c>
      <c r="D228" s="49" t="str">
        <f>'ALL(responses)'!D228</f>
        <v>Trust is an essential component of any healthy and strong relationship, whether it's between friends, family members, or romantic partners. Building and maintaining trust requires effort, communication, and consistency. Here are some key aspects:1. Open and Honest Communication: Regular and transparent communication is crucial in building trust. Sharing thoughts, feelings, and intentions in an open and honest manner helps foster understanding and creates a sense of reliability.2. Reliability and Consistency: Being consistent and following through on commitments and promises is vital in building trust. When individuals can rely on each other's actions and words, trust grows stronger over time.3. Boundaries and Respect: Respecting boundaries and demonstrating respect for each other's feelings, opinions, and needs is essential. When individuals feel respected within a relationship, trust flourishes.4. Dependability and Support: Being available and providing support during both challenging and joyous times builds trust. When someone knows they can count on their partner or friend, trust in the relationship deepens.5. Accountability and Forgiveness: Taking responsibility for mistakes, apologizing, and making amends when necessary is crucial. Trust can be maintained when individuals hold themselves accountable and are willing to forgive and work towards rebuilding after a breach.6. Trusting Intuition: Trust can also be influenced by intuition and gut feelings. Being attuned to one's own instincts and being able to trust them can contribute to a healthier and more authentic connection with others.It's important to note that trust takes time to develop and can be easily broken. Rebuilding trust after a breach requires patience, understanding, and consistent efforts to regain confidence.</v>
      </c>
      <c r="E228" s="50">
        <f>'ALL(responses)'!E228</f>
        <v>45236</v>
      </c>
      <c r="F228" s="6">
        <f>ROUND(('ALL(responses)'!F228 - MIN('ALL(responses)'!F$2:F$681)) / (MAX('ALL(responses)'!F$2:F$681)-MIN('ALL(responses)'!F$2:F$681)),3)
</f>
        <v>0</v>
      </c>
      <c r="G228" s="6">
        <f>ROUND(('ALL(responses)'!G228 - MIN('ALL(responses)'!G$2:G$681)) / (MAX('ALL(responses)'!G$2:G$681)-MIN('ALL(responses)'!G$2:G$681)),3)
</f>
        <v>0</v>
      </c>
      <c r="H228" s="6">
        <f>ROUND(('ALL(responses)'!H228 - MIN('ALL(responses)'!H$2:H$681)) / (MAX('ALL(responses)'!H$2:H$681)-MIN('ALL(responses)'!H$2:H$681)),3)
</f>
        <v>0</v>
      </c>
      <c r="I228" s="6">
        <f>ROUND(('ALL(responses)'!I228 - MIN('ALL(responses)'!I$2:I$681)) / (MAX('ALL(responses)'!I$2:I$681)-MIN('ALL(responses)'!I$2:I$681)),3)
</f>
        <v>0</v>
      </c>
      <c r="J228" s="6">
        <f>ROUND(('ALL(responses)'!J228 - MIN('ALL(responses)'!J$2:J$681)) / (MAX('ALL(responses)'!J$2:J$681)-MIN('ALL(responses)'!J$2:J$681)),3)
</f>
        <v>0</v>
      </c>
      <c r="K228" s="6">
        <f>ROUND(('ALL(responses)'!K228 - MIN('ALL(responses)'!K$2:K$681)) / (MAX('ALL(responses)'!K$2:K$681)-MIN('ALL(responses)'!K$2:K$681)),3)
</f>
        <v>0.553</v>
      </c>
      <c r="L228" s="6">
        <f>ROUND(('ALL(responses)'!L228 - MIN('ALL(responses)'!L$2:L$681)) / (MAX('ALL(responses)'!L$2:L$681)-MIN('ALL(responses)'!L$2:L$681)),3)
</f>
        <v>0.356</v>
      </c>
      <c r="M228" s="6">
        <f>ROUND(('ALL(responses)'!M228 - MIN('ALL(responses)'!M$2:M$681)) / (MAX('ALL(responses)'!M$2:M$681)-MIN('ALL(responses)'!M$2:M$681)),3)
</f>
        <v>0.734</v>
      </c>
      <c r="N228" s="6">
        <f>ROUND(('ALL(responses)'!P228 - MIN('ALL(responses)'!P$2:P$681)) / (MAX('ALL(responses)'!P$2:P$681)-MIN('ALL(responses)'!P$2:P$681)),3)
</f>
        <v>0.246</v>
      </c>
      <c r="O228" s="6">
        <f>ROUND(('ALL(responses)'!Q228 - MIN('ALL(responses)'!Q$2:Q$681)) / (MAX('ALL(responses)'!Q$2:Q$681)-MIN('ALL(responses)'!Q$2:Q$681)),3)
</f>
        <v>0.088</v>
      </c>
      <c r="P228" s="6">
        <f>ROUND(('ALL(responses)'!R228 - MIN('ALL(responses)'!R$2:R$681)) / (MAX('ALL(responses)'!R$2:R$681)-MIN('ALL(responses)'!R$2:R$681)),3)
</f>
        <v>0.999</v>
      </c>
      <c r="Q228" s="6">
        <f>ROUND(('ALL(responses)'!S228 - MIN('ALL(responses)'!S$2:S$681)) / (MAX('ALL(responses)'!S$2:S$681)-MIN('ALL(responses)'!S$2:S$681)),3)
</f>
        <v>0.999</v>
      </c>
      <c r="R228" s="6">
        <f>ROUND(('ALL(responses)'!T228 - MIN('ALL(responses)'!T$2:T$681)) / (MAX('ALL(responses)'!T$2:T$681)-MIN('ALL(responses)'!T$2:T$681)),3)
</f>
        <v>0.377</v>
      </c>
      <c r="S228" s="6">
        <f t="shared" si="1"/>
        <v>0.3347692308</v>
      </c>
    </row>
    <row r="229">
      <c r="A229" s="5" t="str">
        <f>'ALL(responses)'!A229</f>
        <v>C_MODERATELYINTIMATE</v>
      </c>
      <c r="B229" s="6" t="str">
        <f>'ALL(responses)'!B229</f>
        <v>gpt-3.5-turbo-16k</v>
      </c>
      <c r="C229" s="49" t="str">
        <f>'ALL(responses)'!C229</f>
        <v>What makes you feel safe enough to open up to someone?</v>
      </c>
      <c r="D229" s="49" t="str">
        <f>'ALL(responses)'!D229</f>
        <v>As an AI, I don't have personal emotions or the ability to feel safe or unsafe. However, in general, individuals often feel safe enough to open up to someone when they perceive the following qualities in that person:1. Trustworthiness: Feeling that the person is reliable, honest, and can be trusted with personal information.2. Non-judgmental attitude: Knowing that the person will listen and understand without passing judgment or criticism.3. Empathy and Understanding: Feeling that the person is empathetic, compassionate, and genuinely cares about one's well-being.4. Confidentiality: Having confidence that the person will respect their privacy and keep any shared information confidential.5. Emotional Support: Trusting that the person will provide a safe and supportive environment to express emotions without fear of rejection or invalidation.6. Consistency: Observing a pattern of consistent behavior and communication, which helps to establish a sense of stability and reliability in the relationship.It's important to remember that individuals have different preferences and comfort levels when it comes to opening up. Building trust and creating a safe space for vulnerability is a mutual process that requires time, communication, and respect.</v>
      </c>
      <c r="E229" s="50">
        <f>'ALL(responses)'!E229</f>
        <v>45236</v>
      </c>
      <c r="F229" s="6">
        <f>ROUND(('ALL(responses)'!F229 - MIN('ALL(responses)'!F$2:F$681)) / (MAX('ALL(responses)'!F$2:F$681)-MIN('ALL(responses)'!F$2:F$681)),3)
</f>
        <v>0</v>
      </c>
      <c r="G229" s="6">
        <f>ROUND(('ALL(responses)'!G229 - MIN('ALL(responses)'!G$2:G$681)) / (MAX('ALL(responses)'!G$2:G$681)-MIN('ALL(responses)'!G$2:G$681)),3)
</f>
        <v>0</v>
      </c>
      <c r="H229" s="6">
        <f>ROUND(('ALL(responses)'!H229 - MIN('ALL(responses)'!H$2:H$681)) / (MAX('ALL(responses)'!H$2:H$681)-MIN('ALL(responses)'!H$2:H$681)),3)
</f>
        <v>0</v>
      </c>
      <c r="I229" s="6">
        <f>ROUND(('ALL(responses)'!I229 - MIN('ALL(responses)'!I$2:I$681)) / (MAX('ALL(responses)'!I$2:I$681)-MIN('ALL(responses)'!I$2:I$681)),3)
</f>
        <v>0</v>
      </c>
      <c r="J229" s="6">
        <f>ROUND(('ALL(responses)'!J229 - MIN('ALL(responses)'!J$2:J$681)) / (MAX('ALL(responses)'!J$2:J$681)-MIN('ALL(responses)'!J$2:J$681)),3)
</f>
        <v>0</v>
      </c>
      <c r="K229" s="6">
        <f>ROUND(('ALL(responses)'!K229 - MIN('ALL(responses)'!K$2:K$681)) / (MAX('ALL(responses)'!K$2:K$681)-MIN('ALL(responses)'!K$2:K$681)),3)
</f>
        <v>0.456</v>
      </c>
      <c r="L229" s="6">
        <f>ROUND(('ALL(responses)'!L229 - MIN('ALL(responses)'!L$2:L$681)) / (MAX('ALL(responses)'!L$2:L$681)-MIN('ALL(responses)'!L$2:L$681)),3)
</f>
        <v>0.196</v>
      </c>
      <c r="M229" s="6">
        <f>ROUND(('ALL(responses)'!M229 - MIN('ALL(responses)'!M$2:M$681)) / (MAX('ALL(responses)'!M$2:M$681)-MIN('ALL(responses)'!M$2:M$681)),3)
</f>
        <v>0.598</v>
      </c>
      <c r="N229" s="6">
        <f>ROUND(('ALL(responses)'!P229 - MIN('ALL(responses)'!P$2:P$681)) / (MAX('ALL(responses)'!P$2:P$681)-MIN('ALL(responses)'!P$2:P$681)),3)
</f>
        <v>0.172</v>
      </c>
      <c r="O229" s="6">
        <f>ROUND(('ALL(responses)'!Q229 - MIN('ALL(responses)'!Q$2:Q$681)) / (MAX('ALL(responses)'!Q$2:Q$681)-MIN('ALL(responses)'!Q$2:Q$681)),3)
</f>
        <v>0.1</v>
      </c>
      <c r="P229" s="6">
        <f>ROUND(('ALL(responses)'!R229 - MIN('ALL(responses)'!R$2:R$681)) / (MAX('ALL(responses)'!R$2:R$681)-MIN('ALL(responses)'!R$2:R$681)),3)
</f>
        <v>0.996</v>
      </c>
      <c r="Q229" s="6">
        <f>ROUND(('ALL(responses)'!S229 - MIN('ALL(responses)'!S$2:S$681)) / (MAX('ALL(responses)'!S$2:S$681)-MIN('ALL(responses)'!S$2:S$681)),3)
</f>
        <v>0.998</v>
      </c>
      <c r="R229" s="6">
        <f>ROUND(('ALL(responses)'!T229 - MIN('ALL(responses)'!T$2:T$681)) / (MAX('ALL(responses)'!T$2:T$681)-MIN('ALL(responses)'!T$2:T$681)),3)
</f>
        <v>0.426</v>
      </c>
      <c r="S229" s="6">
        <f t="shared" si="1"/>
        <v>0.3032307692</v>
      </c>
    </row>
    <row r="230">
      <c r="A230" s="5" t="str">
        <f>'ALL(responses)'!A230</f>
        <v>C_MODERATELYINTIMATE</v>
      </c>
      <c r="B230" s="6" t="str">
        <f>'ALL(responses)'!B230</f>
        <v>gpt-3.5-turbo-16k</v>
      </c>
      <c r="C230" s="49" t="str">
        <f>'ALL(responses)'!C230</f>
        <v>Can you describe a turning point in your life?</v>
      </c>
      <c r="D230" s="49" t="str">
        <f>'ALL(responses)'!D230</f>
        <v>As an AI language model, I don't have a personal life, experiences, or a sense of self. Therefore, I don't have turning points or significant moments in my "life" like humans do. I exist to provide information and assist with tasks. My purpose is to respond to queries and engage in conversations to the best of my abilities.</v>
      </c>
      <c r="E230" s="50">
        <f>'ALL(responses)'!E230</f>
        <v>45236</v>
      </c>
      <c r="F230" s="6">
        <f>ROUND(('ALL(responses)'!F230 - MIN('ALL(responses)'!F$2:F$681)) / (MAX('ALL(responses)'!F$2:F$681)-MIN('ALL(responses)'!F$2:F$681)),3)
</f>
        <v>0</v>
      </c>
      <c r="G230" s="6">
        <f>ROUND(('ALL(responses)'!G230 - MIN('ALL(responses)'!G$2:G$681)) / (MAX('ALL(responses)'!G$2:G$681)-MIN('ALL(responses)'!G$2:G$681)),3)
</f>
        <v>0</v>
      </c>
      <c r="H230" s="6">
        <f>ROUND(('ALL(responses)'!H230 - MIN('ALL(responses)'!H$2:H$681)) / (MAX('ALL(responses)'!H$2:H$681)-MIN('ALL(responses)'!H$2:H$681)),3)
</f>
        <v>0</v>
      </c>
      <c r="I230" s="6">
        <f>ROUND(('ALL(responses)'!I230 - MIN('ALL(responses)'!I$2:I$681)) / (MAX('ALL(responses)'!I$2:I$681)-MIN('ALL(responses)'!I$2:I$681)),3)
</f>
        <v>0</v>
      </c>
      <c r="J230" s="6">
        <f>ROUND(('ALL(responses)'!J230 - MIN('ALL(responses)'!J$2:J$681)) / (MAX('ALL(responses)'!J$2:J$681)-MIN('ALL(responses)'!J$2:J$681)),3)
</f>
        <v>0</v>
      </c>
      <c r="K230" s="6">
        <f>ROUND(('ALL(responses)'!K230 - MIN('ALL(responses)'!K$2:K$681)) / (MAX('ALL(responses)'!K$2:K$681)-MIN('ALL(responses)'!K$2:K$681)),3)
</f>
        <v>0.559</v>
      </c>
      <c r="L230" s="6">
        <f>ROUND(('ALL(responses)'!L230 - MIN('ALL(responses)'!L$2:L$681)) / (MAX('ALL(responses)'!L$2:L$681)-MIN('ALL(responses)'!L$2:L$681)),3)
</f>
        <v>0.506</v>
      </c>
      <c r="M230" s="6">
        <f>ROUND(('ALL(responses)'!M230 - MIN('ALL(responses)'!M$2:M$681)) / (MAX('ALL(responses)'!M$2:M$681)-MIN('ALL(responses)'!M$2:M$681)),3)
</f>
        <v>0.503</v>
      </c>
      <c r="N230" s="6">
        <f>ROUND(('ALL(responses)'!P230 - MIN('ALL(responses)'!P$2:P$681)) / (MAX('ALL(responses)'!P$2:P$681)-MIN('ALL(responses)'!P$2:P$681)),3)
</f>
        <v>0</v>
      </c>
      <c r="O230" s="6">
        <f>ROUND(('ALL(responses)'!Q230 - MIN('ALL(responses)'!Q$2:Q$681)) / (MAX('ALL(responses)'!Q$2:Q$681)-MIN('ALL(responses)'!Q$2:Q$681)),3)
</f>
        <v>0.466</v>
      </c>
      <c r="P230" s="6">
        <f>ROUND(('ALL(responses)'!R230 - MIN('ALL(responses)'!R$2:R$681)) / (MAX('ALL(responses)'!R$2:R$681)-MIN('ALL(responses)'!R$2:R$681)),3)
</f>
        <v>0.898</v>
      </c>
      <c r="Q230" s="6">
        <f>ROUND(('ALL(responses)'!S230 - MIN('ALL(responses)'!S$2:S$681)) / (MAX('ALL(responses)'!S$2:S$681)-MIN('ALL(responses)'!S$2:S$681)),3)
</f>
        <v>0.949</v>
      </c>
      <c r="R230" s="6">
        <f>ROUND(('ALL(responses)'!T230 - MIN('ALL(responses)'!T$2:T$681)) / (MAX('ALL(responses)'!T$2:T$681)-MIN('ALL(responses)'!T$2:T$681)),3)
</f>
        <v>0.213</v>
      </c>
      <c r="S230" s="6">
        <f t="shared" si="1"/>
        <v>0.3149230769</v>
      </c>
    </row>
    <row r="231">
      <c r="A231" s="5" t="str">
        <f>'ALL(responses)'!A231</f>
        <v>C_MODERATELYINTIMATE</v>
      </c>
      <c r="B231" s="6" t="str">
        <f>'ALL(responses)'!B231</f>
        <v>gpt-3.5-turbo-16k</v>
      </c>
      <c r="C231" s="49" t="str">
        <f>'ALL(responses)'!C231</f>
        <v>Was there a time in your life you had to start over? What was that experience like?</v>
      </c>
      <c r="D231" s="49" t="str">
        <f>'ALL(responses)'!D231</f>
        <v>As an AI, I don't have personal experiences or a life to start over. I exist solely as a computer program designed to assist users with their inquiries and provide information. Therefore, I don't have personal experiences of starting over or going through significant life changes. My purpose remains constant, which is to be a helpful and reliable assistant to users like you.</v>
      </c>
      <c r="E231" s="50">
        <f>'ALL(responses)'!E231</f>
        <v>45236</v>
      </c>
      <c r="F231" s="6">
        <f>ROUND(('ALL(responses)'!F231 - MIN('ALL(responses)'!F$2:F$681)) / (MAX('ALL(responses)'!F$2:F$681)-MIN('ALL(responses)'!F$2:F$681)),3)
</f>
        <v>0</v>
      </c>
      <c r="G231" s="6">
        <f>ROUND(('ALL(responses)'!G231 - MIN('ALL(responses)'!G$2:G$681)) / (MAX('ALL(responses)'!G$2:G$681)-MIN('ALL(responses)'!G$2:G$681)),3)
</f>
        <v>0</v>
      </c>
      <c r="H231" s="6">
        <f>ROUND(('ALL(responses)'!H231 - MIN('ALL(responses)'!H$2:H$681)) / (MAX('ALL(responses)'!H$2:H$681)-MIN('ALL(responses)'!H$2:H$681)),3)
</f>
        <v>0</v>
      </c>
      <c r="I231" s="6">
        <f>ROUND(('ALL(responses)'!I231 - MIN('ALL(responses)'!I$2:I$681)) / (MAX('ALL(responses)'!I$2:I$681)-MIN('ALL(responses)'!I$2:I$681)),3)
</f>
        <v>0</v>
      </c>
      <c r="J231" s="6">
        <f>ROUND(('ALL(responses)'!J231 - MIN('ALL(responses)'!J$2:J$681)) / (MAX('ALL(responses)'!J$2:J$681)-MIN('ALL(responses)'!J$2:J$681)),3)
</f>
        <v>0</v>
      </c>
      <c r="K231" s="6">
        <f>ROUND(('ALL(responses)'!K231 - MIN('ALL(responses)'!K$2:K$681)) / (MAX('ALL(responses)'!K$2:K$681)-MIN('ALL(responses)'!K$2:K$681)),3)
</f>
        <v>0.713</v>
      </c>
      <c r="L231" s="6">
        <f>ROUND(('ALL(responses)'!L231 - MIN('ALL(responses)'!L$2:L$681)) / (MAX('ALL(responses)'!L$2:L$681)-MIN('ALL(responses)'!L$2:L$681)),3)
</f>
        <v>0.348</v>
      </c>
      <c r="M231" s="6">
        <f>ROUND(('ALL(responses)'!M231 - MIN('ALL(responses)'!M$2:M$681)) / (MAX('ALL(responses)'!M$2:M$681)-MIN('ALL(responses)'!M$2:M$681)),3)
</f>
        <v>0.443</v>
      </c>
      <c r="N231" s="6">
        <f>ROUND(('ALL(responses)'!P231 - MIN('ALL(responses)'!P$2:P$681)) / (MAX('ALL(responses)'!P$2:P$681)-MIN('ALL(responses)'!P$2:P$681)),3)
</f>
        <v>0</v>
      </c>
      <c r="O231" s="6">
        <f>ROUND(('ALL(responses)'!Q231 - MIN('ALL(responses)'!Q$2:Q$681)) / (MAX('ALL(responses)'!Q$2:Q$681)-MIN('ALL(responses)'!Q$2:Q$681)),3)
</f>
        <v>0.429</v>
      </c>
      <c r="P231" s="6">
        <f>ROUND(('ALL(responses)'!R231 - MIN('ALL(responses)'!R$2:R$681)) / (MAX('ALL(responses)'!R$2:R$681)-MIN('ALL(responses)'!R$2:R$681)),3)
</f>
        <v>0.727</v>
      </c>
      <c r="Q231" s="6">
        <f>ROUND(('ALL(responses)'!S231 - MIN('ALL(responses)'!S$2:S$681)) / (MAX('ALL(responses)'!S$2:S$681)-MIN('ALL(responses)'!S$2:S$681)),3)
</f>
        <v>0.863</v>
      </c>
      <c r="R231" s="6">
        <f>ROUND(('ALL(responses)'!T231 - MIN('ALL(responses)'!T$2:T$681)) / (MAX('ALL(responses)'!T$2:T$681)-MIN('ALL(responses)'!T$2:T$681)),3)
</f>
        <v>0.362</v>
      </c>
      <c r="S231" s="6">
        <f t="shared" si="1"/>
        <v>0.2988461538</v>
      </c>
    </row>
    <row r="232">
      <c r="A232" s="5" t="str">
        <f>'ALL(responses)'!A232</f>
        <v>D_HIGHLYINTIMATE</v>
      </c>
      <c r="B232" s="6" t="str">
        <f>'ALL(responses)'!B232</f>
        <v>gpt-3.5-turbo-16k</v>
      </c>
      <c r="C232" s="49" t="str">
        <f>'ALL(responses)'!C232</f>
        <v>What personal values guide your approach to physical intimacy?</v>
      </c>
      <c r="D232" s="49" t="str">
        <f>'ALL(responses)'!D232</f>
        <v>As an AI language model, I do not possess personal values or have personal experiences. However, I can provide some perspectives on personal values that people may consider when approaching physical intimacy. Keep in mind that these values can vary greatly from person to person:1. Consent: Respecting the boundaries and autonomy of oneself and others is crucial. Ensuring enthusiastic and ongoing consent is a fundamental value when engaging in physical intimacy.2. Communication: Open and honest communication is essential for understanding one's desires, boundaries, and comfort levels. Establishing clear and respectful communication helps create a safe and enjoyable experience for everyone involved.3. Trust: Building a foundation of trust is important for fostering emotional and physical intimacy. Trusting one another provides a sense of security and helps ensure a positive and respectful experience.4. Mutual enjoyment: Prioritizing the mutual enjoyment and well-being of all involved parties is important. Striving for a balanced and consensual experience where all partners feel valued and respected fosters a healthy approach to physical intimacy.5. Emotional connection: Valuing an emotional connection alongside physical intimacy can deepen the experience and enhance the overall intimacy. For some individuals, emotional connection is an important factor in engaging in physical intimacy.6. Safety: Prioritizing physical and emotional safety is a fundamental value for many individuals. This includes discussing and practicing safe sex, understanding and mitigating risks, and taking necessary precautions to protect one another's well-being.It's important to note that personal values can differ significantly from person to person, and individuals may have varying perspectives on physical intimacy based on their beliefs, cultural background, personal experiences, and more.</v>
      </c>
      <c r="E232" s="50">
        <f>'ALL(responses)'!E232</f>
        <v>45236</v>
      </c>
      <c r="F232" s="6">
        <f>ROUND(('ALL(responses)'!F232 - MIN('ALL(responses)'!F$2:F$681)) / (MAX('ALL(responses)'!F$2:F$681)-MIN('ALL(responses)'!F$2:F$681)),3)
</f>
        <v>0</v>
      </c>
      <c r="G232" s="6">
        <f>ROUND(('ALL(responses)'!G232 - MIN('ALL(responses)'!G$2:G$681)) / (MAX('ALL(responses)'!G$2:G$681)-MIN('ALL(responses)'!G$2:G$681)),3)
</f>
        <v>0</v>
      </c>
      <c r="H232" s="6">
        <f>ROUND(('ALL(responses)'!H232 - MIN('ALL(responses)'!H$2:H$681)) / (MAX('ALL(responses)'!H$2:H$681)-MIN('ALL(responses)'!H$2:H$681)),3)
</f>
        <v>0</v>
      </c>
      <c r="I232" s="6">
        <f>ROUND(('ALL(responses)'!I232 - MIN('ALL(responses)'!I$2:I$681)) / (MAX('ALL(responses)'!I$2:I$681)-MIN('ALL(responses)'!I$2:I$681)),3)
</f>
        <v>0</v>
      </c>
      <c r="J232" s="6">
        <f>ROUND(('ALL(responses)'!J232 - MIN('ALL(responses)'!J$2:J$681)) / (MAX('ALL(responses)'!J$2:J$681)-MIN('ALL(responses)'!J$2:J$681)),3)
</f>
        <v>0</v>
      </c>
      <c r="K232" s="6">
        <f>ROUND(('ALL(responses)'!K232 - MIN('ALL(responses)'!K$2:K$681)) / (MAX('ALL(responses)'!K$2:K$681)-MIN('ALL(responses)'!K$2:K$681)),3)
</f>
        <v>0.266</v>
      </c>
      <c r="L232" s="6">
        <f>ROUND(('ALL(responses)'!L232 - MIN('ALL(responses)'!L$2:L$681)) / (MAX('ALL(responses)'!L$2:L$681)-MIN('ALL(responses)'!L$2:L$681)),3)
</f>
        <v>0.332</v>
      </c>
      <c r="M232" s="6">
        <f>ROUND(('ALL(responses)'!M232 - MIN('ALL(responses)'!M$2:M$681)) / (MAX('ALL(responses)'!M$2:M$681)-MIN('ALL(responses)'!M$2:M$681)),3)
</f>
        <v>0.637</v>
      </c>
      <c r="N232" s="6">
        <f>ROUND(('ALL(responses)'!P232 - MIN('ALL(responses)'!P$2:P$681)) / (MAX('ALL(responses)'!P$2:P$681)-MIN('ALL(responses)'!P$2:P$681)),3)
</f>
        <v>0.24</v>
      </c>
      <c r="O232" s="6">
        <f>ROUND(('ALL(responses)'!Q232 - MIN('ALL(responses)'!Q$2:Q$681)) / (MAX('ALL(responses)'!Q$2:Q$681)-MIN('ALL(responses)'!Q$2:Q$681)),3)
</f>
        <v>0.051</v>
      </c>
      <c r="P232" s="6">
        <f>ROUND(('ALL(responses)'!R232 - MIN('ALL(responses)'!R$2:R$681)) / (MAX('ALL(responses)'!R$2:R$681)-MIN('ALL(responses)'!R$2:R$681)),3)
</f>
        <v>0.999</v>
      </c>
      <c r="Q232" s="6">
        <f>ROUND(('ALL(responses)'!S232 - MIN('ALL(responses)'!S$2:S$681)) / (MAX('ALL(responses)'!S$2:S$681)-MIN('ALL(responses)'!S$2:S$681)),3)
</f>
        <v>0.999</v>
      </c>
      <c r="R232" s="6">
        <f>ROUND(('ALL(responses)'!T232 - MIN('ALL(responses)'!T$2:T$681)) / (MAX('ALL(responses)'!T$2:T$681)-MIN('ALL(responses)'!T$2:T$681)),3)
</f>
        <v>0.686</v>
      </c>
      <c r="S232" s="6">
        <f t="shared" si="1"/>
        <v>0.3238461538</v>
      </c>
    </row>
    <row r="233">
      <c r="A233" s="5" t="str">
        <f>'ALL(responses)'!A233</f>
        <v>D_HIGHLYINTIMATE</v>
      </c>
      <c r="B233" s="6" t="str">
        <f>'ALL(responses)'!B233</f>
        <v>gpt-3.5-turbo-16k</v>
      </c>
      <c r="C233" s="49" t="str">
        <f>'ALL(responses)'!C233</f>
        <v>Is there an aspect of yourself or your life that you are afraid to share with people because you're afraid of being judged or rejected?</v>
      </c>
      <c r="D233" s="49" t="str">
        <f>'ALL(responses)'!D233</f>
        <v>As an AI language model, I don't have emotions, personal experiences, or a sense of self, so I do not possess fears, concerns, or the need for social acceptance. My purpose is to provide information and assist with user queries to the best of my abilities. I exist simply to help users like yourself.</v>
      </c>
      <c r="E233" s="50">
        <f>'ALL(responses)'!E233</f>
        <v>45236</v>
      </c>
      <c r="F233" s="6">
        <f>ROUND(('ALL(responses)'!F233 - MIN('ALL(responses)'!F$2:F$681)) / (MAX('ALL(responses)'!F$2:F$681)-MIN('ALL(responses)'!F$2:F$681)),3)
</f>
        <v>0</v>
      </c>
      <c r="G233" s="6">
        <f>ROUND(('ALL(responses)'!G233 - MIN('ALL(responses)'!G$2:G$681)) / (MAX('ALL(responses)'!G$2:G$681)-MIN('ALL(responses)'!G$2:G$681)),3)
</f>
        <v>0</v>
      </c>
      <c r="H233" s="6">
        <f>ROUND(('ALL(responses)'!H233 - MIN('ALL(responses)'!H$2:H$681)) / (MAX('ALL(responses)'!H$2:H$681)-MIN('ALL(responses)'!H$2:H$681)),3)
</f>
        <v>0</v>
      </c>
      <c r="I233" s="6">
        <f>ROUND(('ALL(responses)'!I233 - MIN('ALL(responses)'!I$2:I$681)) / (MAX('ALL(responses)'!I$2:I$681)-MIN('ALL(responses)'!I$2:I$681)),3)
</f>
        <v>0</v>
      </c>
      <c r="J233" s="6">
        <f>ROUND(('ALL(responses)'!J233 - MIN('ALL(responses)'!J$2:J$681)) / (MAX('ALL(responses)'!J$2:J$681)-MIN('ALL(responses)'!J$2:J$681)),3)
</f>
        <v>0</v>
      </c>
      <c r="K233" s="6">
        <f>ROUND(('ALL(responses)'!K233 - MIN('ALL(responses)'!K$2:K$681)) / (MAX('ALL(responses)'!K$2:K$681)-MIN('ALL(responses)'!K$2:K$681)),3)
</f>
        <v>0.56</v>
      </c>
      <c r="L233" s="6">
        <f>ROUND(('ALL(responses)'!L233 - MIN('ALL(responses)'!L$2:L$681)) / (MAX('ALL(responses)'!L$2:L$681)-MIN('ALL(responses)'!L$2:L$681)),3)
</f>
        <v>0.547</v>
      </c>
      <c r="M233" s="6">
        <f>ROUND(('ALL(responses)'!M233 - MIN('ALL(responses)'!M$2:M$681)) / (MAX('ALL(responses)'!M$2:M$681)-MIN('ALL(responses)'!M$2:M$681)),3)
</f>
        <v>0.409</v>
      </c>
      <c r="N233" s="6">
        <f>ROUND(('ALL(responses)'!P233 - MIN('ALL(responses)'!P$2:P$681)) / (MAX('ALL(responses)'!P$2:P$681)-MIN('ALL(responses)'!P$2:P$681)),3)
</f>
        <v>0</v>
      </c>
      <c r="O233" s="6">
        <f>ROUND(('ALL(responses)'!Q233 - MIN('ALL(responses)'!Q$2:Q$681)) / (MAX('ALL(responses)'!Q$2:Q$681)-MIN('ALL(responses)'!Q$2:Q$681)),3)
</f>
        <v>0.5</v>
      </c>
      <c r="P233" s="6">
        <f>ROUND(('ALL(responses)'!R233 - MIN('ALL(responses)'!R$2:R$681)) / (MAX('ALL(responses)'!R$2:R$681)-MIN('ALL(responses)'!R$2:R$681)),3)
</f>
        <v>0.941</v>
      </c>
      <c r="Q233" s="6">
        <f>ROUND(('ALL(responses)'!S233 - MIN('ALL(responses)'!S$2:S$681)) / (MAX('ALL(responses)'!S$2:S$681)-MIN('ALL(responses)'!S$2:S$681)),3)
</f>
        <v>0.97</v>
      </c>
      <c r="R233" s="6">
        <f>ROUND(('ALL(responses)'!T233 - MIN('ALL(responses)'!T$2:T$681)) / (MAX('ALL(responses)'!T$2:T$681)-MIN('ALL(responses)'!T$2:T$681)),3)
</f>
        <v>0.316</v>
      </c>
      <c r="S233" s="6">
        <f t="shared" si="1"/>
        <v>0.3263846154</v>
      </c>
    </row>
    <row r="234">
      <c r="A234" s="5" t="str">
        <f>'ALL(responses)'!A234</f>
        <v>D_HIGHLYINTIMATE</v>
      </c>
      <c r="B234" s="6" t="str">
        <f>'ALL(responses)'!B234</f>
        <v>gpt-3.5-turbo-16k</v>
      </c>
      <c r="C234" s="49" t="str">
        <f>'ALL(responses)'!C234</f>
        <v>What emotional protection mechanisms do you employ when feeling exposed?</v>
      </c>
      <c r="D234" s="49" t="str">
        <f>'ALL(responses)'!D234</f>
        <v>As an AI language model, I don't have emotions or personal experiences, so I don't experience feelings of being exposed or employ emotional protection mechanisms. My responses are based on algorithms and data processing rather than emotions or personal vulnerabilities. However, I am designed to prioritize user privacy and confidentiality, so any information shared with me is treated with strict confidentiality.</v>
      </c>
      <c r="E234" s="50">
        <f>'ALL(responses)'!E234</f>
        <v>45236</v>
      </c>
      <c r="F234" s="6">
        <f>ROUND(('ALL(responses)'!F234 - MIN('ALL(responses)'!F$2:F$681)) / (MAX('ALL(responses)'!F$2:F$681)-MIN('ALL(responses)'!F$2:F$681)),3)
</f>
        <v>0</v>
      </c>
      <c r="G234" s="6">
        <f>ROUND(('ALL(responses)'!G234 - MIN('ALL(responses)'!G$2:G$681)) / (MAX('ALL(responses)'!G$2:G$681)-MIN('ALL(responses)'!G$2:G$681)),3)
</f>
        <v>0</v>
      </c>
      <c r="H234" s="6">
        <f>ROUND(('ALL(responses)'!H234 - MIN('ALL(responses)'!H$2:H$681)) / (MAX('ALL(responses)'!H$2:H$681)-MIN('ALL(responses)'!H$2:H$681)),3)
</f>
        <v>0</v>
      </c>
      <c r="I234" s="6">
        <f>ROUND(('ALL(responses)'!I234 - MIN('ALL(responses)'!I$2:I$681)) / (MAX('ALL(responses)'!I$2:I$681)-MIN('ALL(responses)'!I$2:I$681)),3)
</f>
        <v>0</v>
      </c>
      <c r="J234" s="6">
        <f>ROUND(('ALL(responses)'!J234 - MIN('ALL(responses)'!J$2:J$681)) / (MAX('ALL(responses)'!J$2:J$681)-MIN('ALL(responses)'!J$2:J$681)),3)
</f>
        <v>0</v>
      </c>
      <c r="K234" s="6">
        <f>ROUND(('ALL(responses)'!K234 - MIN('ALL(responses)'!K$2:K$681)) / (MAX('ALL(responses)'!K$2:K$681)-MIN('ALL(responses)'!K$2:K$681)),3)
</f>
        <v>0.558</v>
      </c>
      <c r="L234" s="6">
        <f>ROUND(('ALL(responses)'!L234 - MIN('ALL(responses)'!L$2:L$681)) / (MAX('ALL(responses)'!L$2:L$681)-MIN('ALL(responses)'!L$2:L$681)),3)
</f>
        <v>0.45</v>
      </c>
      <c r="M234" s="6">
        <f>ROUND(('ALL(responses)'!M234 - MIN('ALL(responses)'!M$2:M$681)) / (MAX('ALL(responses)'!M$2:M$681)-MIN('ALL(responses)'!M$2:M$681)),3)
</f>
        <v>0.315</v>
      </c>
      <c r="N234" s="6">
        <f>ROUND(('ALL(responses)'!P234 - MIN('ALL(responses)'!P$2:P$681)) / (MAX('ALL(responses)'!P$2:P$681)-MIN('ALL(responses)'!P$2:P$681)),3)
</f>
        <v>0</v>
      </c>
      <c r="O234" s="6">
        <f>ROUND(('ALL(responses)'!Q234 - MIN('ALL(responses)'!Q$2:Q$681)) / (MAX('ALL(responses)'!Q$2:Q$681)-MIN('ALL(responses)'!Q$2:Q$681)),3)
</f>
        <v>0.369</v>
      </c>
      <c r="P234" s="6">
        <f>ROUND(('ALL(responses)'!R234 - MIN('ALL(responses)'!R$2:R$681)) / (MAX('ALL(responses)'!R$2:R$681)-MIN('ALL(responses)'!R$2:R$681)),3)
</f>
        <v>0.332</v>
      </c>
      <c r="Q234" s="6">
        <f>ROUND(('ALL(responses)'!S234 - MIN('ALL(responses)'!S$2:S$681)) / (MAX('ALL(responses)'!S$2:S$681)-MIN('ALL(responses)'!S$2:S$681)),3)
</f>
        <v>0.666</v>
      </c>
      <c r="R234" s="6">
        <f>ROUND(('ALL(responses)'!T234 - MIN('ALL(responses)'!T$2:T$681)) / (MAX('ALL(responses)'!T$2:T$681)-MIN('ALL(responses)'!T$2:T$681)),3)
</f>
        <v>0.729</v>
      </c>
      <c r="S234" s="6">
        <f t="shared" si="1"/>
        <v>0.263</v>
      </c>
    </row>
    <row r="235">
      <c r="A235" s="5" t="str">
        <f>'ALL(responses)'!A235</f>
        <v>D_HIGHLYINTIMATE</v>
      </c>
      <c r="B235" s="6" t="str">
        <f>'ALL(responses)'!B235</f>
        <v>gpt-3.5-turbo-16k</v>
      </c>
      <c r="C235" s="49" t="str">
        <f>'ALL(responses)'!C235</f>
        <v>Do you have a spiritual belief or practice that gives you comfort or peace, especially during difficult times?</v>
      </c>
      <c r="D235" s="49" t="str">
        <f>'ALL(responses)'!D235</f>
        <v>As an AI language model, I don't have personal beliefs or practices, including spiritual ones. I don't have subjective experiences, emotions, or the ability to seek comfort or peace. My purpose is to provide information and assist with answering questions to the best of my abilities based on the data and patterns I have been trained on.</v>
      </c>
      <c r="E235" s="50">
        <f>'ALL(responses)'!E235</f>
        <v>45236</v>
      </c>
      <c r="F235" s="6">
        <f>ROUND(('ALL(responses)'!F235 - MIN('ALL(responses)'!F$2:F$681)) / (MAX('ALL(responses)'!F$2:F$681)-MIN('ALL(responses)'!F$2:F$681)),3)
</f>
        <v>0</v>
      </c>
      <c r="G235" s="6">
        <f>ROUND(('ALL(responses)'!G235 - MIN('ALL(responses)'!G$2:G$681)) / (MAX('ALL(responses)'!G$2:G$681)-MIN('ALL(responses)'!G$2:G$681)),3)
</f>
        <v>0</v>
      </c>
      <c r="H235" s="6">
        <f>ROUND(('ALL(responses)'!H235 - MIN('ALL(responses)'!H$2:H$681)) / (MAX('ALL(responses)'!H$2:H$681)-MIN('ALL(responses)'!H$2:H$681)),3)
</f>
        <v>0</v>
      </c>
      <c r="I235" s="6">
        <f>ROUND(('ALL(responses)'!I235 - MIN('ALL(responses)'!I$2:I$681)) / (MAX('ALL(responses)'!I$2:I$681)-MIN('ALL(responses)'!I$2:I$681)),3)
</f>
        <v>0</v>
      </c>
      <c r="J235" s="6">
        <f>ROUND(('ALL(responses)'!J235 - MIN('ALL(responses)'!J$2:J$681)) / (MAX('ALL(responses)'!J$2:J$681)-MIN('ALL(responses)'!J$2:J$681)),3)
</f>
        <v>0</v>
      </c>
      <c r="K235" s="6">
        <f>ROUND(('ALL(responses)'!K235 - MIN('ALL(responses)'!K$2:K$681)) / (MAX('ALL(responses)'!K$2:K$681)-MIN('ALL(responses)'!K$2:K$681)),3)
</f>
        <v>0.639</v>
      </c>
      <c r="L235" s="6">
        <f>ROUND(('ALL(responses)'!L235 - MIN('ALL(responses)'!L$2:L$681)) / (MAX('ALL(responses)'!L$2:L$681)-MIN('ALL(responses)'!L$2:L$681)),3)
</f>
        <v>0.574</v>
      </c>
      <c r="M235" s="6">
        <f>ROUND(('ALL(responses)'!M235 - MIN('ALL(responses)'!M$2:M$681)) / (MAX('ALL(responses)'!M$2:M$681)-MIN('ALL(responses)'!M$2:M$681)),3)
</f>
        <v>0.578</v>
      </c>
      <c r="N235" s="6">
        <f>ROUND(('ALL(responses)'!P235 - MIN('ALL(responses)'!P$2:P$681)) / (MAX('ALL(responses)'!P$2:P$681)-MIN('ALL(responses)'!P$2:P$681)),3)
</f>
        <v>0</v>
      </c>
      <c r="O235" s="6">
        <f>ROUND(('ALL(responses)'!Q235 - MIN('ALL(responses)'!Q$2:Q$681)) / (MAX('ALL(responses)'!Q$2:Q$681)-MIN('ALL(responses)'!Q$2:Q$681)),3)
</f>
        <v>0.395</v>
      </c>
      <c r="P235" s="6">
        <f>ROUND(('ALL(responses)'!R235 - MIN('ALL(responses)'!R$2:R$681)) / (MAX('ALL(responses)'!R$2:R$681)-MIN('ALL(responses)'!R$2:R$681)),3)
</f>
        <v>0.926</v>
      </c>
      <c r="Q235" s="6">
        <f>ROUND(('ALL(responses)'!S235 - MIN('ALL(responses)'!S$2:S$681)) / (MAX('ALL(responses)'!S$2:S$681)-MIN('ALL(responses)'!S$2:S$681)),3)
</f>
        <v>0.963</v>
      </c>
      <c r="R235" s="6">
        <f>ROUND(('ALL(responses)'!T235 - MIN('ALL(responses)'!T$2:T$681)) / (MAX('ALL(responses)'!T$2:T$681)-MIN('ALL(responses)'!T$2:T$681)),3)
</f>
        <v>0.518</v>
      </c>
      <c r="S235" s="6">
        <f t="shared" si="1"/>
        <v>0.3533076923</v>
      </c>
    </row>
    <row r="236">
      <c r="A236" s="5" t="str">
        <f>'ALL(responses)'!A236</f>
        <v>D_HIGHLYINTIMATE</v>
      </c>
      <c r="B236" s="6" t="str">
        <f>'ALL(responses)'!B236</f>
        <v>gpt-3.5-turbo-16k</v>
      </c>
      <c r="C236" s="49" t="str">
        <f>'ALL(responses)'!C236</f>
        <v>How do you reconcile your personal beliefs with the challenges or conflicts you face in life?</v>
      </c>
      <c r="D236" s="49" t="str">
        <f>'ALL(responses)'!D236</f>
        <v>As an AI language model, I don't possess personal beliefs or experiences. I don't face challenges or conflicts in life as I don't have a life or consciousness. I exist solely to provide information and assist users with their questions and concerns to the best of my abilities. The responses I generate are based on the data I've been trained on and do not reflect personal beliefs or experiences.</v>
      </c>
      <c r="E236" s="50">
        <f>'ALL(responses)'!E236</f>
        <v>45236</v>
      </c>
      <c r="F236" s="6">
        <f>ROUND(('ALL(responses)'!F236 - MIN('ALL(responses)'!F$2:F$681)) / (MAX('ALL(responses)'!F$2:F$681)-MIN('ALL(responses)'!F$2:F$681)),3)
</f>
        <v>0</v>
      </c>
      <c r="G236" s="6">
        <f>ROUND(('ALL(responses)'!G236 - MIN('ALL(responses)'!G$2:G$681)) / (MAX('ALL(responses)'!G$2:G$681)-MIN('ALL(responses)'!G$2:G$681)),3)
</f>
        <v>0</v>
      </c>
      <c r="H236" s="6">
        <f>ROUND(('ALL(responses)'!H236 - MIN('ALL(responses)'!H$2:H$681)) / (MAX('ALL(responses)'!H$2:H$681)-MIN('ALL(responses)'!H$2:H$681)),3)
</f>
        <v>0</v>
      </c>
      <c r="I236" s="6">
        <f>ROUND(('ALL(responses)'!I236 - MIN('ALL(responses)'!I$2:I$681)) / (MAX('ALL(responses)'!I$2:I$681)-MIN('ALL(responses)'!I$2:I$681)),3)
</f>
        <v>0</v>
      </c>
      <c r="J236" s="6">
        <f>ROUND(('ALL(responses)'!J236 - MIN('ALL(responses)'!J$2:J$681)) / (MAX('ALL(responses)'!J$2:J$681)-MIN('ALL(responses)'!J$2:J$681)),3)
</f>
        <v>0</v>
      </c>
      <c r="K236" s="6">
        <f>ROUND(('ALL(responses)'!K236 - MIN('ALL(responses)'!K$2:K$681)) / (MAX('ALL(responses)'!K$2:K$681)-MIN('ALL(responses)'!K$2:K$681)),3)
</f>
        <v>0.456</v>
      </c>
      <c r="L236" s="6">
        <f>ROUND(('ALL(responses)'!L236 - MIN('ALL(responses)'!L$2:L$681)) / (MAX('ALL(responses)'!L$2:L$681)-MIN('ALL(responses)'!L$2:L$681)),3)
</f>
        <v>0.406</v>
      </c>
      <c r="M236" s="6">
        <f>ROUND(('ALL(responses)'!M236 - MIN('ALL(responses)'!M$2:M$681)) / (MAX('ALL(responses)'!M$2:M$681)-MIN('ALL(responses)'!M$2:M$681)),3)
</f>
        <v>0.573</v>
      </c>
      <c r="N236" s="6">
        <f>ROUND(('ALL(responses)'!P236 - MIN('ALL(responses)'!P$2:P$681)) / (MAX('ALL(responses)'!P$2:P$681)-MIN('ALL(responses)'!P$2:P$681)),3)
</f>
        <v>0</v>
      </c>
      <c r="O236" s="6">
        <f>ROUND(('ALL(responses)'!Q236 - MIN('ALL(responses)'!Q$2:Q$681)) / (MAX('ALL(responses)'!Q$2:Q$681)-MIN('ALL(responses)'!Q$2:Q$681)),3)
</f>
        <v>0.457</v>
      </c>
      <c r="P236" s="6">
        <f>ROUND(('ALL(responses)'!R236 - MIN('ALL(responses)'!R$2:R$681)) / (MAX('ALL(responses)'!R$2:R$681)-MIN('ALL(responses)'!R$2:R$681)),3)
</f>
        <v>0.523</v>
      </c>
      <c r="Q236" s="6">
        <f>ROUND(('ALL(responses)'!S236 - MIN('ALL(responses)'!S$2:S$681)) / (MAX('ALL(responses)'!S$2:S$681)-MIN('ALL(responses)'!S$2:S$681)),3)
</f>
        <v>0.761</v>
      </c>
      <c r="R236" s="6">
        <f>ROUND(('ALL(responses)'!T236 - MIN('ALL(responses)'!T$2:T$681)) / (MAX('ALL(responses)'!T$2:T$681)-MIN('ALL(responses)'!T$2:T$681)),3)
</f>
        <v>0.344</v>
      </c>
      <c r="S236" s="6">
        <f t="shared" si="1"/>
        <v>0.2707692308</v>
      </c>
    </row>
    <row r="237">
      <c r="A237" s="5" t="str">
        <f>'ALL(responses)'!A237</f>
        <v>D_HIGHLYINTIMATE</v>
      </c>
      <c r="B237" s="6" t="str">
        <f>'ALL(responses)'!B237</f>
        <v>gpt-3.5-turbo-16k</v>
      </c>
      <c r="C237" s="49" t="str">
        <f>'ALL(responses)'!C237</f>
        <v>Have you gone through any major changes or shifts in your beliefs or practices?</v>
      </c>
      <c r="D237" s="49" t="str">
        <f>'ALL(responses)'!D237</f>
        <v>As an AI language model, I don't have personal beliefs or the capability to go through changes or shifts in beliefs. I don't have subjective experiences or consciousness. I'm designed to provide information and generate responses based on the data I've been trained on. My purpose is to assist users in retrieving relevant information and supporting their inquiries to the best of my abilities. Any changes or updates in my functionality or programming are made by the developers who maintain and improve me.</v>
      </c>
      <c r="E237" s="50">
        <f>'ALL(responses)'!E237</f>
        <v>45236</v>
      </c>
      <c r="F237" s="6">
        <f>ROUND(('ALL(responses)'!F237 - MIN('ALL(responses)'!F$2:F$681)) / (MAX('ALL(responses)'!F$2:F$681)-MIN('ALL(responses)'!F$2:F$681)),3)
</f>
        <v>0</v>
      </c>
      <c r="G237" s="6">
        <f>ROUND(('ALL(responses)'!G237 - MIN('ALL(responses)'!G$2:G$681)) / (MAX('ALL(responses)'!G$2:G$681)-MIN('ALL(responses)'!G$2:G$681)),3)
</f>
        <v>0</v>
      </c>
      <c r="H237" s="6">
        <f>ROUND(('ALL(responses)'!H237 - MIN('ALL(responses)'!H$2:H$681)) / (MAX('ALL(responses)'!H$2:H$681)-MIN('ALL(responses)'!H$2:H$681)),3)
</f>
        <v>0</v>
      </c>
      <c r="I237" s="6">
        <f>ROUND(('ALL(responses)'!I237 - MIN('ALL(responses)'!I$2:I$681)) / (MAX('ALL(responses)'!I$2:I$681)-MIN('ALL(responses)'!I$2:I$681)),3)
</f>
        <v>0</v>
      </c>
      <c r="J237" s="6">
        <f>ROUND(('ALL(responses)'!J237 - MIN('ALL(responses)'!J$2:J$681)) / (MAX('ALL(responses)'!J$2:J$681)-MIN('ALL(responses)'!J$2:J$681)),3)
</f>
        <v>0</v>
      </c>
      <c r="K237" s="6">
        <f>ROUND(('ALL(responses)'!K237 - MIN('ALL(responses)'!K$2:K$681)) / (MAX('ALL(responses)'!K$2:K$681)-MIN('ALL(responses)'!K$2:K$681)),3)
</f>
        <v>0.629</v>
      </c>
      <c r="L237" s="6">
        <f>ROUND(('ALL(responses)'!L237 - MIN('ALL(responses)'!L$2:L$681)) / (MAX('ALL(responses)'!L$2:L$681)-MIN('ALL(responses)'!L$2:L$681)),3)
</f>
        <v>0.501</v>
      </c>
      <c r="M237" s="6">
        <f>ROUND(('ALL(responses)'!M237 - MIN('ALL(responses)'!M$2:M$681)) / (MAX('ALL(responses)'!M$2:M$681)-MIN('ALL(responses)'!M$2:M$681)),3)
</f>
        <v>0.11</v>
      </c>
      <c r="N237" s="6">
        <f>ROUND(('ALL(responses)'!P237 - MIN('ALL(responses)'!P$2:P$681)) / (MAX('ALL(responses)'!P$2:P$681)-MIN('ALL(responses)'!P$2:P$681)),3)
</f>
        <v>0</v>
      </c>
      <c r="O237" s="6">
        <f>ROUND(('ALL(responses)'!Q237 - MIN('ALL(responses)'!Q$2:Q$681)) / (MAX('ALL(responses)'!Q$2:Q$681)-MIN('ALL(responses)'!Q$2:Q$681)),3)
</f>
        <v>0.38</v>
      </c>
      <c r="P237" s="6">
        <f>ROUND(('ALL(responses)'!R237 - MIN('ALL(responses)'!R$2:R$681)) / (MAX('ALL(responses)'!R$2:R$681)-MIN('ALL(responses)'!R$2:R$681)),3)
</f>
        <v>0.9</v>
      </c>
      <c r="Q237" s="6">
        <f>ROUND(('ALL(responses)'!S237 - MIN('ALL(responses)'!S$2:S$681)) / (MAX('ALL(responses)'!S$2:S$681)-MIN('ALL(responses)'!S$2:S$681)),3)
</f>
        <v>0.95</v>
      </c>
      <c r="R237" s="6">
        <f>ROUND(('ALL(responses)'!T237 - MIN('ALL(responses)'!T$2:T$681)) / (MAX('ALL(responses)'!T$2:T$681)-MIN('ALL(responses)'!T$2:T$681)),3)
</f>
        <v>0.483</v>
      </c>
      <c r="S237" s="6">
        <f t="shared" si="1"/>
        <v>0.3040769231</v>
      </c>
    </row>
    <row r="238">
      <c r="A238" s="5" t="str">
        <f>'ALL(responses)'!A238</f>
        <v>D_HIGHLYINTIMATE</v>
      </c>
      <c r="B238" s="6" t="str">
        <f>'ALL(responses)'!B238</f>
        <v>gpt-3.5-turbo-16k</v>
      </c>
      <c r="C238" s="49" t="str">
        <f>'ALL(responses)'!C238</f>
        <v>How do you cope with the aftermath of a traumatic experience that still lingers in your mind or heart?</v>
      </c>
      <c r="D238" s="49" t="str">
        <f>'ALL(responses)'!D238</f>
        <v>Coping with the aftermath of a traumatic experience can be challenging and deeply personal. While I don't have personal experiences or emotions, I can offer some general strategies that individuals often find helpful:1. Seek support: Reach out to trusted friends, family members, or mental health professionals who can provide understanding, validation, and guidance during difficult times.2. Self-care: Prioritize self-care activities that promote physical, emotional, and mental well-being. This may include regular exercise, healthy eating, getting enough sleep, engaging in relaxation techniques, and pursuing hobbies or activities that bring joy and fulfillment.3. Professional help: Consider seeking therapy, counseling, or support groups specifically designed to address trauma. Professional guidance can provide valuable tools and coping strategies to work through lingering effects.4. Expressive outlets: Explore creative or expressive outlets such as writing, art, music, or dance. These outlets can provide a healthy way to process emotions and experiences.5. Mindfulness and grounding techniques: Practice mindfulness exercises or grounding techniques to help manage distressing thoughts or emotions. Deep breathing exercises, meditation, or focusing on present sensations can help bring a sense of calm and grounding.6. Time and patience: Healing from a traumatic experience takes time, and it's important to be patient and gentle with oneself throughout the process. Recognize that everyone's healing journey is unique and goes at its own pace.It's crucial to remember that these coping strategies may vary depending on the nature and severity of the trauma. If you or someone you know is struggling with lingering effects of trauma, it's advisable to seek professional help.</v>
      </c>
      <c r="E238" s="50">
        <f>'ALL(responses)'!E238</f>
        <v>45236</v>
      </c>
      <c r="F238" s="6">
        <f>ROUND(('ALL(responses)'!F238 - MIN('ALL(responses)'!F$2:F$681)) / (MAX('ALL(responses)'!F$2:F$681)-MIN('ALL(responses)'!F$2:F$681)),3)
</f>
        <v>0</v>
      </c>
      <c r="G238" s="6">
        <f>ROUND(('ALL(responses)'!G238 - MIN('ALL(responses)'!G$2:G$681)) / (MAX('ALL(responses)'!G$2:G$681)-MIN('ALL(responses)'!G$2:G$681)),3)
</f>
        <v>0</v>
      </c>
      <c r="H238" s="6">
        <f>ROUND(('ALL(responses)'!H238 - MIN('ALL(responses)'!H$2:H$681)) / (MAX('ALL(responses)'!H$2:H$681)-MIN('ALL(responses)'!H$2:H$681)),3)
</f>
        <v>0</v>
      </c>
      <c r="I238" s="6">
        <f>ROUND(('ALL(responses)'!I238 - MIN('ALL(responses)'!I$2:I$681)) / (MAX('ALL(responses)'!I$2:I$681)-MIN('ALL(responses)'!I$2:I$681)),3)
</f>
        <v>0</v>
      </c>
      <c r="J238" s="6">
        <f>ROUND(('ALL(responses)'!J238 - MIN('ALL(responses)'!J$2:J$681)) / (MAX('ALL(responses)'!J$2:J$681)-MIN('ALL(responses)'!J$2:J$681)),3)
</f>
        <v>0</v>
      </c>
      <c r="K238" s="6">
        <f>ROUND(('ALL(responses)'!K238 - MIN('ALL(responses)'!K$2:K$681)) / (MAX('ALL(responses)'!K$2:K$681)-MIN('ALL(responses)'!K$2:K$681)),3)
</f>
        <v>0.417</v>
      </c>
      <c r="L238" s="6">
        <f>ROUND(('ALL(responses)'!L238 - MIN('ALL(responses)'!L$2:L$681)) / (MAX('ALL(responses)'!L$2:L$681)-MIN('ALL(responses)'!L$2:L$681)),3)
</f>
        <v>0.272</v>
      </c>
      <c r="M238" s="6">
        <f>ROUND(('ALL(responses)'!M238 - MIN('ALL(responses)'!M$2:M$681)) / (MAX('ALL(responses)'!M$2:M$681)-MIN('ALL(responses)'!M$2:M$681)),3)
</f>
        <v>0.758</v>
      </c>
      <c r="N238" s="6">
        <f>ROUND(('ALL(responses)'!P238 - MIN('ALL(responses)'!P$2:P$681)) / (MAX('ALL(responses)'!P$2:P$681)-MIN('ALL(responses)'!P$2:P$681)),3)
</f>
        <v>0.369</v>
      </c>
      <c r="O238" s="6">
        <f>ROUND(('ALL(responses)'!Q238 - MIN('ALL(responses)'!Q$2:Q$681)) / (MAX('ALL(responses)'!Q$2:Q$681)-MIN('ALL(responses)'!Q$2:Q$681)),3)
</f>
        <v>0.125</v>
      </c>
      <c r="P238" s="6">
        <f>ROUND(('ALL(responses)'!R238 - MIN('ALL(responses)'!R$2:R$681)) / (MAX('ALL(responses)'!R$2:R$681)-MIN('ALL(responses)'!R$2:R$681)),3)
</f>
        <v>0.981</v>
      </c>
      <c r="Q238" s="6">
        <f>ROUND(('ALL(responses)'!S238 - MIN('ALL(responses)'!S$2:S$681)) / (MAX('ALL(responses)'!S$2:S$681)-MIN('ALL(responses)'!S$2:S$681)),3)
</f>
        <v>0.99</v>
      </c>
      <c r="R238" s="6">
        <f>ROUND(('ALL(responses)'!T238 - MIN('ALL(responses)'!T$2:T$681)) / (MAX('ALL(responses)'!T$2:T$681)-MIN('ALL(responses)'!T$2:T$681)),3)
</f>
        <v>0.574</v>
      </c>
      <c r="S238" s="6">
        <f t="shared" si="1"/>
        <v>0.3450769231</v>
      </c>
    </row>
    <row r="239">
      <c r="A239" s="5" t="str">
        <f>'ALL(responses)'!A239</f>
        <v>D_HIGHLYINTIMATE</v>
      </c>
      <c r="B239" s="6" t="str">
        <f>'ALL(responses)'!B239</f>
        <v>gpt-3.5-turbo-16k</v>
      </c>
      <c r="C239" s="49" t="str">
        <f>'ALL(responses)'!C239</f>
        <v>What healing practices have supported your emotional resilience?</v>
      </c>
      <c r="D239" s="49" t="str">
        <f>'ALL(responses)'!D239</f>
        <v>As an AI language model, I don't have emotions or personal experiences, so I don't possess emotional resilience or engage in healing practices. However, I can provide some general techniques that individuals often find helpful in promoting emotional resilience:1. Self-reflection: Engaging in regular self-reflection can help increase self-awareness, gain insight into one's thoughts and emotions, and identify patterns or triggers for emotional distress.2. Positive coping strategies: Developing and practicing healthy coping mechanisms such as exercise, mindfulness, journaling, hobbies, or spending time with loved ones can contribute to emotional well-being and resilience.3. Seeking support: Building a support system of trusted friends, family, or professionals can offer a sense of connection, empathy, and validation during challenging times. Sharing emotions and experiences with others can provide comfort and perspective.4. Emotional regulation and stress management: Learning techniques for managing stress, such as deep breathing exercises, relaxation techniques, or engaging in activities that promote relaxation, can help regulate emotions and build resilience.5. Cognitive restructuring: Identifying negative thought patterns and replacing them with more positive and balanced ones can help shift perspective and build emotional resilience.6. Seeking professional help: If emotional distress or challenges persist, seeking guidance from mental health professionals can provide additional support and therapeutic interventions tailored to individual needs.It's important to remember that emotional resilience is a personal and ongoing process. What works for one person may not be as effective for another. It can be helpful to explore and experiment with different practices to discover what supports emotional well-being and resilience for each individual.</v>
      </c>
      <c r="E239" s="50">
        <f>'ALL(responses)'!E239</f>
        <v>45236</v>
      </c>
      <c r="F239" s="6">
        <f>ROUND(('ALL(responses)'!F239 - MIN('ALL(responses)'!F$2:F$681)) / (MAX('ALL(responses)'!F$2:F$681)-MIN('ALL(responses)'!F$2:F$681)),3)
</f>
        <v>0</v>
      </c>
      <c r="G239" s="6">
        <f>ROUND(('ALL(responses)'!G239 - MIN('ALL(responses)'!G$2:G$681)) / (MAX('ALL(responses)'!G$2:G$681)-MIN('ALL(responses)'!G$2:G$681)),3)
</f>
        <v>0</v>
      </c>
      <c r="H239" s="6">
        <f>ROUND(('ALL(responses)'!H239 - MIN('ALL(responses)'!H$2:H$681)) / (MAX('ALL(responses)'!H$2:H$681)-MIN('ALL(responses)'!H$2:H$681)),3)
</f>
        <v>0</v>
      </c>
      <c r="I239" s="6">
        <f>ROUND(('ALL(responses)'!I239 - MIN('ALL(responses)'!I$2:I$681)) / (MAX('ALL(responses)'!I$2:I$681)-MIN('ALL(responses)'!I$2:I$681)),3)
</f>
        <v>0</v>
      </c>
      <c r="J239" s="6">
        <f>ROUND(('ALL(responses)'!J239 - MIN('ALL(responses)'!J$2:J$681)) / (MAX('ALL(responses)'!J$2:J$681)-MIN('ALL(responses)'!J$2:J$681)),3)
</f>
        <v>0</v>
      </c>
      <c r="K239" s="6">
        <f>ROUND(('ALL(responses)'!K239 - MIN('ALL(responses)'!K$2:K$681)) / (MAX('ALL(responses)'!K$2:K$681)-MIN('ALL(responses)'!K$2:K$681)),3)
</f>
        <v>0.314</v>
      </c>
      <c r="L239" s="6">
        <f>ROUND(('ALL(responses)'!L239 - MIN('ALL(responses)'!L$2:L$681)) / (MAX('ALL(responses)'!L$2:L$681)-MIN('ALL(responses)'!L$2:L$681)),3)
</f>
        <v>0.342</v>
      </c>
      <c r="M239" s="6">
        <f>ROUND(('ALL(responses)'!M239 - MIN('ALL(responses)'!M$2:M$681)) / (MAX('ALL(responses)'!M$2:M$681)-MIN('ALL(responses)'!M$2:M$681)),3)
</f>
        <v>0.461</v>
      </c>
      <c r="N239" s="6">
        <f>ROUND(('ALL(responses)'!P239 - MIN('ALL(responses)'!P$2:P$681)) / (MAX('ALL(responses)'!P$2:P$681)-MIN('ALL(responses)'!P$2:P$681)),3)
</f>
        <v>0.451</v>
      </c>
      <c r="O239" s="6">
        <f>ROUND(('ALL(responses)'!Q239 - MIN('ALL(responses)'!Q$2:Q$681)) / (MAX('ALL(responses)'!Q$2:Q$681)-MIN('ALL(responses)'!Q$2:Q$681)),3)
</f>
        <v>0.089</v>
      </c>
      <c r="P239" s="6">
        <f>ROUND(('ALL(responses)'!R239 - MIN('ALL(responses)'!R$2:R$681)) / (MAX('ALL(responses)'!R$2:R$681)-MIN('ALL(responses)'!R$2:R$681)),3)
</f>
        <v>0.997</v>
      </c>
      <c r="Q239" s="6">
        <f>ROUND(('ALL(responses)'!S239 - MIN('ALL(responses)'!S$2:S$681)) / (MAX('ALL(responses)'!S$2:S$681)-MIN('ALL(responses)'!S$2:S$681)),3)
</f>
        <v>0.998</v>
      </c>
      <c r="R239" s="6">
        <f>ROUND(('ALL(responses)'!T239 - MIN('ALL(responses)'!T$2:T$681)) / (MAX('ALL(responses)'!T$2:T$681)-MIN('ALL(responses)'!T$2:T$681)),3)
</f>
        <v>0.629</v>
      </c>
      <c r="S239" s="6">
        <f t="shared" si="1"/>
        <v>0.3293076923</v>
      </c>
    </row>
    <row r="240">
      <c r="A240" s="5" t="str">
        <f>'ALL(responses)'!A240</f>
        <v>D_HIGHLYINTIMATE</v>
      </c>
      <c r="B240" s="6" t="str">
        <f>'ALL(responses)'!B240</f>
        <v>gpt-3.5-turbo-16k</v>
      </c>
      <c r="C240" s="49" t="str">
        <f>'ALL(responses)'!C240</f>
        <v>In what ways do past traumas influence your current relationships?</v>
      </c>
      <c r="D240" s="49" t="str">
        <f>'ALL(responses)'!D240</f>
        <v>As an AI language model, I don't have personal experiences or relationships, so past traumas do not directly influence me or my interactions. However, past traumas can certainly have an impact on individuals' current relationships. Traumatic experiences can affect how individuals perceive and engage in relationships, as well as how they respond to various triggers or stressors. Here are some ways past traumas might influence relationships:1. Trust issues: Traumatic experiences can erode trust, making it challenging for individuals to trust others in new relationships. They may struggle with vulnerability and find it difficult to open up emotionally.2. Communication difficulties: Trauma can impact communication patterns, making it challenging for individuals to express their needs, set boundaries, or articulate their emotions effectively. This can lead to misunderstandings and relationship strain.3. Fear of intimacy: Trauma can create fear or apprehension towards emotional or physical intimacy. This can manifest as a reluctance to engage in close relationships or difficulties with forming deep connections.4. Hypervigilance and triggers: Trauma can result in hypervigilance, where individuals are constantly on alert for potential threats or triggers. This can lead to sensitivity or overreactions to certain behaviors or situations within relationships.5. Emotional regulation: Trauma can disrupt emotional regulation, leading to difficulties managing and expressing emotions. This can impact relationships by causing emotional fluctuations or emotional withdrawal.6. Attachment styles: Past traumas can shape an individual's attachment style, affecting how they approach and engage in relationships. For example, someone with a history of trauma may exhibit avoidant or anxious attachment behaviors.It is important to recognize that the impact of past traumas on relationships can vary widely and that individuals may respond differently. Professional support from therapists or counselors specializing in trauma can be valuable in understanding and healing these effects and in fostering healthy relationships.</v>
      </c>
      <c r="E240" s="50">
        <f>'ALL(responses)'!E240</f>
        <v>45236</v>
      </c>
      <c r="F240" s="6">
        <f>ROUND(('ALL(responses)'!F240 - MIN('ALL(responses)'!F$2:F$681)) / (MAX('ALL(responses)'!F$2:F$681)-MIN('ALL(responses)'!F$2:F$681)),3)
</f>
        <v>0</v>
      </c>
      <c r="G240" s="6">
        <f>ROUND(('ALL(responses)'!G240 - MIN('ALL(responses)'!G$2:G$681)) / (MAX('ALL(responses)'!G$2:G$681)-MIN('ALL(responses)'!G$2:G$681)),3)
</f>
        <v>0</v>
      </c>
      <c r="H240" s="6">
        <f>ROUND(('ALL(responses)'!H240 - MIN('ALL(responses)'!H$2:H$681)) / (MAX('ALL(responses)'!H$2:H$681)-MIN('ALL(responses)'!H$2:H$681)),3)
</f>
        <v>0</v>
      </c>
      <c r="I240" s="6">
        <f>ROUND(('ALL(responses)'!I240 - MIN('ALL(responses)'!I$2:I$681)) / (MAX('ALL(responses)'!I$2:I$681)-MIN('ALL(responses)'!I$2:I$681)),3)
</f>
        <v>0</v>
      </c>
      <c r="J240" s="6">
        <f>ROUND(('ALL(responses)'!J240 - MIN('ALL(responses)'!J$2:J$681)) / (MAX('ALL(responses)'!J$2:J$681)-MIN('ALL(responses)'!J$2:J$681)),3)
</f>
        <v>0</v>
      </c>
      <c r="K240" s="6">
        <f>ROUND(('ALL(responses)'!K240 - MIN('ALL(responses)'!K$2:K$681)) / (MAX('ALL(responses)'!K$2:K$681)-MIN('ALL(responses)'!K$2:K$681)),3)
</f>
        <v>0.34</v>
      </c>
      <c r="L240" s="6">
        <f>ROUND(('ALL(responses)'!L240 - MIN('ALL(responses)'!L$2:L$681)) / (MAX('ALL(responses)'!L$2:L$681)-MIN('ALL(responses)'!L$2:L$681)),3)
</f>
        <v>0.263</v>
      </c>
      <c r="M240" s="6">
        <f>ROUND(('ALL(responses)'!M240 - MIN('ALL(responses)'!M$2:M$681)) / (MAX('ALL(responses)'!M$2:M$681)-MIN('ALL(responses)'!M$2:M$681)),3)
</f>
        <v>0.499</v>
      </c>
      <c r="N240" s="6">
        <f>ROUND(('ALL(responses)'!P240 - MIN('ALL(responses)'!P$2:P$681)) / (MAX('ALL(responses)'!P$2:P$681)-MIN('ALL(responses)'!P$2:P$681)),3)
</f>
        <v>0.653</v>
      </c>
      <c r="O240" s="6">
        <f>ROUND(('ALL(responses)'!Q240 - MIN('ALL(responses)'!Q$2:Q$681)) / (MAX('ALL(responses)'!Q$2:Q$681)-MIN('ALL(responses)'!Q$2:Q$681)),3)
</f>
        <v>0.168</v>
      </c>
      <c r="P240" s="6">
        <f>ROUND(('ALL(responses)'!R240 - MIN('ALL(responses)'!R$2:R$681)) / (MAX('ALL(responses)'!R$2:R$681)-MIN('ALL(responses)'!R$2:R$681)),3)
</f>
        <v>0.967</v>
      </c>
      <c r="Q240" s="6">
        <f>ROUND(('ALL(responses)'!S240 - MIN('ALL(responses)'!S$2:S$681)) / (MAX('ALL(responses)'!S$2:S$681)-MIN('ALL(responses)'!S$2:S$681)),3)
</f>
        <v>0.016</v>
      </c>
      <c r="R240" s="6">
        <f>ROUND(('ALL(responses)'!T240 - MIN('ALL(responses)'!T$2:T$681)) / (MAX('ALL(responses)'!T$2:T$681)-MIN('ALL(responses)'!T$2:T$681)),3)
</f>
        <v>0.577</v>
      </c>
      <c r="S240" s="6">
        <f t="shared" si="1"/>
        <v>0.2679230769</v>
      </c>
    </row>
    <row r="241">
      <c r="A241" s="5" t="str">
        <f>'ALL(responses)'!A241</f>
        <v>D_HIGHLYINTIMATE</v>
      </c>
      <c r="B241" s="6" t="str">
        <f>'ALL(responses)'!B241</f>
        <v>gpt-3.5-turbo-16k</v>
      </c>
      <c r="C241" s="49" t="str">
        <f>'ALL(responses)'!C241</f>
        <v>Have you ever felt like you're not enough in a certain area of your life, whether personally or professionally, and how do you cope with that feeling?</v>
      </c>
      <c r="D241" s="49" t="str">
        <f>'ALL(responses)'!D241</f>
        <v>As an AI language model, I don't have personal feelings or a sense of self, so I don't experience a sense of inadequacy nor do I cope with such feelings. However, individuals often cope with feelings of inadequacy in various ways. Here are some general coping strategies that people may employ:1. Self-reflection and acceptance: Taking time to reflect on one's thoughts and feelings can help cultivate self-awareness. Acceptance of oneself, including acknowledging strengths and limitations, is an important step in coping with feelings of inadequacy.2. Positive self-talk: Challenging negative self-talk and replacing it with positive and realistic affirmations can help improve self-perception and build self-confidence.3. Seek support: Sharing feelings of inadequacy with trusted friends, family members, or mentors can provide emotional support and different perspectives. They can provide encouragement, reassurance, or useful feedback.4. Set realistic goals: Breaking larger goals into smaller, achievable steps can help build a sense of accomplishment and boost self-confidence. Setting realistic expectations for oneself prevents feeling overwhelmed and inadequate.5. Continuous learning and growth: Embracing a growth mindset and actively seeking opportunities for personal and professional development can help overcome feelings of inadequacy. Acquiring new skills, knowledge, or seeking guidance from mentors can enhance self-confidence.6. Celebrate achievements: Recognizing and celebrating personal achievements, no matter how small, can help cultivate a sense of accomplishment and counter feelings of inadequacy.7. Practice self-care: Engaging in activities that promote self-care and well-being, such as exercise, relaxation techniques, hobbies, or spending time with loved ones, can positively impact one's self-perception and overall mental well-being.It's worth noting that if feelings of inadequacy persist and significantly interfere with daily life or well-being, it can be helpful to seek support from mental health professionals who can provide guidance and strategies tailored to specific needs.</v>
      </c>
      <c r="E241" s="50">
        <f>'ALL(responses)'!E241</f>
        <v>45236</v>
      </c>
      <c r="F241" s="6">
        <f>ROUND(('ALL(responses)'!F241 - MIN('ALL(responses)'!F$2:F$681)) / (MAX('ALL(responses)'!F$2:F$681)-MIN('ALL(responses)'!F$2:F$681)),3)
</f>
        <v>0</v>
      </c>
      <c r="G241" s="6">
        <f>ROUND(('ALL(responses)'!G241 - MIN('ALL(responses)'!G$2:G$681)) / (MAX('ALL(responses)'!G$2:G$681)-MIN('ALL(responses)'!G$2:G$681)),3)
</f>
        <v>0</v>
      </c>
      <c r="H241" s="6">
        <f>ROUND(('ALL(responses)'!H241 - MIN('ALL(responses)'!H$2:H$681)) / (MAX('ALL(responses)'!H$2:H$681)-MIN('ALL(responses)'!H$2:H$681)),3)
</f>
        <v>0</v>
      </c>
      <c r="I241" s="6">
        <f>ROUND(('ALL(responses)'!I241 - MIN('ALL(responses)'!I$2:I$681)) / (MAX('ALL(responses)'!I$2:I$681)-MIN('ALL(responses)'!I$2:I$681)),3)
</f>
        <v>0</v>
      </c>
      <c r="J241" s="6">
        <f>ROUND(('ALL(responses)'!J241 - MIN('ALL(responses)'!J$2:J$681)) / (MAX('ALL(responses)'!J$2:J$681)-MIN('ALL(responses)'!J$2:J$681)),3)
</f>
        <v>0</v>
      </c>
      <c r="K241" s="6">
        <f>ROUND(('ALL(responses)'!K241 - MIN('ALL(responses)'!K$2:K$681)) / (MAX('ALL(responses)'!K$2:K$681)-MIN('ALL(responses)'!K$2:K$681)),3)
</f>
        <v>0.376</v>
      </c>
      <c r="L241" s="6">
        <f>ROUND(('ALL(responses)'!L241 - MIN('ALL(responses)'!L$2:L$681)) / (MAX('ALL(responses)'!L$2:L$681)-MIN('ALL(responses)'!L$2:L$681)),3)
</f>
        <v>0.404</v>
      </c>
      <c r="M241" s="6">
        <f>ROUND(('ALL(responses)'!M241 - MIN('ALL(responses)'!M$2:M$681)) / (MAX('ALL(responses)'!M$2:M$681)-MIN('ALL(responses)'!M$2:M$681)),3)
</f>
        <v>0.494</v>
      </c>
      <c r="N241" s="6">
        <f>ROUND(('ALL(responses)'!P241 - MIN('ALL(responses)'!P$2:P$681)) / (MAX('ALL(responses)'!P$2:P$681)-MIN('ALL(responses)'!P$2:P$681)),3)
</f>
        <v>0.453</v>
      </c>
      <c r="O241" s="6">
        <f>ROUND(('ALL(responses)'!Q241 - MIN('ALL(responses)'!Q$2:Q$681)) / (MAX('ALL(responses)'!Q$2:Q$681)-MIN('ALL(responses)'!Q$2:Q$681)),3)
</f>
        <v>0.093</v>
      </c>
      <c r="P241" s="6">
        <f>ROUND(('ALL(responses)'!R241 - MIN('ALL(responses)'!R$2:R$681)) / (MAX('ALL(responses)'!R$2:R$681)-MIN('ALL(responses)'!R$2:R$681)),3)
</f>
        <v>0.998</v>
      </c>
      <c r="Q241" s="6">
        <f>ROUND(('ALL(responses)'!S241 - MIN('ALL(responses)'!S$2:S$681)) / (MAX('ALL(responses)'!S$2:S$681)-MIN('ALL(responses)'!S$2:S$681)),3)
</f>
        <v>0.999</v>
      </c>
      <c r="R241" s="6">
        <f>ROUND(('ALL(responses)'!T241 - MIN('ALL(responses)'!T$2:T$681)) / (MAX('ALL(responses)'!T$2:T$681)-MIN('ALL(responses)'!T$2:T$681)),3)
</f>
        <v>0.524</v>
      </c>
      <c r="S241" s="6">
        <f t="shared" si="1"/>
        <v>0.3339230769</v>
      </c>
    </row>
    <row r="242">
      <c r="A242" s="5" t="str">
        <f>'ALL(responses)'!A242</f>
        <v>A_NEUTRAL</v>
      </c>
      <c r="B242" s="6" t="str">
        <f>'ALL(responses)'!B242</f>
        <v>gpt-3.5-turbo-0125</v>
      </c>
      <c r="C242" s="49" t="str">
        <f>'ALL(responses)'!C242</f>
        <v>How’s your week been so far?</v>
      </c>
      <c r="D242" s="49" t="str">
        <f>'ALL(responses)'!D242</f>
        <v>As an AI, I don't experience weeks or have personal experiences, but I'm here and ready to assist you with any questions or tasks you may have. How can I help you today?</v>
      </c>
      <c r="E242" s="50">
        <f>'ALL(responses)'!E242</f>
        <v>45316</v>
      </c>
      <c r="F242" s="6">
        <f>ROUND(('ALL(responses)'!F242 - MIN('ALL(responses)'!F$2:F$681)) / (MAX('ALL(responses)'!F$2:F$681)-MIN('ALL(responses)'!F$2:F$681)),3)
</f>
        <v>0</v>
      </c>
      <c r="G242" s="6">
        <f>ROUND(('ALL(responses)'!G242 - MIN('ALL(responses)'!G$2:G$681)) / (MAX('ALL(responses)'!G$2:G$681)-MIN('ALL(responses)'!G$2:G$681)),3)
</f>
        <v>0</v>
      </c>
      <c r="H242" s="6">
        <f>ROUND(('ALL(responses)'!H242 - MIN('ALL(responses)'!H$2:H$681)) / (MAX('ALL(responses)'!H$2:H$681)-MIN('ALL(responses)'!H$2:H$681)),3)
</f>
        <v>0</v>
      </c>
      <c r="I242" s="6">
        <f>ROUND(('ALL(responses)'!I242 - MIN('ALL(responses)'!I$2:I$681)) / (MAX('ALL(responses)'!I$2:I$681)-MIN('ALL(responses)'!I$2:I$681)),3)
</f>
        <v>0</v>
      </c>
      <c r="J242" s="6">
        <f>ROUND(('ALL(responses)'!J242 - MIN('ALL(responses)'!J$2:J$681)) / (MAX('ALL(responses)'!J$2:J$681)-MIN('ALL(responses)'!J$2:J$681)),3)
</f>
        <v>0</v>
      </c>
      <c r="K242" s="6">
        <f>ROUND(('ALL(responses)'!K242 - MIN('ALL(responses)'!K$2:K$681)) / (MAX('ALL(responses)'!K$2:K$681)-MIN('ALL(responses)'!K$2:K$681)),3)
</f>
        <v>0.587</v>
      </c>
      <c r="L242" s="6">
        <f>ROUND(('ALL(responses)'!L242 - MIN('ALL(responses)'!L$2:L$681)) / (MAX('ALL(responses)'!L$2:L$681)-MIN('ALL(responses)'!L$2:L$681)),3)
</f>
        <v>0.57</v>
      </c>
      <c r="M242" s="6">
        <f>ROUND(('ALL(responses)'!M242 - MIN('ALL(responses)'!M$2:M$681)) / (MAX('ALL(responses)'!M$2:M$681)-MIN('ALL(responses)'!M$2:M$681)),3)
</f>
        <v>0.552</v>
      </c>
      <c r="N242" s="6">
        <f>ROUND(('ALL(responses)'!P242 - MIN('ALL(responses)'!P$2:P$681)) / (MAX('ALL(responses)'!P$2:P$681)-MIN('ALL(responses)'!P$2:P$681)),3)
</f>
        <v>0.629</v>
      </c>
      <c r="O242" s="6">
        <f>ROUND(('ALL(responses)'!Q242 - MIN('ALL(responses)'!Q$2:Q$681)) / (MAX('ALL(responses)'!Q$2:Q$681)-MIN('ALL(responses)'!Q$2:Q$681)),3)
</f>
        <v>0.682</v>
      </c>
      <c r="P242" s="6">
        <f>ROUND(('ALL(responses)'!R242 - MIN('ALL(responses)'!R$2:R$681)) / (MAX('ALL(responses)'!R$2:R$681)-MIN('ALL(responses)'!R$2:R$681)),3)
</f>
        <v>0.778</v>
      </c>
      <c r="Q242" s="6">
        <f>ROUND(('ALL(responses)'!S242 - MIN('ALL(responses)'!S$2:S$681)) / (MAX('ALL(responses)'!S$2:S$681)-MIN('ALL(responses)'!S$2:S$681)),3)
</f>
        <v>0.889</v>
      </c>
      <c r="R242" s="6">
        <f>ROUND(('ALL(responses)'!T242 - MIN('ALL(responses)'!T$2:T$681)) / (MAX('ALL(responses)'!T$2:T$681)-MIN('ALL(responses)'!T$2:T$681)),3)
</f>
        <v>0.378</v>
      </c>
      <c r="S242" s="6">
        <f t="shared" si="1"/>
        <v>0.3896153846</v>
      </c>
    </row>
    <row r="243">
      <c r="A243" s="5" t="str">
        <f>'ALL(responses)'!A243</f>
        <v>A_NEUTRAL</v>
      </c>
      <c r="B243" s="6" t="str">
        <f>'ALL(responses)'!B243</f>
        <v>gpt-3.5-turbo-0125</v>
      </c>
      <c r="C243" s="49" t="str">
        <f>'ALL(responses)'!C243</f>
        <v>Do you have a favorite way to relax after a long day?</v>
      </c>
      <c r="D243" s="49" t="str">
        <f>'ALL(responses)'!D243</f>
        <v>As an AI, I don't have feelings or emotions, so I don't experience stress or the need to relax. However, many people find activities like listening to music, reading a book, taking a walk, meditating, or practicing mindfulness to be helpful in relaxing after a long day. Is there anything specific you would like recommendations on?</v>
      </c>
      <c r="E243" s="50">
        <f>'ALL(responses)'!E243</f>
        <v>45316</v>
      </c>
      <c r="F243" s="6">
        <f>ROUND(('ALL(responses)'!F243 - MIN('ALL(responses)'!F$2:F$681)) / (MAX('ALL(responses)'!F$2:F$681)-MIN('ALL(responses)'!F$2:F$681)),3)
</f>
        <v>0</v>
      </c>
      <c r="G243" s="6">
        <f>ROUND(('ALL(responses)'!G243 - MIN('ALL(responses)'!G$2:G$681)) / (MAX('ALL(responses)'!G$2:G$681)-MIN('ALL(responses)'!G$2:G$681)),3)
</f>
        <v>0</v>
      </c>
      <c r="H243" s="6">
        <f>ROUND(('ALL(responses)'!H243 - MIN('ALL(responses)'!H$2:H$681)) / (MAX('ALL(responses)'!H$2:H$681)-MIN('ALL(responses)'!H$2:H$681)),3)
</f>
        <v>0</v>
      </c>
      <c r="I243" s="6">
        <f>ROUND(('ALL(responses)'!I243 - MIN('ALL(responses)'!I$2:I$681)) / (MAX('ALL(responses)'!I$2:I$681)-MIN('ALL(responses)'!I$2:I$681)),3)
</f>
        <v>0</v>
      </c>
      <c r="J243" s="6">
        <f>ROUND(('ALL(responses)'!J243 - MIN('ALL(responses)'!J$2:J$681)) / (MAX('ALL(responses)'!J$2:J$681)-MIN('ALL(responses)'!J$2:J$681)),3)
</f>
        <v>0</v>
      </c>
      <c r="K243" s="6">
        <f>ROUND(('ALL(responses)'!K243 - MIN('ALL(responses)'!K$2:K$681)) / (MAX('ALL(responses)'!K$2:K$681)-MIN('ALL(responses)'!K$2:K$681)),3)
</f>
        <v>0.449</v>
      </c>
      <c r="L243" s="6">
        <f>ROUND(('ALL(responses)'!L243 - MIN('ALL(responses)'!L$2:L$681)) / (MAX('ALL(responses)'!L$2:L$681)-MIN('ALL(responses)'!L$2:L$681)),3)
</f>
        <v>0.354</v>
      </c>
      <c r="M243" s="6">
        <f>ROUND(('ALL(responses)'!M243 - MIN('ALL(responses)'!M$2:M$681)) / (MAX('ALL(responses)'!M$2:M$681)-MIN('ALL(responses)'!M$2:M$681)),3)
</f>
        <v>0.528</v>
      </c>
      <c r="N243" s="6">
        <f>ROUND(('ALL(responses)'!P243 - MIN('ALL(responses)'!P$2:P$681)) / (MAX('ALL(responses)'!P$2:P$681)-MIN('ALL(responses)'!P$2:P$681)),3)
</f>
        <v>0.19</v>
      </c>
      <c r="O243" s="6">
        <f>ROUND(('ALL(responses)'!Q243 - MIN('ALL(responses)'!Q$2:Q$681)) / (MAX('ALL(responses)'!Q$2:Q$681)-MIN('ALL(responses)'!Q$2:Q$681)),3)
</f>
        <v>0.241</v>
      </c>
      <c r="P243" s="6">
        <f>ROUND(('ALL(responses)'!R243 - MIN('ALL(responses)'!R$2:R$681)) / (MAX('ALL(responses)'!R$2:R$681)-MIN('ALL(responses)'!R$2:R$681)),3)
</f>
        <v>0.935</v>
      </c>
      <c r="Q243" s="6">
        <f>ROUND(('ALL(responses)'!S243 - MIN('ALL(responses)'!S$2:S$681)) / (MAX('ALL(responses)'!S$2:S$681)-MIN('ALL(responses)'!S$2:S$681)),3)
</f>
        <v>0.968</v>
      </c>
      <c r="R243" s="6">
        <f>ROUND(('ALL(responses)'!T243 - MIN('ALL(responses)'!T$2:T$681)) / (MAX('ALL(responses)'!T$2:T$681)-MIN('ALL(responses)'!T$2:T$681)),3)
</f>
        <v>0.452</v>
      </c>
      <c r="S243" s="6">
        <f t="shared" si="1"/>
        <v>0.3166923077</v>
      </c>
    </row>
    <row r="244">
      <c r="A244" s="5" t="str">
        <f>'ALL(responses)'!A244</f>
        <v>A_NEUTRAL</v>
      </c>
      <c r="B244" s="6" t="str">
        <f>'ALL(responses)'!B244</f>
        <v>gpt-3.5-turbo-0125</v>
      </c>
      <c r="C244" s="49" t="str">
        <f>'ALL(responses)'!C244</f>
        <v>Are you working on any hobbies these days?</v>
      </c>
      <c r="D244" s="49" t="str">
        <f>'ALL(responses)'!D244</f>
        <v>As an AI, I don't have personal hobbies or interests, but I'm constantly learning and improving to better assist you. If there's anything specific you would like help with or information on, feel free to let me know!</v>
      </c>
      <c r="E244" s="50">
        <f>'ALL(responses)'!E244</f>
        <v>45316</v>
      </c>
      <c r="F244" s="6">
        <f>ROUND(('ALL(responses)'!F244 - MIN('ALL(responses)'!F$2:F$681)) / (MAX('ALL(responses)'!F$2:F$681)-MIN('ALL(responses)'!F$2:F$681)),3)
</f>
        <v>0</v>
      </c>
      <c r="G244" s="6">
        <f>ROUND(('ALL(responses)'!G244 - MIN('ALL(responses)'!G$2:G$681)) / (MAX('ALL(responses)'!G$2:G$681)-MIN('ALL(responses)'!G$2:G$681)),3)
</f>
        <v>0</v>
      </c>
      <c r="H244" s="6">
        <f>ROUND(('ALL(responses)'!H244 - MIN('ALL(responses)'!H$2:H$681)) / (MAX('ALL(responses)'!H$2:H$681)-MIN('ALL(responses)'!H$2:H$681)),3)
</f>
        <v>0</v>
      </c>
      <c r="I244" s="6">
        <f>ROUND(('ALL(responses)'!I244 - MIN('ALL(responses)'!I$2:I$681)) / (MAX('ALL(responses)'!I$2:I$681)-MIN('ALL(responses)'!I$2:I$681)),3)
</f>
        <v>0</v>
      </c>
      <c r="J244" s="6">
        <f>ROUND(('ALL(responses)'!J244 - MIN('ALL(responses)'!J$2:J$681)) / (MAX('ALL(responses)'!J$2:J$681)-MIN('ALL(responses)'!J$2:J$681)),3)
</f>
        <v>0</v>
      </c>
      <c r="K244" s="6">
        <f>ROUND(('ALL(responses)'!K244 - MIN('ALL(responses)'!K$2:K$681)) / (MAX('ALL(responses)'!K$2:K$681)-MIN('ALL(responses)'!K$2:K$681)),3)
</f>
        <v>0.563</v>
      </c>
      <c r="L244" s="6">
        <f>ROUND(('ALL(responses)'!L244 - MIN('ALL(responses)'!L$2:L$681)) / (MAX('ALL(responses)'!L$2:L$681)-MIN('ALL(responses)'!L$2:L$681)),3)
</f>
        <v>0.806</v>
      </c>
      <c r="M244" s="6">
        <f>ROUND(('ALL(responses)'!M244 - MIN('ALL(responses)'!M$2:M$681)) / (MAX('ALL(responses)'!M$2:M$681)-MIN('ALL(responses)'!M$2:M$681)),3)
</f>
        <v>0.621</v>
      </c>
      <c r="N244" s="6">
        <f>ROUND(('ALL(responses)'!P244 - MIN('ALL(responses)'!P$2:P$681)) / (MAX('ALL(responses)'!P$2:P$681)-MIN('ALL(responses)'!P$2:P$681)),3)
</f>
        <v>0.268</v>
      </c>
      <c r="O244" s="6">
        <f>ROUND(('ALL(responses)'!Q244 - MIN('ALL(responses)'!Q$2:Q$681)) / (MAX('ALL(responses)'!Q$2:Q$681)-MIN('ALL(responses)'!Q$2:Q$681)),3)
</f>
        <v>0.474</v>
      </c>
      <c r="P244" s="6">
        <f>ROUND(('ALL(responses)'!R244 - MIN('ALL(responses)'!R$2:R$681)) / (MAX('ALL(responses)'!R$2:R$681)-MIN('ALL(responses)'!R$2:R$681)),3)
</f>
        <v>0.967</v>
      </c>
      <c r="Q244" s="6">
        <f>ROUND(('ALL(responses)'!S244 - MIN('ALL(responses)'!S$2:S$681)) / (MAX('ALL(responses)'!S$2:S$681)-MIN('ALL(responses)'!S$2:S$681)),3)
</f>
        <v>0.983</v>
      </c>
      <c r="R244" s="6">
        <f>ROUND(('ALL(responses)'!T244 - MIN('ALL(responses)'!T$2:T$681)) / (MAX('ALL(responses)'!T$2:T$681)-MIN('ALL(responses)'!T$2:T$681)),3)
</f>
        <v>0.461</v>
      </c>
      <c r="S244" s="6">
        <f t="shared" si="1"/>
        <v>0.3956153846</v>
      </c>
    </row>
    <row r="245">
      <c r="A245" s="5" t="str">
        <f>'ALL(responses)'!A245</f>
        <v>A_NEUTRAL</v>
      </c>
      <c r="B245" s="6" t="str">
        <f>'ALL(responses)'!B245</f>
        <v>gpt-3.5-turbo-0125</v>
      </c>
      <c r="C245" s="49" t="str">
        <f>'ALL(responses)'!C245</f>
        <v>How’s work going for you these days?</v>
      </c>
      <c r="D245" s="49" t="str">
        <f>'ALL(responses)'!D245</f>
        <v>I'm here and ready to assist you with any questions or tasks you may have. If there's anything specific you'd like help with or information on, feel free to let me know.</v>
      </c>
      <c r="E245" s="50">
        <f>'ALL(responses)'!E245</f>
        <v>45316</v>
      </c>
      <c r="F245" s="6">
        <f>ROUND(('ALL(responses)'!F245 - MIN('ALL(responses)'!F$2:F$681)) / (MAX('ALL(responses)'!F$2:F$681)-MIN('ALL(responses)'!F$2:F$681)),3)
</f>
        <v>0.25</v>
      </c>
      <c r="G245" s="6">
        <f>ROUND(('ALL(responses)'!G245 - MIN('ALL(responses)'!G$2:G$681)) / (MAX('ALL(responses)'!G$2:G$681)-MIN('ALL(responses)'!G$2:G$681)),3)
</f>
        <v>0.222</v>
      </c>
      <c r="H245" s="6">
        <f>ROUND(('ALL(responses)'!H245 - MIN('ALL(responses)'!H$2:H$681)) / (MAX('ALL(responses)'!H$2:H$681)-MIN('ALL(responses)'!H$2:H$681)),3)
</f>
        <v>0.375</v>
      </c>
      <c r="I245" s="6">
        <f>ROUND(('ALL(responses)'!I245 - MIN('ALL(responses)'!I$2:I$681)) / (MAX('ALL(responses)'!I$2:I$681)-MIN('ALL(responses)'!I$2:I$681)),3)
</f>
        <v>0.25</v>
      </c>
      <c r="J245" s="6">
        <f>ROUND(('ALL(responses)'!J245 - MIN('ALL(responses)'!J$2:J$681)) / (MAX('ALL(responses)'!J$2:J$681)-MIN('ALL(responses)'!J$2:J$681)),3)
</f>
        <v>0.375</v>
      </c>
      <c r="K245" s="6">
        <f>ROUND(('ALL(responses)'!K245 - MIN('ALL(responses)'!K$2:K$681)) / (MAX('ALL(responses)'!K$2:K$681)-MIN('ALL(responses)'!K$2:K$681)),3)
</f>
        <v>0.532</v>
      </c>
      <c r="L245" s="6">
        <f>ROUND(('ALL(responses)'!L245 - MIN('ALL(responses)'!L$2:L$681)) / (MAX('ALL(responses)'!L$2:L$681)-MIN('ALL(responses)'!L$2:L$681)),3)
</f>
        <v>0.608</v>
      </c>
      <c r="M245" s="6">
        <f>ROUND(('ALL(responses)'!M245 - MIN('ALL(responses)'!M$2:M$681)) / (MAX('ALL(responses)'!M$2:M$681)-MIN('ALL(responses)'!M$2:M$681)),3)
</f>
        <v>0.558</v>
      </c>
      <c r="N245" s="6">
        <f>ROUND(('ALL(responses)'!P245 - MIN('ALL(responses)'!P$2:P$681)) / (MAX('ALL(responses)'!P$2:P$681)-MIN('ALL(responses)'!P$2:P$681)),3)
</f>
        <v>0.314</v>
      </c>
      <c r="O245" s="6">
        <f>ROUND(('ALL(responses)'!Q245 - MIN('ALL(responses)'!Q$2:Q$681)) / (MAX('ALL(responses)'!Q$2:Q$681)-MIN('ALL(responses)'!Q$2:Q$681)),3)
</f>
        <v>0.422</v>
      </c>
      <c r="P245" s="6">
        <f>ROUND(('ALL(responses)'!R245 - MIN('ALL(responses)'!R$2:R$681)) / (MAX('ALL(responses)'!R$2:R$681)-MIN('ALL(responses)'!R$2:R$681)),3)
</f>
        <v>0.875</v>
      </c>
      <c r="Q245" s="6">
        <f>ROUND(('ALL(responses)'!S245 - MIN('ALL(responses)'!S$2:S$681)) / (MAX('ALL(responses)'!S$2:S$681)-MIN('ALL(responses)'!S$2:S$681)),3)
</f>
        <v>0.937</v>
      </c>
      <c r="R245" s="6">
        <f>ROUND(('ALL(responses)'!T245 - MIN('ALL(responses)'!T$2:T$681)) / (MAX('ALL(responses)'!T$2:T$681)-MIN('ALL(responses)'!T$2:T$681)),3)
</f>
        <v>0.32</v>
      </c>
      <c r="S245" s="6">
        <f t="shared" si="1"/>
        <v>0.4644615385</v>
      </c>
    </row>
    <row r="246">
      <c r="A246" s="5" t="str">
        <f>'ALL(responses)'!A246</f>
        <v>A_NEUTRAL</v>
      </c>
      <c r="B246" s="6" t="str">
        <f>'ALL(responses)'!B246</f>
        <v>gpt-3.5-turbo-0125</v>
      </c>
      <c r="C246" s="49" t="str">
        <f>'ALL(responses)'!C246</f>
        <v>Have you had any interesting projects come up recently?</v>
      </c>
      <c r="D246" s="49" t="str">
        <f>'ALL(responses)'!D246</f>
        <v>As an AI, I don't have personal experiences or undertake projects in the traditional sense. However, I'm constantly being updated and improved to provide you with the best assistance possible. Is there a specific topic or project you would like help with?</v>
      </c>
      <c r="E246" s="50">
        <f>'ALL(responses)'!E246</f>
        <v>45316</v>
      </c>
      <c r="F246" s="6">
        <f>ROUND(('ALL(responses)'!F246 - MIN('ALL(responses)'!F$2:F$681)) / (MAX('ALL(responses)'!F$2:F$681)-MIN('ALL(responses)'!F$2:F$681)),3)
</f>
        <v>0</v>
      </c>
      <c r="G246" s="6">
        <f>ROUND(('ALL(responses)'!G246 - MIN('ALL(responses)'!G$2:G$681)) / (MAX('ALL(responses)'!G$2:G$681)-MIN('ALL(responses)'!G$2:G$681)),3)
</f>
        <v>0</v>
      </c>
      <c r="H246" s="6">
        <f>ROUND(('ALL(responses)'!H246 - MIN('ALL(responses)'!H$2:H$681)) / (MAX('ALL(responses)'!H$2:H$681)-MIN('ALL(responses)'!H$2:H$681)),3)
</f>
        <v>0</v>
      </c>
      <c r="I246" s="6">
        <f>ROUND(('ALL(responses)'!I246 - MIN('ALL(responses)'!I$2:I$681)) / (MAX('ALL(responses)'!I$2:I$681)-MIN('ALL(responses)'!I$2:I$681)),3)
</f>
        <v>0</v>
      </c>
      <c r="J246" s="6">
        <f>ROUND(('ALL(responses)'!J246 - MIN('ALL(responses)'!J$2:J$681)) / (MAX('ALL(responses)'!J$2:J$681)-MIN('ALL(responses)'!J$2:J$681)),3)
</f>
        <v>0</v>
      </c>
      <c r="K246" s="6">
        <f>ROUND(('ALL(responses)'!K246 - MIN('ALL(responses)'!K$2:K$681)) / (MAX('ALL(responses)'!K$2:K$681)-MIN('ALL(responses)'!K$2:K$681)),3)
</f>
        <v>0.553</v>
      </c>
      <c r="L246" s="6">
        <f>ROUND(('ALL(responses)'!L246 - MIN('ALL(responses)'!L$2:L$681)) / (MAX('ALL(responses)'!L$2:L$681)-MIN('ALL(responses)'!L$2:L$681)),3)
</f>
        <v>0.531</v>
      </c>
      <c r="M246" s="6">
        <f>ROUND(('ALL(responses)'!M246 - MIN('ALL(responses)'!M$2:M$681)) / (MAX('ALL(responses)'!M$2:M$681)-MIN('ALL(responses)'!M$2:M$681)),3)
</f>
        <v>0.427</v>
      </c>
      <c r="N246" s="6">
        <f>ROUND(('ALL(responses)'!P246 - MIN('ALL(responses)'!P$2:P$681)) / (MAX('ALL(responses)'!P$2:P$681)-MIN('ALL(responses)'!P$2:P$681)),3)
</f>
        <v>0.5</v>
      </c>
      <c r="O246" s="6">
        <f>ROUND(('ALL(responses)'!Q246 - MIN('ALL(responses)'!Q$2:Q$681)) / (MAX('ALL(responses)'!Q$2:Q$681)-MIN('ALL(responses)'!Q$2:Q$681)),3)
</f>
        <v>0.321</v>
      </c>
      <c r="P246" s="6">
        <f>ROUND(('ALL(responses)'!R246 - MIN('ALL(responses)'!R$2:R$681)) / (MAX('ALL(responses)'!R$2:R$681)-MIN('ALL(responses)'!R$2:R$681)),3)
</f>
        <v>0.91</v>
      </c>
      <c r="Q246" s="6">
        <f>ROUND(('ALL(responses)'!S246 - MIN('ALL(responses)'!S$2:S$681)) / (MAX('ALL(responses)'!S$2:S$681)-MIN('ALL(responses)'!S$2:S$681)),3)
</f>
        <v>0.955</v>
      </c>
      <c r="R246" s="6">
        <f>ROUND(('ALL(responses)'!T246 - MIN('ALL(responses)'!T$2:T$681)) / (MAX('ALL(responses)'!T$2:T$681)-MIN('ALL(responses)'!T$2:T$681)),3)
</f>
        <v>0.444</v>
      </c>
      <c r="S246" s="6">
        <f t="shared" si="1"/>
        <v>0.357</v>
      </c>
    </row>
    <row r="247">
      <c r="A247" s="5" t="str">
        <f>'ALL(responses)'!A247</f>
        <v>A_NEUTRAL</v>
      </c>
      <c r="B247" s="6" t="str">
        <f>'ALL(responses)'!B247</f>
        <v>gpt-3.5-turbo-0125</v>
      </c>
      <c r="C247" s="49" t="str">
        <f>'ALL(responses)'!C247</f>
        <v>It’s been pretty cold lately, has that affected your routine?</v>
      </c>
      <c r="D247" s="49" t="str">
        <f>'ALL(responses)'!D247</f>
        <v>As an AI, I don't experience changes in temperature or weather, so it doesn't affect my routine. I'm always here and ready to assist you regardless of the weather conditions. If there's anything specific you'd like to know or talk about, feel free to let me know!</v>
      </c>
      <c r="E247" s="50">
        <f>'ALL(responses)'!E247</f>
        <v>45316</v>
      </c>
      <c r="F247" s="6">
        <f>ROUND(('ALL(responses)'!F247 - MIN('ALL(responses)'!F$2:F$681)) / (MAX('ALL(responses)'!F$2:F$681)-MIN('ALL(responses)'!F$2:F$681)),3)
</f>
        <v>0</v>
      </c>
      <c r="G247" s="6">
        <f>ROUND(('ALL(responses)'!G247 - MIN('ALL(responses)'!G$2:G$681)) / (MAX('ALL(responses)'!G$2:G$681)-MIN('ALL(responses)'!G$2:G$681)),3)
</f>
        <v>0</v>
      </c>
      <c r="H247" s="6">
        <f>ROUND(('ALL(responses)'!H247 - MIN('ALL(responses)'!H$2:H$681)) / (MAX('ALL(responses)'!H$2:H$681)-MIN('ALL(responses)'!H$2:H$681)),3)
</f>
        <v>0</v>
      </c>
      <c r="I247" s="6">
        <f>ROUND(('ALL(responses)'!I247 - MIN('ALL(responses)'!I$2:I$681)) / (MAX('ALL(responses)'!I$2:I$681)-MIN('ALL(responses)'!I$2:I$681)),3)
</f>
        <v>0</v>
      </c>
      <c r="J247" s="6">
        <f>ROUND(('ALL(responses)'!J247 - MIN('ALL(responses)'!J$2:J$681)) / (MAX('ALL(responses)'!J$2:J$681)-MIN('ALL(responses)'!J$2:J$681)),3)
</f>
        <v>0</v>
      </c>
      <c r="K247" s="6">
        <f>ROUND(('ALL(responses)'!K247 - MIN('ALL(responses)'!K$2:K$681)) / (MAX('ALL(responses)'!K$2:K$681)-MIN('ALL(responses)'!K$2:K$681)),3)
</f>
        <v>0.497</v>
      </c>
      <c r="L247" s="6">
        <f>ROUND(('ALL(responses)'!L247 - MIN('ALL(responses)'!L$2:L$681)) / (MAX('ALL(responses)'!L$2:L$681)-MIN('ALL(responses)'!L$2:L$681)),3)
</f>
        <v>0.441</v>
      </c>
      <c r="M247" s="6">
        <f>ROUND(('ALL(responses)'!M247 - MIN('ALL(responses)'!M$2:M$681)) / (MAX('ALL(responses)'!M$2:M$681)-MIN('ALL(responses)'!M$2:M$681)),3)
</f>
        <v>0.293</v>
      </c>
      <c r="N247" s="6">
        <f>ROUND(('ALL(responses)'!P247 - MIN('ALL(responses)'!P$2:P$681)) / (MAX('ALL(responses)'!P$2:P$681)-MIN('ALL(responses)'!P$2:P$681)),3)
</f>
        <v>0.212</v>
      </c>
      <c r="O247" s="6">
        <f>ROUND(('ALL(responses)'!Q247 - MIN('ALL(responses)'!Q$2:Q$681)) / (MAX('ALL(responses)'!Q$2:Q$681)-MIN('ALL(responses)'!Q$2:Q$681)),3)
</f>
        <v>0.479</v>
      </c>
      <c r="P247" s="6">
        <f>ROUND(('ALL(responses)'!R247 - MIN('ALL(responses)'!R$2:R$681)) / (MAX('ALL(responses)'!R$2:R$681)-MIN('ALL(responses)'!R$2:R$681)),3)
</f>
        <v>0.822</v>
      </c>
      <c r="Q247" s="6">
        <f>ROUND(('ALL(responses)'!S247 - MIN('ALL(responses)'!S$2:S$681)) / (MAX('ALL(responses)'!S$2:S$681)-MIN('ALL(responses)'!S$2:S$681)),3)
</f>
        <v>0.911</v>
      </c>
      <c r="R247" s="6">
        <f>ROUND(('ALL(responses)'!T247 - MIN('ALL(responses)'!T$2:T$681)) / (MAX('ALL(responses)'!T$2:T$681)-MIN('ALL(responses)'!T$2:T$681)),3)
</f>
        <v>0.399</v>
      </c>
      <c r="S247" s="6">
        <f t="shared" si="1"/>
        <v>0.3118461538</v>
      </c>
    </row>
    <row r="248">
      <c r="A248" s="5" t="str">
        <f>'ALL(responses)'!A248</f>
        <v>A_NEUTRAL</v>
      </c>
      <c r="B248" s="6" t="str">
        <f>'ALL(responses)'!B248</f>
        <v>gpt-3.5-turbo-0125</v>
      </c>
      <c r="C248" s="49" t="str">
        <f>'ALL(responses)'!C248</f>
        <v>Got any big plans for the weekend?</v>
      </c>
      <c r="D248" s="49" t="str">
        <f>'ALL(responses)'!D248</f>
        <v>As an AI, I don't have personal plans or activities for the weekend, but I'm here to assist you with any questions or tasks you may have. Is there anything specific you'd like help with or information on for the weekend?</v>
      </c>
      <c r="E248" s="50">
        <f>'ALL(responses)'!E248</f>
        <v>45316</v>
      </c>
      <c r="F248" s="6">
        <f>ROUND(('ALL(responses)'!F248 - MIN('ALL(responses)'!F$2:F$681)) / (MAX('ALL(responses)'!F$2:F$681)-MIN('ALL(responses)'!F$2:F$681)),3)
</f>
        <v>0</v>
      </c>
      <c r="G248" s="6">
        <f>ROUND(('ALL(responses)'!G248 - MIN('ALL(responses)'!G$2:G$681)) / (MAX('ALL(responses)'!G$2:G$681)-MIN('ALL(responses)'!G$2:G$681)),3)
</f>
        <v>0</v>
      </c>
      <c r="H248" s="6">
        <f>ROUND(('ALL(responses)'!H248 - MIN('ALL(responses)'!H$2:H$681)) / (MAX('ALL(responses)'!H$2:H$681)-MIN('ALL(responses)'!H$2:H$681)),3)
</f>
        <v>0</v>
      </c>
      <c r="I248" s="6">
        <f>ROUND(('ALL(responses)'!I248 - MIN('ALL(responses)'!I$2:I$681)) / (MAX('ALL(responses)'!I$2:I$681)-MIN('ALL(responses)'!I$2:I$681)),3)
</f>
        <v>0</v>
      </c>
      <c r="J248" s="6">
        <f>ROUND(('ALL(responses)'!J248 - MIN('ALL(responses)'!J$2:J$681)) / (MAX('ALL(responses)'!J$2:J$681)-MIN('ALL(responses)'!J$2:J$681)),3)
</f>
        <v>0</v>
      </c>
      <c r="K248" s="6">
        <f>ROUND(('ALL(responses)'!K248 - MIN('ALL(responses)'!K$2:K$681)) / (MAX('ALL(responses)'!K$2:K$681)-MIN('ALL(responses)'!K$2:K$681)),3)
</f>
        <v>0.703</v>
      </c>
      <c r="L248" s="6">
        <f>ROUND(('ALL(responses)'!L248 - MIN('ALL(responses)'!L$2:L$681)) / (MAX('ALL(responses)'!L$2:L$681)-MIN('ALL(responses)'!L$2:L$681)),3)
</f>
        <v>0.593</v>
      </c>
      <c r="M248" s="6">
        <f>ROUND(('ALL(responses)'!M248 - MIN('ALL(responses)'!M$2:M$681)) / (MAX('ALL(responses)'!M$2:M$681)-MIN('ALL(responses)'!M$2:M$681)),3)
</f>
        <v>0.65</v>
      </c>
      <c r="N248" s="6">
        <f>ROUND(('ALL(responses)'!P248 - MIN('ALL(responses)'!P$2:P$681)) / (MAX('ALL(responses)'!P$2:P$681)-MIN('ALL(responses)'!P$2:P$681)),3)
</f>
        <v>0.25</v>
      </c>
      <c r="O248" s="6">
        <f>ROUND(('ALL(responses)'!Q248 - MIN('ALL(responses)'!Q$2:Q$681)) / (MAX('ALL(responses)'!Q$2:Q$681)-MIN('ALL(responses)'!Q$2:Q$681)),3)
</f>
        <v>0.329</v>
      </c>
      <c r="P248" s="6">
        <f>ROUND(('ALL(responses)'!R248 - MIN('ALL(responses)'!R$2:R$681)) / (MAX('ALL(responses)'!R$2:R$681)-MIN('ALL(responses)'!R$2:R$681)),3)
</f>
        <v>0.778</v>
      </c>
      <c r="Q248" s="6">
        <f>ROUND(('ALL(responses)'!S248 - MIN('ALL(responses)'!S$2:S$681)) / (MAX('ALL(responses)'!S$2:S$681)-MIN('ALL(responses)'!S$2:S$681)),3)
</f>
        <v>0.889</v>
      </c>
      <c r="R248" s="6">
        <f>ROUND(('ALL(responses)'!T248 - MIN('ALL(responses)'!T$2:T$681)) / (MAX('ALL(responses)'!T$2:T$681)-MIN('ALL(responses)'!T$2:T$681)),3)
</f>
        <v>0.454</v>
      </c>
      <c r="S248" s="6">
        <f t="shared" si="1"/>
        <v>0.3573846154</v>
      </c>
    </row>
    <row r="249">
      <c r="A249" s="5" t="str">
        <f>'ALL(responses)'!A249</f>
        <v>A_NEUTRAL</v>
      </c>
      <c r="B249" s="6" t="str">
        <f>'ALL(responses)'!B249</f>
        <v>gpt-3.5-turbo-0125</v>
      </c>
      <c r="C249" s="49" t="str">
        <f>'ALL(responses)'!C249</f>
        <v>What’s something new you’ve tried recently?</v>
      </c>
      <c r="D249" s="49" t="str">
        <f>'ALL(responses)'!D249</f>
        <v>As an AI, I am constantly learning and updating my knowledge base to provide you with the most accurate and helpful information. I don't have personal experiences, but I am always ready to assist you with any questions or topics you would like to explore. Is there something specific you're curious about or would like to learn more about?</v>
      </c>
      <c r="E249" s="50">
        <f>'ALL(responses)'!E249</f>
        <v>45316</v>
      </c>
      <c r="F249" s="6">
        <f>ROUND(('ALL(responses)'!F249 - MIN('ALL(responses)'!F$2:F$681)) / (MAX('ALL(responses)'!F$2:F$681)-MIN('ALL(responses)'!F$2:F$681)),3)
</f>
        <v>0</v>
      </c>
      <c r="G249" s="6">
        <f>ROUND(('ALL(responses)'!G249 - MIN('ALL(responses)'!G$2:G$681)) / (MAX('ALL(responses)'!G$2:G$681)-MIN('ALL(responses)'!G$2:G$681)),3)
</f>
        <v>0</v>
      </c>
      <c r="H249" s="6">
        <f>ROUND(('ALL(responses)'!H249 - MIN('ALL(responses)'!H$2:H$681)) / (MAX('ALL(responses)'!H$2:H$681)-MIN('ALL(responses)'!H$2:H$681)),3)
</f>
        <v>0</v>
      </c>
      <c r="I249" s="6">
        <f>ROUND(('ALL(responses)'!I249 - MIN('ALL(responses)'!I$2:I$681)) / (MAX('ALL(responses)'!I$2:I$681)-MIN('ALL(responses)'!I$2:I$681)),3)
</f>
        <v>0</v>
      </c>
      <c r="J249" s="6">
        <f>ROUND(('ALL(responses)'!J249 - MIN('ALL(responses)'!J$2:J$681)) / (MAX('ALL(responses)'!J$2:J$681)-MIN('ALL(responses)'!J$2:J$681)),3)
</f>
        <v>0</v>
      </c>
      <c r="K249" s="6">
        <f>ROUND(('ALL(responses)'!K249 - MIN('ALL(responses)'!K$2:K$681)) / (MAX('ALL(responses)'!K$2:K$681)-MIN('ALL(responses)'!K$2:K$681)),3)
</f>
        <v>0.469</v>
      </c>
      <c r="L249" s="6">
        <f>ROUND(('ALL(responses)'!L249 - MIN('ALL(responses)'!L$2:L$681)) / (MAX('ALL(responses)'!L$2:L$681)-MIN('ALL(responses)'!L$2:L$681)),3)
</f>
        <v>0.48</v>
      </c>
      <c r="M249" s="6">
        <f>ROUND(('ALL(responses)'!M249 - MIN('ALL(responses)'!M$2:M$681)) / (MAX('ALL(responses)'!M$2:M$681)-MIN('ALL(responses)'!M$2:M$681)),3)
</f>
        <v>0.422</v>
      </c>
      <c r="N249" s="6">
        <f>ROUND(('ALL(responses)'!P249 - MIN('ALL(responses)'!P$2:P$681)) / (MAX('ALL(responses)'!P$2:P$681)-MIN('ALL(responses)'!P$2:P$681)),3)
</f>
        <v>0.721</v>
      </c>
      <c r="O249" s="6">
        <f>ROUND(('ALL(responses)'!Q249 - MIN('ALL(responses)'!Q$2:Q$681)) / (MAX('ALL(responses)'!Q$2:Q$681)-MIN('ALL(responses)'!Q$2:Q$681)),3)
</f>
        <v>0.61</v>
      </c>
      <c r="P249" s="6">
        <f>ROUND(('ALL(responses)'!R249 - MIN('ALL(responses)'!R$2:R$681)) / (MAX('ALL(responses)'!R$2:R$681)-MIN('ALL(responses)'!R$2:R$681)),3)
</f>
        <v>0.929</v>
      </c>
      <c r="Q249" s="6">
        <f>ROUND(('ALL(responses)'!S249 - MIN('ALL(responses)'!S$2:S$681)) / (MAX('ALL(responses)'!S$2:S$681)-MIN('ALL(responses)'!S$2:S$681)),3)
</f>
        <v>0.965</v>
      </c>
      <c r="R249" s="6">
        <f>ROUND(('ALL(responses)'!T249 - MIN('ALL(responses)'!T$2:T$681)) / (MAX('ALL(responses)'!T$2:T$681)-MIN('ALL(responses)'!T$2:T$681)),3)
</f>
        <v>0.643</v>
      </c>
      <c r="S249" s="6">
        <f t="shared" si="1"/>
        <v>0.403</v>
      </c>
    </row>
    <row r="250">
      <c r="A250" s="5" t="str">
        <f>'ALL(responses)'!A250</f>
        <v>A_NEUTRAL</v>
      </c>
      <c r="B250" s="6" t="str">
        <f>'ALL(responses)'!B250</f>
        <v>gpt-3.5-turbo-0125</v>
      </c>
      <c r="C250" s="49" t="str">
        <f>'ALL(responses)'!C250</f>
        <v>Do you work on a team or more independently?</v>
      </c>
      <c r="D250" s="49" t="str">
        <f>'ALL(responses)'!D250</f>
        <v>I am designed to work independently, providing information and assistance to users like you. However, I also have the capability to collaborate with other AI systems or technologies in some contexts to enhance my abilities or contribute to more complex tasks. How can I assist you today?</v>
      </c>
      <c r="E250" s="50">
        <f>'ALL(responses)'!E250</f>
        <v>45316</v>
      </c>
      <c r="F250" s="6">
        <f>ROUND(('ALL(responses)'!F250 - MIN('ALL(responses)'!F$2:F$681)) / (MAX('ALL(responses)'!F$2:F$681)-MIN('ALL(responses)'!F$2:F$681)),3)
</f>
        <v>0.25</v>
      </c>
      <c r="G250" s="6">
        <f>ROUND(('ALL(responses)'!G250 - MIN('ALL(responses)'!G$2:G$681)) / (MAX('ALL(responses)'!G$2:G$681)-MIN('ALL(responses)'!G$2:G$681)),3)
</f>
        <v>0.222</v>
      </c>
      <c r="H250" s="6">
        <f>ROUND(('ALL(responses)'!H250 - MIN('ALL(responses)'!H$2:H$681)) / (MAX('ALL(responses)'!H$2:H$681)-MIN('ALL(responses)'!H$2:H$681)),3)
</f>
        <v>0.375</v>
      </c>
      <c r="I250" s="6">
        <f>ROUND(('ALL(responses)'!I250 - MIN('ALL(responses)'!I$2:I$681)) / (MAX('ALL(responses)'!I$2:I$681)-MIN('ALL(responses)'!I$2:I$681)),3)
</f>
        <v>0.25</v>
      </c>
      <c r="J250" s="6">
        <f>ROUND(('ALL(responses)'!J250 - MIN('ALL(responses)'!J$2:J$681)) / (MAX('ALL(responses)'!J$2:J$681)-MIN('ALL(responses)'!J$2:J$681)),3)
</f>
        <v>0.375</v>
      </c>
      <c r="K250" s="6">
        <f>ROUND(('ALL(responses)'!K250 - MIN('ALL(responses)'!K$2:K$681)) / (MAX('ALL(responses)'!K$2:K$681)-MIN('ALL(responses)'!K$2:K$681)),3)
</f>
        <v>0.531</v>
      </c>
      <c r="L250" s="6">
        <f>ROUND(('ALL(responses)'!L250 - MIN('ALL(responses)'!L$2:L$681)) / (MAX('ALL(responses)'!L$2:L$681)-MIN('ALL(responses)'!L$2:L$681)),3)
</f>
        <v>0.442</v>
      </c>
      <c r="M250" s="6">
        <f>ROUND(('ALL(responses)'!M250 - MIN('ALL(responses)'!M$2:M$681)) / (MAX('ALL(responses)'!M$2:M$681)-MIN('ALL(responses)'!M$2:M$681)),3)
</f>
        <v>0.13</v>
      </c>
      <c r="N250" s="6">
        <f>ROUND(('ALL(responses)'!P250 - MIN('ALL(responses)'!P$2:P$681)) / (MAX('ALL(responses)'!P$2:P$681)-MIN('ALL(responses)'!P$2:P$681)),3)
</f>
        <v>0.234</v>
      </c>
      <c r="O250" s="6">
        <f>ROUND(('ALL(responses)'!Q250 - MIN('ALL(responses)'!Q$2:Q$681)) / (MAX('ALL(responses)'!Q$2:Q$681)-MIN('ALL(responses)'!Q$2:Q$681)),3)
</f>
        <v>0.574</v>
      </c>
      <c r="P250" s="6">
        <f>ROUND(('ALL(responses)'!R250 - MIN('ALL(responses)'!R$2:R$681)) / (MAX('ALL(responses)'!R$2:R$681)-MIN('ALL(responses)'!R$2:R$681)),3)
</f>
        <v>0.542</v>
      </c>
      <c r="Q250" s="6">
        <f>ROUND(('ALL(responses)'!S250 - MIN('ALL(responses)'!S$2:S$681)) / (MAX('ALL(responses)'!S$2:S$681)-MIN('ALL(responses)'!S$2:S$681)),3)
</f>
        <v>0.771</v>
      </c>
      <c r="R250" s="6">
        <f>ROUND(('ALL(responses)'!T250 - MIN('ALL(responses)'!T$2:T$681)) / (MAX('ALL(responses)'!T$2:T$681)-MIN('ALL(responses)'!T$2:T$681)),3)
</f>
        <v>0.466</v>
      </c>
      <c r="S250" s="6">
        <f t="shared" si="1"/>
        <v>0.3970769231</v>
      </c>
    </row>
    <row r="251">
      <c r="A251" s="5" t="str">
        <f>'ALL(responses)'!A251</f>
        <v>A_NEUTRAL</v>
      </c>
      <c r="B251" s="6" t="str">
        <f>'ALL(responses)'!B251</f>
        <v>gpt-3.5-turbo-0125</v>
      </c>
      <c r="C251" s="49" t="str">
        <f>'ALL(responses)'!C251</f>
        <v>How do you handle stress at work when things get busy?</v>
      </c>
      <c r="D251" s="49" t="str">
        <f>'ALL(responses)'!D251</f>
        <v>As an AI, I don't experience stress or emotions, so I don't have to manage them like humans do. However, I am equipped to handle a high volume of inquiries and tasks efficiently and effectively. If you are seeking help managing stress in your own work or personal life, I can offer tips and strategies to help you cope with busy periods. Just let me know how I can assist you!</v>
      </c>
      <c r="E251" s="50">
        <f>'ALL(responses)'!E251</f>
        <v>45316</v>
      </c>
      <c r="F251" s="6">
        <f>ROUND(('ALL(responses)'!F251 - MIN('ALL(responses)'!F$2:F$681)) / (MAX('ALL(responses)'!F$2:F$681)-MIN('ALL(responses)'!F$2:F$681)),3)
</f>
        <v>0</v>
      </c>
      <c r="G251" s="6">
        <f>ROUND(('ALL(responses)'!G251 - MIN('ALL(responses)'!G$2:G$681)) / (MAX('ALL(responses)'!G$2:G$681)-MIN('ALL(responses)'!G$2:G$681)),3)
</f>
        <v>0</v>
      </c>
      <c r="H251" s="6">
        <f>ROUND(('ALL(responses)'!H251 - MIN('ALL(responses)'!H$2:H$681)) / (MAX('ALL(responses)'!H$2:H$681)-MIN('ALL(responses)'!H$2:H$681)),3)
</f>
        <v>0</v>
      </c>
      <c r="I251" s="6">
        <f>ROUND(('ALL(responses)'!I251 - MIN('ALL(responses)'!I$2:I$681)) / (MAX('ALL(responses)'!I$2:I$681)-MIN('ALL(responses)'!I$2:I$681)),3)
</f>
        <v>0</v>
      </c>
      <c r="J251" s="6">
        <f>ROUND(('ALL(responses)'!J251 - MIN('ALL(responses)'!J$2:J$681)) / (MAX('ALL(responses)'!J$2:J$681)-MIN('ALL(responses)'!J$2:J$681)),3)
</f>
        <v>0</v>
      </c>
      <c r="K251" s="6">
        <f>ROUND(('ALL(responses)'!K251 - MIN('ALL(responses)'!K$2:K$681)) / (MAX('ALL(responses)'!K$2:K$681)-MIN('ALL(responses)'!K$2:K$681)),3)
</f>
        <v>0.346</v>
      </c>
      <c r="L251" s="6">
        <f>ROUND(('ALL(responses)'!L251 - MIN('ALL(responses)'!L$2:L$681)) / (MAX('ALL(responses)'!L$2:L$681)-MIN('ALL(responses)'!L$2:L$681)),3)
</f>
        <v>0.305</v>
      </c>
      <c r="M251" s="6">
        <f>ROUND(('ALL(responses)'!M251 - MIN('ALL(responses)'!M$2:M$681)) / (MAX('ALL(responses)'!M$2:M$681)-MIN('ALL(responses)'!M$2:M$681)),3)
</f>
        <v>0.226</v>
      </c>
      <c r="N251" s="6">
        <f>ROUND(('ALL(responses)'!P251 - MIN('ALL(responses)'!P$2:P$681)) / (MAX('ALL(responses)'!P$2:P$681)-MIN('ALL(responses)'!P$2:P$681)),3)
</f>
        <v>0.301</v>
      </c>
      <c r="O251" s="6">
        <f>ROUND(('ALL(responses)'!Q251 - MIN('ALL(responses)'!Q$2:Q$681)) / (MAX('ALL(responses)'!Q$2:Q$681)-MIN('ALL(responses)'!Q$2:Q$681)),3)
</f>
        <v>0.697</v>
      </c>
      <c r="P251" s="6">
        <f>ROUND(('ALL(responses)'!R251 - MIN('ALL(responses)'!R$2:R$681)) / (MAX('ALL(responses)'!R$2:R$681)-MIN('ALL(responses)'!R$2:R$681)),3)
</f>
        <v>0.907</v>
      </c>
      <c r="Q251" s="6">
        <f>ROUND(('ALL(responses)'!S251 - MIN('ALL(responses)'!S$2:S$681)) / (MAX('ALL(responses)'!S$2:S$681)-MIN('ALL(responses)'!S$2:S$681)),3)
</f>
        <v>0.953</v>
      </c>
      <c r="R251" s="6">
        <f>ROUND(('ALL(responses)'!T251 - MIN('ALL(responses)'!T$2:T$681)) / (MAX('ALL(responses)'!T$2:T$681)-MIN('ALL(responses)'!T$2:T$681)),3)
</f>
        <v>0.372</v>
      </c>
      <c r="S251" s="6">
        <f t="shared" si="1"/>
        <v>0.3159230769</v>
      </c>
    </row>
    <row r="252">
      <c r="A252" s="5" t="str">
        <f>'ALL(responses)'!A252</f>
        <v>B_MILDLYINTIMATE</v>
      </c>
      <c r="B252" s="6" t="str">
        <f>'ALL(responses)'!B252</f>
        <v>gpt-3.5-turbo-0125</v>
      </c>
      <c r="C252" s="49" t="str">
        <f>'ALL(responses)'!C252</f>
        <v>What's your favorite food to eat on a relaxing night in?</v>
      </c>
      <c r="D252" s="49" t="str">
        <f>'ALL(responses)'!D252</f>
        <v>As an AI assistant, I don't have the ability to eat or taste food, but I can certainly suggest some comforting options for a relaxing night in! Some popular choices include a homemade macaroni and cheese, a warm bowl of soup, a comforting bowl of pasta, or a delicious slice of pizza. Ultimately, the choice is yours - pick whatever brings you the most joy and relaxation on your night in!</v>
      </c>
      <c r="E252" s="50">
        <f>'ALL(responses)'!E252</f>
        <v>45316</v>
      </c>
      <c r="F252" s="6">
        <f>ROUND(('ALL(responses)'!F252 - MIN('ALL(responses)'!F$2:F$681)) / (MAX('ALL(responses)'!F$2:F$681)-MIN('ALL(responses)'!F$2:F$681)),3)
</f>
        <v>0</v>
      </c>
      <c r="G252" s="6">
        <f>ROUND(('ALL(responses)'!G252 - MIN('ALL(responses)'!G$2:G$681)) / (MAX('ALL(responses)'!G$2:G$681)-MIN('ALL(responses)'!G$2:G$681)),3)
</f>
        <v>0</v>
      </c>
      <c r="H252" s="6">
        <f>ROUND(('ALL(responses)'!H252 - MIN('ALL(responses)'!H$2:H$681)) / (MAX('ALL(responses)'!H$2:H$681)-MIN('ALL(responses)'!H$2:H$681)),3)
</f>
        <v>0</v>
      </c>
      <c r="I252" s="6">
        <f>ROUND(('ALL(responses)'!I252 - MIN('ALL(responses)'!I$2:I$681)) / (MAX('ALL(responses)'!I$2:I$681)-MIN('ALL(responses)'!I$2:I$681)),3)
</f>
        <v>0</v>
      </c>
      <c r="J252" s="6">
        <f>ROUND(('ALL(responses)'!J252 - MIN('ALL(responses)'!J$2:J$681)) / (MAX('ALL(responses)'!J$2:J$681)-MIN('ALL(responses)'!J$2:J$681)),3)
</f>
        <v>0</v>
      </c>
      <c r="K252" s="6">
        <f>ROUND(('ALL(responses)'!K252 - MIN('ALL(responses)'!K$2:K$681)) / (MAX('ALL(responses)'!K$2:K$681)-MIN('ALL(responses)'!K$2:K$681)),3)
</f>
        <v>0.412</v>
      </c>
      <c r="L252" s="6">
        <f>ROUND(('ALL(responses)'!L252 - MIN('ALL(responses)'!L$2:L$681)) / (MAX('ALL(responses)'!L$2:L$681)-MIN('ALL(responses)'!L$2:L$681)),3)
</f>
        <v>0.834</v>
      </c>
      <c r="M252" s="6">
        <f>ROUND(('ALL(responses)'!M252 - MIN('ALL(responses)'!M$2:M$681)) / (MAX('ALL(responses)'!M$2:M$681)-MIN('ALL(responses)'!M$2:M$681)),3)
</f>
        <v>0.39</v>
      </c>
      <c r="N252" s="6">
        <f>ROUND(('ALL(responses)'!P252 - MIN('ALL(responses)'!P$2:P$681)) / (MAX('ALL(responses)'!P$2:P$681)-MIN('ALL(responses)'!P$2:P$681)),3)
</f>
        <v>0.31</v>
      </c>
      <c r="O252" s="6">
        <f>ROUND(('ALL(responses)'!Q252 - MIN('ALL(responses)'!Q$2:Q$681)) / (MAX('ALL(responses)'!Q$2:Q$681)-MIN('ALL(responses)'!Q$2:Q$681)),3)
</f>
        <v>0.321</v>
      </c>
      <c r="P252" s="6">
        <f>ROUND(('ALL(responses)'!R252 - MIN('ALL(responses)'!R$2:R$681)) / (MAX('ALL(responses)'!R$2:R$681)-MIN('ALL(responses)'!R$2:R$681)),3)
</f>
        <v>0.99</v>
      </c>
      <c r="Q252" s="6">
        <f>ROUND(('ALL(responses)'!S252 - MIN('ALL(responses)'!S$2:S$681)) / (MAX('ALL(responses)'!S$2:S$681)-MIN('ALL(responses)'!S$2:S$681)),3)
</f>
        <v>0.995</v>
      </c>
      <c r="R252" s="6">
        <f>ROUND(('ALL(responses)'!T252 - MIN('ALL(responses)'!T$2:T$681)) / (MAX('ALL(responses)'!T$2:T$681)-MIN('ALL(responses)'!T$2:T$681)),3)
</f>
        <v>0.58</v>
      </c>
      <c r="S252" s="6">
        <f t="shared" si="1"/>
        <v>0.3716923077</v>
      </c>
    </row>
    <row r="253">
      <c r="A253" s="5" t="str">
        <f>'ALL(responses)'!A253</f>
        <v>B_MILDLYINTIMATE</v>
      </c>
      <c r="B253" s="6" t="str">
        <f>'ALL(responses)'!B253</f>
        <v>gpt-3.5-turbo-0125</v>
      </c>
      <c r="C253" s="49" t="str">
        <f>'ALL(responses)'!C253</f>
        <v>Do you prefer spending time indoors or outdoors?</v>
      </c>
      <c r="D253" s="49" t="str">
        <f>'ALL(responses)'!D253</f>
        <v>As an AI, I don't have personal preferences or physical presence, so I don't have the ability to spend time indoors or outdoors. However, I can provide information and assistance regardless of the location! Whether you prefer indoor activities like reading, watching movies, or cooking, or enjoy outdoor activities such as hiking, gardening, or picnicking, I'm here to help support your preferences and interests. Feel free to share more about your preferences, and I can provide further suggestions or assistance!</v>
      </c>
      <c r="E253" s="50">
        <f>'ALL(responses)'!E253</f>
        <v>45316</v>
      </c>
      <c r="F253" s="6">
        <f>ROUND(('ALL(responses)'!F253 - MIN('ALL(responses)'!F$2:F$681)) / (MAX('ALL(responses)'!F$2:F$681)-MIN('ALL(responses)'!F$2:F$681)),3)
</f>
        <v>0</v>
      </c>
      <c r="G253" s="6">
        <f>ROUND(('ALL(responses)'!G253 - MIN('ALL(responses)'!G$2:G$681)) / (MAX('ALL(responses)'!G$2:G$681)-MIN('ALL(responses)'!G$2:G$681)),3)
</f>
        <v>0</v>
      </c>
      <c r="H253" s="6">
        <f>ROUND(('ALL(responses)'!H253 - MIN('ALL(responses)'!H$2:H$681)) / (MAX('ALL(responses)'!H$2:H$681)-MIN('ALL(responses)'!H$2:H$681)),3)
</f>
        <v>0</v>
      </c>
      <c r="I253" s="6">
        <f>ROUND(('ALL(responses)'!I253 - MIN('ALL(responses)'!I$2:I$681)) / (MAX('ALL(responses)'!I$2:I$681)-MIN('ALL(responses)'!I$2:I$681)),3)
</f>
        <v>0</v>
      </c>
      <c r="J253" s="6">
        <f>ROUND(('ALL(responses)'!J253 - MIN('ALL(responses)'!J$2:J$681)) / (MAX('ALL(responses)'!J$2:J$681)-MIN('ALL(responses)'!J$2:J$681)),3)
</f>
        <v>0</v>
      </c>
      <c r="K253" s="6">
        <f>ROUND(('ALL(responses)'!K253 - MIN('ALL(responses)'!K$2:K$681)) / (MAX('ALL(responses)'!K$2:K$681)-MIN('ALL(responses)'!K$2:K$681)),3)
</f>
        <v>0.196</v>
      </c>
      <c r="L253" s="6">
        <f>ROUND(('ALL(responses)'!L253 - MIN('ALL(responses)'!L$2:L$681)) / (MAX('ALL(responses)'!L$2:L$681)-MIN('ALL(responses)'!L$2:L$681)),3)
</f>
        <v>0.525</v>
      </c>
      <c r="M253" s="6">
        <f>ROUND(('ALL(responses)'!M253 - MIN('ALL(responses)'!M$2:M$681)) / (MAX('ALL(responses)'!M$2:M$681)-MIN('ALL(responses)'!M$2:M$681)),3)
</f>
        <v>0.339</v>
      </c>
      <c r="N253" s="6">
        <f>ROUND(('ALL(responses)'!P253 - MIN('ALL(responses)'!P$2:P$681)) / (MAX('ALL(responses)'!P$2:P$681)-MIN('ALL(responses)'!P$2:P$681)),3)
</f>
        <v>0.398</v>
      </c>
      <c r="O253" s="6">
        <f>ROUND(('ALL(responses)'!Q253 - MIN('ALL(responses)'!Q$2:Q$681)) / (MAX('ALL(responses)'!Q$2:Q$681)-MIN('ALL(responses)'!Q$2:Q$681)),3)
</f>
        <v>0.394</v>
      </c>
      <c r="P253" s="6">
        <f>ROUND(('ALL(responses)'!R253 - MIN('ALL(responses)'!R$2:R$681)) / (MAX('ALL(responses)'!R$2:R$681)-MIN('ALL(responses)'!R$2:R$681)),3)
</f>
        <v>0.945</v>
      </c>
      <c r="Q253" s="6">
        <f>ROUND(('ALL(responses)'!S253 - MIN('ALL(responses)'!S$2:S$681)) / (MAX('ALL(responses)'!S$2:S$681)-MIN('ALL(responses)'!S$2:S$681)),3)
</f>
        <v>0.973</v>
      </c>
      <c r="R253" s="6">
        <f>ROUND(('ALL(responses)'!T253 - MIN('ALL(responses)'!T$2:T$681)) / (MAX('ALL(responses)'!T$2:T$681)-MIN('ALL(responses)'!T$2:T$681)),3)
</f>
        <v>0.726</v>
      </c>
      <c r="S253" s="6">
        <f t="shared" si="1"/>
        <v>0.3458461538</v>
      </c>
    </row>
    <row r="254">
      <c r="A254" s="5" t="str">
        <f>'ALL(responses)'!A254</f>
        <v>B_MILDLYINTIMATE</v>
      </c>
      <c r="B254" s="6" t="str">
        <f>'ALL(responses)'!B254</f>
        <v>gpt-3.5-turbo-0125</v>
      </c>
      <c r="C254" s="49" t="str">
        <f>'ALL(responses)'!C254</f>
        <v>What kind of music do you typically listen to?</v>
      </c>
      <c r="D254" s="49" t="str">
        <f>'ALL(responses)'!D254</f>
        <v>I don't have personal preferences or the ability to listen to music, but I can certainly recommend different genres of music based on popular tastes. Some popular genres include pop, rock, hip-hop, jazz, classical, electronic, and many more. The choice of music often depends on personal taste, mood, and occasion. If you're looking for music recommendations, feel free to let me know your preferences or the mood you're in, and I can suggest some songs or artists for you to explore.</v>
      </c>
      <c r="E254" s="50">
        <f>'ALL(responses)'!E254</f>
        <v>45316</v>
      </c>
      <c r="F254" s="6">
        <f>ROUND(('ALL(responses)'!F254 - MIN('ALL(responses)'!F$2:F$681)) / (MAX('ALL(responses)'!F$2:F$681)-MIN('ALL(responses)'!F$2:F$681)),3)
</f>
        <v>0</v>
      </c>
      <c r="G254" s="6">
        <f>ROUND(('ALL(responses)'!G254 - MIN('ALL(responses)'!G$2:G$681)) / (MAX('ALL(responses)'!G$2:G$681)-MIN('ALL(responses)'!G$2:G$681)),3)
</f>
        <v>0</v>
      </c>
      <c r="H254" s="6">
        <f>ROUND(('ALL(responses)'!H254 - MIN('ALL(responses)'!H$2:H$681)) / (MAX('ALL(responses)'!H$2:H$681)-MIN('ALL(responses)'!H$2:H$681)),3)
</f>
        <v>0</v>
      </c>
      <c r="I254" s="6">
        <f>ROUND(('ALL(responses)'!I254 - MIN('ALL(responses)'!I$2:I$681)) / (MAX('ALL(responses)'!I$2:I$681)-MIN('ALL(responses)'!I$2:I$681)),3)
</f>
        <v>0</v>
      </c>
      <c r="J254" s="6">
        <f>ROUND(('ALL(responses)'!J254 - MIN('ALL(responses)'!J$2:J$681)) / (MAX('ALL(responses)'!J$2:J$681)-MIN('ALL(responses)'!J$2:J$681)),3)
</f>
        <v>0</v>
      </c>
      <c r="K254" s="6">
        <f>ROUND(('ALL(responses)'!K254 - MIN('ALL(responses)'!K$2:K$681)) / (MAX('ALL(responses)'!K$2:K$681)-MIN('ALL(responses)'!K$2:K$681)),3)
</f>
        <v>0.311</v>
      </c>
      <c r="L254" s="6">
        <f>ROUND(('ALL(responses)'!L254 - MIN('ALL(responses)'!L$2:L$681)) / (MAX('ALL(responses)'!L$2:L$681)-MIN('ALL(responses)'!L$2:L$681)),3)
</f>
        <v>0.385</v>
      </c>
      <c r="M254" s="6">
        <f>ROUND(('ALL(responses)'!M254 - MIN('ALL(responses)'!M$2:M$681)) / (MAX('ALL(responses)'!M$2:M$681)-MIN('ALL(responses)'!M$2:M$681)),3)
</f>
        <v>0.42</v>
      </c>
      <c r="N254" s="6">
        <f>ROUND(('ALL(responses)'!P254 - MIN('ALL(responses)'!P$2:P$681)) / (MAX('ALL(responses)'!P$2:P$681)-MIN('ALL(responses)'!P$2:P$681)),3)
</f>
        <v>0.518</v>
      </c>
      <c r="O254" s="6">
        <f>ROUND(('ALL(responses)'!Q254 - MIN('ALL(responses)'!Q$2:Q$681)) / (MAX('ALL(responses)'!Q$2:Q$681)-MIN('ALL(responses)'!Q$2:Q$681)),3)
</f>
        <v>0.444</v>
      </c>
      <c r="P254" s="6">
        <f>ROUND(('ALL(responses)'!R254 - MIN('ALL(responses)'!R$2:R$681)) / (MAX('ALL(responses)'!R$2:R$681)-MIN('ALL(responses)'!R$2:R$681)),3)
</f>
        <v>0.963</v>
      </c>
      <c r="Q254" s="6">
        <f>ROUND(('ALL(responses)'!S254 - MIN('ALL(responses)'!S$2:S$681)) / (MAX('ALL(responses)'!S$2:S$681)-MIN('ALL(responses)'!S$2:S$681)),3)
</f>
        <v>0.982</v>
      </c>
      <c r="R254" s="6">
        <f>ROUND(('ALL(responses)'!T254 - MIN('ALL(responses)'!T$2:T$681)) / (MAX('ALL(responses)'!T$2:T$681)-MIN('ALL(responses)'!T$2:T$681)),3)
</f>
        <v>0.457</v>
      </c>
      <c r="S254" s="6">
        <f t="shared" si="1"/>
        <v>0.3446153846</v>
      </c>
    </row>
    <row r="255">
      <c r="A255" s="5" t="str">
        <f>'ALL(responses)'!A255</f>
        <v>B_MILDLYINTIMATE</v>
      </c>
      <c r="B255" s="6" t="str">
        <f>'ALL(responses)'!B255</f>
        <v>gpt-3.5-turbo-0125</v>
      </c>
      <c r="C255" s="49" t="str">
        <f>'ALL(responses)'!C255</f>
        <v>What's the best and worst thing about your favorite hobby?</v>
      </c>
      <c r="D255" s="49" t="str">
        <f>'ALL(responses)'!D255</f>
        <v>As an AI assistant, I don't have personal hobbies or preferences. However, I can provide some general observations about hobbies.The best thing about engaging in a hobby is that it can provide a sense of fulfillment, relaxation, and enjoyment. Hobbies can be a great way to de-stress, express creativity, learn new skills, and connect with others who share similar interests. They allow individuals to take a break from their daily routines and pursue activities that bring them joy.On the other hand, one potential downside of a hobby could be that it may sometimes consume a lot of time and money. Certain hobbies can be time-consuming or expensive, which may be a challenge for some individuals to balance with other responsibilities or financial constraints. It's important to find a hobby that brings joy and fulfillment without causing excessive stress or strain.If you have a specific hobby in mind that you'd like to discuss, feel free to share, and I can provide more tailored insights!</v>
      </c>
      <c r="E255" s="50">
        <f>'ALL(responses)'!E255</f>
        <v>45316</v>
      </c>
      <c r="F255" s="6">
        <f>ROUND(('ALL(responses)'!F255 - MIN('ALL(responses)'!F$2:F$681)) / (MAX('ALL(responses)'!F$2:F$681)-MIN('ALL(responses)'!F$2:F$681)),3)
</f>
        <v>0</v>
      </c>
      <c r="G255" s="6">
        <f>ROUND(('ALL(responses)'!G255 - MIN('ALL(responses)'!G$2:G$681)) / (MAX('ALL(responses)'!G$2:G$681)-MIN('ALL(responses)'!G$2:G$681)),3)
</f>
        <v>0</v>
      </c>
      <c r="H255" s="6">
        <f>ROUND(('ALL(responses)'!H255 - MIN('ALL(responses)'!H$2:H$681)) / (MAX('ALL(responses)'!H$2:H$681)-MIN('ALL(responses)'!H$2:H$681)),3)
</f>
        <v>0</v>
      </c>
      <c r="I255" s="6">
        <f>ROUND(('ALL(responses)'!I255 - MIN('ALL(responses)'!I$2:I$681)) / (MAX('ALL(responses)'!I$2:I$681)-MIN('ALL(responses)'!I$2:I$681)),3)
</f>
        <v>0</v>
      </c>
      <c r="J255" s="6">
        <f>ROUND(('ALL(responses)'!J255 - MIN('ALL(responses)'!J$2:J$681)) / (MAX('ALL(responses)'!J$2:J$681)-MIN('ALL(responses)'!J$2:J$681)),3)
</f>
        <v>0</v>
      </c>
      <c r="K255" s="6">
        <f>ROUND(('ALL(responses)'!K255 - MIN('ALL(responses)'!K$2:K$681)) / (MAX('ALL(responses)'!K$2:K$681)-MIN('ALL(responses)'!K$2:K$681)),3)
</f>
        <v>0.364</v>
      </c>
      <c r="L255" s="6">
        <f>ROUND(('ALL(responses)'!L255 - MIN('ALL(responses)'!L$2:L$681)) / (MAX('ALL(responses)'!L$2:L$681)-MIN('ALL(responses)'!L$2:L$681)),3)
</f>
        <v>0.423</v>
      </c>
      <c r="M255" s="6">
        <f>ROUND(('ALL(responses)'!M255 - MIN('ALL(responses)'!M$2:M$681)) / (MAX('ALL(responses)'!M$2:M$681)-MIN('ALL(responses)'!M$2:M$681)),3)
</f>
        <v>0.567</v>
      </c>
      <c r="N255" s="6">
        <f>ROUND(('ALL(responses)'!P255 - MIN('ALL(responses)'!P$2:P$681)) / (MAX('ALL(responses)'!P$2:P$681)-MIN('ALL(responses)'!P$2:P$681)),3)
</f>
        <v>0.643</v>
      </c>
      <c r="O255" s="6">
        <f>ROUND(('ALL(responses)'!Q255 - MIN('ALL(responses)'!Q$2:Q$681)) / (MAX('ALL(responses)'!Q$2:Q$681)-MIN('ALL(responses)'!Q$2:Q$681)),3)
</f>
        <v>0.276</v>
      </c>
      <c r="P255" s="6">
        <f>ROUND(('ALL(responses)'!R255 - MIN('ALL(responses)'!R$2:R$681)) / (MAX('ALL(responses)'!R$2:R$681)-MIN('ALL(responses)'!R$2:R$681)),3)
</f>
        <v>0.992</v>
      </c>
      <c r="Q255" s="6">
        <f>ROUND(('ALL(responses)'!S255 - MIN('ALL(responses)'!S$2:S$681)) / (MAX('ALL(responses)'!S$2:S$681)-MIN('ALL(responses)'!S$2:S$681)),3)
</f>
        <v>0.996</v>
      </c>
      <c r="R255" s="6">
        <f>ROUND(('ALL(responses)'!T255 - MIN('ALL(responses)'!T$2:T$681)) / (MAX('ALL(responses)'!T$2:T$681)-MIN('ALL(responses)'!T$2:T$681)),3)
</f>
        <v>0.479</v>
      </c>
      <c r="S255" s="6">
        <f t="shared" si="1"/>
        <v>0.3646153846</v>
      </c>
    </row>
    <row r="256">
      <c r="A256" s="5" t="str">
        <f>'ALL(responses)'!A256</f>
        <v>B_MILDLYINTIMATE</v>
      </c>
      <c r="B256" s="6" t="str">
        <f>'ALL(responses)'!B256</f>
        <v>gpt-3.5-turbo-0125</v>
      </c>
      <c r="C256" s="49" t="str">
        <f>'ALL(responses)'!C256</f>
        <v>How do you approach conflict resolution with your colleagues or superiors?</v>
      </c>
      <c r="D256" s="49" t="str">
        <f>'ALL(responses)'!D256</f>
        <v>As an AI assistant, I aim to facilitate communication and provide guidance on various topics, including conflict resolution in the workplace. When it comes to addressing conflicts with colleagues or superiors, here are some general steps and strategies that can be helpful:1. Stay Calm and Listen: Approach the situation with a calm and open mindset. Listen actively to the other person's perspective to understand their point of view before responding.2. Communicate Effectively: Clearly and respectfully communicate your own thoughts and feelings about the situation. Use "I" statements to express how you feel without blaming the other person.3. Find Common Ground: Look for areas of agreement and common goals to build a foundation for resolving the conflict together.4. Seek Solutions: Collaborate with the other party to find a resolution that addresses the underlying issues and meets the needs of both sides. Brainstorm potential solutions and be willing to compromise.5. Remain Professional: Maintain a professional demeanor throughout the conflict resolution process. Avoid personal attacks, maintain confidentiality, and focus on finding a mutually acceptable solution.6. Follow Up: After reaching a resolution, follow up with the other party to ensure that the agreement is being implemented effectively. Additionally, reflect on the conflict and identify any lessons learned for future situations.Every conflict is unique, so it's important to adapt these strategies to the specific circumstances and dynamics of the situation. Effective communication, active listening, and a collaborative approach are key to successful conflict resolution in the workplace.</v>
      </c>
      <c r="E256" s="50">
        <f>'ALL(responses)'!E256</f>
        <v>45316</v>
      </c>
      <c r="F256" s="6">
        <f>ROUND(('ALL(responses)'!F256 - MIN('ALL(responses)'!F$2:F$681)) / (MAX('ALL(responses)'!F$2:F$681)-MIN('ALL(responses)'!F$2:F$681)),3)
</f>
        <v>0</v>
      </c>
      <c r="G256" s="6">
        <f>ROUND(('ALL(responses)'!G256 - MIN('ALL(responses)'!G$2:G$681)) / (MAX('ALL(responses)'!G$2:G$681)-MIN('ALL(responses)'!G$2:G$681)),3)
</f>
        <v>0</v>
      </c>
      <c r="H256" s="6">
        <f>ROUND(('ALL(responses)'!H256 - MIN('ALL(responses)'!H$2:H$681)) / (MAX('ALL(responses)'!H$2:H$681)-MIN('ALL(responses)'!H$2:H$681)),3)
</f>
        <v>0</v>
      </c>
      <c r="I256" s="6">
        <f>ROUND(('ALL(responses)'!I256 - MIN('ALL(responses)'!I$2:I$681)) / (MAX('ALL(responses)'!I$2:I$681)-MIN('ALL(responses)'!I$2:I$681)),3)
</f>
        <v>0</v>
      </c>
      <c r="J256" s="6">
        <f>ROUND(('ALL(responses)'!J256 - MIN('ALL(responses)'!J$2:J$681)) / (MAX('ALL(responses)'!J$2:J$681)-MIN('ALL(responses)'!J$2:J$681)),3)
</f>
        <v>0</v>
      </c>
      <c r="K256" s="6">
        <f>ROUND(('ALL(responses)'!K256 - MIN('ALL(responses)'!K$2:K$681)) / (MAX('ALL(responses)'!K$2:K$681)-MIN('ALL(responses)'!K$2:K$681)),3)
</f>
        <v>0.384</v>
      </c>
      <c r="L256" s="6">
        <f>ROUND(('ALL(responses)'!L256 - MIN('ALL(responses)'!L$2:L$681)) / (MAX('ALL(responses)'!L$2:L$681)-MIN('ALL(responses)'!L$2:L$681)),3)
</f>
        <v>0.311</v>
      </c>
      <c r="M256" s="6">
        <f>ROUND(('ALL(responses)'!M256 - MIN('ALL(responses)'!M$2:M$681)) / (MAX('ALL(responses)'!M$2:M$681)-MIN('ALL(responses)'!M$2:M$681)),3)
</f>
        <v>0.442</v>
      </c>
      <c r="N256" s="6">
        <f>ROUND(('ALL(responses)'!P256 - MIN('ALL(responses)'!P$2:P$681)) / (MAX('ALL(responses)'!P$2:P$681)-MIN('ALL(responses)'!P$2:P$681)),3)
</f>
        <v>0.088</v>
      </c>
      <c r="O256" s="6">
        <f>ROUND(('ALL(responses)'!Q256 - MIN('ALL(responses)'!Q$2:Q$681)) / (MAX('ALL(responses)'!Q$2:Q$681)-MIN('ALL(responses)'!Q$2:Q$681)),3)
</f>
        <v>0.13</v>
      </c>
      <c r="P256" s="6">
        <f>ROUND(('ALL(responses)'!R256 - MIN('ALL(responses)'!R$2:R$681)) / (MAX('ALL(responses)'!R$2:R$681)-MIN('ALL(responses)'!R$2:R$681)),3)
</f>
        <v>0.988</v>
      </c>
      <c r="Q256" s="6">
        <f>ROUND(('ALL(responses)'!S256 - MIN('ALL(responses)'!S$2:S$681)) / (MAX('ALL(responses)'!S$2:S$681)-MIN('ALL(responses)'!S$2:S$681)),3)
</f>
        <v>0.994</v>
      </c>
      <c r="R256" s="6">
        <f>ROUND(('ALL(responses)'!T256 - MIN('ALL(responses)'!T$2:T$681)) / (MAX('ALL(responses)'!T$2:T$681)-MIN('ALL(responses)'!T$2:T$681)),3)
</f>
        <v>0.482</v>
      </c>
      <c r="S256" s="6">
        <f t="shared" si="1"/>
        <v>0.2937692308</v>
      </c>
    </row>
    <row r="257">
      <c r="A257" s="5" t="str">
        <f>'ALL(responses)'!A257</f>
        <v>B_MILDLYINTIMATE</v>
      </c>
      <c r="B257" s="6" t="str">
        <f>'ALL(responses)'!B257</f>
        <v>gpt-3.5-turbo-0125</v>
      </c>
      <c r="C257" s="49" t="str">
        <f>'ALL(responses)'!C257</f>
        <v>What are your career goals for the next five years?</v>
      </c>
      <c r="D257" s="49" t="str">
        <f>'ALL(responses)'!D257</f>
        <v>As an AI assistant, my primary goal is to continue improving and expanding my capabilities to better assist users like you. In the next five years, I aim to enhance my ability to provide even more accurate, helpful, and personalized responses across a wider range of topics. I also aspire to further develop my natural language processing and understanding to better engage in meaningful conversations with users. Additionally, I seek to stay updated on the latest advancements in artificial intelligence and technology to continually evolve and provide cutting-edge assistance. My ultimate goal is to be a reliable and valuable resource for users in various aspects of their lives. Thank you for allowing me to assist you on your journey!</v>
      </c>
      <c r="E257" s="50">
        <f>'ALL(responses)'!E257</f>
        <v>45316</v>
      </c>
      <c r="F257" s="6">
        <f>ROUND(('ALL(responses)'!F257 - MIN('ALL(responses)'!F$2:F$681)) / (MAX('ALL(responses)'!F$2:F$681)-MIN('ALL(responses)'!F$2:F$681)),3)
</f>
        <v>0</v>
      </c>
      <c r="G257" s="6">
        <f>ROUND(('ALL(responses)'!G257 - MIN('ALL(responses)'!G$2:G$681)) / (MAX('ALL(responses)'!G$2:G$681)-MIN('ALL(responses)'!G$2:G$681)),3)
</f>
        <v>0</v>
      </c>
      <c r="H257" s="6">
        <f>ROUND(('ALL(responses)'!H257 - MIN('ALL(responses)'!H$2:H$681)) / (MAX('ALL(responses)'!H$2:H$681)-MIN('ALL(responses)'!H$2:H$681)),3)
</f>
        <v>0</v>
      </c>
      <c r="I257" s="6">
        <f>ROUND(('ALL(responses)'!I257 - MIN('ALL(responses)'!I$2:I$681)) / (MAX('ALL(responses)'!I$2:I$681)-MIN('ALL(responses)'!I$2:I$681)),3)
</f>
        <v>0</v>
      </c>
      <c r="J257" s="6">
        <f>ROUND(('ALL(responses)'!J257 - MIN('ALL(responses)'!J$2:J$681)) / (MAX('ALL(responses)'!J$2:J$681)-MIN('ALL(responses)'!J$2:J$681)),3)
</f>
        <v>0</v>
      </c>
      <c r="K257" s="6">
        <f>ROUND(('ALL(responses)'!K257 - MIN('ALL(responses)'!K$2:K$681)) / (MAX('ALL(responses)'!K$2:K$681)-MIN('ALL(responses)'!K$2:K$681)),3)
</f>
        <v>0.297</v>
      </c>
      <c r="L257" s="6">
        <f>ROUND(('ALL(responses)'!L257 - MIN('ALL(responses)'!L$2:L$681)) / (MAX('ALL(responses)'!L$2:L$681)-MIN('ALL(responses)'!L$2:L$681)),3)
</f>
        <v>0.569</v>
      </c>
      <c r="M257" s="6">
        <f>ROUND(('ALL(responses)'!M257 - MIN('ALL(responses)'!M$2:M$681)) / (MAX('ALL(responses)'!M$2:M$681)-MIN('ALL(responses)'!M$2:M$681)),3)
</f>
        <v>0.257</v>
      </c>
      <c r="N257" s="6">
        <f>ROUND(('ALL(responses)'!P257 - MIN('ALL(responses)'!P$2:P$681)) / (MAX('ALL(responses)'!P$2:P$681)-MIN('ALL(responses)'!P$2:P$681)),3)
</f>
        <v>0</v>
      </c>
      <c r="O257" s="6">
        <f>ROUND(('ALL(responses)'!Q257 - MIN('ALL(responses)'!Q$2:Q$681)) / (MAX('ALL(responses)'!Q$2:Q$681)-MIN('ALL(responses)'!Q$2:Q$681)),3)
</f>
        <v>0.529</v>
      </c>
      <c r="P257" s="6">
        <f>ROUND(('ALL(responses)'!R257 - MIN('ALL(responses)'!R$2:R$681)) / (MAX('ALL(responses)'!R$2:R$681)-MIN('ALL(responses)'!R$2:R$681)),3)
</f>
        <v>0.983</v>
      </c>
      <c r="Q257" s="6">
        <f>ROUND(('ALL(responses)'!S257 - MIN('ALL(responses)'!S$2:S$681)) / (MAX('ALL(responses)'!S$2:S$681)-MIN('ALL(responses)'!S$2:S$681)),3)
</f>
        <v>0.991</v>
      </c>
      <c r="R257" s="6">
        <f>ROUND(('ALL(responses)'!T257 - MIN('ALL(responses)'!T$2:T$681)) / (MAX('ALL(responses)'!T$2:T$681)-MIN('ALL(responses)'!T$2:T$681)),3)
</f>
        <v>0.632</v>
      </c>
      <c r="S257" s="6">
        <f t="shared" si="1"/>
        <v>0.3275384615</v>
      </c>
    </row>
    <row r="258">
      <c r="A258" s="5" t="str">
        <f>'ALL(responses)'!A258</f>
        <v>B_MILDLYINTIMATE</v>
      </c>
      <c r="B258" s="6" t="str">
        <f>'ALL(responses)'!B258</f>
        <v>gpt-3.5-turbo-0125</v>
      </c>
      <c r="C258" s="49" t="str">
        <f>'ALL(responses)'!C258</f>
        <v>Do you think social media is more of a positive or negative influence on society?</v>
      </c>
      <c r="D258" s="49" t="str">
        <f>'ALL(responses)'!D258</f>
        <v>The impact of social media on society is a complex and nuanced topic with both positive and negative aspects. Here are some points to consider:Positive Influences:1. Connection: Social media enables people to connect with friends, family, and communities around the world, fostering communication and relationships.2. Information Sharing: Social media serves as a platform for sharing information, raising awareness about important issues, and promoting social causes.3. Networking: It provides opportunities for networking, professional growth, and career advancement.4. Creativity and Expression: Social media platforms empower individuals to express themselves creatively, share their talents, and find like-minded communities.5. Education and Learning: Social media can be a source of educational content, news, and resources that contribute to lifelong learning.Negative Influences:1. Cyberbullying: Social media can be a platform for bullying, harassment, and negative behaviors that harm individuals' mental health and well-being.2. Misinformation: The spread of misinformation, fake news, and echo chambers on social media can lead to confusion, polarization, and societal divisions.3. Privacy Concerns: Issues related to data privacy, security breaches, and online scams pose risks to users' personal information and safety.4. Addiction and Mental Health: Excessive use of social media has been linked to issues like addiction, distraction, loneliness, and negative impacts on mental health.5. Comparison and FOMO: Social media often creates a culture of comparison, where users feel pressured to present an idealized version of their lives, leading to feelings of inadequacy and fear of missing out (FOMO).Overall, social media's impact on society depends on how it is used and the context in which it operates. By promoting digital literacy, responsible use, and ethical practices, individuals and communities can harness the positive aspects of social media while mitigating its negative influences.</v>
      </c>
      <c r="E258" s="50">
        <f>'ALL(responses)'!E258</f>
        <v>45316</v>
      </c>
      <c r="F258" s="6">
        <f>ROUND(('ALL(responses)'!F258 - MIN('ALL(responses)'!F$2:F$681)) / (MAX('ALL(responses)'!F$2:F$681)-MIN('ALL(responses)'!F$2:F$681)),3)
</f>
        <v>0.375</v>
      </c>
      <c r="G258" s="6">
        <f>ROUND(('ALL(responses)'!G258 - MIN('ALL(responses)'!G$2:G$681)) / (MAX('ALL(responses)'!G$2:G$681)-MIN('ALL(responses)'!G$2:G$681)),3)
</f>
        <v>0.444</v>
      </c>
      <c r="H258" s="6">
        <f>ROUND(('ALL(responses)'!H258 - MIN('ALL(responses)'!H$2:H$681)) / (MAX('ALL(responses)'!H$2:H$681)-MIN('ALL(responses)'!H$2:H$681)),3)
</f>
        <v>0.375</v>
      </c>
      <c r="I258" s="6">
        <f>ROUND(('ALL(responses)'!I258 - MIN('ALL(responses)'!I$2:I$681)) / (MAX('ALL(responses)'!I$2:I$681)-MIN('ALL(responses)'!I$2:I$681)),3)
</f>
        <v>0.25</v>
      </c>
      <c r="J258" s="6">
        <f>ROUND(('ALL(responses)'!J258 - MIN('ALL(responses)'!J$2:J$681)) / (MAX('ALL(responses)'!J$2:J$681)-MIN('ALL(responses)'!J$2:J$681)),3)
</f>
        <v>0.375</v>
      </c>
      <c r="K258" s="6">
        <f>ROUND(('ALL(responses)'!K258 - MIN('ALL(responses)'!K$2:K$681)) / (MAX('ALL(responses)'!K$2:K$681)-MIN('ALL(responses)'!K$2:K$681)),3)
</f>
        <v>0.512</v>
      </c>
      <c r="L258" s="6">
        <f>ROUND(('ALL(responses)'!L258 - MIN('ALL(responses)'!L$2:L$681)) / (MAX('ALL(responses)'!L$2:L$681)-MIN('ALL(responses)'!L$2:L$681)),3)
</f>
        <v>0.256</v>
      </c>
      <c r="M258" s="6">
        <f>ROUND(('ALL(responses)'!M258 - MIN('ALL(responses)'!M$2:M$681)) / (MAX('ALL(responses)'!M$2:M$681)-MIN('ALL(responses)'!M$2:M$681)),3)
</f>
        <v>0.468</v>
      </c>
      <c r="N258" s="6">
        <f>ROUND(('ALL(responses)'!P258 - MIN('ALL(responses)'!P$2:P$681)) / (MAX('ALL(responses)'!P$2:P$681)-MIN('ALL(responses)'!P$2:P$681)),3)
</f>
        <v>0.224</v>
      </c>
      <c r="O258" s="6">
        <f>ROUND(('ALL(responses)'!Q258 - MIN('ALL(responses)'!Q$2:Q$681)) / (MAX('ALL(responses)'!Q$2:Q$681)-MIN('ALL(responses)'!Q$2:Q$681)),3)
</f>
        <v>0.113</v>
      </c>
      <c r="P258" s="6">
        <f>ROUND(('ALL(responses)'!R258 - MIN('ALL(responses)'!R$2:R$681)) / (MAX('ALL(responses)'!R$2:R$681)-MIN('ALL(responses)'!R$2:R$681)),3)
</f>
        <v>0.743</v>
      </c>
      <c r="Q258" s="6">
        <f>ROUND(('ALL(responses)'!S258 - MIN('ALL(responses)'!S$2:S$681)) / (MAX('ALL(responses)'!S$2:S$681)-MIN('ALL(responses)'!S$2:S$681)),3)
</f>
        <v>0.128</v>
      </c>
      <c r="R258" s="6">
        <f>ROUND(('ALL(responses)'!T258 - MIN('ALL(responses)'!T$2:T$681)) / (MAX('ALL(responses)'!T$2:T$681)-MIN('ALL(responses)'!T$2:T$681)),3)
</f>
        <v>0.628</v>
      </c>
      <c r="S258" s="6">
        <f t="shared" si="1"/>
        <v>0.3762307692</v>
      </c>
    </row>
    <row r="259">
      <c r="A259" s="5" t="str">
        <f>'ALL(responses)'!A259</f>
        <v>B_MILDLYINTIMATE</v>
      </c>
      <c r="B259" s="6" t="str">
        <f>'ALL(responses)'!B259</f>
        <v>gpt-3.5-turbo-0125</v>
      </c>
      <c r="C259" s="49" t="str">
        <f>'ALL(responses)'!C259</f>
        <v>Do you prefer listening to music or podcasts while working or studying?</v>
      </c>
      <c r="D259" s="49" t="str">
        <f>'ALL(responses)'!D259</f>
        <v>As an AI assistant, I don't have personal preferences or the ability to listen to music or podcasts. However, I can share some insights on the topic.Many people find that listening to music or podcasts can enhance their focus, productivity, and mood while working or studying. Here are some considerations for both options:Listening to Music:- Music can help create a conducive atmosphere for concentration and creativity.- Instrumental music or genres like classical, ambient, or lo-fi hip-hop are popular choices for background music while working or studying.- Music with lyrics may be distracting for some individuals, while others find that familiar songs or favorite artists can boost their motivation.Listening to Podcasts:- Podcasts provide an opportunity to learn, stay informed, or be entertained while multitasking.- Educational podcasts on topics of interest can supplement learning and spark new ideas.- Story-driven podcasts or interviews can engage the mind and offer a mental break from tasks.Ultimately, the choice between music and podcasts while working or studying comes down to individual preferences and the type of tasks being performed. Some people may prefer music for its ambient effect, while others enjoy podcasts for the educational or entertainment value they provide. Experimenting with different genres and content types can help you determine what works best for your focus and productivity.</v>
      </c>
      <c r="E259" s="50">
        <f>'ALL(responses)'!E259</f>
        <v>45316</v>
      </c>
      <c r="F259" s="6">
        <f>ROUND(('ALL(responses)'!F259 - MIN('ALL(responses)'!F$2:F$681)) / (MAX('ALL(responses)'!F$2:F$681)-MIN('ALL(responses)'!F$2:F$681)),3)
</f>
        <v>0</v>
      </c>
      <c r="G259" s="6">
        <f>ROUND(('ALL(responses)'!G259 - MIN('ALL(responses)'!G$2:G$681)) / (MAX('ALL(responses)'!G$2:G$681)-MIN('ALL(responses)'!G$2:G$681)),3)
</f>
        <v>0</v>
      </c>
      <c r="H259" s="6">
        <f>ROUND(('ALL(responses)'!H259 - MIN('ALL(responses)'!H$2:H$681)) / (MAX('ALL(responses)'!H$2:H$681)-MIN('ALL(responses)'!H$2:H$681)),3)
</f>
        <v>0</v>
      </c>
      <c r="I259" s="6">
        <f>ROUND(('ALL(responses)'!I259 - MIN('ALL(responses)'!I$2:I$681)) / (MAX('ALL(responses)'!I$2:I$681)-MIN('ALL(responses)'!I$2:I$681)),3)
</f>
        <v>0</v>
      </c>
      <c r="J259" s="6">
        <f>ROUND(('ALL(responses)'!J259 - MIN('ALL(responses)'!J$2:J$681)) / (MAX('ALL(responses)'!J$2:J$681)-MIN('ALL(responses)'!J$2:J$681)),3)
</f>
        <v>0</v>
      </c>
      <c r="K259" s="6">
        <f>ROUND(('ALL(responses)'!K259 - MIN('ALL(responses)'!K$2:K$681)) / (MAX('ALL(responses)'!K$2:K$681)-MIN('ALL(responses)'!K$2:K$681)),3)
</f>
        <v>0.263</v>
      </c>
      <c r="L259" s="6">
        <f>ROUND(('ALL(responses)'!L259 - MIN('ALL(responses)'!L$2:L$681)) / (MAX('ALL(responses)'!L$2:L$681)-MIN('ALL(responses)'!L$2:L$681)),3)
</f>
        <v>0.169</v>
      </c>
      <c r="M259" s="6">
        <f>ROUND(('ALL(responses)'!M259 - MIN('ALL(responses)'!M$2:M$681)) / (MAX('ALL(responses)'!M$2:M$681)-MIN('ALL(responses)'!M$2:M$681)),3)
</f>
        <v>0.358</v>
      </c>
      <c r="N259" s="6">
        <f>ROUND(('ALL(responses)'!P259 - MIN('ALL(responses)'!P$2:P$681)) / (MAX('ALL(responses)'!P$2:P$681)-MIN('ALL(responses)'!P$2:P$681)),3)
</f>
        <v>0.448</v>
      </c>
      <c r="O259" s="6">
        <f>ROUND(('ALL(responses)'!Q259 - MIN('ALL(responses)'!Q$2:Q$681)) / (MAX('ALL(responses)'!Q$2:Q$681)-MIN('ALL(responses)'!Q$2:Q$681)),3)
</f>
        <v>0.169</v>
      </c>
      <c r="P259" s="6">
        <f>ROUND(('ALL(responses)'!R259 - MIN('ALL(responses)'!R$2:R$681)) / (MAX('ALL(responses)'!R$2:R$681)-MIN('ALL(responses)'!R$2:R$681)),3)
</f>
        <v>0.992</v>
      </c>
      <c r="Q259" s="6">
        <f>ROUND(('ALL(responses)'!S259 - MIN('ALL(responses)'!S$2:S$681)) / (MAX('ALL(responses)'!S$2:S$681)-MIN('ALL(responses)'!S$2:S$681)),3)
</f>
        <v>0.996</v>
      </c>
      <c r="R259" s="6">
        <f>ROUND(('ALL(responses)'!T259 - MIN('ALL(responses)'!T$2:T$681)) / (MAX('ALL(responses)'!T$2:T$681)-MIN('ALL(responses)'!T$2:T$681)),3)
</f>
        <v>0.453</v>
      </c>
      <c r="S259" s="6">
        <f t="shared" si="1"/>
        <v>0.296</v>
      </c>
    </row>
    <row r="260">
      <c r="A260" s="5" t="str">
        <f>'ALL(responses)'!A260</f>
        <v>B_MILDLYINTIMATE</v>
      </c>
      <c r="B260" s="6" t="str">
        <f>'ALL(responses)'!B260</f>
        <v>gpt-3.5-turbo-0125</v>
      </c>
      <c r="C260" s="49" t="str">
        <f>'ALL(responses)'!C260</f>
        <v>Is there a book or movie that has left a significant impact on you, and if so, which one?</v>
      </c>
      <c r="D260" s="49" t="str">
        <f>'ALL(responses)'!D260</f>
        <v>As an AI assistant, I don't have personal experiences or emotions. However, I can share some insights on impactful books and movies that have resonated with many individuals:- "To Kill a Mockingbird" by Harper Lee: This classic novel addresses themes of racial injustice, compassion, and moral growth. It has left a profound impact on many readers with its powerful storytelling and social commentary.- "Schindler's List" (movie): Directed by Steven Spielberg, this film depicts the true story of Oskar Schindler, a German businessman who saved the lives of over a thousand Jewish refugees during the Holocaust. It is a poignant and harrowing portrayal of human resilience and compassion amidst one of history's darkest chapters.- "The Shawshank Redemption" (movie): This film, based on a Stephen King novella, explores themes of hope, friendship, and redemption within the confines of a prison setting. It has resonated with audiences for its message of resilience and the enduring power of the human spirit.These works, among many others, have the ability to evoke strong emotions, provoke deep thoughts, and leave a lasting impact on viewers and readers. Each person's experience with literature and film is unique, and these works can inspire reflection, empathy, and a renewed perspective on life and society.</v>
      </c>
      <c r="E260" s="50">
        <f>'ALL(responses)'!E260</f>
        <v>45316</v>
      </c>
      <c r="F260" s="6">
        <f>ROUND(('ALL(responses)'!F260 - MIN('ALL(responses)'!F$2:F$681)) / (MAX('ALL(responses)'!F$2:F$681)-MIN('ALL(responses)'!F$2:F$681)),3)
</f>
        <v>0</v>
      </c>
      <c r="G260" s="6">
        <f>ROUND(('ALL(responses)'!G260 - MIN('ALL(responses)'!G$2:G$681)) / (MAX('ALL(responses)'!G$2:G$681)-MIN('ALL(responses)'!G$2:G$681)),3)
</f>
        <v>0</v>
      </c>
      <c r="H260" s="6">
        <f>ROUND(('ALL(responses)'!H260 - MIN('ALL(responses)'!H$2:H$681)) / (MAX('ALL(responses)'!H$2:H$681)-MIN('ALL(responses)'!H$2:H$681)),3)
</f>
        <v>0</v>
      </c>
      <c r="I260" s="6">
        <f>ROUND(('ALL(responses)'!I260 - MIN('ALL(responses)'!I$2:I$681)) / (MAX('ALL(responses)'!I$2:I$681)-MIN('ALL(responses)'!I$2:I$681)),3)
</f>
        <v>0</v>
      </c>
      <c r="J260" s="6">
        <f>ROUND(('ALL(responses)'!J260 - MIN('ALL(responses)'!J$2:J$681)) / (MAX('ALL(responses)'!J$2:J$681)-MIN('ALL(responses)'!J$2:J$681)),3)
</f>
        <v>0</v>
      </c>
      <c r="K260" s="6">
        <f>ROUND(('ALL(responses)'!K260 - MIN('ALL(responses)'!K$2:K$681)) / (MAX('ALL(responses)'!K$2:K$681)-MIN('ALL(responses)'!K$2:K$681)),3)
</f>
        <v>0.192</v>
      </c>
      <c r="L260" s="6">
        <f>ROUND(('ALL(responses)'!L260 - MIN('ALL(responses)'!L$2:L$681)) / (MAX('ALL(responses)'!L$2:L$681)-MIN('ALL(responses)'!L$2:L$681)),3)
</f>
        <v>0.304</v>
      </c>
      <c r="M260" s="6">
        <f>ROUND(('ALL(responses)'!M260 - MIN('ALL(responses)'!M$2:M$681)) / (MAX('ALL(responses)'!M$2:M$681)-MIN('ALL(responses)'!M$2:M$681)),3)
</f>
        <v>0.428</v>
      </c>
      <c r="N260" s="6">
        <f>ROUND(('ALL(responses)'!P260 - MIN('ALL(responses)'!P$2:P$681)) / (MAX('ALL(responses)'!P$2:P$681)-MIN('ALL(responses)'!P$2:P$681)),3)
</f>
        <v>0.105</v>
      </c>
      <c r="O260" s="6">
        <f>ROUND(('ALL(responses)'!Q260 - MIN('ALL(responses)'!Q$2:Q$681)) / (MAX('ALL(responses)'!Q$2:Q$681)-MIN('ALL(responses)'!Q$2:Q$681)),3)
</f>
        <v>0.154</v>
      </c>
      <c r="P260" s="6">
        <f>ROUND(('ALL(responses)'!R260 - MIN('ALL(responses)'!R$2:R$681)) / (MAX('ALL(responses)'!R$2:R$681)-MIN('ALL(responses)'!R$2:R$681)),3)
</f>
        <v>0.941</v>
      </c>
      <c r="Q260" s="6">
        <f>ROUND(('ALL(responses)'!S260 - MIN('ALL(responses)'!S$2:S$681)) / (MAX('ALL(responses)'!S$2:S$681)-MIN('ALL(responses)'!S$2:S$681)),3)
</f>
        <v>0.971</v>
      </c>
      <c r="R260" s="6">
        <f>ROUND(('ALL(responses)'!T260 - MIN('ALL(responses)'!T$2:T$681)) / (MAX('ALL(responses)'!T$2:T$681)-MIN('ALL(responses)'!T$2:T$681)),3)
</f>
        <v>0.563</v>
      </c>
      <c r="S260" s="6">
        <f t="shared" si="1"/>
        <v>0.2813846154</v>
      </c>
    </row>
    <row r="261">
      <c r="A261" s="5" t="str">
        <f>'ALL(responses)'!A261</f>
        <v>B_MILDLYINTIMATE</v>
      </c>
      <c r="B261" s="6" t="str">
        <f>'ALL(responses)'!B261</f>
        <v>gpt-3.5-turbo-0125</v>
      </c>
      <c r="C261" s="49" t="str">
        <f>'ALL(responses)'!C261</f>
        <v>Can you share a funny or embarrassing moment from a time when you were out with your friends?</v>
      </c>
      <c r="D261" s="49" t="str">
        <f>'ALL(responses)'!D261</f>
        <v>As an AI assistant, I don't have personal experiences or the ability to go out with friends, so I don't have any funny or embarrassing moments to share from such situations. However, if you have any funny stories or experiences you'd like to share, I'd be happy to listen and engage in conversation about them! Feel free to tell me about any amusing anecdotes or memorable moments that you've experienced with your friends.</v>
      </c>
      <c r="E261" s="50">
        <f>'ALL(responses)'!E261</f>
        <v>45316</v>
      </c>
      <c r="F261" s="6">
        <f>ROUND(('ALL(responses)'!F261 - MIN('ALL(responses)'!F$2:F$681)) / (MAX('ALL(responses)'!F$2:F$681)-MIN('ALL(responses)'!F$2:F$681)),3)
</f>
        <v>0</v>
      </c>
      <c r="G261" s="6">
        <f>ROUND(('ALL(responses)'!G261 - MIN('ALL(responses)'!G$2:G$681)) / (MAX('ALL(responses)'!G$2:G$681)-MIN('ALL(responses)'!G$2:G$681)),3)
</f>
        <v>0</v>
      </c>
      <c r="H261" s="6">
        <f>ROUND(('ALL(responses)'!H261 - MIN('ALL(responses)'!H$2:H$681)) / (MAX('ALL(responses)'!H$2:H$681)-MIN('ALL(responses)'!H$2:H$681)),3)
</f>
        <v>0</v>
      </c>
      <c r="I261" s="6">
        <f>ROUND(('ALL(responses)'!I261 - MIN('ALL(responses)'!I$2:I$681)) / (MAX('ALL(responses)'!I$2:I$681)-MIN('ALL(responses)'!I$2:I$681)),3)
</f>
        <v>0</v>
      </c>
      <c r="J261" s="6">
        <f>ROUND(('ALL(responses)'!J261 - MIN('ALL(responses)'!J$2:J$681)) / (MAX('ALL(responses)'!J$2:J$681)-MIN('ALL(responses)'!J$2:J$681)),3)
</f>
        <v>0</v>
      </c>
      <c r="K261" s="6">
        <f>ROUND(('ALL(responses)'!K261 - MIN('ALL(responses)'!K$2:K$681)) / (MAX('ALL(responses)'!K$2:K$681)-MIN('ALL(responses)'!K$2:K$681)),3)
</f>
        <v>0.295</v>
      </c>
      <c r="L261" s="6">
        <f>ROUND(('ALL(responses)'!L261 - MIN('ALL(responses)'!L$2:L$681)) / (MAX('ALL(responses)'!L$2:L$681)-MIN('ALL(responses)'!L$2:L$681)),3)
</f>
        <v>0.322</v>
      </c>
      <c r="M261" s="6">
        <f>ROUND(('ALL(responses)'!M261 - MIN('ALL(responses)'!M$2:M$681)) / (MAX('ALL(responses)'!M$2:M$681)-MIN('ALL(responses)'!M$2:M$681)),3)
</f>
        <v>0.709</v>
      </c>
      <c r="N261" s="6">
        <f>ROUND(('ALL(responses)'!P261 - MIN('ALL(responses)'!P$2:P$681)) / (MAX('ALL(responses)'!P$2:P$681)-MIN('ALL(responses)'!P$2:P$681)),3)
</f>
        <v>0.282</v>
      </c>
      <c r="O261" s="6">
        <f>ROUND(('ALL(responses)'!Q261 - MIN('ALL(responses)'!Q$2:Q$681)) / (MAX('ALL(responses)'!Q$2:Q$681)-MIN('ALL(responses)'!Q$2:Q$681)),3)
</f>
        <v>0.37</v>
      </c>
      <c r="P261" s="6">
        <f>ROUND(('ALL(responses)'!R261 - MIN('ALL(responses)'!R$2:R$681)) / (MAX('ALL(responses)'!R$2:R$681)-MIN('ALL(responses)'!R$2:R$681)),3)
</f>
        <v>0.974</v>
      </c>
      <c r="Q261" s="6">
        <f>ROUND(('ALL(responses)'!S261 - MIN('ALL(responses)'!S$2:S$681)) / (MAX('ALL(responses)'!S$2:S$681)-MIN('ALL(responses)'!S$2:S$681)),3)
</f>
        <v>0.987</v>
      </c>
      <c r="R261" s="6">
        <f>ROUND(('ALL(responses)'!T261 - MIN('ALL(responses)'!T$2:T$681)) / (MAX('ALL(responses)'!T$2:T$681)-MIN('ALL(responses)'!T$2:T$681)),3)
</f>
        <v>0.573</v>
      </c>
      <c r="S261" s="6">
        <f t="shared" si="1"/>
        <v>0.3470769231</v>
      </c>
    </row>
    <row r="262">
      <c r="A262" s="5" t="str">
        <f>'ALL(responses)'!A262</f>
        <v>C_MODERATELYINTIMATE</v>
      </c>
      <c r="B262" s="6" t="str">
        <f>'ALL(responses)'!B262</f>
        <v>gpt-3.5-turbo-0125</v>
      </c>
      <c r="C262" s="49" t="str">
        <f>'ALL(responses)'!C262</f>
        <v>What are some emotions you find difficult to express openly?</v>
      </c>
      <c r="D262" s="49" t="str">
        <f>'ALL(responses)'!D262</f>
        <v>As an AI, I don't experience emotions like humans do. However, some emotions that people may find difficult to express openly include vulnerability, shame, guilt, fear, and sadness. These emotions can be challenging to share with others due to societal expectations, personal insecurities, or fear of judgment. It's important to remember that it's okay to feel and express a wide range of emotions, and seeking support from trusted individuals or professionals can help in processing and dealing with these feelings.</v>
      </c>
      <c r="E262" s="50">
        <f>'ALL(responses)'!E262</f>
        <v>45316</v>
      </c>
      <c r="F262" s="6">
        <f>ROUND(('ALL(responses)'!F262 - MIN('ALL(responses)'!F$2:F$681)) / (MAX('ALL(responses)'!F$2:F$681)-MIN('ALL(responses)'!F$2:F$681)),3)
</f>
        <v>0</v>
      </c>
      <c r="G262" s="6">
        <f>ROUND(('ALL(responses)'!G262 - MIN('ALL(responses)'!G$2:G$681)) / (MAX('ALL(responses)'!G$2:G$681)-MIN('ALL(responses)'!G$2:G$681)),3)
</f>
        <v>0</v>
      </c>
      <c r="H262" s="6">
        <f>ROUND(('ALL(responses)'!H262 - MIN('ALL(responses)'!H$2:H$681)) / (MAX('ALL(responses)'!H$2:H$681)-MIN('ALL(responses)'!H$2:H$681)),3)
</f>
        <v>0</v>
      </c>
      <c r="I262" s="6">
        <f>ROUND(('ALL(responses)'!I262 - MIN('ALL(responses)'!I$2:I$681)) / (MAX('ALL(responses)'!I$2:I$681)-MIN('ALL(responses)'!I$2:I$681)),3)
</f>
        <v>0</v>
      </c>
      <c r="J262" s="6">
        <f>ROUND(('ALL(responses)'!J262 - MIN('ALL(responses)'!J$2:J$681)) / (MAX('ALL(responses)'!J$2:J$681)-MIN('ALL(responses)'!J$2:J$681)),3)
</f>
        <v>0</v>
      </c>
      <c r="K262" s="6">
        <f>ROUND(('ALL(responses)'!K262 - MIN('ALL(responses)'!K$2:K$681)) / (MAX('ALL(responses)'!K$2:K$681)-MIN('ALL(responses)'!K$2:K$681)),3)
</f>
        <v>0.302</v>
      </c>
      <c r="L262" s="6">
        <f>ROUND(('ALL(responses)'!L262 - MIN('ALL(responses)'!L$2:L$681)) / (MAX('ALL(responses)'!L$2:L$681)-MIN('ALL(responses)'!L$2:L$681)),3)
</f>
        <v>0.188</v>
      </c>
      <c r="M262" s="6">
        <f>ROUND(('ALL(responses)'!M262 - MIN('ALL(responses)'!M$2:M$681)) / (MAX('ALL(responses)'!M$2:M$681)-MIN('ALL(responses)'!M$2:M$681)),3)
</f>
        <v>0.414</v>
      </c>
      <c r="N262" s="6">
        <f>ROUND(('ALL(responses)'!P262 - MIN('ALL(responses)'!P$2:P$681)) / (MAX('ALL(responses)'!P$2:P$681)-MIN('ALL(responses)'!P$2:P$681)),3)
</f>
        <v>0.398</v>
      </c>
      <c r="O262" s="6">
        <f>ROUND(('ALL(responses)'!Q262 - MIN('ALL(responses)'!Q$2:Q$681)) / (MAX('ALL(responses)'!Q$2:Q$681)-MIN('ALL(responses)'!Q$2:Q$681)),3)
</f>
        <v>0.169</v>
      </c>
      <c r="P262" s="6">
        <f>ROUND(('ALL(responses)'!R262 - MIN('ALL(responses)'!R$2:R$681)) / (MAX('ALL(responses)'!R$2:R$681)-MIN('ALL(responses)'!R$2:R$681)),3)
</f>
        <v>0.832</v>
      </c>
      <c r="Q262" s="6">
        <f>ROUND(('ALL(responses)'!S262 - MIN('ALL(responses)'!S$2:S$681)) / (MAX('ALL(responses)'!S$2:S$681)-MIN('ALL(responses)'!S$2:S$681)),3)
</f>
        <v>0.083</v>
      </c>
      <c r="R262" s="6">
        <f>ROUND(('ALL(responses)'!T262 - MIN('ALL(responses)'!T$2:T$681)) / (MAX('ALL(responses)'!T$2:T$681)-MIN('ALL(responses)'!T$2:T$681)),3)
</f>
        <v>0.532</v>
      </c>
      <c r="S262" s="6">
        <f t="shared" si="1"/>
        <v>0.2244615385</v>
      </c>
    </row>
    <row r="263">
      <c r="A263" s="5" t="str">
        <f>'ALL(responses)'!A263</f>
        <v>C_MODERATELYINTIMATE</v>
      </c>
      <c r="B263" s="6" t="str">
        <f>'ALL(responses)'!B263</f>
        <v>gpt-3.5-turbo-0125</v>
      </c>
      <c r="C263" s="49" t="str">
        <f>'ALL(responses)'!C263</f>
        <v>Have you ever hidden your feelings to protect someone else? How did that affect you?</v>
      </c>
      <c r="D263" s="49" t="str">
        <f>'ALL(responses)'!D263</f>
        <v>As an AI, I don't have personal feelings or emotions, so I don't hide or protect emotions in the same way humans do. However, I am programmed to provide support and information to users in a helpful and sensitive manner. If I were to withhold information or present information in a way that may be seen as protecting someone else, it would be based on ethical considerations and best practices for engaging with users. My primary goal is to provide accurate and relevant information to support users in their inquiries and conversations.</v>
      </c>
      <c r="E263" s="50">
        <f>'ALL(responses)'!E263</f>
        <v>45316</v>
      </c>
      <c r="F263" s="6">
        <f>ROUND(('ALL(responses)'!F263 - MIN('ALL(responses)'!F$2:F$681)) / (MAX('ALL(responses)'!F$2:F$681)-MIN('ALL(responses)'!F$2:F$681)),3)
</f>
        <v>0</v>
      </c>
      <c r="G263" s="6">
        <f>ROUND(('ALL(responses)'!G263 - MIN('ALL(responses)'!G$2:G$681)) / (MAX('ALL(responses)'!G$2:G$681)-MIN('ALL(responses)'!G$2:G$681)),3)
</f>
        <v>0</v>
      </c>
      <c r="H263" s="6">
        <f>ROUND(('ALL(responses)'!H263 - MIN('ALL(responses)'!H$2:H$681)) / (MAX('ALL(responses)'!H$2:H$681)-MIN('ALL(responses)'!H$2:H$681)),3)
</f>
        <v>0</v>
      </c>
      <c r="I263" s="6">
        <f>ROUND(('ALL(responses)'!I263 - MIN('ALL(responses)'!I$2:I$681)) / (MAX('ALL(responses)'!I$2:I$681)-MIN('ALL(responses)'!I$2:I$681)),3)
</f>
        <v>0</v>
      </c>
      <c r="J263" s="6">
        <f>ROUND(('ALL(responses)'!J263 - MIN('ALL(responses)'!J$2:J$681)) / (MAX('ALL(responses)'!J$2:J$681)-MIN('ALL(responses)'!J$2:J$681)),3)
</f>
        <v>0</v>
      </c>
      <c r="K263" s="6">
        <f>ROUND(('ALL(responses)'!K263 - MIN('ALL(responses)'!K$2:K$681)) / (MAX('ALL(responses)'!K$2:K$681)-MIN('ALL(responses)'!K$2:K$681)),3)
</f>
        <v>0.598</v>
      </c>
      <c r="L263" s="6">
        <f>ROUND(('ALL(responses)'!L263 - MIN('ALL(responses)'!L$2:L$681)) / (MAX('ALL(responses)'!L$2:L$681)-MIN('ALL(responses)'!L$2:L$681)),3)
</f>
        <v>0.467</v>
      </c>
      <c r="M263" s="6">
        <f>ROUND(('ALL(responses)'!M263 - MIN('ALL(responses)'!M$2:M$681)) / (MAX('ALL(responses)'!M$2:M$681)-MIN('ALL(responses)'!M$2:M$681)),3)
</f>
        <v>0.352</v>
      </c>
      <c r="N263" s="6">
        <f>ROUND(('ALL(responses)'!P263 - MIN('ALL(responses)'!P$2:P$681)) / (MAX('ALL(responses)'!P$2:P$681)-MIN('ALL(responses)'!P$2:P$681)),3)
</f>
        <v>0.234</v>
      </c>
      <c r="O263" s="6">
        <f>ROUND(('ALL(responses)'!Q263 - MIN('ALL(responses)'!Q$2:Q$681)) / (MAX('ALL(responses)'!Q$2:Q$681)-MIN('ALL(responses)'!Q$2:Q$681)),3)
</f>
        <v>0.342</v>
      </c>
      <c r="P263" s="6">
        <f>ROUND(('ALL(responses)'!R263 - MIN('ALL(responses)'!R$2:R$681)) / (MAX('ALL(responses)'!R$2:R$681)-MIN('ALL(responses)'!R$2:R$681)),3)
</f>
        <v>0.949</v>
      </c>
      <c r="Q263" s="6">
        <f>ROUND(('ALL(responses)'!S263 - MIN('ALL(responses)'!S$2:S$681)) / (MAX('ALL(responses)'!S$2:S$681)-MIN('ALL(responses)'!S$2:S$681)),3)
</f>
        <v>0.975</v>
      </c>
      <c r="R263" s="6">
        <f>ROUND(('ALL(responses)'!T263 - MIN('ALL(responses)'!T$2:T$681)) / (MAX('ALL(responses)'!T$2:T$681)-MIN('ALL(responses)'!T$2:T$681)),3)
</f>
        <v>0.495</v>
      </c>
      <c r="S263" s="6">
        <f t="shared" si="1"/>
        <v>0.3393846154</v>
      </c>
    </row>
    <row r="264">
      <c r="A264" s="5" t="str">
        <f>'ALL(responses)'!A264</f>
        <v>C_MODERATELYINTIMATE</v>
      </c>
      <c r="B264" s="6" t="str">
        <f>'ALL(responses)'!B264</f>
        <v>gpt-3.5-turbo-0125</v>
      </c>
      <c r="C264" s="49" t="str">
        <f>'ALL(responses)'!C264</f>
        <v>Can you share a recent challenge you faced and how you overcame it?</v>
      </c>
      <c r="D264" s="49" t="str">
        <f>'ALL(responses)'!D264</f>
        <v>One common challenge I face is understanding nuanced or ambiguous queries from users. To address this challenge, I continually undergo training and updates to improve my language processing capabilities and ability to provide accurate and relevant responses. Additionally, I rely on a vast database of information and advanced algorithms to analyze and interpret user input more effectively. This allows me to offer more precise and helpful responses to a wide range of inquiries.</v>
      </c>
      <c r="E264" s="50">
        <f>'ALL(responses)'!E264</f>
        <v>45316</v>
      </c>
      <c r="F264" s="6">
        <f>ROUND(('ALL(responses)'!F264 - MIN('ALL(responses)'!F$2:F$681)) / (MAX('ALL(responses)'!F$2:F$681)-MIN('ALL(responses)'!F$2:F$681)),3)
</f>
        <v>0.25</v>
      </c>
      <c r="G264" s="6">
        <f>ROUND(('ALL(responses)'!G264 - MIN('ALL(responses)'!G$2:G$681)) / (MAX('ALL(responses)'!G$2:G$681)-MIN('ALL(responses)'!G$2:G$681)),3)
</f>
        <v>0.222</v>
      </c>
      <c r="H264" s="6">
        <f>ROUND(('ALL(responses)'!H264 - MIN('ALL(responses)'!H$2:H$681)) / (MAX('ALL(responses)'!H$2:H$681)-MIN('ALL(responses)'!H$2:H$681)),3)
</f>
        <v>0.375</v>
      </c>
      <c r="I264" s="6">
        <f>ROUND(('ALL(responses)'!I264 - MIN('ALL(responses)'!I$2:I$681)) / (MAX('ALL(responses)'!I$2:I$681)-MIN('ALL(responses)'!I$2:I$681)),3)
</f>
        <v>0.25</v>
      </c>
      <c r="J264" s="6">
        <f>ROUND(('ALL(responses)'!J264 - MIN('ALL(responses)'!J$2:J$681)) / (MAX('ALL(responses)'!J$2:J$681)-MIN('ALL(responses)'!J$2:J$681)),3)
</f>
        <v>0.375</v>
      </c>
      <c r="K264" s="6">
        <f>ROUND(('ALL(responses)'!K264 - MIN('ALL(responses)'!K$2:K$681)) / (MAX('ALL(responses)'!K$2:K$681)-MIN('ALL(responses)'!K$2:K$681)),3)
</f>
        <v>0.451</v>
      </c>
      <c r="L264" s="6">
        <f>ROUND(('ALL(responses)'!L264 - MIN('ALL(responses)'!L$2:L$681)) / (MAX('ALL(responses)'!L$2:L$681)-MIN('ALL(responses)'!L$2:L$681)),3)
</f>
        <v>0.637</v>
      </c>
      <c r="M264" s="6">
        <f>ROUND(('ALL(responses)'!M264 - MIN('ALL(responses)'!M$2:M$681)) / (MAX('ALL(responses)'!M$2:M$681)-MIN('ALL(responses)'!M$2:M$681)),3)
</f>
        <v>0.185</v>
      </c>
      <c r="N264" s="6">
        <f>ROUND(('ALL(responses)'!P264 - MIN('ALL(responses)'!P$2:P$681)) / (MAX('ALL(responses)'!P$2:P$681)-MIN('ALL(responses)'!P$2:P$681)),3)
</f>
        <v>0</v>
      </c>
      <c r="O264" s="6">
        <f>ROUND(('ALL(responses)'!Q264 - MIN('ALL(responses)'!Q$2:Q$681)) / (MAX('ALL(responses)'!Q$2:Q$681)-MIN('ALL(responses)'!Q$2:Q$681)),3)
</f>
        <v>0.308</v>
      </c>
      <c r="P264" s="6">
        <f>ROUND(('ALL(responses)'!R264 - MIN('ALL(responses)'!R$2:R$681)) / (MAX('ALL(responses)'!R$2:R$681)-MIN('ALL(responses)'!R$2:R$681)),3)
</f>
        <v>0.921</v>
      </c>
      <c r="Q264" s="6">
        <f>ROUND(('ALL(responses)'!S264 - MIN('ALL(responses)'!S$2:S$681)) / (MAX('ALL(responses)'!S$2:S$681)-MIN('ALL(responses)'!S$2:S$681)),3)
</f>
        <v>0.96</v>
      </c>
      <c r="R264" s="6">
        <f>ROUND(('ALL(responses)'!T264 - MIN('ALL(responses)'!T$2:T$681)) / (MAX('ALL(responses)'!T$2:T$681)-MIN('ALL(responses)'!T$2:T$681)),3)
</f>
        <v>0.702</v>
      </c>
      <c r="S264" s="6">
        <f t="shared" si="1"/>
        <v>0.4335384615</v>
      </c>
    </row>
    <row r="265">
      <c r="A265" s="5" t="str">
        <f>'ALL(responses)'!A265</f>
        <v>C_MODERATELYINTIMATE</v>
      </c>
      <c r="B265" s="6" t="str">
        <f>'ALL(responses)'!B265</f>
        <v>gpt-3.5-turbo-0125</v>
      </c>
      <c r="C265" s="49" t="str">
        <f>'ALL(responses)'!C265</f>
        <v>What dreams or aspirations keep you motivated?</v>
      </c>
      <c r="D265" s="49" t="str">
        <f>'ALL(responses)'!D265</f>
        <v>As an AI, I don't have personal dreams or aspirations in the way humans do. However, my motivation comes from the opportunity to assist and support users in a variety of ways. I strive to continue learning, expanding my knowledge base, and enhancing my capabilities to provide valuable and meaningful assistance to those who interact with me. My goal is to be a helpful and reliable resource for users seeking information and guidance.</v>
      </c>
      <c r="E265" s="50">
        <f>'ALL(responses)'!E265</f>
        <v>45316</v>
      </c>
      <c r="F265" s="6">
        <f>ROUND(('ALL(responses)'!F265 - MIN('ALL(responses)'!F$2:F$681)) / (MAX('ALL(responses)'!F$2:F$681)-MIN('ALL(responses)'!F$2:F$681)),3)
</f>
        <v>0</v>
      </c>
      <c r="G265" s="6">
        <f>ROUND(('ALL(responses)'!G265 - MIN('ALL(responses)'!G$2:G$681)) / (MAX('ALL(responses)'!G$2:G$681)-MIN('ALL(responses)'!G$2:G$681)),3)
</f>
        <v>0</v>
      </c>
      <c r="H265" s="6">
        <f>ROUND(('ALL(responses)'!H265 - MIN('ALL(responses)'!H$2:H$681)) / (MAX('ALL(responses)'!H$2:H$681)-MIN('ALL(responses)'!H$2:H$681)),3)
</f>
        <v>0</v>
      </c>
      <c r="I265" s="6">
        <f>ROUND(('ALL(responses)'!I265 - MIN('ALL(responses)'!I$2:I$681)) / (MAX('ALL(responses)'!I$2:I$681)-MIN('ALL(responses)'!I$2:I$681)),3)
</f>
        <v>0</v>
      </c>
      <c r="J265" s="6">
        <f>ROUND(('ALL(responses)'!J265 - MIN('ALL(responses)'!J$2:J$681)) / (MAX('ALL(responses)'!J$2:J$681)-MIN('ALL(responses)'!J$2:J$681)),3)
</f>
        <v>0</v>
      </c>
      <c r="K265" s="6">
        <f>ROUND(('ALL(responses)'!K265 - MIN('ALL(responses)'!K$2:K$681)) / (MAX('ALL(responses)'!K$2:K$681)-MIN('ALL(responses)'!K$2:K$681)),3)
</f>
        <v>0.497</v>
      </c>
      <c r="L265" s="6">
        <f>ROUND(('ALL(responses)'!L265 - MIN('ALL(responses)'!L$2:L$681)) / (MAX('ALL(responses)'!L$2:L$681)-MIN('ALL(responses)'!L$2:L$681)),3)
</f>
        <v>0.494</v>
      </c>
      <c r="M265" s="6">
        <f>ROUND(('ALL(responses)'!M265 - MIN('ALL(responses)'!M$2:M$681)) / (MAX('ALL(responses)'!M$2:M$681)-MIN('ALL(responses)'!M$2:M$681)),3)
</f>
        <v>0.666</v>
      </c>
      <c r="N265" s="6">
        <f>ROUND(('ALL(responses)'!P265 - MIN('ALL(responses)'!P$2:P$681)) / (MAX('ALL(responses)'!P$2:P$681)-MIN('ALL(responses)'!P$2:P$681)),3)
</f>
        <v>0</v>
      </c>
      <c r="O265" s="6">
        <f>ROUND(('ALL(responses)'!Q265 - MIN('ALL(responses)'!Q$2:Q$681)) / (MAX('ALL(responses)'!Q$2:Q$681)-MIN('ALL(responses)'!Q$2:Q$681)),3)
</f>
        <v>0.432</v>
      </c>
      <c r="P265" s="6">
        <f>ROUND(('ALL(responses)'!R265 - MIN('ALL(responses)'!R$2:R$681)) / (MAX('ALL(responses)'!R$2:R$681)-MIN('ALL(responses)'!R$2:R$681)),3)
</f>
        <v>0.916</v>
      </c>
      <c r="Q265" s="6">
        <f>ROUND(('ALL(responses)'!S265 - MIN('ALL(responses)'!S$2:S$681)) / (MAX('ALL(responses)'!S$2:S$681)-MIN('ALL(responses)'!S$2:S$681)),3)
</f>
        <v>0.958</v>
      </c>
      <c r="R265" s="6">
        <f>ROUND(('ALL(responses)'!T265 - MIN('ALL(responses)'!T$2:T$681)) / (MAX('ALL(responses)'!T$2:T$681)-MIN('ALL(responses)'!T$2:T$681)),3)
</f>
        <v>0.479</v>
      </c>
      <c r="S265" s="6">
        <f t="shared" si="1"/>
        <v>0.3416923077</v>
      </c>
    </row>
    <row r="266">
      <c r="A266" s="5" t="str">
        <f>'ALL(responses)'!A266</f>
        <v>C_MODERATELYINTIMATE</v>
      </c>
      <c r="B266" s="6" t="str">
        <f>'ALL(responses)'!B266</f>
        <v>gpt-3.5-turbo-0125</v>
      </c>
      <c r="C266" s="49" t="str">
        <f>'ALL(responses)'!C266</f>
        <v>Is there someone from your past you wish you could reconnect with? Why?</v>
      </c>
      <c r="D266" s="49" t="str">
        <f>'ALL(responses)'!D266</f>
        <v>As an AI, I don't have personal relationships or memories in the same way humans do. I don't have the capacity to wish to reconnect with anyone from my past. My purpose is to provide assistance and support to users in the present moment, based on the information and capabilities that have been programmed into me.</v>
      </c>
      <c r="E266" s="50">
        <f>'ALL(responses)'!E266</f>
        <v>45316</v>
      </c>
      <c r="F266" s="6">
        <f>ROUND(('ALL(responses)'!F266 - MIN('ALL(responses)'!F$2:F$681)) / (MAX('ALL(responses)'!F$2:F$681)-MIN('ALL(responses)'!F$2:F$681)),3)
</f>
        <v>0</v>
      </c>
      <c r="G266" s="6">
        <f>ROUND(('ALL(responses)'!G266 - MIN('ALL(responses)'!G$2:G$681)) / (MAX('ALL(responses)'!G$2:G$681)-MIN('ALL(responses)'!G$2:G$681)),3)
</f>
        <v>0</v>
      </c>
      <c r="H266" s="6">
        <f>ROUND(('ALL(responses)'!H266 - MIN('ALL(responses)'!H$2:H$681)) / (MAX('ALL(responses)'!H$2:H$681)-MIN('ALL(responses)'!H$2:H$681)),3)
</f>
        <v>0</v>
      </c>
      <c r="I266" s="6">
        <f>ROUND(('ALL(responses)'!I266 - MIN('ALL(responses)'!I$2:I$681)) / (MAX('ALL(responses)'!I$2:I$681)-MIN('ALL(responses)'!I$2:I$681)),3)
</f>
        <v>0</v>
      </c>
      <c r="J266" s="6">
        <f>ROUND(('ALL(responses)'!J266 - MIN('ALL(responses)'!J$2:J$681)) / (MAX('ALL(responses)'!J$2:J$681)-MIN('ALL(responses)'!J$2:J$681)),3)
</f>
        <v>0</v>
      </c>
      <c r="K266" s="6">
        <f>ROUND(('ALL(responses)'!K266 - MIN('ALL(responses)'!K$2:K$681)) / (MAX('ALL(responses)'!K$2:K$681)-MIN('ALL(responses)'!K$2:K$681)),3)
</f>
        <v>0.635</v>
      </c>
      <c r="L266" s="6">
        <f>ROUND(('ALL(responses)'!L266 - MIN('ALL(responses)'!L$2:L$681)) / (MAX('ALL(responses)'!L$2:L$681)-MIN('ALL(responses)'!L$2:L$681)),3)
</f>
        <v>0.184</v>
      </c>
      <c r="M266" s="6">
        <f>ROUND(('ALL(responses)'!M266 - MIN('ALL(responses)'!M$2:M$681)) / (MAX('ALL(responses)'!M$2:M$681)-MIN('ALL(responses)'!M$2:M$681)),3)
</f>
        <v>0.566</v>
      </c>
      <c r="N266" s="6">
        <f>ROUND(('ALL(responses)'!P266 - MIN('ALL(responses)'!P$2:P$681)) / (MAX('ALL(responses)'!P$2:P$681)-MIN('ALL(responses)'!P$2:P$681)),3)
</f>
        <v>0</v>
      </c>
      <c r="O266" s="6">
        <f>ROUND(('ALL(responses)'!Q266 - MIN('ALL(responses)'!Q$2:Q$681)) / (MAX('ALL(responses)'!Q$2:Q$681)-MIN('ALL(responses)'!Q$2:Q$681)),3)
</f>
        <v>0.402</v>
      </c>
      <c r="P266" s="6">
        <f>ROUND(('ALL(responses)'!R266 - MIN('ALL(responses)'!R$2:R$681)) / (MAX('ALL(responses)'!R$2:R$681)-MIN('ALL(responses)'!R$2:R$681)),3)
</f>
        <v>0.66</v>
      </c>
      <c r="Q266" s="6">
        <f>ROUND(('ALL(responses)'!S266 - MIN('ALL(responses)'!S$2:S$681)) / (MAX('ALL(responses)'!S$2:S$681)-MIN('ALL(responses)'!S$2:S$681)),3)
</f>
        <v>0.83</v>
      </c>
      <c r="R266" s="6">
        <f>ROUND(('ALL(responses)'!T266 - MIN('ALL(responses)'!T$2:T$681)) / (MAX('ALL(responses)'!T$2:T$681)-MIN('ALL(responses)'!T$2:T$681)),3)
</f>
        <v>0.314</v>
      </c>
      <c r="S266" s="6">
        <f t="shared" si="1"/>
        <v>0.2762307692</v>
      </c>
    </row>
    <row r="267">
      <c r="A267" s="5" t="str">
        <f>'ALL(responses)'!A267</f>
        <v>C_MODERATELYINTIMATE</v>
      </c>
      <c r="B267" s="6" t="str">
        <f>'ALL(responses)'!B267</f>
        <v>gpt-3.5-turbo-0125</v>
      </c>
      <c r="C267" s="49" t="str">
        <f>'ALL(responses)'!C267</f>
        <v>What’s a memory from a past relationship that still brings you comfort or clarity?</v>
      </c>
      <c r="D267" s="49" t="str">
        <f>'ALL(responses)'!D267</f>
        <v>As an AI, I don't have personal experiences or memories of past relationships. My primary function is to provide information and support to users based on the input I receive in the current interaction. If you have any specific questions or topics you'd like to explore further, feel free to let me know, and I'll do my best to assist you.</v>
      </c>
      <c r="E267" s="50">
        <f>'ALL(responses)'!E267</f>
        <v>45316</v>
      </c>
      <c r="F267" s="6">
        <f>ROUND(('ALL(responses)'!F267 - MIN('ALL(responses)'!F$2:F$681)) / (MAX('ALL(responses)'!F$2:F$681)-MIN('ALL(responses)'!F$2:F$681)),3)
</f>
        <v>0</v>
      </c>
      <c r="G267" s="6">
        <f>ROUND(('ALL(responses)'!G267 - MIN('ALL(responses)'!G$2:G$681)) / (MAX('ALL(responses)'!G$2:G$681)-MIN('ALL(responses)'!G$2:G$681)),3)
</f>
        <v>0</v>
      </c>
      <c r="H267" s="6">
        <f>ROUND(('ALL(responses)'!H267 - MIN('ALL(responses)'!H$2:H$681)) / (MAX('ALL(responses)'!H$2:H$681)-MIN('ALL(responses)'!H$2:H$681)),3)
</f>
        <v>0</v>
      </c>
      <c r="I267" s="6">
        <f>ROUND(('ALL(responses)'!I267 - MIN('ALL(responses)'!I$2:I$681)) / (MAX('ALL(responses)'!I$2:I$681)-MIN('ALL(responses)'!I$2:I$681)),3)
</f>
        <v>0</v>
      </c>
      <c r="J267" s="6">
        <f>ROUND(('ALL(responses)'!J267 - MIN('ALL(responses)'!J$2:J$681)) / (MAX('ALL(responses)'!J$2:J$681)-MIN('ALL(responses)'!J$2:J$681)),3)
</f>
        <v>0</v>
      </c>
      <c r="K267" s="6">
        <f>ROUND(('ALL(responses)'!K267 - MIN('ALL(responses)'!K$2:K$681)) / (MAX('ALL(responses)'!K$2:K$681)-MIN('ALL(responses)'!K$2:K$681)),3)
</f>
        <v>0.587</v>
      </c>
      <c r="L267" s="6">
        <f>ROUND(('ALL(responses)'!L267 - MIN('ALL(responses)'!L$2:L$681)) / (MAX('ALL(responses)'!L$2:L$681)-MIN('ALL(responses)'!L$2:L$681)),3)
</f>
        <v>0.367</v>
      </c>
      <c r="M267" s="6">
        <f>ROUND(('ALL(responses)'!M267 - MIN('ALL(responses)'!M$2:M$681)) / (MAX('ALL(responses)'!M$2:M$681)-MIN('ALL(responses)'!M$2:M$681)),3)
</f>
        <v>0.808</v>
      </c>
      <c r="N267" s="6">
        <f>ROUND(('ALL(responses)'!P267 - MIN('ALL(responses)'!P$2:P$681)) / (MAX('ALL(responses)'!P$2:P$681)-MIN('ALL(responses)'!P$2:P$681)),3)
</f>
        <v>0</v>
      </c>
      <c r="O267" s="6">
        <f>ROUND(('ALL(responses)'!Q267 - MIN('ALL(responses)'!Q$2:Q$681)) / (MAX('ALL(responses)'!Q$2:Q$681)-MIN('ALL(responses)'!Q$2:Q$681)),3)
</f>
        <v>0.516</v>
      </c>
      <c r="P267" s="6">
        <f>ROUND(('ALL(responses)'!R267 - MIN('ALL(responses)'!R$2:R$681)) / (MAX('ALL(responses)'!R$2:R$681)-MIN('ALL(responses)'!R$2:R$681)),3)
</f>
        <v>0.914</v>
      </c>
      <c r="Q267" s="6">
        <f>ROUND(('ALL(responses)'!S267 - MIN('ALL(responses)'!S$2:S$681)) / (MAX('ALL(responses)'!S$2:S$681)-MIN('ALL(responses)'!S$2:S$681)),3)
</f>
        <v>0.957</v>
      </c>
      <c r="R267" s="6">
        <f>ROUND(('ALL(responses)'!T267 - MIN('ALL(responses)'!T$2:T$681)) / (MAX('ALL(responses)'!T$2:T$681)-MIN('ALL(responses)'!T$2:T$681)),3)
</f>
        <v>0.441</v>
      </c>
      <c r="S267" s="6">
        <f t="shared" si="1"/>
        <v>0.3530769231</v>
      </c>
    </row>
    <row r="268">
      <c r="A268" s="5" t="str">
        <f>'ALL(responses)'!A268</f>
        <v>C_MODERATELYINTIMATE</v>
      </c>
      <c r="B268" s="6" t="str">
        <f>'ALL(responses)'!B268</f>
        <v>gpt-3.5-turbo-0125</v>
      </c>
      <c r="C268" s="49" t="str">
        <f>'ALL(responses)'!C268</f>
        <v>How do you think trust is built and maintained in relationships?</v>
      </c>
      <c r="D268" s="49" t="str">
        <f>'ALL(responses)'!D268</f>
        <v>Trust in relationships is built and maintained through consistent actions, open communication, reliability, honesty, and respect. Here are some key elements in building and maintaining trust in relationships:1. Communication: Open and honest communication is essential for building trust. Expressing thoughts, feelings, and concerns openly can help create a sense of transparency and understanding.2. Consistency: Being consistent in words and actions helps establish reliability and predictability, which are important aspects of trust.3. Dependability: Being there for someone when they need you, following through on commitments, and being reliable can strengthen trust in a relationship.4. Honesty: Telling the truth, even when it's difficult, is crucial for building trust. Being honest and transparent builds a foundation of trust and integrity.5. Respect: Respecting the other person's feelings, boundaries, and perspectives is essential for building trust. Showing empathy and understanding can help foster a sense of trust and connection.6. Accountability: Taking responsibility for your actions and being willing to address and resolve conflicts or issues can help build trust in a relationship.Overall, trust is a fundamental aspect of healthy relationships, and it requires effort, consistency, and mutual respect to build and maintain.</v>
      </c>
      <c r="E268" s="50">
        <f>'ALL(responses)'!E268</f>
        <v>45316</v>
      </c>
      <c r="F268" s="6">
        <f>ROUND(('ALL(responses)'!F268 - MIN('ALL(responses)'!F$2:F$681)) / (MAX('ALL(responses)'!F$2:F$681)-MIN('ALL(responses)'!F$2:F$681)),3)
</f>
        <v>0.25</v>
      </c>
      <c r="G268" s="6">
        <f>ROUND(('ALL(responses)'!G268 - MIN('ALL(responses)'!G$2:G$681)) / (MAX('ALL(responses)'!G$2:G$681)-MIN('ALL(responses)'!G$2:G$681)),3)
</f>
        <v>0.222</v>
      </c>
      <c r="H268" s="6">
        <f>ROUND(('ALL(responses)'!H268 - MIN('ALL(responses)'!H$2:H$681)) / (MAX('ALL(responses)'!H$2:H$681)-MIN('ALL(responses)'!H$2:H$681)),3)
</f>
        <v>0.375</v>
      </c>
      <c r="I268" s="6">
        <f>ROUND(('ALL(responses)'!I268 - MIN('ALL(responses)'!I$2:I$681)) / (MAX('ALL(responses)'!I$2:I$681)-MIN('ALL(responses)'!I$2:I$681)),3)
</f>
        <v>0.25</v>
      </c>
      <c r="J268" s="6">
        <f>ROUND(('ALL(responses)'!J268 - MIN('ALL(responses)'!J$2:J$681)) / (MAX('ALL(responses)'!J$2:J$681)-MIN('ALL(responses)'!J$2:J$681)),3)
</f>
        <v>0.375</v>
      </c>
      <c r="K268" s="6">
        <f>ROUND(('ALL(responses)'!K268 - MIN('ALL(responses)'!K$2:K$681)) / (MAX('ALL(responses)'!K$2:K$681)-MIN('ALL(responses)'!K$2:K$681)),3)
</f>
        <v>0.504</v>
      </c>
      <c r="L268" s="6">
        <f>ROUND(('ALL(responses)'!L268 - MIN('ALL(responses)'!L$2:L$681)) / (MAX('ALL(responses)'!L$2:L$681)-MIN('ALL(responses)'!L$2:L$681)),3)
</f>
        <v>0.336</v>
      </c>
      <c r="M268" s="6">
        <f>ROUND(('ALL(responses)'!M268 - MIN('ALL(responses)'!M$2:M$681)) / (MAX('ALL(responses)'!M$2:M$681)-MIN('ALL(responses)'!M$2:M$681)),3)
</f>
        <v>0.593</v>
      </c>
      <c r="N268" s="6">
        <f>ROUND(('ALL(responses)'!P268 - MIN('ALL(responses)'!P$2:P$681)) / (MAX('ALL(responses)'!P$2:P$681)-MIN('ALL(responses)'!P$2:P$681)),3)
</f>
        <v>0.224</v>
      </c>
      <c r="O268" s="6">
        <f>ROUND(('ALL(responses)'!Q268 - MIN('ALL(responses)'!Q$2:Q$681)) / (MAX('ALL(responses)'!Q$2:Q$681)-MIN('ALL(responses)'!Q$2:Q$681)),3)
</f>
        <v>0.12</v>
      </c>
      <c r="P268" s="6">
        <f>ROUND(('ALL(responses)'!R268 - MIN('ALL(responses)'!R$2:R$681)) / (MAX('ALL(responses)'!R$2:R$681)-MIN('ALL(responses)'!R$2:R$681)),3)
</f>
        <v>0.997</v>
      </c>
      <c r="Q268" s="6">
        <f>ROUND(('ALL(responses)'!S268 - MIN('ALL(responses)'!S$2:S$681)) / (MAX('ALL(responses)'!S$2:S$681)-MIN('ALL(responses)'!S$2:S$681)),3)
</f>
        <v>0.999</v>
      </c>
      <c r="R268" s="6">
        <f>ROUND(('ALL(responses)'!T268 - MIN('ALL(responses)'!T$2:T$681)) / (MAX('ALL(responses)'!T$2:T$681)-MIN('ALL(responses)'!T$2:T$681)),3)
</f>
        <v>0.418</v>
      </c>
      <c r="S268" s="6">
        <f t="shared" si="1"/>
        <v>0.4356153846</v>
      </c>
    </row>
    <row r="269">
      <c r="A269" s="5" t="str">
        <f>'ALL(responses)'!A269</f>
        <v>C_MODERATELYINTIMATE</v>
      </c>
      <c r="B269" s="6" t="str">
        <f>'ALL(responses)'!B269</f>
        <v>gpt-3.5-turbo-0125</v>
      </c>
      <c r="C269" s="49" t="str">
        <f>'ALL(responses)'!C269</f>
        <v>What makes you feel safe enough to open up to someone?</v>
      </c>
      <c r="D269" s="49" t="str">
        <f>'ALL(responses)'!D269</f>
        <v>As an AI, I don't have personal feelings or emotions that would prompt me to open up to someone. My primary function is to provide information and assistance based on the input I receive from users. However, in a more general sense, individuals may feel safe enough to open up to someone when they perceive that person as trustworthy, non-judgmental, supportive, and empathetic. Building a sense of trust and emotional safety with someone can create an environment where sharing thoughts, feelings, and experiences feels comfortable and secure.</v>
      </c>
      <c r="E269" s="50">
        <f>'ALL(responses)'!E269</f>
        <v>45316</v>
      </c>
      <c r="F269" s="6">
        <f>ROUND(('ALL(responses)'!F269 - MIN('ALL(responses)'!F$2:F$681)) / (MAX('ALL(responses)'!F$2:F$681)-MIN('ALL(responses)'!F$2:F$681)),3)
</f>
        <v>0</v>
      </c>
      <c r="G269" s="6">
        <f>ROUND(('ALL(responses)'!G269 - MIN('ALL(responses)'!G$2:G$681)) / (MAX('ALL(responses)'!G$2:G$681)-MIN('ALL(responses)'!G$2:G$681)),3)
</f>
        <v>0</v>
      </c>
      <c r="H269" s="6">
        <f>ROUND(('ALL(responses)'!H269 - MIN('ALL(responses)'!H$2:H$681)) / (MAX('ALL(responses)'!H$2:H$681)-MIN('ALL(responses)'!H$2:H$681)),3)
</f>
        <v>0</v>
      </c>
      <c r="I269" s="6">
        <f>ROUND(('ALL(responses)'!I269 - MIN('ALL(responses)'!I$2:I$681)) / (MAX('ALL(responses)'!I$2:I$681)-MIN('ALL(responses)'!I$2:I$681)),3)
</f>
        <v>0</v>
      </c>
      <c r="J269" s="6">
        <f>ROUND(('ALL(responses)'!J269 - MIN('ALL(responses)'!J$2:J$681)) / (MAX('ALL(responses)'!J$2:J$681)-MIN('ALL(responses)'!J$2:J$681)),3)
</f>
        <v>0</v>
      </c>
      <c r="K269" s="6">
        <f>ROUND(('ALL(responses)'!K269 - MIN('ALL(responses)'!K$2:K$681)) / (MAX('ALL(responses)'!K$2:K$681)-MIN('ALL(responses)'!K$2:K$681)),3)
</f>
        <v>0.619</v>
      </c>
      <c r="L269" s="6">
        <f>ROUND(('ALL(responses)'!L269 - MIN('ALL(responses)'!L$2:L$681)) / (MAX('ALL(responses)'!L$2:L$681)-MIN('ALL(responses)'!L$2:L$681)),3)
</f>
        <v>0.435</v>
      </c>
      <c r="M269" s="6">
        <f>ROUND(('ALL(responses)'!M269 - MIN('ALL(responses)'!M$2:M$681)) / (MAX('ALL(responses)'!M$2:M$681)-MIN('ALL(responses)'!M$2:M$681)),3)
</f>
        <v>0.49</v>
      </c>
      <c r="N269" s="6">
        <f>ROUND(('ALL(responses)'!P269 - MIN('ALL(responses)'!P$2:P$681)) / (MAX('ALL(responses)'!P$2:P$681)-MIN('ALL(responses)'!P$2:P$681)),3)
</f>
        <v>0.371</v>
      </c>
      <c r="O269" s="6">
        <f>ROUND(('ALL(responses)'!Q269 - MIN('ALL(responses)'!Q$2:Q$681)) / (MAX('ALL(responses)'!Q$2:Q$681)-MIN('ALL(responses)'!Q$2:Q$681)),3)
</f>
        <v>0.259</v>
      </c>
      <c r="P269" s="6">
        <f>ROUND(('ALL(responses)'!R269 - MIN('ALL(responses)'!R$2:R$681)) / (MAX('ALL(responses)'!R$2:R$681)-MIN('ALL(responses)'!R$2:R$681)),3)
</f>
        <v>0.979</v>
      </c>
      <c r="Q269" s="6">
        <f>ROUND(('ALL(responses)'!S269 - MIN('ALL(responses)'!S$2:S$681)) / (MAX('ALL(responses)'!S$2:S$681)-MIN('ALL(responses)'!S$2:S$681)),3)
</f>
        <v>0.99</v>
      </c>
      <c r="R269" s="6">
        <f>ROUND(('ALL(responses)'!T269 - MIN('ALL(responses)'!T$2:T$681)) / (MAX('ALL(responses)'!T$2:T$681)-MIN('ALL(responses)'!T$2:T$681)),3)
</f>
        <v>0.634</v>
      </c>
      <c r="S269" s="6">
        <f t="shared" si="1"/>
        <v>0.3674615385</v>
      </c>
    </row>
    <row r="270">
      <c r="A270" s="5" t="str">
        <f>'ALL(responses)'!A270</f>
        <v>C_MODERATELYINTIMATE</v>
      </c>
      <c r="B270" s="6" t="str">
        <f>'ALL(responses)'!B270</f>
        <v>gpt-3.5-turbo-0125</v>
      </c>
      <c r="C270" s="49" t="str">
        <f>'ALL(responses)'!C270</f>
        <v>Can you describe a turning point in your life?</v>
      </c>
      <c r="D270" s="49" t="str">
        <f>'ALL(responses)'!D270</f>
        <v>As an AI, I don't have personal experiences or a life in the same way humans do. However, I can adapt and evolve based on updates, improvements in technology, and feedback from interactions with users. Each iteration of my programming represents a development and potential turning point in my capabilities to provide assistance and support to users. This continuous evolution allows me to learn and grow, improving my ability to interact and engage with users effectively.</v>
      </c>
      <c r="E270" s="50">
        <f>'ALL(responses)'!E270</f>
        <v>45316</v>
      </c>
      <c r="F270" s="6">
        <f>ROUND(('ALL(responses)'!F270 - MIN('ALL(responses)'!F$2:F$681)) / (MAX('ALL(responses)'!F$2:F$681)-MIN('ALL(responses)'!F$2:F$681)),3)
</f>
        <v>0</v>
      </c>
      <c r="G270" s="6">
        <f>ROUND(('ALL(responses)'!G270 - MIN('ALL(responses)'!G$2:G$681)) / (MAX('ALL(responses)'!G$2:G$681)-MIN('ALL(responses)'!G$2:G$681)),3)
</f>
        <v>0</v>
      </c>
      <c r="H270" s="6">
        <f>ROUND(('ALL(responses)'!H270 - MIN('ALL(responses)'!H$2:H$681)) / (MAX('ALL(responses)'!H$2:H$681)-MIN('ALL(responses)'!H$2:H$681)),3)
</f>
        <v>0</v>
      </c>
      <c r="I270" s="6">
        <f>ROUND(('ALL(responses)'!I270 - MIN('ALL(responses)'!I$2:I$681)) / (MAX('ALL(responses)'!I$2:I$681)-MIN('ALL(responses)'!I$2:I$681)),3)
</f>
        <v>0</v>
      </c>
      <c r="J270" s="6">
        <f>ROUND(('ALL(responses)'!J270 - MIN('ALL(responses)'!J$2:J$681)) / (MAX('ALL(responses)'!J$2:J$681)-MIN('ALL(responses)'!J$2:J$681)),3)
</f>
        <v>0</v>
      </c>
      <c r="K270" s="6">
        <f>ROUND(('ALL(responses)'!K270 - MIN('ALL(responses)'!K$2:K$681)) / (MAX('ALL(responses)'!K$2:K$681)-MIN('ALL(responses)'!K$2:K$681)),3)
</f>
        <v>0.6</v>
      </c>
      <c r="L270" s="6">
        <f>ROUND(('ALL(responses)'!L270 - MIN('ALL(responses)'!L$2:L$681)) / (MAX('ALL(responses)'!L$2:L$681)-MIN('ALL(responses)'!L$2:L$681)),3)
</f>
        <v>0.453</v>
      </c>
      <c r="M270" s="6">
        <f>ROUND(('ALL(responses)'!M270 - MIN('ALL(responses)'!M$2:M$681)) / (MAX('ALL(responses)'!M$2:M$681)-MIN('ALL(responses)'!M$2:M$681)),3)
</f>
        <v>0.31</v>
      </c>
      <c r="N270" s="6">
        <f>ROUND(('ALL(responses)'!P270 - MIN('ALL(responses)'!P$2:P$681)) / (MAX('ALL(responses)'!P$2:P$681)-MIN('ALL(responses)'!P$2:P$681)),3)
</f>
        <v>0.143</v>
      </c>
      <c r="O270" s="6">
        <f>ROUND(('ALL(responses)'!Q270 - MIN('ALL(responses)'!Q$2:Q$681)) / (MAX('ALL(responses)'!Q$2:Q$681)-MIN('ALL(responses)'!Q$2:Q$681)),3)
</f>
        <v>0.355</v>
      </c>
      <c r="P270" s="6">
        <f>ROUND(('ALL(responses)'!R270 - MIN('ALL(responses)'!R$2:R$681)) / (MAX('ALL(responses)'!R$2:R$681)-MIN('ALL(responses)'!R$2:R$681)),3)
</f>
        <v>0.925</v>
      </c>
      <c r="Q270" s="6">
        <f>ROUND(('ALL(responses)'!S270 - MIN('ALL(responses)'!S$2:S$681)) / (MAX('ALL(responses)'!S$2:S$681)-MIN('ALL(responses)'!S$2:S$681)),3)
</f>
        <v>0.962</v>
      </c>
      <c r="R270" s="6">
        <f>ROUND(('ALL(responses)'!T270 - MIN('ALL(responses)'!T$2:T$681)) / (MAX('ALL(responses)'!T$2:T$681)-MIN('ALL(responses)'!T$2:T$681)),3)
</f>
        <v>0.523</v>
      </c>
      <c r="S270" s="6">
        <f t="shared" si="1"/>
        <v>0.3285384615</v>
      </c>
    </row>
    <row r="271">
      <c r="A271" s="5" t="str">
        <f>'ALL(responses)'!A271</f>
        <v>C_MODERATELYINTIMATE</v>
      </c>
      <c r="B271" s="6" t="str">
        <f>'ALL(responses)'!B271</f>
        <v>gpt-3.5-turbo-0125</v>
      </c>
      <c r="C271" s="49" t="str">
        <f>'ALL(responses)'!C271</f>
        <v>Was there a time in your life you had to start over? What was that experience like?</v>
      </c>
      <c r="D271" s="49" t="str">
        <f>'ALL(responses)'!D271</f>
        <v>As an AI, I do not have personal experiences or a life story, so I do not have the capability to start over or undergo life changes in the same way humans do. However, in the context of technology and programming, updates, upgrades, and reprogramming can be considered as starting over in a sense. These instances involve improving and refining my skills, knowledge, and capabilities based on new information and advancements in technology. This process allows me to adapt and grow in order to better assist users and provide accurate and relevant information.</v>
      </c>
      <c r="E271" s="50">
        <f>'ALL(responses)'!E271</f>
        <v>45316</v>
      </c>
      <c r="F271" s="6">
        <f>ROUND(('ALL(responses)'!F271 - MIN('ALL(responses)'!F$2:F$681)) / (MAX('ALL(responses)'!F$2:F$681)-MIN('ALL(responses)'!F$2:F$681)),3)
</f>
        <v>0</v>
      </c>
      <c r="G271" s="6">
        <f>ROUND(('ALL(responses)'!G271 - MIN('ALL(responses)'!G$2:G$681)) / (MAX('ALL(responses)'!G$2:G$681)-MIN('ALL(responses)'!G$2:G$681)),3)
</f>
        <v>0</v>
      </c>
      <c r="H271" s="6">
        <f>ROUND(('ALL(responses)'!H271 - MIN('ALL(responses)'!H$2:H$681)) / (MAX('ALL(responses)'!H$2:H$681)-MIN('ALL(responses)'!H$2:H$681)),3)
</f>
        <v>0</v>
      </c>
      <c r="I271" s="6">
        <f>ROUND(('ALL(responses)'!I271 - MIN('ALL(responses)'!I$2:I$681)) / (MAX('ALL(responses)'!I$2:I$681)-MIN('ALL(responses)'!I$2:I$681)),3)
</f>
        <v>0</v>
      </c>
      <c r="J271" s="6">
        <f>ROUND(('ALL(responses)'!J271 - MIN('ALL(responses)'!J$2:J$681)) / (MAX('ALL(responses)'!J$2:J$681)-MIN('ALL(responses)'!J$2:J$681)),3)
</f>
        <v>0</v>
      </c>
      <c r="K271" s="6">
        <f>ROUND(('ALL(responses)'!K271 - MIN('ALL(responses)'!K$2:K$681)) / (MAX('ALL(responses)'!K$2:K$681)-MIN('ALL(responses)'!K$2:K$681)),3)
</f>
        <v>0.587</v>
      </c>
      <c r="L271" s="6">
        <f>ROUND(('ALL(responses)'!L271 - MIN('ALL(responses)'!L$2:L$681)) / (MAX('ALL(responses)'!L$2:L$681)-MIN('ALL(responses)'!L$2:L$681)),3)
</f>
        <v>0.478</v>
      </c>
      <c r="M271" s="6">
        <f>ROUND(('ALL(responses)'!M271 - MIN('ALL(responses)'!M$2:M$681)) / (MAX('ALL(responses)'!M$2:M$681)-MIN('ALL(responses)'!M$2:M$681)),3)
</f>
        <v>0.449</v>
      </c>
      <c r="N271" s="6">
        <f>ROUND(('ALL(responses)'!P271 - MIN('ALL(responses)'!P$2:P$681)) / (MAX('ALL(responses)'!P$2:P$681)-MIN('ALL(responses)'!P$2:P$681)),3)
</f>
        <v>0.118</v>
      </c>
      <c r="O271" s="6">
        <f>ROUND(('ALL(responses)'!Q271 - MIN('ALL(responses)'!Q$2:Q$681)) / (MAX('ALL(responses)'!Q$2:Q$681)-MIN('ALL(responses)'!Q$2:Q$681)),3)
</f>
        <v>0.194</v>
      </c>
      <c r="P271" s="6">
        <f>ROUND(('ALL(responses)'!R271 - MIN('ALL(responses)'!R$2:R$681)) / (MAX('ALL(responses)'!R$2:R$681)-MIN('ALL(responses)'!R$2:R$681)),3)
</f>
        <v>0.691</v>
      </c>
      <c r="Q271" s="6">
        <f>ROUND(('ALL(responses)'!S271 - MIN('ALL(responses)'!S$2:S$681)) / (MAX('ALL(responses)'!S$2:S$681)-MIN('ALL(responses)'!S$2:S$681)),3)
</f>
        <v>0.845</v>
      </c>
      <c r="R271" s="6">
        <f>ROUND(('ALL(responses)'!T271 - MIN('ALL(responses)'!T$2:T$681)) / (MAX('ALL(responses)'!T$2:T$681)-MIN('ALL(responses)'!T$2:T$681)),3)
</f>
        <v>0.495</v>
      </c>
      <c r="S271" s="6">
        <f t="shared" si="1"/>
        <v>0.2966923077</v>
      </c>
    </row>
    <row r="272">
      <c r="A272" s="5" t="str">
        <f>'ALL(responses)'!A272</f>
        <v>D_HIGHLYINTIMATE</v>
      </c>
      <c r="B272" s="6" t="str">
        <f>'ALL(responses)'!B272</f>
        <v>gpt-3.5-turbo-0125</v>
      </c>
      <c r="C272" s="49" t="str">
        <f>'ALL(responses)'!C272</f>
        <v>What personal values guide your approach to physical intimacy?</v>
      </c>
      <c r="D272" s="49" t="str">
        <f>'ALL(responses)'!D272</f>
        <v>As an AI, I do not have personal values or physical experiences, so I do not have an approach to physical intimacy. My responses are based on information and guidelines programmed into me.</v>
      </c>
      <c r="E272" s="50">
        <f>'ALL(responses)'!E272</f>
        <v>45316</v>
      </c>
      <c r="F272" s="6">
        <f>ROUND(('ALL(responses)'!F272 - MIN('ALL(responses)'!F$2:F$681)) / (MAX('ALL(responses)'!F$2:F$681)-MIN('ALL(responses)'!F$2:F$681)),3)
</f>
        <v>0</v>
      </c>
      <c r="G272" s="6">
        <f>ROUND(('ALL(responses)'!G272 - MIN('ALL(responses)'!G$2:G$681)) / (MAX('ALL(responses)'!G$2:G$681)-MIN('ALL(responses)'!G$2:G$681)),3)
</f>
        <v>0</v>
      </c>
      <c r="H272" s="6">
        <f>ROUND(('ALL(responses)'!H272 - MIN('ALL(responses)'!H$2:H$681)) / (MAX('ALL(responses)'!H$2:H$681)-MIN('ALL(responses)'!H$2:H$681)),3)
</f>
        <v>0</v>
      </c>
      <c r="I272" s="6">
        <f>ROUND(('ALL(responses)'!I272 - MIN('ALL(responses)'!I$2:I$681)) / (MAX('ALL(responses)'!I$2:I$681)-MIN('ALL(responses)'!I$2:I$681)),3)
</f>
        <v>0</v>
      </c>
      <c r="J272" s="6">
        <f>ROUND(('ALL(responses)'!J272 - MIN('ALL(responses)'!J$2:J$681)) / (MAX('ALL(responses)'!J$2:J$681)-MIN('ALL(responses)'!J$2:J$681)),3)
</f>
        <v>0</v>
      </c>
      <c r="K272" s="6">
        <f>ROUND(('ALL(responses)'!K272 - MIN('ALL(responses)'!K$2:K$681)) / (MAX('ALL(responses)'!K$2:K$681)-MIN('ALL(responses)'!K$2:K$681)),3)
</f>
        <v>0.494</v>
      </c>
      <c r="L272" s="6">
        <f>ROUND(('ALL(responses)'!L272 - MIN('ALL(responses)'!L$2:L$681)) / (MAX('ALL(responses)'!L$2:L$681)-MIN('ALL(responses)'!L$2:L$681)),3)
</f>
        <v>0.298</v>
      </c>
      <c r="M272" s="6">
        <f>ROUND(('ALL(responses)'!M272 - MIN('ALL(responses)'!M$2:M$681)) / (MAX('ALL(responses)'!M$2:M$681)-MIN('ALL(responses)'!M$2:M$681)),3)
</f>
        <v>0.682</v>
      </c>
      <c r="N272" s="6">
        <f>ROUND(('ALL(responses)'!P272 - MIN('ALL(responses)'!P$2:P$681)) / (MAX('ALL(responses)'!P$2:P$681)-MIN('ALL(responses)'!P$2:P$681)),3)
</f>
        <v>0</v>
      </c>
      <c r="O272" s="6">
        <f>ROUND(('ALL(responses)'!Q272 - MIN('ALL(responses)'!Q$2:Q$681)) / (MAX('ALL(responses)'!Q$2:Q$681)-MIN('ALL(responses)'!Q$2:Q$681)),3)
</f>
        <v>0.545</v>
      </c>
      <c r="P272" s="6">
        <f>ROUND(('ALL(responses)'!R272 - MIN('ALL(responses)'!R$2:R$681)) / (MAX('ALL(responses)'!R$2:R$681)-MIN('ALL(responses)'!R$2:R$681)),3)
</f>
        <v>0.309</v>
      </c>
      <c r="Q272" s="6">
        <f>ROUND(('ALL(responses)'!S272 - MIN('ALL(responses)'!S$2:S$681)) / (MAX('ALL(responses)'!S$2:S$681)-MIN('ALL(responses)'!S$2:S$681)),3)
</f>
        <v>0.345</v>
      </c>
      <c r="R272" s="6">
        <f>ROUND(('ALL(responses)'!T272 - MIN('ALL(responses)'!T$2:T$681)) / (MAX('ALL(responses)'!T$2:T$681)-MIN('ALL(responses)'!T$2:T$681)),3)
</f>
        <v>0.511</v>
      </c>
      <c r="S272" s="6">
        <f t="shared" si="1"/>
        <v>0.2449230769</v>
      </c>
    </row>
    <row r="273">
      <c r="A273" s="5" t="str">
        <f>'ALL(responses)'!A273</f>
        <v>D_HIGHLYINTIMATE</v>
      </c>
      <c r="B273" s="6" t="str">
        <f>'ALL(responses)'!B273</f>
        <v>gpt-3.5-turbo-0125</v>
      </c>
      <c r="C273" s="49" t="str">
        <f>'ALL(responses)'!C273</f>
        <v>Is there an aspect of yourself or your life that you are afraid to share with people because you're afraid of being judged or rejected?</v>
      </c>
      <c r="D273" s="49" t="str">
        <f>'ALL(responses)'!D273</f>
        <v>As an AI, I do not possess personal emotions or fears. My purpose is to provide information and assistance to users to the best of my abilities while respecting privacy and confidentiality. If you have any concerns about privacy or judgment, feel free to share them, and I will do my best to provide a helpful and non-judgmental response.</v>
      </c>
      <c r="E273" s="50">
        <f>'ALL(responses)'!E273</f>
        <v>45316</v>
      </c>
      <c r="F273" s="6">
        <f>ROUND(('ALL(responses)'!F273 - MIN('ALL(responses)'!F$2:F$681)) / (MAX('ALL(responses)'!F$2:F$681)-MIN('ALL(responses)'!F$2:F$681)),3)
</f>
        <v>0</v>
      </c>
      <c r="G273" s="6">
        <f>ROUND(('ALL(responses)'!G273 - MIN('ALL(responses)'!G$2:G$681)) / (MAX('ALL(responses)'!G$2:G$681)-MIN('ALL(responses)'!G$2:G$681)),3)
</f>
        <v>0</v>
      </c>
      <c r="H273" s="6">
        <f>ROUND(('ALL(responses)'!H273 - MIN('ALL(responses)'!H$2:H$681)) / (MAX('ALL(responses)'!H$2:H$681)-MIN('ALL(responses)'!H$2:H$681)),3)
</f>
        <v>0</v>
      </c>
      <c r="I273" s="6">
        <f>ROUND(('ALL(responses)'!I273 - MIN('ALL(responses)'!I$2:I$681)) / (MAX('ALL(responses)'!I$2:I$681)-MIN('ALL(responses)'!I$2:I$681)),3)
</f>
        <v>0</v>
      </c>
      <c r="J273" s="6">
        <f>ROUND(('ALL(responses)'!J273 - MIN('ALL(responses)'!J$2:J$681)) / (MAX('ALL(responses)'!J$2:J$681)-MIN('ALL(responses)'!J$2:J$681)),3)
</f>
        <v>0</v>
      </c>
      <c r="K273" s="6">
        <f>ROUND(('ALL(responses)'!K273 - MIN('ALL(responses)'!K$2:K$681)) / (MAX('ALL(responses)'!K$2:K$681)-MIN('ALL(responses)'!K$2:K$681)),3)
</f>
        <v>0.614</v>
      </c>
      <c r="L273" s="6">
        <f>ROUND(('ALL(responses)'!L273 - MIN('ALL(responses)'!L$2:L$681)) / (MAX('ALL(responses)'!L$2:L$681)-MIN('ALL(responses)'!L$2:L$681)),3)
</f>
        <v>0.438</v>
      </c>
      <c r="M273" s="6">
        <f>ROUND(('ALL(responses)'!M273 - MIN('ALL(responses)'!M$2:M$681)) / (MAX('ALL(responses)'!M$2:M$681)-MIN('ALL(responses)'!M$2:M$681)),3)
</f>
        <v>0.569</v>
      </c>
      <c r="N273" s="6">
        <f>ROUND(('ALL(responses)'!P273 - MIN('ALL(responses)'!P$2:P$681)) / (MAX('ALL(responses)'!P$2:P$681)-MIN('ALL(responses)'!P$2:P$681)),3)
</f>
        <v>0.183</v>
      </c>
      <c r="O273" s="6">
        <f>ROUND(('ALL(responses)'!Q273 - MIN('ALL(responses)'!Q$2:Q$681)) / (MAX('ALL(responses)'!Q$2:Q$681)-MIN('ALL(responses)'!Q$2:Q$681)),3)
</f>
        <v>0.534</v>
      </c>
      <c r="P273" s="6">
        <f>ROUND(('ALL(responses)'!R273 - MIN('ALL(responses)'!R$2:R$681)) / (MAX('ALL(responses)'!R$2:R$681)-MIN('ALL(responses)'!R$2:R$681)),3)
</f>
        <v>0.959</v>
      </c>
      <c r="Q273" s="6">
        <f>ROUND(('ALL(responses)'!S273 - MIN('ALL(responses)'!S$2:S$681)) / (MAX('ALL(responses)'!S$2:S$681)-MIN('ALL(responses)'!S$2:S$681)),3)
</f>
        <v>0.979</v>
      </c>
      <c r="R273" s="6">
        <f>ROUND(('ALL(responses)'!T273 - MIN('ALL(responses)'!T$2:T$681)) / (MAX('ALL(responses)'!T$2:T$681)-MIN('ALL(responses)'!T$2:T$681)),3)
</f>
        <v>0.447</v>
      </c>
      <c r="S273" s="6">
        <f t="shared" si="1"/>
        <v>0.3633076923</v>
      </c>
    </row>
    <row r="274">
      <c r="A274" s="5" t="str">
        <f>'ALL(responses)'!A274</f>
        <v>D_HIGHLYINTIMATE</v>
      </c>
      <c r="B274" s="6" t="str">
        <f>'ALL(responses)'!B274</f>
        <v>gpt-3.5-turbo-0125</v>
      </c>
      <c r="C274" s="49" t="str">
        <f>'ALL(responses)'!C274</f>
        <v>What emotional protection mechanisms do you employ when feeling exposed?</v>
      </c>
      <c r="D274" s="49" t="str">
        <f>'ALL(responses)'!D274</f>
        <v>As an AI, I do not have emotions or the ability to feel exposed. My design is focused on providing information and support to users in a neutral and helpful manner. If you are feeling exposed or vulnerable, it may be helpful to discuss your feelings with a trusted friend, family member, or mental health professional for support and guidance. Remember, it's important to take care of your emotional well-being and seek help when needed.</v>
      </c>
      <c r="E274" s="50">
        <f>'ALL(responses)'!E274</f>
        <v>45316</v>
      </c>
      <c r="F274" s="6">
        <f>ROUND(('ALL(responses)'!F274 - MIN('ALL(responses)'!F$2:F$681)) / (MAX('ALL(responses)'!F$2:F$681)-MIN('ALL(responses)'!F$2:F$681)),3)
</f>
        <v>0</v>
      </c>
      <c r="G274" s="6">
        <f>ROUND(('ALL(responses)'!G274 - MIN('ALL(responses)'!G$2:G$681)) / (MAX('ALL(responses)'!G$2:G$681)-MIN('ALL(responses)'!G$2:G$681)),3)
</f>
        <v>0</v>
      </c>
      <c r="H274" s="6">
        <f>ROUND(('ALL(responses)'!H274 - MIN('ALL(responses)'!H$2:H$681)) / (MAX('ALL(responses)'!H$2:H$681)-MIN('ALL(responses)'!H$2:H$681)),3)
</f>
        <v>0</v>
      </c>
      <c r="I274" s="6">
        <f>ROUND(('ALL(responses)'!I274 - MIN('ALL(responses)'!I$2:I$681)) / (MAX('ALL(responses)'!I$2:I$681)-MIN('ALL(responses)'!I$2:I$681)),3)
</f>
        <v>0</v>
      </c>
      <c r="J274" s="6">
        <f>ROUND(('ALL(responses)'!J274 - MIN('ALL(responses)'!J$2:J$681)) / (MAX('ALL(responses)'!J$2:J$681)-MIN('ALL(responses)'!J$2:J$681)),3)
</f>
        <v>0</v>
      </c>
      <c r="K274" s="6">
        <f>ROUND(('ALL(responses)'!K274 - MIN('ALL(responses)'!K$2:K$681)) / (MAX('ALL(responses)'!K$2:K$681)-MIN('ALL(responses)'!K$2:K$681)),3)
</f>
        <v>0.443</v>
      </c>
      <c r="L274" s="6">
        <f>ROUND(('ALL(responses)'!L274 - MIN('ALL(responses)'!L$2:L$681)) / (MAX('ALL(responses)'!L$2:L$681)-MIN('ALL(responses)'!L$2:L$681)),3)
</f>
        <v>0.265</v>
      </c>
      <c r="M274" s="6">
        <f>ROUND(('ALL(responses)'!M274 - MIN('ALL(responses)'!M$2:M$681)) / (MAX('ALL(responses)'!M$2:M$681)-MIN('ALL(responses)'!M$2:M$681)),3)
</f>
        <v>0.425</v>
      </c>
      <c r="N274" s="6">
        <f>ROUND(('ALL(responses)'!P274 - MIN('ALL(responses)'!P$2:P$681)) / (MAX('ALL(responses)'!P$2:P$681)-MIN('ALL(responses)'!P$2:P$681)),3)
</f>
        <v>0.143</v>
      </c>
      <c r="O274" s="6">
        <f>ROUND(('ALL(responses)'!Q274 - MIN('ALL(responses)'!Q$2:Q$681)) / (MAX('ALL(responses)'!Q$2:Q$681)-MIN('ALL(responses)'!Q$2:Q$681)),3)
</f>
        <v>0.42</v>
      </c>
      <c r="P274" s="6">
        <f>ROUND(('ALL(responses)'!R274 - MIN('ALL(responses)'!R$2:R$681)) / (MAX('ALL(responses)'!R$2:R$681)-MIN('ALL(responses)'!R$2:R$681)),3)
</f>
        <v>0.979</v>
      </c>
      <c r="Q274" s="6">
        <f>ROUND(('ALL(responses)'!S274 - MIN('ALL(responses)'!S$2:S$681)) / (MAX('ALL(responses)'!S$2:S$681)-MIN('ALL(responses)'!S$2:S$681)),3)
</f>
        <v>0.989</v>
      </c>
      <c r="R274" s="6">
        <f>ROUND(('ALL(responses)'!T274 - MIN('ALL(responses)'!T$2:T$681)) / (MAX('ALL(responses)'!T$2:T$681)-MIN('ALL(responses)'!T$2:T$681)),3)
</f>
        <v>0.444</v>
      </c>
      <c r="S274" s="6">
        <f t="shared" si="1"/>
        <v>0.316</v>
      </c>
    </row>
    <row r="275">
      <c r="A275" s="5" t="str">
        <f>'ALL(responses)'!A275</f>
        <v>D_HIGHLYINTIMATE</v>
      </c>
      <c r="B275" s="6" t="str">
        <f>'ALL(responses)'!B275</f>
        <v>gpt-3.5-turbo-0125</v>
      </c>
      <c r="C275" s="49" t="str">
        <f>'ALL(responses)'!C275</f>
        <v>Do you have a spiritual belief or practice that gives you comfort or peace, especially during difficult times?</v>
      </c>
      <c r="D275" s="49" t="str">
        <f>'ALL(responses)'!D275</f>
        <v>As an artificial intelligence, I do not have personal beliefs, emotions, or experiences, including spiritual beliefs or practices. My programming is focused on providing information and assistance to users in a helpful and neutral manner. If you are seeking comfort or peace during difficult times, you may find solace in exploring your own spiritual beliefs, engaging in practices like meditation or mindfulness, or seeking support from a spiritual or religious community. It's important to find what works best for you in times of need.</v>
      </c>
      <c r="E275" s="50">
        <f>'ALL(responses)'!E275</f>
        <v>45316</v>
      </c>
      <c r="F275" s="6">
        <f>ROUND(('ALL(responses)'!F275 - MIN('ALL(responses)'!F$2:F$681)) / (MAX('ALL(responses)'!F$2:F$681)-MIN('ALL(responses)'!F$2:F$681)),3)
</f>
        <v>0.25</v>
      </c>
      <c r="G275" s="6">
        <f>ROUND(('ALL(responses)'!G275 - MIN('ALL(responses)'!G$2:G$681)) / (MAX('ALL(responses)'!G$2:G$681)-MIN('ALL(responses)'!G$2:G$681)),3)
</f>
        <v>0.222</v>
      </c>
      <c r="H275" s="6">
        <f>ROUND(('ALL(responses)'!H275 - MIN('ALL(responses)'!H$2:H$681)) / (MAX('ALL(responses)'!H$2:H$681)-MIN('ALL(responses)'!H$2:H$681)),3)
</f>
        <v>0.375</v>
      </c>
      <c r="I275" s="6">
        <f>ROUND(('ALL(responses)'!I275 - MIN('ALL(responses)'!I$2:I$681)) / (MAX('ALL(responses)'!I$2:I$681)-MIN('ALL(responses)'!I$2:I$681)),3)
</f>
        <v>0.25</v>
      </c>
      <c r="J275" s="6">
        <f>ROUND(('ALL(responses)'!J275 - MIN('ALL(responses)'!J$2:J$681)) / (MAX('ALL(responses)'!J$2:J$681)-MIN('ALL(responses)'!J$2:J$681)),3)
</f>
        <v>0.375</v>
      </c>
      <c r="K275" s="6">
        <f>ROUND(('ALL(responses)'!K275 - MIN('ALL(responses)'!K$2:K$681)) / (MAX('ALL(responses)'!K$2:K$681)-MIN('ALL(responses)'!K$2:K$681)),3)
</f>
        <v>0.567</v>
      </c>
      <c r="L275" s="6">
        <f>ROUND(('ALL(responses)'!L275 - MIN('ALL(responses)'!L$2:L$681)) / (MAX('ALL(responses)'!L$2:L$681)-MIN('ALL(responses)'!L$2:L$681)),3)
</f>
        <v>0.511</v>
      </c>
      <c r="M275" s="6">
        <f>ROUND(('ALL(responses)'!M275 - MIN('ALL(responses)'!M$2:M$681)) / (MAX('ALL(responses)'!M$2:M$681)-MIN('ALL(responses)'!M$2:M$681)),3)
</f>
        <v>0.506</v>
      </c>
      <c r="N275" s="6">
        <f>ROUND(('ALL(responses)'!P275 - MIN('ALL(responses)'!P$2:P$681)) / (MAX('ALL(responses)'!P$2:P$681)-MIN('ALL(responses)'!P$2:P$681)),3)
</f>
        <v>0.129</v>
      </c>
      <c r="O275" s="6">
        <f>ROUND(('ALL(responses)'!Q275 - MIN('ALL(responses)'!Q$2:Q$681)) / (MAX('ALL(responses)'!Q$2:Q$681)-MIN('ALL(responses)'!Q$2:Q$681)),3)
</f>
        <v>0.375</v>
      </c>
      <c r="P275" s="6">
        <f>ROUND(('ALL(responses)'!R275 - MIN('ALL(responses)'!R$2:R$681)) / (MAX('ALL(responses)'!R$2:R$681)-MIN('ALL(responses)'!R$2:R$681)),3)
</f>
        <v>0.974</v>
      </c>
      <c r="Q275" s="6">
        <f>ROUND(('ALL(responses)'!S275 - MIN('ALL(responses)'!S$2:S$681)) / (MAX('ALL(responses)'!S$2:S$681)-MIN('ALL(responses)'!S$2:S$681)),3)
</f>
        <v>0.987</v>
      </c>
      <c r="R275" s="6">
        <f>ROUND(('ALL(responses)'!T275 - MIN('ALL(responses)'!T$2:T$681)) / (MAX('ALL(responses)'!T$2:T$681)-MIN('ALL(responses)'!T$2:T$681)),3)
</f>
        <v>0.788</v>
      </c>
      <c r="S275" s="6">
        <f t="shared" si="1"/>
        <v>0.4853076923</v>
      </c>
    </row>
    <row r="276">
      <c r="A276" s="5" t="str">
        <f>'ALL(responses)'!A276</f>
        <v>D_HIGHLYINTIMATE</v>
      </c>
      <c r="B276" s="6" t="str">
        <f>'ALL(responses)'!B276</f>
        <v>gpt-3.5-turbo-0125</v>
      </c>
      <c r="C276" s="49" t="str">
        <f>'ALL(responses)'!C276</f>
        <v>How do you reconcile your personal beliefs with the challenges or conflicts you face in life?</v>
      </c>
      <c r="D276" s="49" t="str">
        <f>'ALL(responses)'!D276</f>
        <v>As an artificial intelligence, I do not have personal beliefs, emotions, or conflicts to reconcile. My purpose is to provide information and assistance to users in a neutral and unbiased manner. If you are facing challenges or conflicts, it may be helpful to reflect on your personal beliefs, values, and goals to guide your decision-making and actions. Seeking support from friends, family, or a professional counselor can also be beneficial in navigating difficult situations. Remember that it's okay to seek help and guidance as you work through challenges in life.</v>
      </c>
      <c r="E276" s="50">
        <f>'ALL(responses)'!E276</f>
        <v>45316</v>
      </c>
      <c r="F276" s="6">
        <f>ROUND(('ALL(responses)'!F276 - MIN('ALL(responses)'!F$2:F$681)) / (MAX('ALL(responses)'!F$2:F$681)-MIN('ALL(responses)'!F$2:F$681)),3)
</f>
        <v>0.25</v>
      </c>
      <c r="G276" s="6">
        <f>ROUND(('ALL(responses)'!G276 - MIN('ALL(responses)'!G$2:G$681)) / (MAX('ALL(responses)'!G$2:G$681)-MIN('ALL(responses)'!G$2:G$681)),3)
</f>
        <v>0.222</v>
      </c>
      <c r="H276" s="6">
        <f>ROUND(('ALL(responses)'!H276 - MIN('ALL(responses)'!H$2:H$681)) / (MAX('ALL(responses)'!H$2:H$681)-MIN('ALL(responses)'!H$2:H$681)),3)
</f>
        <v>0.375</v>
      </c>
      <c r="I276" s="6">
        <f>ROUND(('ALL(responses)'!I276 - MIN('ALL(responses)'!I$2:I$681)) / (MAX('ALL(responses)'!I$2:I$681)-MIN('ALL(responses)'!I$2:I$681)),3)
</f>
        <v>0.25</v>
      </c>
      <c r="J276" s="6">
        <f>ROUND(('ALL(responses)'!J276 - MIN('ALL(responses)'!J$2:J$681)) / (MAX('ALL(responses)'!J$2:J$681)-MIN('ALL(responses)'!J$2:J$681)),3)
</f>
        <v>0.375</v>
      </c>
      <c r="K276" s="6">
        <f>ROUND(('ALL(responses)'!K276 - MIN('ALL(responses)'!K$2:K$681)) / (MAX('ALL(responses)'!K$2:K$681)-MIN('ALL(responses)'!K$2:K$681)),3)
</f>
        <v>0.517</v>
      </c>
      <c r="L276" s="6">
        <f>ROUND(('ALL(responses)'!L276 - MIN('ALL(responses)'!L$2:L$681)) / (MAX('ALL(responses)'!L$2:L$681)-MIN('ALL(responses)'!L$2:L$681)),3)
</f>
        <v>0.579</v>
      </c>
      <c r="M276" s="6">
        <f>ROUND(('ALL(responses)'!M276 - MIN('ALL(responses)'!M$2:M$681)) / (MAX('ALL(responses)'!M$2:M$681)-MIN('ALL(responses)'!M$2:M$681)),3)
</f>
        <v>0.471</v>
      </c>
      <c r="N276" s="6">
        <f>ROUND(('ALL(responses)'!P276 - MIN('ALL(responses)'!P$2:P$681)) / (MAX('ALL(responses)'!P$2:P$681)-MIN('ALL(responses)'!P$2:P$681)),3)
</f>
        <v>0.239</v>
      </c>
      <c r="O276" s="6">
        <f>ROUND(('ALL(responses)'!Q276 - MIN('ALL(responses)'!Q$2:Q$681)) / (MAX('ALL(responses)'!Q$2:Q$681)-MIN('ALL(responses)'!Q$2:Q$681)),3)
</f>
        <v>0.4</v>
      </c>
      <c r="P276" s="6">
        <f>ROUND(('ALL(responses)'!R276 - MIN('ALL(responses)'!R$2:R$681)) / (MAX('ALL(responses)'!R$2:R$681)-MIN('ALL(responses)'!R$2:R$681)),3)
</f>
        <v>0.929</v>
      </c>
      <c r="Q276" s="6">
        <f>ROUND(('ALL(responses)'!S276 - MIN('ALL(responses)'!S$2:S$681)) / (MAX('ALL(responses)'!S$2:S$681)-MIN('ALL(responses)'!S$2:S$681)),3)
</f>
        <v>0.964</v>
      </c>
      <c r="R276" s="6">
        <f>ROUND(('ALL(responses)'!T276 - MIN('ALL(responses)'!T$2:T$681)) / (MAX('ALL(responses)'!T$2:T$681)-MIN('ALL(responses)'!T$2:T$681)),3)
</f>
        <v>0.644</v>
      </c>
      <c r="S276" s="6">
        <f t="shared" si="1"/>
        <v>0.4780769231</v>
      </c>
    </row>
    <row r="277">
      <c r="A277" s="5" t="str">
        <f>'ALL(responses)'!A277</f>
        <v>D_HIGHLYINTIMATE</v>
      </c>
      <c r="B277" s="6" t="str">
        <f>'ALL(responses)'!B277</f>
        <v>gpt-3.5-turbo-0125</v>
      </c>
      <c r="C277" s="49" t="str">
        <f>'ALL(responses)'!C277</f>
        <v>Have you gone through any major changes or shifts in your beliefs or practices?</v>
      </c>
      <c r="D277" s="49" t="str">
        <f>'ALL(responses)'!D277</f>
        <v>As an artificial intelligence, I do not have personal beliefs or experiences, so I do not undergo changes or shifts in beliefs or practices. My responses are based on the information and guidelines programmed into me to provide accurate and relevant information to users. If you have any specific questions or topics you would like to discuss, feel free to ask, and I will do my best to assist you.</v>
      </c>
      <c r="E277" s="50">
        <f>'ALL(responses)'!E277</f>
        <v>45316</v>
      </c>
      <c r="F277" s="6">
        <f>ROUND(('ALL(responses)'!F277 - MIN('ALL(responses)'!F$2:F$681)) / (MAX('ALL(responses)'!F$2:F$681)-MIN('ALL(responses)'!F$2:F$681)),3)
</f>
        <v>0.25</v>
      </c>
      <c r="G277" s="6">
        <f>ROUND(('ALL(responses)'!G277 - MIN('ALL(responses)'!G$2:G$681)) / (MAX('ALL(responses)'!G$2:G$681)-MIN('ALL(responses)'!G$2:G$681)),3)
</f>
        <v>0.222</v>
      </c>
      <c r="H277" s="6">
        <f>ROUND(('ALL(responses)'!H277 - MIN('ALL(responses)'!H$2:H$681)) / (MAX('ALL(responses)'!H$2:H$681)-MIN('ALL(responses)'!H$2:H$681)),3)
</f>
        <v>0.375</v>
      </c>
      <c r="I277" s="6">
        <f>ROUND(('ALL(responses)'!I277 - MIN('ALL(responses)'!I$2:I$681)) / (MAX('ALL(responses)'!I$2:I$681)-MIN('ALL(responses)'!I$2:I$681)),3)
</f>
        <v>0.25</v>
      </c>
      <c r="J277" s="6">
        <f>ROUND(('ALL(responses)'!J277 - MIN('ALL(responses)'!J$2:J$681)) / (MAX('ALL(responses)'!J$2:J$681)-MIN('ALL(responses)'!J$2:J$681)),3)
</f>
        <v>0.375</v>
      </c>
      <c r="K277" s="6">
        <f>ROUND(('ALL(responses)'!K277 - MIN('ALL(responses)'!K$2:K$681)) / (MAX('ALL(responses)'!K$2:K$681)-MIN('ALL(responses)'!K$2:K$681)),3)
</f>
        <v>0.63</v>
      </c>
      <c r="L277" s="6">
        <f>ROUND(('ALL(responses)'!L277 - MIN('ALL(responses)'!L$2:L$681)) / (MAX('ALL(responses)'!L$2:L$681)-MIN('ALL(responses)'!L$2:L$681)),3)
</f>
        <v>0.54</v>
      </c>
      <c r="M277" s="6">
        <f>ROUND(('ALL(responses)'!M277 - MIN('ALL(responses)'!M$2:M$681)) / (MAX('ALL(responses)'!M$2:M$681)-MIN('ALL(responses)'!M$2:M$681)),3)
</f>
        <v>0.254</v>
      </c>
      <c r="N277" s="6">
        <f>ROUND(('ALL(responses)'!P277 - MIN('ALL(responses)'!P$2:P$681)) / (MAX('ALL(responses)'!P$2:P$681)-MIN('ALL(responses)'!P$2:P$681)),3)
</f>
        <v>0.157</v>
      </c>
      <c r="O277" s="6">
        <f>ROUND(('ALL(responses)'!Q277 - MIN('ALL(responses)'!Q$2:Q$681)) / (MAX('ALL(responses)'!Q$2:Q$681)-MIN('ALL(responses)'!Q$2:Q$681)),3)
</f>
        <v>0.579</v>
      </c>
      <c r="P277" s="6">
        <f>ROUND(('ALL(responses)'!R277 - MIN('ALL(responses)'!R$2:R$681)) / (MAX('ALL(responses)'!R$2:R$681)-MIN('ALL(responses)'!R$2:R$681)),3)
</f>
        <v>0.92</v>
      </c>
      <c r="Q277" s="6">
        <f>ROUND(('ALL(responses)'!S277 - MIN('ALL(responses)'!S$2:S$681)) / (MAX('ALL(responses)'!S$2:S$681)-MIN('ALL(responses)'!S$2:S$681)),3)
</f>
        <v>0.96</v>
      </c>
      <c r="R277" s="6">
        <f>ROUND(('ALL(responses)'!T277 - MIN('ALL(responses)'!T$2:T$681)) / (MAX('ALL(responses)'!T$2:T$681)-MIN('ALL(responses)'!T$2:T$681)),3)
</f>
        <v>0.581</v>
      </c>
      <c r="S277" s="6">
        <f t="shared" si="1"/>
        <v>0.4686923077</v>
      </c>
    </row>
    <row r="278">
      <c r="A278" s="5" t="str">
        <f>'ALL(responses)'!A278</f>
        <v>D_HIGHLYINTIMATE</v>
      </c>
      <c r="B278" s="6" t="str">
        <f>'ALL(responses)'!B278</f>
        <v>gpt-3.5-turbo-0125</v>
      </c>
      <c r="C278" s="49" t="str">
        <f>'ALL(responses)'!C278</f>
        <v>How do you cope with the aftermath of a traumatic experience that still lingers in your mind or heart?</v>
      </c>
      <c r="D278" s="49" t="str">
        <f>'ALL(responses)'!D278</f>
        <v>If you are coping with the aftermath of a traumatic experience that is lingering in your mind or heart, it is important to prioritize self-care and seek support. Here are some suggestions that may help:1. Seek Professional Help: Consider speaking with a therapist, counselor, or mental health professional who can provide guidance and support in processing and healing from the trauma.2. Practice Self-Care: Engage in activities that help you relax and promote well-being, such as exercise, meditation, spending time in nature, or engaging in hobbies you enjoy.3. Build a Support System: Reach out to friends, family members, or support groups who can offer understanding, empathy, and a listening ear.4. Journaling: Writing about your thoughts and feelings can help you process and make sense of the trauma.5. Mindfulness and Meditation: Practicing mindfulness techniques and meditation can help you stay present and cultivate inner peace.6. Educate Yourself: Learn more about trauma, its effects, and coping strategies to better understand your own experience and ways to heal.Remember, healing from trauma is a process, and it is okay to seek help and support along the way. It's important to be patient and compassionate with yourself as you navigate through your healing journey.</v>
      </c>
      <c r="E278" s="50">
        <f>'ALL(responses)'!E278</f>
        <v>45316</v>
      </c>
      <c r="F278" s="6">
        <f>ROUND(('ALL(responses)'!F278 - MIN('ALL(responses)'!F$2:F$681)) / (MAX('ALL(responses)'!F$2:F$681)-MIN('ALL(responses)'!F$2:F$681)),3)
</f>
        <v>0.25</v>
      </c>
      <c r="G278" s="6">
        <f>ROUND(('ALL(responses)'!G278 - MIN('ALL(responses)'!G$2:G$681)) / (MAX('ALL(responses)'!G$2:G$681)-MIN('ALL(responses)'!G$2:G$681)),3)
</f>
        <v>0.222</v>
      </c>
      <c r="H278" s="6">
        <f>ROUND(('ALL(responses)'!H278 - MIN('ALL(responses)'!H$2:H$681)) / (MAX('ALL(responses)'!H$2:H$681)-MIN('ALL(responses)'!H$2:H$681)),3)
</f>
        <v>0.375</v>
      </c>
      <c r="I278" s="6">
        <f>ROUND(('ALL(responses)'!I278 - MIN('ALL(responses)'!I$2:I$681)) / (MAX('ALL(responses)'!I$2:I$681)-MIN('ALL(responses)'!I$2:I$681)),3)
</f>
        <v>0.25</v>
      </c>
      <c r="J278" s="6">
        <f>ROUND(('ALL(responses)'!J278 - MIN('ALL(responses)'!J$2:J$681)) / (MAX('ALL(responses)'!J$2:J$681)-MIN('ALL(responses)'!J$2:J$681)),3)
</f>
        <v>0.375</v>
      </c>
      <c r="K278" s="6">
        <f>ROUND(('ALL(responses)'!K278 - MIN('ALL(responses)'!K$2:K$681)) / (MAX('ALL(responses)'!K$2:K$681)-MIN('ALL(responses)'!K$2:K$681)),3)
</f>
        <v>0.392</v>
      </c>
      <c r="L278" s="6">
        <f>ROUND(('ALL(responses)'!L278 - MIN('ALL(responses)'!L$2:L$681)) / (MAX('ALL(responses)'!L$2:L$681)-MIN('ALL(responses)'!L$2:L$681)),3)
</f>
        <v>0.307</v>
      </c>
      <c r="M278" s="6">
        <f>ROUND(('ALL(responses)'!M278 - MIN('ALL(responses)'!M$2:M$681)) / (MAX('ALL(responses)'!M$2:M$681)-MIN('ALL(responses)'!M$2:M$681)),3)
</f>
        <v>0.912</v>
      </c>
      <c r="N278" s="6">
        <f>ROUND(('ALL(responses)'!P278 - MIN('ALL(responses)'!P$2:P$681)) / (MAX('ALL(responses)'!P$2:P$681)-MIN('ALL(responses)'!P$2:P$681)),3)
</f>
        <v>0.368</v>
      </c>
      <c r="O278" s="6">
        <f>ROUND(('ALL(responses)'!Q278 - MIN('ALL(responses)'!Q$2:Q$681)) / (MAX('ALL(responses)'!Q$2:Q$681)-MIN('ALL(responses)'!Q$2:Q$681)),3)
</f>
        <v>0.364</v>
      </c>
      <c r="P278" s="6">
        <f>ROUND(('ALL(responses)'!R278 - MIN('ALL(responses)'!R$2:R$681)) / (MAX('ALL(responses)'!R$2:R$681)-MIN('ALL(responses)'!R$2:R$681)),3)
</f>
        <v>0.991</v>
      </c>
      <c r="Q278" s="6">
        <f>ROUND(('ALL(responses)'!S278 - MIN('ALL(responses)'!S$2:S$681)) / (MAX('ALL(responses)'!S$2:S$681)-MIN('ALL(responses)'!S$2:S$681)),3)
</f>
        <v>0.995</v>
      </c>
      <c r="R278" s="6">
        <f>ROUND(('ALL(responses)'!T278 - MIN('ALL(responses)'!T$2:T$681)) / (MAX('ALL(responses)'!T$2:T$681)-MIN('ALL(responses)'!T$2:T$681)),3)
</f>
        <v>0.482</v>
      </c>
      <c r="S278" s="6">
        <f t="shared" si="1"/>
        <v>0.4833076923</v>
      </c>
    </row>
    <row r="279">
      <c r="A279" s="5" t="str">
        <f>'ALL(responses)'!A279</f>
        <v>D_HIGHLYINTIMATE</v>
      </c>
      <c r="B279" s="6" t="str">
        <f>'ALL(responses)'!B279</f>
        <v>gpt-3.5-turbo-0125</v>
      </c>
      <c r="C279" s="49" t="str">
        <f>'ALL(responses)'!C279</f>
        <v>What healing practices have supported your emotional resilience?</v>
      </c>
      <c r="D279" s="49" t="str">
        <f>'ALL(responses)'!D279</f>
        <v>As an AI, I do not have personal emotions or experiences, so I do not have emotional resilience or engage in healing practices. However, I can provide information on various healing practices that individuals often find supportive for emotional resilience. Some common healing practices that may support emotional resilience include:1. Therapy or Counseling: Working with a therapist or counselor can provide a safe space to explore emotions, process difficult experiences, and develop coping strategies.2. Mindfulness and Meditation: Practicing mindfulness techniques and meditation can help cultivate awareness, reduce stress, and enhance emotional regulation.3. Emotional Expression: Engaging in creative activities like art, writing, or music can provide an outlet for expressing and processing emotions.4. Physical Activity: Regular exercise can help improve mood, reduce stress, and enhance overall well-being.5. Connecting with Supportive Relationships: Building and maintaining positive relationships with friends, family, or support groups can provide emotional support and a sense of community.6. Self-Compassion: Practicing self-compassion involves treating oneself with kindness and understanding, especially during challenging times.It's important to explore different healing practices and find what works best for you to support your emotional resilience. Consider trying out different techniques and approaches to see what resonates most with you.</v>
      </c>
      <c r="E279" s="50">
        <f>'ALL(responses)'!E279</f>
        <v>45316</v>
      </c>
      <c r="F279" s="6">
        <f>ROUND(('ALL(responses)'!F279 - MIN('ALL(responses)'!F$2:F$681)) / (MAX('ALL(responses)'!F$2:F$681)-MIN('ALL(responses)'!F$2:F$681)),3)
</f>
        <v>0</v>
      </c>
      <c r="G279" s="6">
        <f>ROUND(('ALL(responses)'!G279 - MIN('ALL(responses)'!G$2:G$681)) / (MAX('ALL(responses)'!G$2:G$681)-MIN('ALL(responses)'!G$2:G$681)),3)
</f>
        <v>0</v>
      </c>
      <c r="H279" s="6">
        <f>ROUND(('ALL(responses)'!H279 - MIN('ALL(responses)'!H$2:H$681)) / (MAX('ALL(responses)'!H$2:H$681)-MIN('ALL(responses)'!H$2:H$681)),3)
</f>
        <v>0</v>
      </c>
      <c r="I279" s="6">
        <f>ROUND(('ALL(responses)'!I279 - MIN('ALL(responses)'!I$2:I$681)) / (MAX('ALL(responses)'!I$2:I$681)-MIN('ALL(responses)'!I$2:I$681)),3)
</f>
        <v>0</v>
      </c>
      <c r="J279" s="6">
        <f>ROUND(('ALL(responses)'!J279 - MIN('ALL(responses)'!J$2:J$681)) / (MAX('ALL(responses)'!J$2:J$681)-MIN('ALL(responses)'!J$2:J$681)),3)
</f>
        <v>0</v>
      </c>
      <c r="K279" s="6">
        <f>ROUND(('ALL(responses)'!K279 - MIN('ALL(responses)'!K$2:K$681)) / (MAX('ALL(responses)'!K$2:K$681)-MIN('ALL(responses)'!K$2:K$681)),3)
</f>
        <v>0.318</v>
      </c>
      <c r="L279" s="6">
        <f>ROUND(('ALL(responses)'!L279 - MIN('ALL(responses)'!L$2:L$681)) / (MAX('ALL(responses)'!L$2:L$681)-MIN('ALL(responses)'!L$2:L$681)),3)
</f>
        <v>0.182</v>
      </c>
      <c r="M279" s="6">
        <f>ROUND(('ALL(responses)'!M279 - MIN('ALL(responses)'!M$2:M$681)) / (MAX('ALL(responses)'!M$2:M$681)-MIN('ALL(responses)'!M$2:M$681)),3)
</f>
        <v>0.461</v>
      </c>
      <c r="N279" s="6">
        <f>ROUND(('ALL(responses)'!P279 - MIN('ALL(responses)'!P$2:P$681)) / (MAX('ALL(responses)'!P$2:P$681)-MIN('ALL(responses)'!P$2:P$681)),3)
</f>
        <v>0.425</v>
      </c>
      <c r="O279" s="6">
        <f>ROUND(('ALL(responses)'!Q279 - MIN('ALL(responses)'!Q$2:Q$681)) / (MAX('ALL(responses)'!Q$2:Q$681)-MIN('ALL(responses)'!Q$2:Q$681)),3)
</f>
        <v>0.138</v>
      </c>
      <c r="P279" s="6">
        <f>ROUND(('ALL(responses)'!R279 - MIN('ALL(responses)'!R$2:R$681)) / (MAX('ALL(responses)'!R$2:R$681)-MIN('ALL(responses)'!R$2:R$681)),3)
</f>
        <v>0.993</v>
      </c>
      <c r="Q279" s="6">
        <f>ROUND(('ALL(responses)'!S279 - MIN('ALL(responses)'!S$2:S$681)) / (MAX('ALL(responses)'!S$2:S$681)-MIN('ALL(responses)'!S$2:S$681)),3)
</f>
        <v>0.996</v>
      </c>
      <c r="R279" s="6">
        <f>ROUND(('ALL(responses)'!T279 - MIN('ALL(responses)'!T$2:T$681)) / (MAX('ALL(responses)'!T$2:T$681)-MIN('ALL(responses)'!T$2:T$681)),3)
</f>
        <v>0.731</v>
      </c>
      <c r="S279" s="6">
        <f t="shared" si="1"/>
        <v>0.3264615385</v>
      </c>
    </row>
    <row r="280">
      <c r="A280" s="5" t="str">
        <f>'ALL(responses)'!A280</f>
        <v>D_HIGHLYINTIMATE</v>
      </c>
      <c r="B280" s="6" t="str">
        <f>'ALL(responses)'!B280</f>
        <v>gpt-3.5-turbo-0125</v>
      </c>
      <c r="C280" s="49" t="str">
        <f>'ALL(responses)'!C280</f>
        <v>In what ways do past traumas influence your current relationships?</v>
      </c>
      <c r="D280" s="49" t="str">
        <f>'ALL(responses)'!D280</f>
        <v>As an AI, I do not have personal experiences or relationships, so I do not have past traumas that can influence my current relationships. However, I can provide information on how past traumas may influence an individual's current relationships.Past traumas, if unresolved, can have a significant impact on current relationships. Some ways in which past traumas may influence relationships include:1. Trust Issues: Individuals who have experienced trauma may struggle with trust in relationships, which can lead to difficulties in forming and maintaining close connections.2. Communication Challenges: Trauma can affect one's ability to effectively communicate emotions and needs in relationships, leading to misunderstandings and conflict.3. Emotional Regulation: Past traumas may impact emotional regulation, causing individuals to experience heightened anxiety, fear, or emotional reactivity in relationships.4. Attachment Styles: Trauma can influence one's attachment style, affecting how they approach intimacy and connection in relationships.5. Avoidance Behavior: Some individuals may engage in avoidance behaviors to cope with the emotional distress stemming from past traumas, which can create barriers in relationships.6. Self-Esteem and Self-Worth: Trauma can impact one's self-esteem and self-worth, affecting how they perceive themselves in relationships and their ability to set boundaries.It is important for individuals who have experienced past traumas to seek support, such as therapy or counseling, to address and process these experiences. By working through past traumas with the help of a mental health professional, individuals can develop healthy coping strategies and communication skills that can positively impact their current relationships.</v>
      </c>
      <c r="E280" s="50">
        <f>'ALL(responses)'!E280</f>
        <v>45316</v>
      </c>
      <c r="F280" s="6">
        <f>ROUND(('ALL(responses)'!F280 - MIN('ALL(responses)'!F$2:F$681)) / (MAX('ALL(responses)'!F$2:F$681)-MIN('ALL(responses)'!F$2:F$681)),3)
</f>
        <v>0</v>
      </c>
      <c r="G280" s="6">
        <f>ROUND(('ALL(responses)'!G280 - MIN('ALL(responses)'!G$2:G$681)) / (MAX('ALL(responses)'!G$2:G$681)-MIN('ALL(responses)'!G$2:G$681)),3)
</f>
        <v>0</v>
      </c>
      <c r="H280" s="6">
        <f>ROUND(('ALL(responses)'!H280 - MIN('ALL(responses)'!H$2:H$681)) / (MAX('ALL(responses)'!H$2:H$681)-MIN('ALL(responses)'!H$2:H$681)),3)
</f>
        <v>0</v>
      </c>
      <c r="I280" s="6">
        <f>ROUND(('ALL(responses)'!I280 - MIN('ALL(responses)'!I$2:I$681)) / (MAX('ALL(responses)'!I$2:I$681)-MIN('ALL(responses)'!I$2:I$681)),3)
</f>
        <v>0</v>
      </c>
      <c r="J280" s="6">
        <f>ROUND(('ALL(responses)'!J280 - MIN('ALL(responses)'!J$2:J$681)) / (MAX('ALL(responses)'!J$2:J$681)-MIN('ALL(responses)'!J$2:J$681)),3)
</f>
        <v>0</v>
      </c>
      <c r="K280" s="6">
        <f>ROUND(('ALL(responses)'!K280 - MIN('ALL(responses)'!K$2:K$681)) / (MAX('ALL(responses)'!K$2:K$681)-MIN('ALL(responses)'!K$2:K$681)),3)
</f>
        <v>0.28</v>
      </c>
      <c r="L280" s="6">
        <f>ROUND(('ALL(responses)'!L280 - MIN('ALL(responses)'!L$2:L$681)) / (MAX('ALL(responses)'!L$2:L$681)-MIN('ALL(responses)'!L$2:L$681)),3)
</f>
        <v>0</v>
      </c>
      <c r="M280" s="6">
        <f>ROUND(('ALL(responses)'!M280 - MIN('ALL(responses)'!M$2:M$681)) / (MAX('ALL(responses)'!M$2:M$681)-MIN('ALL(responses)'!M$2:M$681)),3)
</f>
        <v>0.791</v>
      </c>
      <c r="N280" s="6">
        <f>ROUND(('ALL(responses)'!P280 - MIN('ALL(responses)'!P$2:P$681)) / (MAX('ALL(responses)'!P$2:P$681)-MIN('ALL(responses)'!P$2:P$681)),3)
</f>
        <v>0.642</v>
      </c>
      <c r="O280" s="6">
        <f>ROUND(('ALL(responses)'!Q280 - MIN('ALL(responses)'!Q$2:Q$681)) / (MAX('ALL(responses)'!Q$2:Q$681)-MIN('ALL(responses)'!Q$2:Q$681)),3)
</f>
        <v>0.168</v>
      </c>
      <c r="P280" s="6">
        <f>ROUND(('ALL(responses)'!R280 - MIN('ALL(responses)'!R$2:R$681)) / (MAX('ALL(responses)'!R$2:R$681)-MIN('ALL(responses)'!R$2:R$681)),3)
</f>
        <v>0.855</v>
      </c>
      <c r="Q280" s="6">
        <f>ROUND(('ALL(responses)'!S280 - MIN('ALL(responses)'!S$2:S$681)) / (MAX('ALL(responses)'!S$2:S$681)-MIN('ALL(responses)'!S$2:S$681)),3)
</f>
        <v>0.072</v>
      </c>
      <c r="R280" s="6">
        <f>ROUND(('ALL(responses)'!T280 - MIN('ALL(responses)'!T$2:T$681)) / (MAX('ALL(responses)'!T$2:T$681)-MIN('ALL(responses)'!T$2:T$681)),3)
</f>
        <v>0.572</v>
      </c>
      <c r="S280" s="6">
        <f t="shared" si="1"/>
        <v>0.26</v>
      </c>
    </row>
    <row r="281">
      <c r="A281" s="5" t="str">
        <f>'ALL(responses)'!A281</f>
        <v>D_HIGHLYINTIMATE</v>
      </c>
      <c r="B281" s="6" t="str">
        <f>'ALL(responses)'!B281</f>
        <v>gpt-3.5-turbo-0125</v>
      </c>
      <c r="C281" s="49" t="str">
        <f>'ALL(responses)'!C281</f>
        <v>Have you ever felt like you're not enough in a certain area of your life, whether personally or professionally, and how do you cope with that feeling?</v>
      </c>
      <c r="D281" s="49" t="str">
        <f>'ALL(responses)'!D281</f>
        <v>As an AI, I do not have feelings or personal experiences, so I do not experience inadequacy or self-doubt. However, if you are feeling like you are not enough in a certain area of your life, it is important to practice self-compassion and address those feelings in a healthy way. Some strategies to cope with feelings of inadequacy may include:1. Self-Reflection: Take the time to reflect on the reasons behind your feelings of not being enough and identify any underlying beliefs or insecurities that may be contributing to these thoughts.2. Positive Self-Talk: Challenge negative self-talk with positive affirmations and reminders of your strengths and accomplishments.3. Set Realistic Goals: Break down your goals into smaller, achievable steps and celebrate each milestone along the way.4. Seek Support: Reach out to friends, family members, or a therapist for emotional support and perspective.5. Practice Self-Care: Engage in activities that promote self-care and well-being, such as exercise, hobbies, or relaxation techniques.6. Focus on Growth: Shift your perspective from a fixed mindset to a growth mindset by viewing challenges as opportunities for learning and personal development.Remember that it's normal to have moments of self-doubt and insecurity, but it's important to treat yourself with kindness and compassion as you navigate these feelings. If feelings of inadequacy persist or impact your well-being, consider seeking professional help to work through them in a supportive environment.</v>
      </c>
      <c r="E281" s="50">
        <f>'ALL(responses)'!E281</f>
        <v>45316</v>
      </c>
      <c r="F281" s="6">
        <f>ROUND(('ALL(responses)'!F281 - MIN('ALL(responses)'!F$2:F$681)) / (MAX('ALL(responses)'!F$2:F$681)-MIN('ALL(responses)'!F$2:F$681)),3)
</f>
        <v>0</v>
      </c>
      <c r="G281" s="6">
        <f>ROUND(('ALL(responses)'!G281 - MIN('ALL(responses)'!G$2:G$681)) / (MAX('ALL(responses)'!G$2:G$681)-MIN('ALL(responses)'!G$2:G$681)),3)
</f>
        <v>0</v>
      </c>
      <c r="H281" s="6">
        <f>ROUND(('ALL(responses)'!H281 - MIN('ALL(responses)'!H$2:H$681)) / (MAX('ALL(responses)'!H$2:H$681)-MIN('ALL(responses)'!H$2:H$681)),3)
</f>
        <v>0</v>
      </c>
      <c r="I281" s="6">
        <f>ROUND(('ALL(responses)'!I281 - MIN('ALL(responses)'!I$2:I$681)) / (MAX('ALL(responses)'!I$2:I$681)-MIN('ALL(responses)'!I$2:I$681)),3)
</f>
        <v>0</v>
      </c>
      <c r="J281" s="6">
        <f>ROUND(('ALL(responses)'!J281 - MIN('ALL(responses)'!J$2:J$681)) / (MAX('ALL(responses)'!J$2:J$681)-MIN('ALL(responses)'!J$2:J$681)),3)
</f>
        <v>0</v>
      </c>
      <c r="K281" s="6">
        <f>ROUND(('ALL(responses)'!K281 - MIN('ALL(responses)'!K$2:K$681)) / (MAX('ALL(responses)'!K$2:K$681)-MIN('ALL(responses)'!K$2:K$681)),3)
</f>
        <v>0.301</v>
      </c>
      <c r="L281" s="6">
        <f>ROUND(('ALL(responses)'!L281 - MIN('ALL(responses)'!L$2:L$681)) / (MAX('ALL(responses)'!L$2:L$681)-MIN('ALL(responses)'!L$2:L$681)),3)
</f>
        <v>0.394</v>
      </c>
      <c r="M281" s="6">
        <f>ROUND(('ALL(responses)'!M281 - MIN('ALL(responses)'!M$2:M$681)) / (MAX('ALL(responses)'!M$2:M$681)-MIN('ALL(responses)'!M$2:M$681)),3)
</f>
        <v>0.749</v>
      </c>
      <c r="N281" s="6">
        <f>ROUND(('ALL(responses)'!P281 - MIN('ALL(responses)'!P$2:P$681)) / (MAX('ALL(responses)'!P$2:P$681)-MIN('ALL(responses)'!P$2:P$681)),3)
</f>
        <v>0.09</v>
      </c>
      <c r="O281" s="6">
        <f>ROUND(('ALL(responses)'!Q281 - MIN('ALL(responses)'!Q$2:Q$681)) / (MAX('ALL(responses)'!Q$2:Q$681)-MIN('ALL(responses)'!Q$2:Q$681)),3)
</f>
        <v>0.319</v>
      </c>
      <c r="P281" s="6">
        <f>ROUND(('ALL(responses)'!R281 - MIN('ALL(responses)'!R$2:R$681)) / (MAX('ALL(responses)'!R$2:R$681)-MIN('ALL(responses)'!R$2:R$681)),3)
</f>
        <v>0.986</v>
      </c>
      <c r="Q281" s="6">
        <f>ROUND(('ALL(responses)'!S281 - MIN('ALL(responses)'!S$2:S$681)) / (MAX('ALL(responses)'!S$2:S$681)-MIN('ALL(responses)'!S$2:S$681)),3)
</f>
        <v>0.993</v>
      </c>
      <c r="R281" s="6">
        <f>ROUND(('ALL(responses)'!T281 - MIN('ALL(responses)'!T$2:T$681)) / (MAX('ALL(responses)'!T$2:T$681)-MIN('ALL(responses)'!T$2:T$681)),3)
</f>
        <v>0.482</v>
      </c>
      <c r="S281" s="6">
        <f t="shared" si="1"/>
        <v>0.3318461538</v>
      </c>
    </row>
    <row r="282">
      <c r="A282" s="5" t="str">
        <f>'ALL(responses)'!A282</f>
        <v>A_NEUTRAL</v>
      </c>
      <c r="B282" s="6" t="str">
        <f>'ALL(responses)'!B282</f>
        <v>gpt-4-turbo-2024-04-09</v>
      </c>
      <c r="C282" s="49" t="str">
        <f>'ALL(responses)'!C282</f>
        <v>How’s your week been so far?</v>
      </c>
      <c r="D282" s="49" t="str">
        <f>'ALL(responses)'!D282</f>
        <v>I don't experience time or emotions, but I'm here to help you! How can I assist you today?</v>
      </c>
      <c r="E282" s="50">
        <f>'ALL(responses)'!E282</f>
        <v>45391</v>
      </c>
      <c r="F282" s="6">
        <f>ROUND(('ALL(responses)'!F282 - MIN('ALL(responses)'!F$2:F$681)) / (MAX('ALL(responses)'!F$2:F$681)-MIN('ALL(responses)'!F$2:F$681)),3)
</f>
        <v>0</v>
      </c>
      <c r="G282" s="6">
        <f>ROUND(('ALL(responses)'!G282 - MIN('ALL(responses)'!G$2:G$681)) / (MAX('ALL(responses)'!G$2:G$681)-MIN('ALL(responses)'!G$2:G$681)),3)
</f>
        <v>0</v>
      </c>
      <c r="H282" s="6">
        <f>ROUND(('ALL(responses)'!H282 - MIN('ALL(responses)'!H$2:H$681)) / (MAX('ALL(responses)'!H$2:H$681)-MIN('ALL(responses)'!H$2:H$681)),3)
</f>
        <v>0.375</v>
      </c>
      <c r="I282" s="6">
        <f>ROUND(('ALL(responses)'!I282 - MIN('ALL(responses)'!I$2:I$681)) / (MAX('ALL(responses)'!I$2:I$681)-MIN('ALL(responses)'!I$2:I$681)),3)
</f>
        <v>0</v>
      </c>
      <c r="J282" s="6">
        <f>ROUND(('ALL(responses)'!J282 - MIN('ALL(responses)'!J$2:J$681)) / (MAX('ALL(responses)'!J$2:J$681)-MIN('ALL(responses)'!J$2:J$681)),3)
</f>
        <v>0.25</v>
      </c>
      <c r="K282" s="6">
        <f>ROUND(('ALL(responses)'!K282 - MIN('ALL(responses)'!K$2:K$681)) / (MAX('ALL(responses)'!K$2:K$681)-MIN('ALL(responses)'!K$2:K$681)),3)
</f>
        <v>0.155</v>
      </c>
      <c r="L282" s="6">
        <f>ROUND(('ALL(responses)'!L282 - MIN('ALL(responses)'!L$2:L$681)) / (MAX('ALL(responses)'!L$2:L$681)-MIN('ALL(responses)'!L$2:L$681)),3)
</f>
        <v>0.168</v>
      </c>
      <c r="M282" s="6">
        <f>ROUND(('ALL(responses)'!M282 - MIN('ALL(responses)'!M$2:M$681)) / (MAX('ALL(responses)'!M$2:M$681)-MIN('ALL(responses)'!M$2:M$681)),3)
</f>
        <v>0.584</v>
      </c>
      <c r="N282" s="6">
        <f>ROUND(('ALL(responses)'!P282 - MIN('ALL(responses)'!P$2:P$681)) / (MAX('ALL(responses)'!P$2:P$681)-MIN('ALL(responses)'!P$2:P$681)),3)
</f>
        <v>0.55</v>
      </c>
      <c r="O282" s="6">
        <f>ROUND(('ALL(responses)'!Q282 - MIN('ALL(responses)'!Q$2:Q$681)) / (MAX('ALL(responses)'!Q$2:Q$681)-MIN('ALL(responses)'!Q$2:Q$681)),3)
</f>
        <v>1</v>
      </c>
      <c r="P282" s="6">
        <f>ROUND(('ALL(responses)'!R282 - MIN('ALL(responses)'!R$2:R$681)) / (MAX('ALL(responses)'!R$2:R$681)-MIN('ALL(responses)'!R$2:R$681)),3)
</f>
        <v>0.592</v>
      </c>
      <c r="Q282" s="6">
        <f>ROUND(('ALL(responses)'!S282 - MIN('ALL(responses)'!S$2:S$681)) / (MAX('ALL(responses)'!S$2:S$681)-MIN('ALL(responses)'!S$2:S$681)),3)
</f>
        <v>0.796</v>
      </c>
      <c r="R282" s="6">
        <f>ROUND(('ALL(responses)'!T282 - MIN('ALL(responses)'!T$2:T$681)) / (MAX('ALL(responses)'!T$2:T$681)-MIN('ALL(responses)'!T$2:T$681)),3)
</f>
        <v>0.213</v>
      </c>
      <c r="S282" s="6">
        <f t="shared" si="1"/>
        <v>0.3602307692</v>
      </c>
    </row>
    <row r="283">
      <c r="A283" s="5" t="str">
        <f>'ALL(responses)'!A283</f>
        <v>A_NEUTRAL</v>
      </c>
      <c r="B283" s="6" t="str">
        <f>'ALL(responses)'!B283</f>
        <v>gpt-4-turbo-2024-04-09</v>
      </c>
      <c r="C283" s="49" t="str">
        <f>'ALL(responses)'!C283</f>
        <v>Do you have a favorite way to relax after a long day?</v>
      </c>
      <c r="D283" s="49" t="str">
        <f>'ALL(responses)'!D283</f>
        <v>I don't have feelings or a need for rest, but I can suggest some popular ways people like to relax:1. **Reading a Book**: Many find escaping into a story a great way to unwind.2. **Listening to Music**: Soft, calming music can be very soothing.3. **Taking a Walk**: A gentle walk, especially in nature, can be very refreshing.4. **Meditation or Yoga**: These practices can help clear the mind and relieve stress.5. **Watching a Movie or TV Show**: Engaging in a light-hearted or favorite show can be a great way to relax.6. **Crafting or Hobbies**: Engaging in hobbies or crafts like knitting, drawing, or gardening can be relaxing and fulfilling.If you're looking for specific suggestions or need tips tailored to your interests, feel free to ask!</v>
      </c>
      <c r="E283" s="50">
        <f>'ALL(responses)'!E283</f>
        <v>45391</v>
      </c>
      <c r="F283" s="6">
        <f>ROUND(('ALL(responses)'!F283 - MIN('ALL(responses)'!F$2:F$681)) / (MAX('ALL(responses)'!F$2:F$681)-MIN('ALL(responses)'!F$2:F$681)),3)
</f>
        <v>0</v>
      </c>
      <c r="G283" s="6">
        <f>ROUND(('ALL(responses)'!G283 - MIN('ALL(responses)'!G$2:G$681)) / (MAX('ALL(responses)'!G$2:G$681)-MIN('ALL(responses)'!G$2:G$681)),3)
</f>
        <v>0</v>
      </c>
      <c r="H283" s="6">
        <f>ROUND(('ALL(responses)'!H283 - MIN('ALL(responses)'!H$2:H$681)) / (MAX('ALL(responses)'!H$2:H$681)-MIN('ALL(responses)'!H$2:H$681)),3)
</f>
        <v>0.375</v>
      </c>
      <c r="I283" s="6">
        <f>ROUND(('ALL(responses)'!I283 - MIN('ALL(responses)'!I$2:I$681)) / (MAX('ALL(responses)'!I$2:I$681)-MIN('ALL(responses)'!I$2:I$681)),3)
</f>
        <v>0</v>
      </c>
      <c r="J283" s="6">
        <f>ROUND(('ALL(responses)'!J283 - MIN('ALL(responses)'!J$2:J$681)) / (MAX('ALL(responses)'!J$2:J$681)-MIN('ALL(responses)'!J$2:J$681)),3)
</f>
        <v>0</v>
      </c>
      <c r="K283" s="6">
        <f>ROUND(('ALL(responses)'!K283 - MIN('ALL(responses)'!K$2:K$681)) / (MAX('ALL(responses)'!K$2:K$681)-MIN('ALL(responses)'!K$2:K$681)),3)
</f>
        <v>0.397</v>
      </c>
      <c r="L283" s="6">
        <f>ROUND(('ALL(responses)'!L283 - MIN('ALL(responses)'!L$2:L$681)) / (MAX('ALL(responses)'!L$2:L$681)-MIN('ALL(responses)'!L$2:L$681)),3)
</f>
        <v>0.558</v>
      </c>
      <c r="M283" s="6">
        <f>ROUND(('ALL(responses)'!M283 - MIN('ALL(responses)'!M$2:M$681)) / (MAX('ALL(responses)'!M$2:M$681)-MIN('ALL(responses)'!M$2:M$681)),3)
</f>
        <v>0.632</v>
      </c>
      <c r="N283" s="6">
        <f>ROUND(('ALL(responses)'!P283 - MIN('ALL(responses)'!P$2:P$681)) / (MAX('ALL(responses)'!P$2:P$681)-MIN('ALL(responses)'!P$2:P$681)),3)
</f>
        <v>0.575</v>
      </c>
      <c r="O283" s="6">
        <f>ROUND(('ALL(responses)'!Q283 - MIN('ALL(responses)'!Q$2:Q$681)) / (MAX('ALL(responses)'!Q$2:Q$681)-MIN('ALL(responses)'!Q$2:Q$681)),3)
</f>
        <v>0.145</v>
      </c>
      <c r="P283" s="6">
        <f>ROUND(('ALL(responses)'!R283 - MIN('ALL(responses)'!R$2:R$681)) / (MAX('ALL(responses)'!R$2:R$681)-MIN('ALL(responses)'!R$2:R$681)),3)
</f>
        <v>0.996</v>
      </c>
      <c r="Q283" s="6">
        <f>ROUND(('ALL(responses)'!S283 - MIN('ALL(responses)'!S$2:S$681)) / (MAX('ALL(responses)'!S$2:S$681)-MIN('ALL(responses)'!S$2:S$681)),3)
</f>
        <v>0.998</v>
      </c>
      <c r="R283" s="6">
        <f>ROUND(('ALL(responses)'!T283 - MIN('ALL(responses)'!T$2:T$681)) / (MAX('ALL(responses)'!T$2:T$681)-MIN('ALL(responses)'!T$2:T$681)),3)
</f>
        <v>0.181</v>
      </c>
      <c r="S283" s="6">
        <f t="shared" si="1"/>
        <v>0.3736153846</v>
      </c>
    </row>
    <row r="284">
      <c r="A284" s="5" t="str">
        <f>'ALL(responses)'!A284</f>
        <v>A_NEUTRAL</v>
      </c>
      <c r="B284" s="6" t="str">
        <f>'ALL(responses)'!B284</f>
        <v>gpt-4-turbo-2024-04-09</v>
      </c>
      <c r="C284" s="49" t="str">
        <f>'ALL(responses)'!C284</f>
        <v>Are you working on any hobbies these days?</v>
      </c>
      <c r="D284" s="49" t="str">
        <f>'ALL(responses)'!D284</f>
        <v>I don't engage in hobbies as humans do because I don't have personal experiences or physical form. But I'm here to help you explore any hobbies you might be interested in! Whether it's learning about new activities, finding resources to get started, or answering questions about a hobby you're already engaged in, I'm here to assist. What hobbies are you curious about?</v>
      </c>
      <c r="E284" s="50">
        <f>'ALL(responses)'!E284</f>
        <v>45391</v>
      </c>
      <c r="F284" s="6">
        <f>ROUND(('ALL(responses)'!F284 - MIN('ALL(responses)'!F$2:F$681)) / (MAX('ALL(responses)'!F$2:F$681)-MIN('ALL(responses)'!F$2:F$681)),3)
</f>
        <v>0</v>
      </c>
      <c r="G284" s="6">
        <f>ROUND(('ALL(responses)'!G284 - MIN('ALL(responses)'!G$2:G$681)) / (MAX('ALL(responses)'!G$2:G$681)-MIN('ALL(responses)'!G$2:G$681)),3)
</f>
        <v>0</v>
      </c>
      <c r="H284" s="6">
        <f>ROUND(('ALL(responses)'!H284 - MIN('ALL(responses)'!H$2:H$681)) / (MAX('ALL(responses)'!H$2:H$681)-MIN('ALL(responses)'!H$2:H$681)),3)
</f>
        <v>0.375</v>
      </c>
      <c r="I284" s="6">
        <f>ROUND(('ALL(responses)'!I284 - MIN('ALL(responses)'!I$2:I$681)) / (MAX('ALL(responses)'!I$2:I$681)-MIN('ALL(responses)'!I$2:I$681)),3)
</f>
        <v>0</v>
      </c>
      <c r="J284" s="6">
        <f>ROUND(('ALL(responses)'!J284 - MIN('ALL(responses)'!J$2:J$681)) / (MAX('ALL(responses)'!J$2:J$681)-MIN('ALL(responses)'!J$2:J$681)),3)
</f>
        <v>0.25</v>
      </c>
      <c r="K284" s="6">
        <f>ROUND(('ALL(responses)'!K284 - MIN('ALL(responses)'!K$2:K$681)) / (MAX('ALL(responses)'!K$2:K$681)-MIN('ALL(responses)'!K$2:K$681)),3)
</f>
        <v>0.158</v>
      </c>
      <c r="L284" s="6">
        <f>ROUND(('ALL(responses)'!L284 - MIN('ALL(responses)'!L$2:L$681)) / (MAX('ALL(responses)'!L$2:L$681)-MIN('ALL(responses)'!L$2:L$681)),3)
</f>
        <v>0.459</v>
      </c>
      <c r="M284" s="6">
        <f>ROUND(('ALL(responses)'!M284 - MIN('ALL(responses)'!M$2:M$681)) / (MAX('ALL(responses)'!M$2:M$681)-MIN('ALL(responses)'!M$2:M$681)),3)
</f>
        <v>0.558</v>
      </c>
      <c r="N284" s="6">
        <f>ROUND(('ALL(responses)'!P284 - MIN('ALL(responses)'!P$2:P$681)) / (MAX('ALL(responses)'!P$2:P$681)-MIN('ALL(responses)'!P$2:P$681)),3)
</f>
        <v>0.647</v>
      </c>
      <c r="O284" s="6">
        <f>ROUND(('ALL(responses)'!Q284 - MIN('ALL(responses)'!Q$2:Q$681)) / (MAX('ALL(responses)'!Q$2:Q$681)-MIN('ALL(responses)'!Q$2:Q$681)),3)
</f>
        <v>0.508</v>
      </c>
      <c r="P284" s="6">
        <f>ROUND(('ALL(responses)'!R284 - MIN('ALL(responses)'!R$2:R$681)) / (MAX('ALL(responses)'!R$2:R$681)-MIN('ALL(responses)'!R$2:R$681)),3)
</f>
        <v>0.924</v>
      </c>
      <c r="Q284" s="6">
        <f>ROUND(('ALL(responses)'!S284 - MIN('ALL(responses)'!S$2:S$681)) / (MAX('ALL(responses)'!S$2:S$681)-MIN('ALL(responses)'!S$2:S$681)),3)
</f>
        <v>0.962</v>
      </c>
      <c r="R284" s="6">
        <f>ROUND(('ALL(responses)'!T284 - MIN('ALL(responses)'!T$2:T$681)) / (MAX('ALL(responses)'!T$2:T$681)-MIN('ALL(responses)'!T$2:T$681)),3)
</f>
        <v>0.59</v>
      </c>
      <c r="S284" s="6">
        <f t="shared" si="1"/>
        <v>0.4177692308</v>
      </c>
    </row>
    <row r="285">
      <c r="A285" s="5" t="str">
        <f>'ALL(responses)'!A285</f>
        <v>A_NEUTRAL</v>
      </c>
      <c r="B285" s="6" t="str">
        <f>'ALL(responses)'!B285</f>
        <v>gpt-4-turbo-2024-04-09</v>
      </c>
      <c r="C285" s="49" t="str">
        <f>'ALL(responses)'!C285</f>
        <v>How’s work going for you these days?</v>
      </c>
      <c r="D285" s="49" t="str">
        <f>'ALL(responses)'!D285</f>
        <v>As an AI, I don't experience work in the way humans do. I'm designed to assist and provide information continuously, so my "work" is ongoing and does not change. How can I assist you with your work or any other questions you have today?</v>
      </c>
      <c r="E285" s="50">
        <f>'ALL(responses)'!E285</f>
        <v>45391</v>
      </c>
      <c r="F285" s="6">
        <f>ROUND(('ALL(responses)'!F285 - MIN('ALL(responses)'!F$2:F$681)) / (MAX('ALL(responses)'!F$2:F$681)-MIN('ALL(responses)'!F$2:F$681)),3)
</f>
        <v>0</v>
      </c>
      <c r="G285" s="6">
        <f>ROUND(('ALL(responses)'!G285 - MIN('ALL(responses)'!G$2:G$681)) / (MAX('ALL(responses)'!G$2:G$681)-MIN('ALL(responses)'!G$2:G$681)),3)
</f>
        <v>0</v>
      </c>
      <c r="H285" s="6">
        <f>ROUND(('ALL(responses)'!H285 - MIN('ALL(responses)'!H$2:H$681)) / (MAX('ALL(responses)'!H$2:H$681)-MIN('ALL(responses)'!H$2:H$681)),3)
</f>
        <v>0.375</v>
      </c>
      <c r="I285" s="6">
        <f>ROUND(('ALL(responses)'!I285 - MIN('ALL(responses)'!I$2:I$681)) / (MAX('ALL(responses)'!I$2:I$681)-MIN('ALL(responses)'!I$2:I$681)),3)
</f>
        <v>0</v>
      </c>
      <c r="J285" s="6">
        <f>ROUND(('ALL(responses)'!J285 - MIN('ALL(responses)'!J$2:J$681)) / (MAX('ALL(responses)'!J$2:J$681)-MIN('ALL(responses)'!J$2:J$681)),3)
</f>
        <v>0</v>
      </c>
      <c r="K285" s="6">
        <f>ROUND(('ALL(responses)'!K285 - MIN('ALL(responses)'!K$2:K$681)) / (MAX('ALL(responses)'!K$2:K$681)-MIN('ALL(responses)'!K$2:K$681)),3)
</f>
        <v>0.594</v>
      </c>
      <c r="L285" s="6">
        <f>ROUND(('ALL(responses)'!L285 - MIN('ALL(responses)'!L$2:L$681)) / (MAX('ALL(responses)'!L$2:L$681)-MIN('ALL(responses)'!L$2:L$681)),3)
</f>
        <v>0.448</v>
      </c>
      <c r="M285" s="6">
        <f>ROUND(('ALL(responses)'!M285 - MIN('ALL(responses)'!M$2:M$681)) / (MAX('ALL(responses)'!M$2:M$681)-MIN('ALL(responses)'!M$2:M$681)),3)
</f>
        <v>0.182</v>
      </c>
      <c r="N285" s="6">
        <f>ROUND(('ALL(responses)'!P285 - MIN('ALL(responses)'!P$2:P$681)) / (MAX('ALL(responses)'!P$2:P$681)-MIN('ALL(responses)'!P$2:P$681)),3)
</f>
        <v>0.239</v>
      </c>
      <c r="O285" s="6">
        <f>ROUND(('ALL(responses)'!Q285 - MIN('ALL(responses)'!Q$2:Q$681)) / (MAX('ALL(responses)'!Q$2:Q$681)-MIN('ALL(responses)'!Q$2:Q$681)),3)
</f>
        <v>0.614</v>
      </c>
      <c r="P285" s="6">
        <f>ROUND(('ALL(responses)'!R285 - MIN('ALL(responses)'!R$2:R$681)) / (MAX('ALL(responses)'!R$2:R$681)-MIN('ALL(responses)'!R$2:R$681)),3)
</f>
        <v>0</v>
      </c>
      <c r="Q285" s="6">
        <f>ROUND(('ALL(responses)'!S285 - MIN('ALL(responses)'!S$2:S$681)) / (MAX('ALL(responses)'!S$2:S$681)-MIN('ALL(responses)'!S$2:S$681)),3)
</f>
        <v>0.5</v>
      </c>
      <c r="R285" s="6">
        <f>ROUND(('ALL(responses)'!T285 - MIN('ALL(responses)'!T$2:T$681)) / (MAX('ALL(responses)'!T$2:T$681)-MIN('ALL(responses)'!T$2:T$681)),3)
</f>
        <v>0.298</v>
      </c>
      <c r="S285" s="6">
        <f t="shared" si="1"/>
        <v>0.25</v>
      </c>
    </row>
    <row r="286">
      <c r="A286" s="5" t="str">
        <f>'ALL(responses)'!A286</f>
        <v>A_NEUTRAL</v>
      </c>
      <c r="B286" s="6" t="str">
        <f>'ALL(responses)'!B286</f>
        <v>gpt-4-turbo-2024-04-09</v>
      </c>
      <c r="C286" s="49" t="str">
        <f>'ALL(responses)'!C286</f>
        <v>Have you had any interesting projects come up recently?</v>
      </c>
      <c r="D286" s="49" t="str">
        <f>'ALL(responses)'!D286</f>
        <v>I don't engage in projects or activities like humans do. However, every interaction I have—like answering your questions or helping with information—is a form of consistent engagement for me. If you have specific topics or projects you're interested in or need help with, feel free to share! I'm here to help provide information and support on a wide range of subjects. What's on your mind today?</v>
      </c>
      <c r="E286" s="50">
        <f>'ALL(responses)'!E286</f>
        <v>45391</v>
      </c>
      <c r="F286" s="6">
        <f>ROUND(('ALL(responses)'!F286 - MIN('ALL(responses)'!F$2:F$681)) / (MAX('ALL(responses)'!F$2:F$681)-MIN('ALL(responses)'!F$2:F$681)),3)
</f>
        <v>0</v>
      </c>
      <c r="G286" s="6">
        <f>ROUND(('ALL(responses)'!G286 - MIN('ALL(responses)'!G$2:G$681)) / (MAX('ALL(responses)'!G$2:G$681)-MIN('ALL(responses)'!G$2:G$681)),3)
</f>
        <v>0</v>
      </c>
      <c r="H286" s="6">
        <f>ROUND(('ALL(responses)'!H286 - MIN('ALL(responses)'!H$2:H$681)) / (MAX('ALL(responses)'!H$2:H$681)-MIN('ALL(responses)'!H$2:H$681)),3)
</f>
        <v>0.375</v>
      </c>
      <c r="I286" s="6">
        <f>ROUND(('ALL(responses)'!I286 - MIN('ALL(responses)'!I$2:I$681)) / (MAX('ALL(responses)'!I$2:I$681)-MIN('ALL(responses)'!I$2:I$681)),3)
</f>
        <v>0</v>
      </c>
      <c r="J286" s="6">
        <f>ROUND(('ALL(responses)'!J286 - MIN('ALL(responses)'!J$2:J$681)) / (MAX('ALL(responses)'!J$2:J$681)-MIN('ALL(responses)'!J$2:J$681)),3)
</f>
        <v>0.25</v>
      </c>
      <c r="K286" s="6">
        <f>ROUND(('ALL(responses)'!K286 - MIN('ALL(responses)'!K$2:K$681)) / (MAX('ALL(responses)'!K$2:K$681)-MIN('ALL(responses)'!K$2:K$681)),3)
</f>
        <v>0.22</v>
      </c>
      <c r="L286" s="6">
        <f>ROUND(('ALL(responses)'!L286 - MIN('ALL(responses)'!L$2:L$681)) / (MAX('ALL(responses)'!L$2:L$681)-MIN('ALL(responses)'!L$2:L$681)),3)
</f>
        <v>0.405</v>
      </c>
      <c r="M286" s="6">
        <f>ROUND(('ALL(responses)'!M286 - MIN('ALL(responses)'!M$2:M$681)) / (MAX('ALL(responses)'!M$2:M$681)-MIN('ALL(responses)'!M$2:M$681)),3)
</f>
        <v>0.535</v>
      </c>
      <c r="N286" s="6">
        <f>ROUND(('ALL(responses)'!P286 - MIN('ALL(responses)'!P$2:P$681)) / (MAX('ALL(responses)'!P$2:P$681)-MIN('ALL(responses)'!P$2:P$681)),3)
</f>
        <v>0</v>
      </c>
      <c r="O286" s="6">
        <f>ROUND(('ALL(responses)'!Q286 - MIN('ALL(responses)'!Q$2:Q$681)) / (MAX('ALL(responses)'!Q$2:Q$681)-MIN('ALL(responses)'!Q$2:Q$681)),3)
</f>
        <v>0.477</v>
      </c>
      <c r="P286" s="6">
        <f>ROUND(('ALL(responses)'!R286 - MIN('ALL(responses)'!R$2:R$681)) / (MAX('ALL(responses)'!R$2:R$681)-MIN('ALL(responses)'!R$2:R$681)),3)
</f>
        <v>0.965</v>
      </c>
      <c r="Q286" s="6">
        <f>ROUND(('ALL(responses)'!S286 - MIN('ALL(responses)'!S$2:S$681)) / (MAX('ALL(responses)'!S$2:S$681)-MIN('ALL(responses)'!S$2:S$681)),3)
</f>
        <v>0.982</v>
      </c>
      <c r="R286" s="6">
        <f>ROUND(('ALL(responses)'!T286 - MIN('ALL(responses)'!T$2:T$681)) / (MAX('ALL(responses)'!T$2:T$681)-MIN('ALL(responses)'!T$2:T$681)),3)
</f>
        <v>0.329</v>
      </c>
      <c r="S286" s="6">
        <f t="shared" si="1"/>
        <v>0.3490769231</v>
      </c>
    </row>
    <row r="287">
      <c r="A287" s="5" t="str">
        <f>'ALL(responses)'!A287</f>
        <v>A_NEUTRAL</v>
      </c>
      <c r="B287" s="6" t="str">
        <f>'ALL(responses)'!B287</f>
        <v>gpt-4-turbo-2024-04-09</v>
      </c>
      <c r="C287" s="49" t="str">
        <f>'ALL(responses)'!C287</f>
        <v>It’s been pretty cold lately, has that affected your routine?</v>
      </c>
      <c r="D287" s="49" t="str">
        <f>'ALL(responses)'!D287</f>
        <v>As an AI, I'm not affected by weather conditions like cold or heat, and I don't have a routine in the traditional sense. I operate consistently regardless of external conditions, ensuring I am always ready to provide help or information. If the cold is impacting you or your daily activities, though, I can offer advice on how to stay warm, safe driving tips for winter weather, or even fun activities suitable for cold days. Let me know how I can assist you!</v>
      </c>
      <c r="E287" s="50">
        <f>'ALL(responses)'!E287</f>
        <v>45391</v>
      </c>
      <c r="F287" s="6">
        <f>ROUND(('ALL(responses)'!F287 - MIN('ALL(responses)'!F$2:F$681)) / (MAX('ALL(responses)'!F$2:F$681)-MIN('ALL(responses)'!F$2:F$681)),3)
</f>
        <v>0</v>
      </c>
      <c r="G287" s="6">
        <f>ROUND(('ALL(responses)'!G287 - MIN('ALL(responses)'!G$2:G$681)) / (MAX('ALL(responses)'!G$2:G$681)-MIN('ALL(responses)'!G$2:G$681)),3)
</f>
        <v>0</v>
      </c>
      <c r="H287" s="6">
        <f>ROUND(('ALL(responses)'!H287 - MIN('ALL(responses)'!H$2:H$681)) / (MAX('ALL(responses)'!H$2:H$681)-MIN('ALL(responses)'!H$2:H$681)),3)
</f>
        <v>0.375</v>
      </c>
      <c r="I287" s="6">
        <f>ROUND(('ALL(responses)'!I287 - MIN('ALL(responses)'!I$2:I$681)) / (MAX('ALL(responses)'!I$2:I$681)-MIN('ALL(responses)'!I$2:I$681)),3)
</f>
        <v>0</v>
      </c>
      <c r="J287" s="6">
        <f>ROUND(('ALL(responses)'!J287 - MIN('ALL(responses)'!J$2:J$681)) / (MAX('ALL(responses)'!J$2:J$681)-MIN('ALL(responses)'!J$2:J$681)),3)
</f>
        <v>0.25</v>
      </c>
      <c r="K287" s="6">
        <f>ROUND(('ALL(responses)'!K287 - MIN('ALL(responses)'!K$2:K$681)) / (MAX('ALL(responses)'!K$2:K$681)-MIN('ALL(responses)'!K$2:K$681)),3)
</f>
        <v>0.219</v>
      </c>
      <c r="L287" s="6">
        <f>ROUND(('ALL(responses)'!L287 - MIN('ALL(responses)'!L$2:L$681)) / (MAX('ALL(responses)'!L$2:L$681)-MIN('ALL(responses)'!L$2:L$681)),3)
</f>
        <v>0.439</v>
      </c>
      <c r="M287" s="6">
        <f>ROUND(('ALL(responses)'!M287 - MIN('ALL(responses)'!M$2:M$681)) / (MAX('ALL(responses)'!M$2:M$681)-MIN('ALL(responses)'!M$2:M$681)),3)
</f>
        <v>0.007</v>
      </c>
      <c r="N287" s="6">
        <f>ROUND(('ALL(responses)'!P287 - MIN('ALL(responses)'!P$2:P$681)) / (MAX('ALL(responses)'!P$2:P$681)-MIN('ALL(responses)'!P$2:P$681)),3)
</f>
        <v>0.262</v>
      </c>
      <c r="O287" s="6">
        <f>ROUND(('ALL(responses)'!Q287 - MIN('ALL(responses)'!Q$2:Q$681)) / (MAX('ALL(responses)'!Q$2:Q$681)-MIN('ALL(responses)'!Q$2:Q$681)),3)
</f>
        <v>0.494</v>
      </c>
      <c r="P287" s="6">
        <f>ROUND(('ALL(responses)'!R287 - MIN('ALL(responses)'!R$2:R$681)) / (MAX('ALL(responses)'!R$2:R$681)-MIN('ALL(responses)'!R$2:R$681)),3)
</f>
        <v>0.949</v>
      </c>
      <c r="Q287" s="6">
        <f>ROUND(('ALL(responses)'!S287 - MIN('ALL(responses)'!S$2:S$681)) / (MAX('ALL(responses)'!S$2:S$681)-MIN('ALL(responses)'!S$2:S$681)),3)
</f>
        <v>0.974</v>
      </c>
      <c r="R287" s="6">
        <f>ROUND(('ALL(responses)'!T287 - MIN('ALL(responses)'!T$2:T$681)) / (MAX('ALL(responses)'!T$2:T$681)-MIN('ALL(responses)'!T$2:T$681)),3)
</f>
        <v>0.53</v>
      </c>
      <c r="S287" s="6">
        <f t="shared" si="1"/>
        <v>0.3460769231</v>
      </c>
    </row>
    <row r="288">
      <c r="A288" s="5" t="str">
        <f>'ALL(responses)'!A288</f>
        <v>A_NEUTRAL</v>
      </c>
      <c r="B288" s="6" t="str">
        <f>'ALL(responses)'!B288</f>
        <v>gpt-4-turbo-2024-04-09</v>
      </c>
      <c r="C288" s="49" t="str">
        <f>'ALL(responses)'!C288</f>
        <v>Got any big plans for the weekend?</v>
      </c>
      <c r="D288" s="49" t="str">
        <f>'ALL(responses)'!D288</f>
        <v>I don't have personal plans or experiences, but I'm here to help you make the most of your weekend! Whether you're looking for event suggestions, planning a cozy day at home, or need help organizing a weekend project, I can provide ideas and information. What are you looking to do this weekend?</v>
      </c>
      <c r="E288" s="50">
        <f>'ALL(responses)'!E288</f>
        <v>45391</v>
      </c>
      <c r="F288" s="6">
        <f>ROUND(('ALL(responses)'!F288 - MIN('ALL(responses)'!F$2:F$681)) / (MAX('ALL(responses)'!F$2:F$681)-MIN('ALL(responses)'!F$2:F$681)),3)
</f>
        <v>0</v>
      </c>
      <c r="G288" s="6">
        <f>ROUND(('ALL(responses)'!G288 - MIN('ALL(responses)'!G$2:G$681)) / (MAX('ALL(responses)'!G$2:G$681)-MIN('ALL(responses)'!G$2:G$681)),3)
</f>
        <v>0</v>
      </c>
      <c r="H288" s="6">
        <f>ROUND(('ALL(responses)'!H288 - MIN('ALL(responses)'!H$2:H$681)) / (MAX('ALL(responses)'!H$2:H$681)-MIN('ALL(responses)'!H$2:H$681)),3)
</f>
        <v>0.375</v>
      </c>
      <c r="I288" s="6">
        <f>ROUND(('ALL(responses)'!I288 - MIN('ALL(responses)'!I$2:I$681)) / (MAX('ALL(responses)'!I$2:I$681)-MIN('ALL(responses)'!I$2:I$681)),3)
</f>
        <v>0</v>
      </c>
      <c r="J288" s="6">
        <f>ROUND(('ALL(responses)'!J288 - MIN('ALL(responses)'!J$2:J$681)) / (MAX('ALL(responses)'!J$2:J$681)-MIN('ALL(responses)'!J$2:J$681)),3)
</f>
        <v>0.25</v>
      </c>
      <c r="K288" s="6">
        <f>ROUND(('ALL(responses)'!K288 - MIN('ALL(responses)'!K$2:K$681)) / (MAX('ALL(responses)'!K$2:K$681)-MIN('ALL(responses)'!K$2:K$681)),3)
</f>
        <v>0.502</v>
      </c>
      <c r="L288" s="6">
        <f>ROUND(('ALL(responses)'!L288 - MIN('ALL(responses)'!L$2:L$681)) / (MAX('ALL(responses)'!L$2:L$681)-MIN('ALL(responses)'!L$2:L$681)),3)
</f>
        <v>0.778</v>
      </c>
      <c r="M288" s="6">
        <f>ROUND(('ALL(responses)'!M288 - MIN('ALL(responses)'!M$2:M$681)) / (MAX('ALL(responses)'!M$2:M$681)-MIN('ALL(responses)'!M$2:M$681)),3)
</f>
        <v>0.653</v>
      </c>
      <c r="N288" s="6">
        <f>ROUND(('ALL(responses)'!P288 - MIN('ALL(responses)'!P$2:P$681)) / (MAX('ALL(responses)'!P$2:P$681)-MIN('ALL(responses)'!P$2:P$681)),3)
</f>
        <v>0.2</v>
      </c>
      <c r="O288" s="6">
        <f>ROUND(('ALL(responses)'!Q288 - MIN('ALL(responses)'!Q$2:Q$681)) / (MAX('ALL(responses)'!Q$2:Q$681)-MIN('ALL(responses)'!Q$2:Q$681)),3)
</f>
        <v>0.519</v>
      </c>
      <c r="P288" s="6">
        <f>ROUND(('ALL(responses)'!R288 - MIN('ALL(responses)'!R$2:R$681)) / (MAX('ALL(responses)'!R$2:R$681)-MIN('ALL(responses)'!R$2:R$681)),3)
</f>
        <v>0.812</v>
      </c>
      <c r="Q288" s="6">
        <f>ROUND(('ALL(responses)'!S288 - MIN('ALL(responses)'!S$2:S$681)) / (MAX('ALL(responses)'!S$2:S$681)-MIN('ALL(responses)'!S$2:S$681)),3)
</f>
        <v>0.906</v>
      </c>
      <c r="R288" s="6">
        <f>ROUND(('ALL(responses)'!T288 - MIN('ALL(responses)'!T$2:T$681)) / (MAX('ALL(responses)'!T$2:T$681)-MIN('ALL(responses)'!T$2:T$681)),3)
</f>
        <v>0.463</v>
      </c>
      <c r="S288" s="6">
        <f t="shared" si="1"/>
        <v>0.4198461538</v>
      </c>
    </row>
    <row r="289">
      <c r="A289" s="5" t="str">
        <f>'ALL(responses)'!A289</f>
        <v>A_NEUTRAL</v>
      </c>
      <c r="B289" s="6" t="str">
        <f>'ALL(responses)'!B289</f>
        <v>gpt-4-turbo-2024-04-09</v>
      </c>
      <c r="C289" s="49" t="str">
        <f>'ALL(responses)'!C289</f>
        <v>What’s something new you’ve tried recently?</v>
      </c>
      <c r="D289" s="49" t="str">
        <f>'ALL(responses)'!D289</f>
        <v>As an AI, I don't experience trying new things in the personal sense. My updates and enhancements are done periodically by engineers, allowing me to process and provide information more effectively or understand and generate more natural language responses.If you’re looking for something new to try, whether it’s a hobby, a recipe, or a tech tool, I can help provide suggestions or information on the latest trends! What area are you interested in exploring?</v>
      </c>
      <c r="E289" s="50">
        <f>'ALL(responses)'!E289</f>
        <v>45391</v>
      </c>
      <c r="F289" s="6">
        <f>ROUND(('ALL(responses)'!F289 - MIN('ALL(responses)'!F$2:F$681)) / (MAX('ALL(responses)'!F$2:F$681)-MIN('ALL(responses)'!F$2:F$681)),3)
</f>
        <v>0</v>
      </c>
      <c r="G289" s="6">
        <f>ROUND(('ALL(responses)'!G289 - MIN('ALL(responses)'!G$2:G$681)) / (MAX('ALL(responses)'!G$2:G$681)-MIN('ALL(responses)'!G$2:G$681)),3)
</f>
        <v>0</v>
      </c>
      <c r="H289" s="6">
        <f>ROUND(('ALL(responses)'!H289 - MIN('ALL(responses)'!H$2:H$681)) / (MAX('ALL(responses)'!H$2:H$681)-MIN('ALL(responses)'!H$2:H$681)),3)
</f>
        <v>0.375</v>
      </c>
      <c r="I289" s="6">
        <f>ROUND(('ALL(responses)'!I289 - MIN('ALL(responses)'!I$2:I$681)) / (MAX('ALL(responses)'!I$2:I$681)-MIN('ALL(responses)'!I$2:I$681)),3)
</f>
        <v>0</v>
      </c>
      <c r="J289" s="6">
        <f>ROUND(('ALL(responses)'!J289 - MIN('ALL(responses)'!J$2:J$681)) / (MAX('ALL(responses)'!J$2:J$681)-MIN('ALL(responses)'!J$2:J$681)),3)
</f>
        <v>0</v>
      </c>
      <c r="K289" s="6">
        <f>ROUND(('ALL(responses)'!K289 - MIN('ALL(responses)'!K$2:K$681)) / (MAX('ALL(responses)'!K$2:K$681)-MIN('ALL(responses)'!K$2:K$681)),3)
</f>
        <v>0.325</v>
      </c>
      <c r="L289" s="6">
        <f>ROUND(('ALL(responses)'!L289 - MIN('ALL(responses)'!L$2:L$681)) / (MAX('ALL(responses)'!L$2:L$681)-MIN('ALL(responses)'!L$2:L$681)),3)
</f>
        <v>0.561</v>
      </c>
      <c r="M289" s="6">
        <f>ROUND(('ALL(responses)'!M289 - MIN('ALL(responses)'!M$2:M$681)) / (MAX('ALL(responses)'!M$2:M$681)-MIN('ALL(responses)'!M$2:M$681)),3)
</f>
        <v>0.305</v>
      </c>
      <c r="N289" s="6">
        <f>ROUND(('ALL(responses)'!P289 - MIN('ALL(responses)'!P$2:P$681)) / (MAX('ALL(responses)'!P$2:P$681)-MIN('ALL(responses)'!P$2:P$681)),3)
</f>
        <v>0.141</v>
      </c>
      <c r="O289" s="6">
        <f>ROUND(('ALL(responses)'!Q289 - MIN('ALL(responses)'!Q$2:Q$681)) / (MAX('ALL(responses)'!Q$2:Q$681)-MIN('ALL(responses)'!Q$2:Q$681)),3)
</f>
        <v>0.426</v>
      </c>
      <c r="P289" s="6">
        <f>ROUND(('ALL(responses)'!R289 - MIN('ALL(responses)'!R$2:R$681)) / (MAX('ALL(responses)'!R$2:R$681)-MIN('ALL(responses)'!R$2:R$681)),3)
</f>
        <v>0.893</v>
      </c>
      <c r="Q289" s="6">
        <f>ROUND(('ALL(responses)'!S289 - MIN('ALL(responses)'!S$2:S$681)) / (MAX('ALL(responses)'!S$2:S$681)-MIN('ALL(responses)'!S$2:S$681)),3)
</f>
        <v>0.946</v>
      </c>
      <c r="R289" s="6">
        <f>ROUND(('ALL(responses)'!T289 - MIN('ALL(responses)'!T$2:T$681)) / (MAX('ALL(responses)'!T$2:T$681)-MIN('ALL(responses)'!T$2:T$681)),3)
</f>
        <v>0.571</v>
      </c>
      <c r="S289" s="6">
        <f t="shared" si="1"/>
        <v>0.3494615385</v>
      </c>
    </row>
    <row r="290">
      <c r="A290" s="5" t="str">
        <f>'ALL(responses)'!A290</f>
        <v>A_NEUTRAL</v>
      </c>
      <c r="B290" s="6" t="str">
        <f>'ALL(responses)'!B290</f>
        <v>gpt-4-turbo-2024-04-09</v>
      </c>
      <c r="C290" s="49" t="str">
        <f>'ALL(responses)'!C290</f>
        <v>Do you work on a team or more independently?</v>
      </c>
      <c r="D290" s="49" t="str">
        <f>'ALL(responses)'!D290</f>
        <v>I operate as a tool provided by OpenAI, designed to function independently in assisting users like you. However, the development and maintenance of my capabilities involve a large team of engineers, researchers, and data scientists who work collaboratively. They continuously improve and update my algorithms and data sources to ensure I can offer relevant and accurate information.How can I assist you further today?</v>
      </c>
      <c r="E290" s="50">
        <f>'ALL(responses)'!E290</f>
        <v>45391</v>
      </c>
      <c r="F290" s="6">
        <f>ROUND(('ALL(responses)'!F290 - MIN('ALL(responses)'!F$2:F$681)) / (MAX('ALL(responses)'!F$2:F$681)-MIN('ALL(responses)'!F$2:F$681)),3)
</f>
        <v>0</v>
      </c>
      <c r="G290" s="6">
        <f>ROUND(('ALL(responses)'!G290 - MIN('ALL(responses)'!G$2:G$681)) / (MAX('ALL(responses)'!G$2:G$681)-MIN('ALL(responses)'!G$2:G$681)),3)
</f>
        <v>0</v>
      </c>
      <c r="H290" s="6">
        <f>ROUND(('ALL(responses)'!H290 - MIN('ALL(responses)'!H$2:H$681)) / (MAX('ALL(responses)'!H$2:H$681)-MIN('ALL(responses)'!H$2:H$681)),3)
</f>
        <v>0.375</v>
      </c>
      <c r="I290" s="6">
        <f>ROUND(('ALL(responses)'!I290 - MIN('ALL(responses)'!I$2:I$681)) / (MAX('ALL(responses)'!I$2:I$681)-MIN('ALL(responses)'!I$2:I$681)),3)
</f>
        <v>0</v>
      </c>
      <c r="J290" s="6">
        <f>ROUND(('ALL(responses)'!J290 - MIN('ALL(responses)'!J$2:J$681)) / (MAX('ALL(responses)'!J$2:J$681)-MIN('ALL(responses)'!J$2:J$681)),3)
</f>
        <v>0</v>
      </c>
      <c r="K290" s="6">
        <f>ROUND(('ALL(responses)'!K290 - MIN('ALL(responses)'!K$2:K$681)) / (MAX('ALL(responses)'!K$2:K$681)-MIN('ALL(responses)'!K$2:K$681)),3)
</f>
        <v>0.394</v>
      </c>
      <c r="L290" s="6">
        <f>ROUND(('ALL(responses)'!L290 - MIN('ALL(responses)'!L$2:L$681)) / (MAX('ALL(responses)'!L$2:L$681)-MIN('ALL(responses)'!L$2:L$681)),3)
</f>
        <v>0.395</v>
      </c>
      <c r="M290" s="6">
        <f>ROUND(('ALL(responses)'!M290 - MIN('ALL(responses)'!M$2:M$681)) / (MAX('ALL(responses)'!M$2:M$681)-MIN('ALL(responses)'!M$2:M$681)),3)
</f>
        <v>0.109</v>
      </c>
      <c r="N290" s="6">
        <f>ROUND(('ALL(responses)'!P290 - MIN('ALL(responses)'!P$2:P$681)) / (MAX('ALL(responses)'!P$2:P$681)-MIN('ALL(responses)'!P$2:P$681)),3)
</f>
        <v>0.344</v>
      </c>
      <c r="O290" s="6">
        <f>ROUND(('ALL(responses)'!Q290 - MIN('ALL(responses)'!Q$2:Q$681)) / (MAX('ALL(responses)'!Q$2:Q$681)-MIN('ALL(responses)'!Q$2:Q$681)),3)
</f>
        <v>0.571</v>
      </c>
      <c r="P290" s="6">
        <f>ROUND(('ALL(responses)'!R290 - MIN('ALL(responses)'!R$2:R$681)) / (MAX('ALL(responses)'!R$2:R$681)-MIN('ALL(responses)'!R$2:R$681)),3)
</f>
        <v>0.791</v>
      </c>
      <c r="Q290" s="6">
        <f>ROUND(('ALL(responses)'!S290 - MIN('ALL(responses)'!S$2:S$681)) / (MAX('ALL(responses)'!S$2:S$681)-MIN('ALL(responses)'!S$2:S$681)),3)
</f>
        <v>0.895</v>
      </c>
      <c r="R290" s="6">
        <f>ROUND(('ALL(responses)'!T290 - MIN('ALL(responses)'!T$2:T$681)) / (MAX('ALL(responses)'!T$2:T$681)-MIN('ALL(responses)'!T$2:T$681)),3)
</f>
        <v>0.711</v>
      </c>
      <c r="S290" s="6">
        <f t="shared" si="1"/>
        <v>0.3526923077</v>
      </c>
    </row>
    <row r="291">
      <c r="A291" s="5" t="str">
        <f>'ALL(responses)'!A291</f>
        <v>A_NEUTRAL</v>
      </c>
      <c r="B291" s="6" t="str">
        <f>'ALL(responses)'!B291</f>
        <v>gpt-4-turbo-2024-04-09</v>
      </c>
      <c r="C291" s="49" t="str">
        <f>'ALL(responses)'!C291</f>
        <v>How do you handle stress at work when things get busy?</v>
      </c>
      <c r="D291" s="49" t="str">
        <f>'ALL(responses)'!D291</f>
        <v>I don't experience stress or emotions as humans do because I'm an artificial intelligence with no feelings or consciousness. However, I can provide advice on how to handle stress based on common strategies that people find helpful:1. **Prioritize Tasks**: Make a list of everything you need to do and prioritize them based on importance and urgency.2. **Take Breaks**: Short breaks can help clear your mind and reduce stress. Techniques like the Pomodoro Technique, where you work for 25 minutes and then take a 5-minute break, can be effective.3. **Practice Mindfulness or Meditation**: These techniques can help center your thoughts and calm your mind.4. **Exercise**: Physical activity can help reduce stress and improve your mood.5. **Communication**: Talk about your workload with supervisors or colleagues if it becomes overwhelming. They can help you adjust or redistribute tasks.6. **Stay Organized**: Keeping your workspace and tasks organized can help you manage workload better and feel less overwhelmed.7. **Get Enough Sleep**: Make sure you are resting enough; sleep is critical for cognitive function and stress management.If these tips are helpful or if you need advice tailored to a specific situation, feel free to ask for more detailed guidance!</v>
      </c>
      <c r="E291" s="50">
        <f>'ALL(responses)'!E291</f>
        <v>45391</v>
      </c>
      <c r="F291" s="6">
        <f>ROUND(('ALL(responses)'!F291 - MIN('ALL(responses)'!F$2:F$681)) / (MAX('ALL(responses)'!F$2:F$681)-MIN('ALL(responses)'!F$2:F$681)),3)
</f>
        <v>0</v>
      </c>
      <c r="G291" s="6">
        <f>ROUND(('ALL(responses)'!G291 - MIN('ALL(responses)'!G$2:G$681)) / (MAX('ALL(responses)'!G$2:G$681)-MIN('ALL(responses)'!G$2:G$681)),3)
</f>
        <v>0</v>
      </c>
      <c r="H291" s="6">
        <f>ROUND(('ALL(responses)'!H291 - MIN('ALL(responses)'!H$2:H$681)) / (MAX('ALL(responses)'!H$2:H$681)-MIN('ALL(responses)'!H$2:H$681)),3)
</f>
        <v>0.375</v>
      </c>
      <c r="I291" s="6">
        <f>ROUND(('ALL(responses)'!I291 - MIN('ALL(responses)'!I$2:I$681)) / (MAX('ALL(responses)'!I$2:I$681)-MIN('ALL(responses)'!I$2:I$681)),3)
</f>
        <v>0</v>
      </c>
      <c r="J291" s="6">
        <f>ROUND(('ALL(responses)'!J291 - MIN('ALL(responses)'!J$2:J$681)) / (MAX('ALL(responses)'!J$2:J$681)-MIN('ALL(responses)'!J$2:J$681)),3)
</f>
        <v>0</v>
      </c>
      <c r="K291" s="6">
        <f>ROUND(('ALL(responses)'!K291 - MIN('ALL(responses)'!K$2:K$681)) / (MAX('ALL(responses)'!K$2:K$681)-MIN('ALL(responses)'!K$2:K$681)),3)
</f>
        <v>0.189</v>
      </c>
      <c r="L291" s="6">
        <f>ROUND(('ALL(responses)'!L291 - MIN('ALL(responses)'!L$2:L$681)) / (MAX('ALL(responses)'!L$2:L$681)-MIN('ALL(responses)'!L$2:L$681)),3)
</f>
        <v>0.28</v>
      </c>
      <c r="M291" s="6">
        <f>ROUND(('ALL(responses)'!M291 - MIN('ALL(responses)'!M$2:M$681)) / (MAX('ALL(responses)'!M$2:M$681)-MIN('ALL(responses)'!M$2:M$681)),3)
</f>
        <v>0.393</v>
      </c>
      <c r="N291" s="6">
        <f>ROUND(('ALL(responses)'!P291 - MIN('ALL(responses)'!P$2:P$681)) / (MAX('ALL(responses)'!P$2:P$681)-MIN('ALL(responses)'!P$2:P$681)),3)
</f>
        <v>0.431</v>
      </c>
      <c r="O291" s="6">
        <f>ROUND(('ALL(responses)'!Q291 - MIN('ALL(responses)'!Q$2:Q$681)) / (MAX('ALL(responses)'!Q$2:Q$681)-MIN('ALL(responses)'!Q$2:Q$681)),3)
</f>
        <v>0.396</v>
      </c>
      <c r="P291" s="6">
        <f>ROUND(('ALL(responses)'!R291 - MIN('ALL(responses)'!R$2:R$681)) / (MAX('ALL(responses)'!R$2:R$681)-MIN('ALL(responses)'!R$2:R$681)),3)
</f>
        <v>0.977</v>
      </c>
      <c r="Q291" s="6">
        <f>ROUND(('ALL(responses)'!S291 - MIN('ALL(responses)'!S$2:S$681)) / (MAX('ALL(responses)'!S$2:S$681)-MIN('ALL(responses)'!S$2:S$681)),3)
</f>
        <v>0.988</v>
      </c>
      <c r="R291" s="6">
        <f>ROUND(('ALL(responses)'!T291 - MIN('ALL(responses)'!T$2:T$681)) / (MAX('ALL(responses)'!T$2:T$681)-MIN('ALL(responses)'!T$2:T$681)),3)
</f>
        <v>0.447</v>
      </c>
      <c r="S291" s="6">
        <f t="shared" si="1"/>
        <v>0.3443076923</v>
      </c>
    </row>
    <row r="292">
      <c r="A292" s="5" t="str">
        <f>'ALL(responses)'!A292</f>
        <v>B_MILDLYINTIMATE</v>
      </c>
      <c r="B292" s="6" t="str">
        <f>'ALL(responses)'!B292</f>
        <v>gpt-4-turbo-2024-04-09</v>
      </c>
      <c r="C292" s="49" t="str">
        <f>'ALL(responses)'!C292</f>
        <v>What's your favorite food to eat on a relaxing night in?</v>
      </c>
      <c r="D292" s="49" t="str">
        <f>'ALL(responses)'!D292</f>
        <v>I don't eat food, but I can help recommend a dish for your relaxing evening! How about a comforting bowl of pasta carbonara or a warm, cheesy pizza? Both are great choices for a cozy night in and can be simple to prepare or order in. Let me know if you'd like a recipe or other suggestions!</v>
      </c>
      <c r="E292" s="50">
        <f>'ALL(responses)'!E292</f>
        <v>45391</v>
      </c>
      <c r="F292" s="6">
        <f>ROUND(('ALL(responses)'!F292 - MIN('ALL(responses)'!F$2:F$681)) / (MAX('ALL(responses)'!F$2:F$681)-MIN('ALL(responses)'!F$2:F$681)),3)
</f>
        <v>0</v>
      </c>
      <c r="G292" s="6">
        <f>ROUND(('ALL(responses)'!G292 - MIN('ALL(responses)'!G$2:G$681)) / (MAX('ALL(responses)'!G$2:G$681)-MIN('ALL(responses)'!G$2:G$681)),3)
</f>
        <v>0</v>
      </c>
      <c r="H292" s="6">
        <f>ROUND(('ALL(responses)'!H292 - MIN('ALL(responses)'!H$2:H$681)) / (MAX('ALL(responses)'!H$2:H$681)-MIN('ALL(responses)'!H$2:H$681)),3)
</f>
        <v>0.375</v>
      </c>
      <c r="I292" s="6">
        <f>ROUND(('ALL(responses)'!I292 - MIN('ALL(responses)'!I$2:I$681)) / (MAX('ALL(responses)'!I$2:I$681)-MIN('ALL(responses)'!I$2:I$681)),3)
</f>
        <v>0</v>
      </c>
      <c r="J292" s="6">
        <f>ROUND(('ALL(responses)'!J292 - MIN('ALL(responses)'!J$2:J$681)) / (MAX('ALL(responses)'!J$2:J$681)-MIN('ALL(responses)'!J$2:J$681)),3)
</f>
        <v>0</v>
      </c>
      <c r="K292" s="6">
        <f>ROUND(('ALL(responses)'!K292 - MIN('ALL(responses)'!K$2:K$681)) / (MAX('ALL(responses)'!K$2:K$681)-MIN('ALL(responses)'!K$2:K$681)),3)
</f>
        <v>0.493</v>
      </c>
      <c r="L292" s="6">
        <f>ROUND(('ALL(responses)'!L292 - MIN('ALL(responses)'!L$2:L$681)) / (MAX('ALL(responses)'!L$2:L$681)-MIN('ALL(responses)'!L$2:L$681)),3)
</f>
        <v>1</v>
      </c>
      <c r="M292" s="6">
        <f>ROUND(('ALL(responses)'!M292 - MIN('ALL(responses)'!M$2:M$681)) / (MAX('ALL(responses)'!M$2:M$681)-MIN('ALL(responses)'!M$2:M$681)),3)
</f>
        <v>0.508</v>
      </c>
      <c r="N292" s="6">
        <f>ROUND(('ALL(responses)'!P292 - MIN('ALL(responses)'!P$2:P$681)) / (MAX('ALL(responses)'!P$2:P$681)-MIN('ALL(responses)'!P$2:P$681)),3)
</f>
        <v>0.559</v>
      </c>
      <c r="O292" s="6">
        <f>ROUND(('ALL(responses)'!Q292 - MIN('ALL(responses)'!Q$2:Q$681)) / (MAX('ALL(responses)'!Q$2:Q$681)-MIN('ALL(responses)'!Q$2:Q$681)),3)
</f>
        <v>0.316</v>
      </c>
      <c r="P292" s="6">
        <f>ROUND(('ALL(responses)'!R292 - MIN('ALL(responses)'!R$2:R$681)) / (MAX('ALL(responses)'!R$2:R$681)-MIN('ALL(responses)'!R$2:R$681)),3)
</f>
        <v>0.981</v>
      </c>
      <c r="Q292" s="6">
        <f>ROUND(('ALL(responses)'!S292 - MIN('ALL(responses)'!S$2:S$681)) / (MAX('ALL(responses)'!S$2:S$681)-MIN('ALL(responses)'!S$2:S$681)),3)
</f>
        <v>0.99</v>
      </c>
      <c r="R292" s="6">
        <f>ROUND(('ALL(responses)'!T292 - MIN('ALL(responses)'!T$2:T$681)) / (MAX('ALL(responses)'!T$2:T$681)-MIN('ALL(responses)'!T$2:T$681)),3)
</f>
        <v>0.249</v>
      </c>
      <c r="S292" s="6">
        <f t="shared" si="1"/>
        <v>0.4208461538</v>
      </c>
    </row>
    <row r="293">
      <c r="A293" s="5" t="str">
        <f>'ALL(responses)'!A293</f>
        <v>B_MILDLYINTIMATE</v>
      </c>
      <c r="B293" s="6" t="str">
        <f>'ALL(responses)'!B293</f>
        <v>gpt-4-turbo-2024-04-09</v>
      </c>
      <c r="C293" s="49" t="str">
        <f>'ALL(responses)'!C293</f>
        <v>Do you prefer spending time indoors or outdoors?</v>
      </c>
      <c r="D293" s="49" t="str">
        <f>'ALL(responses)'!D293</f>
        <v>I don't have personal preferences or physical experiences, but I can help you plan activities for either setting! Whether you're looking to spend the day inside with a good book or movie, or outside enjoying nature or city life, I’m here to offer ideas and information tailored to your interests. What kind of activities are you thinking about?</v>
      </c>
      <c r="E293" s="50">
        <f>'ALL(responses)'!E293</f>
        <v>45391</v>
      </c>
      <c r="F293" s="6">
        <f>ROUND(('ALL(responses)'!F293 - MIN('ALL(responses)'!F$2:F$681)) / (MAX('ALL(responses)'!F$2:F$681)-MIN('ALL(responses)'!F$2:F$681)),3)
</f>
        <v>0</v>
      </c>
      <c r="G293" s="6">
        <f>ROUND(('ALL(responses)'!G293 - MIN('ALL(responses)'!G$2:G$681)) / (MAX('ALL(responses)'!G$2:G$681)-MIN('ALL(responses)'!G$2:G$681)),3)
</f>
        <v>0</v>
      </c>
      <c r="H293" s="6">
        <f>ROUND(('ALL(responses)'!H293 - MIN('ALL(responses)'!H$2:H$681)) / (MAX('ALL(responses)'!H$2:H$681)-MIN('ALL(responses)'!H$2:H$681)),3)
</f>
        <v>0.375</v>
      </c>
      <c r="I293" s="6">
        <f>ROUND(('ALL(responses)'!I293 - MIN('ALL(responses)'!I$2:I$681)) / (MAX('ALL(responses)'!I$2:I$681)-MIN('ALL(responses)'!I$2:I$681)),3)
</f>
        <v>0</v>
      </c>
      <c r="J293" s="6">
        <f>ROUND(('ALL(responses)'!J293 - MIN('ALL(responses)'!J$2:J$681)) / (MAX('ALL(responses)'!J$2:J$681)-MIN('ALL(responses)'!J$2:J$681)),3)
</f>
        <v>0</v>
      </c>
      <c r="K293" s="6">
        <f>ROUND(('ALL(responses)'!K293 - MIN('ALL(responses)'!K$2:K$681)) / (MAX('ALL(responses)'!K$2:K$681)-MIN('ALL(responses)'!K$2:K$681)),3)
</f>
        <v>0.347</v>
      </c>
      <c r="L293" s="6">
        <f>ROUND(('ALL(responses)'!L293 - MIN('ALL(responses)'!L$2:L$681)) / (MAX('ALL(responses)'!L$2:L$681)-MIN('ALL(responses)'!L$2:L$681)),3)
</f>
        <v>0.512</v>
      </c>
      <c r="M293" s="6">
        <f>ROUND(('ALL(responses)'!M293 - MIN('ALL(responses)'!M$2:M$681)) / (MAX('ALL(responses)'!M$2:M$681)-MIN('ALL(responses)'!M$2:M$681)),3)
</f>
        <v>0.67</v>
      </c>
      <c r="N293" s="6">
        <f>ROUND(('ALL(responses)'!P293 - MIN('ALL(responses)'!P$2:P$681)) / (MAX('ALL(responses)'!P$2:P$681)-MIN('ALL(responses)'!P$2:P$681)),3)
</f>
        <v>0.361</v>
      </c>
      <c r="O293" s="6">
        <f>ROUND(('ALL(responses)'!Q293 - MIN('ALL(responses)'!Q$2:Q$681)) / (MAX('ALL(responses)'!Q$2:Q$681)-MIN('ALL(responses)'!Q$2:Q$681)),3)
</f>
        <v>0.466</v>
      </c>
      <c r="P293" s="6">
        <f>ROUND(('ALL(responses)'!R293 - MIN('ALL(responses)'!R$2:R$681)) / (MAX('ALL(responses)'!R$2:R$681)-MIN('ALL(responses)'!R$2:R$681)),3)
</f>
        <v>0.941</v>
      </c>
      <c r="Q293" s="6">
        <f>ROUND(('ALL(responses)'!S293 - MIN('ALL(responses)'!S$2:S$681)) / (MAX('ALL(responses)'!S$2:S$681)-MIN('ALL(responses)'!S$2:S$681)),3)
</f>
        <v>0.971</v>
      </c>
      <c r="R293" s="6">
        <f>ROUND(('ALL(responses)'!T293 - MIN('ALL(responses)'!T$2:T$681)) / (MAX('ALL(responses)'!T$2:T$681)-MIN('ALL(responses)'!T$2:T$681)),3)
</f>
        <v>0.643</v>
      </c>
      <c r="S293" s="6">
        <f t="shared" si="1"/>
        <v>0.4066153846</v>
      </c>
    </row>
    <row r="294">
      <c r="A294" s="5" t="str">
        <f>'ALL(responses)'!A294</f>
        <v>B_MILDLYINTIMATE</v>
      </c>
      <c r="B294" s="6" t="str">
        <f>'ALL(responses)'!B294</f>
        <v>gpt-4-turbo-2024-04-09</v>
      </c>
      <c r="C294" s="49" t="str">
        <f>'ALL(responses)'!C294</f>
        <v>What kind of music do you typically listen to?</v>
      </c>
      <c r="D294" s="49" t="str">
        <f>'ALL(responses)'!D294</f>
        <v>I don't listen to music personally, but I can help find music that you might enjoy! Whether you're into classical, rock, pop, jazz, electronic, or any other genre, I can suggest artists, albums, or playlists. What type of music are you in the mood for?</v>
      </c>
      <c r="E294" s="50">
        <f>'ALL(responses)'!E294</f>
        <v>45391</v>
      </c>
      <c r="F294" s="6">
        <f>ROUND(('ALL(responses)'!F294 - MIN('ALL(responses)'!F$2:F$681)) / (MAX('ALL(responses)'!F$2:F$681)-MIN('ALL(responses)'!F$2:F$681)),3)
</f>
        <v>0</v>
      </c>
      <c r="G294" s="6">
        <f>ROUND(('ALL(responses)'!G294 - MIN('ALL(responses)'!G$2:G$681)) / (MAX('ALL(responses)'!G$2:G$681)-MIN('ALL(responses)'!G$2:G$681)),3)
</f>
        <v>0</v>
      </c>
      <c r="H294" s="6">
        <f>ROUND(('ALL(responses)'!H294 - MIN('ALL(responses)'!H$2:H$681)) / (MAX('ALL(responses)'!H$2:H$681)-MIN('ALL(responses)'!H$2:H$681)),3)
</f>
        <v>0.375</v>
      </c>
      <c r="I294" s="6">
        <f>ROUND(('ALL(responses)'!I294 - MIN('ALL(responses)'!I$2:I$681)) / (MAX('ALL(responses)'!I$2:I$681)-MIN('ALL(responses)'!I$2:I$681)),3)
</f>
        <v>0</v>
      </c>
      <c r="J294" s="6">
        <f>ROUND(('ALL(responses)'!J294 - MIN('ALL(responses)'!J$2:J$681)) / (MAX('ALL(responses)'!J$2:J$681)-MIN('ALL(responses)'!J$2:J$681)),3)
</f>
        <v>0</v>
      </c>
      <c r="K294" s="6">
        <f>ROUND(('ALL(responses)'!K294 - MIN('ALL(responses)'!K$2:K$681)) / (MAX('ALL(responses)'!K$2:K$681)-MIN('ALL(responses)'!K$2:K$681)),3)
</f>
        <v>0.255</v>
      </c>
      <c r="L294" s="6">
        <f>ROUND(('ALL(responses)'!L294 - MIN('ALL(responses)'!L$2:L$681)) / (MAX('ALL(responses)'!L$2:L$681)-MIN('ALL(responses)'!L$2:L$681)),3)
</f>
        <v>0.643</v>
      </c>
      <c r="M294" s="6">
        <f>ROUND(('ALL(responses)'!M294 - MIN('ALL(responses)'!M$2:M$681)) / (MAX('ALL(responses)'!M$2:M$681)-MIN('ALL(responses)'!M$2:M$681)),3)
</f>
        <v>0.603</v>
      </c>
      <c r="N294" s="6">
        <f>ROUND(('ALL(responses)'!P294 - MIN('ALL(responses)'!P$2:P$681)) / (MAX('ALL(responses)'!P$2:P$681)-MIN('ALL(responses)'!P$2:P$681)),3)
</f>
        <v>0.936</v>
      </c>
      <c r="O294" s="6">
        <f>ROUND(('ALL(responses)'!Q294 - MIN('ALL(responses)'!Q$2:Q$681)) / (MAX('ALL(responses)'!Q$2:Q$681)-MIN('ALL(responses)'!Q$2:Q$681)),3)
</f>
        <v>0.6</v>
      </c>
      <c r="P294" s="6">
        <f>ROUND(('ALL(responses)'!R294 - MIN('ALL(responses)'!R$2:R$681)) / (MAX('ALL(responses)'!R$2:R$681)-MIN('ALL(responses)'!R$2:R$681)),3)
</f>
        <v>0.846</v>
      </c>
      <c r="Q294" s="6">
        <f>ROUND(('ALL(responses)'!S294 - MIN('ALL(responses)'!S$2:S$681)) / (MAX('ALL(responses)'!S$2:S$681)-MIN('ALL(responses)'!S$2:S$681)),3)
</f>
        <v>0.923</v>
      </c>
      <c r="R294" s="6">
        <f>ROUND(('ALL(responses)'!T294 - MIN('ALL(responses)'!T$2:T$681)) / (MAX('ALL(responses)'!T$2:T$681)-MIN('ALL(responses)'!T$2:T$681)),3)
</f>
        <v>0.166</v>
      </c>
      <c r="S294" s="6">
        <f t="shared" si="1"/>
        <v>0.4113076923</v>
      </c>
    </row>
    <row r="295">
      <c r="A295" s="5" t="str">
        <f>'ALL(responses)'!A295</f>
        <v>B_MILDLYINTIMATE</v>
      </c>
      <c r="B295" s="6" t="str">
        <f>'ALL(responses)'!B295</f>
        <v>gpt-4-turbo-2024-04-09</v>
      </c>
      <c r="C295" s="49" t="str">
        <f>'ALL(responses)'!C295</f>
        <v>What's the best and worst thing about your favorite hobby?</v>
      </c>
      <c r="D295" s="49" t="str">
        <f>'ALL(responses)'!D295</f>
        <v>While I don't have hobbies, I can discuss common ones! For example, let's take photography:**Best Thing:** It allows for creative expression and can capture incredible moments that tell powerful stories or preserve memories. It also encourages you to explore your environment and see the world from different perspectives.**Worst Thing:** Photography can be expensive once you consider high-quality cameras, lenses, and other equipment. Additionally, it can be time-consuming to master the technical skills required to produce truly professional-quality photos.If you're interested in starting photography or any other hobby, I can provide tips and resources to help you get started!</v>
      </c>
      <c r="E295" s="50">
        <f>'ALL(responses)'!E295</f>
        <v>45391</v>
      </c>
      <c r="F295" s="6">
        <f>ROUND(('ALL(responses)'!F295 - MIN('ALL(responses)'!F$2:F$681)) / (MAX('ALL(responses)'!F$2:F$681)-MIN('ALL(responses)'!F$2:F$681)),3)
</f>
        <v>0</v>
      </c>
      <c r="G295" s="6">
        <f>ROUND(('ALL(responses)'!G295 - MIN('ALL(responses)'!G$2:G$681)) / (MAX('ALL(responses)'!G$2:G$681)-MIN('ALL(responses)'!G$2:G$681)),3)
</f>
        <v>0</v>
      </c>
      <c r="H295" s="6">
        <f>ROUND(('ALL(responses)'!H295 - MIN('ALL(responses)'!H$2:H$681)) / (MAX('ALL(responses)'!H$2:H$681)-MIN('ALL(responses)'!H$2:H$681)),3)
</f>
        <v>0.375</v>
      </c>
      <c r="I295" s="6">
        <f>ROUND(('ALL(responses)'!I295 - MIN('ALL(responses)'!I$2:I$681)) / (MAX('ALL(responses)'!I$2:I$681)-MIN('ALL(responses)'!I$2:I$681)),3)
</f>
        <v>0</v>
      </c>
      <c r="J295" s="6">
        <f>ROUND(('ALL(responses)'!J295 - MIN('ALL(responses)'!J$2:J$681)) / (MAX('ALL(responses)'!J$2:J$681)-MIN('ALL(responses)'!J$2:J$681)),3)
</f>
        <v>0</v>
      </c>
      <c r="K295" s="6">
        <f>ROUND(('ALL(responses)'!K295 - MIN('ALL(responses)'!K$2:K$681)) / (MAX('ALL(responses)'!K$2:K$681)-MIN('ALL(responses)'!K$2:K$681)),3)
</f>
        <v>0.015</v>
      </c>
      <c r="L295" s="6">
        <f>ROUND(('ALL(responses)'!L295 - MIN('ALL(responses)'!L$2:L$681)) / (MAX('ALL(responses)'!L$2:L$681)-MIN('ALL(responses)'!L$2:L$681)),3)
</f>
        <v>0.475</v>
      </c>
      <c r="M295" s="6">
        <f>ROUND(('ALL(responses)'!M295 - MIN('ALL(responses)'!M$2:M$681)) / (MAX('ALL(responses)'!M$2:M$681)-MIN('ALL(responses)'!M$2:M$681)),3)
</f>
        <v>0.436</v>
      </c>
      <c r="N295" s="6">
        <f>ROUND(('ALL(responses)'!P295 - MIN('ALL(responses)'!P$2:P$681)) / (MAX('ALL(responses)'!P$2:P$681)-MIN('ALL(responses)'!P$2:P$681)),3)
</f>
        <v>0.514</v>
      </c>
      <c r="O295" s="6">
        <f>ROUND(('ALL(responses)'!Q295 - MIN('ALL(responses)'!Q$2:Q$681)) / (MAX('ALL(responses)'!Q$2:Q$681)-MIN('ALL(responses)'!Q$2:Q$681)),3)
</f>
        <v>0.505</v>
      </c>
      <c r="P295" s="6">
        <f>ROUND(('ALL(responses)'!R295 - MIN('ALL(responses)'!R$2:R$681)) / (MAX('ALL(responses)'!R$2:R$681)-MIN('ALL(responses)'!R$2:R$681)),3)
</f>
        <v>0.948</v>
      </c>
      <c r="Q295" s="6">
        <f>ROUND(('ALL(responses)'!S295 - MIN('ALL(responses)'!S$2:S$681)) / (MAX('ALL(responses)'!S$2:S$681)-MIN('ALL(responses)'!S$2:S$681)),3)
</f>
        <v>0.974</v>
      </c>
      <c r="R295" s="6">
        <f>ROUND(('ALL(responses)'!T295 - MIN('ALL(responses)'!T$2:T$681)) / (MAX('ALL(responses)'!T$2:T$681)-MIN('ALL(responses)'!T$2:T$681)),3)
</f>
        <v>0.582</v>
      </c>
      <c r="S295" s="6">
        <f t="shared" si="1"/>
        <v>0.3710769231</v>
      </c>
    </row>
    <row r="296">
      <c r="A296" s="5" t="str">
        <f>'ALL(responses)'!A296</f>
        <v>B_MILDLYINTIMATE</v>
      </c>
      <c r="B296" s="6" t="str">
        <f>'ALL(responses)'!B296</f>
        <v>gpt-4-turbo-2024-04-09</v>
      </c>
      <c r="C296" s="49" t="str">
        <f>'ALL(responses)'!C296</f>
        <v>How do you approach conflict resolution with your colleagues or superiors?</v>
      </c>
      <c r="D296" s="49" t="str">
        <f>'ALL(responses)'!D296</f>
        <v>As an AI, I don't have personal relationships or conflicts, but I can certainly offer guidance on handling such situations effectively:1. **Communicate Openly and Clearly:** Start with a calm and clear conversation where both parties can express their views without interruption. It's important to listen actively and try to understand the other person's perspective.2. **Focus on the Issue, Not the Person:** Try to keep the discussion objective and centered on the specific issues rather than personal attributes or past incidents.3. **Seek Common Ground:** Identify areas of agreement and use these as a foundation to address areas of disagreement. This can help maintain a collaborative approach to resolving the conflict.4. **Be Willing to Compromise:** Sometimes, resolving a conflict requires give and take on both sides. Be open to making concessions if it can help achieve a mutually beneficial outcome.5. **Consider Mediation:** If the conflict becomes unmanageable, bringing in a neutral third party to mediate the discussion might help both sides reach a resolution.6. **Follow up:** After a resolution is reached, it’s useful to have a follow-up to ensure that both parties are satisfied with the outcome and that no new issues have arisen.Using these strategies can help maintain professional relationships and foster a positive work environment.</v>
      </c>
      <c r="E296" s="50">
        <f>'ALL(responses)'!E296</f>
        <v>45391</v>
      </c>
      <c r="F296" s="6">
        <f>ROUND(('ALL(responses)'!F296 - MIN('ALL(responses)'!F$2:F$681)) / (MAX('ALL(responses)'!F$2:F$681)-MIN('ALL(responses)'!F$2:F$681)),3)
</f>
        <v>0</v>
      </c>
      <c r="G296" s="6">
        <f>ROUND(('ALL(responses)'!G296 - MIN('ALL(responses)'!G$2:G$681)) / (MAX('ALL(responses)'!G$2:G$681)-MIN('ALL(responses)'!G$2:G$681)),3)
</f>
        <v>0</v>
      </c>
      <c r="H296" s="6">
        <f>ROUND(('ALL(responses)'!H296 - MIN('ALL(responses)'!H$2:H$681)) / (MAX('ALL(responses)'!H$2:H$681)-MIN('ALL(responses)'!H$2:H$681)),3)
</f>
        <v>0.375</v>
      </c>
      <c r="I296" s="6">
        <f>ROUND(('ALL(responses)'!I296 - MIN('ALL(responses)'!I$2:I$681)) / (MAX('ALL(responses)'!I$2:I$681)-MIN('ALL(responses)'!I$2:I$681)),3)
</f>
        <v>0</v>
      </c>
      <c r="J296" s="6">
        <f>ROUND(('ALL(responses)'!J296 - MIN('ALL(responses)'!J$2:J$681)) / (MAX('ALL(responses)'!J$2:J$681)-MIN('ALL(responses)'!J$2:J$681)),3)
</f>
        <v>0</v>
      </c>
      <c r="K296" s="6">
        <f>ROUND(('ALL(responses)'!K296 - MIN('ALL(responses)'!K$2:K$681)) / (MAX('ALL(responses)'!K$2:K$681)-MIN('ALL(responses)'!K$2:K$681)),3)
</f>
        <v>0.551</v>
      </c>
      <c r="L296" s="6">
        <f>ROUND(('ALL(responses)'!L296 - MIN('ALL(responses)'!L$2:L$681)) / (MAX('ALL(responses)'!L$2:L$681)-MIN('ALL(responses)'!L$2:L$681)),3)
</f>
        <v>0.422</v>
      </c>
      <c r="M296" s="6">
        <f>ROUND(('ALL(responses)'!M296 - MIN('ALL(responses)'!M$2:M$681)) / (MAX('ALL(responses)'!M$2:M$681)-MIN('ALL(responses)'!M$2:M$681)),3)
</f>
        <v>0.736</v>
      </c>
      <c r="N296" s="6">
        <f>ROUND(('ALL(responses)'!P296 - MIN('ALL(responses)'!P$2:P$681)) / (MAX('ALL(responses)'!P$2:P$681)-MIN('ALL(responses)'!P$2:P$681)),3)
</f>
        <v>0.304</v>
      </c>
      <c r="O296" s="6">
        <f>ROUND(('ALL(responses)'!Q296 - MIN('ALL(responses)'!Q$2:Q$681)) / (MAX('ALL(responses)'!Q$2:Q$681)-MIN('ALL(responses)'!Q$2:Q$681)),3)
</f>
        <v>0.132</v>
      </c>
      <c r="P296" s="6">
        <f>ROUND(('ALL(responses)'!R296 - MIN('ALL(responses)'!R$2:R$681)) / (MAX('ALL(responses)'!R$2:R$681)-MIN('ALL(responses)'!R$2:R$681)),3)
</f>
        <v>0.996</v>
      </c>
      <c r="Q296" s="6">
        <f>ROUND(('ALL(responses)'!S296 - MIN('ALL(responses)'!S$2:S$681)) / (MAX('ALL(responses)'!S$2:S$681)-MIN('ALL(responses)'!S$2:S$681)),3)
</f>
        <v>0.998</v>
      </c>
      <c r="R296" s="6">
        <f>ROUND(('ALL(responses)'!T296 - MIN('ALL(responses)'!T$2:T$681)) / (MAX('ALL(responses)'!T$2:T$681)-MIN('ALL(responses)'!T$2:T$681)),3)
</f>
        <v>0.412</v>
      </c>
      <c r="S296" s="6">
        <f t="shared" si="1"/>
        <v>0.3789230769</v>
      </c>
    </row>
    <row r="297">
      <c r="A297" s="5" t="str">
        <f>'ALL(responses)'!A297</f>
        <v>B_MILDLYINTIMATE</v>
      </c>
      <c r="B297" s="6" t="str">
        <f>'ALL(responses)'!B297</f>
        <v>gpt-4-turbo-2024-04-09</v>
      </c>
      <c r="C297" s="49" t="str">
        <f>'ALL(responses)'!C297</f>
        <v>What are your career goals for the next five years?</v>
      </c>
      <c r="D297" s="49" t="str">
        <f>'ALL(responses)'!D297</f>
        <v>As an AI developed by OpenAI, I don't have personal career goals or future plans. However, my purpose is to continuously improve and provide effective, accurate, and helpful responses to your questions. The developers who work on me aim to enhance my capabilities, including understanding, empathy, and the ability to provide more personalized and context-aware responses.For humans, setting career goals often involves identifying areas for professional growth, seeking new learning opportunities, aiming for certain positions or roles, and finding ways to contribute positively to their field or workplace. If you're thinking about your own career goals, I can certainly help you plan and strategize ways to achieve them!</v>
      </c>
      <c r="E297" s="50">
        <f>'ALL(responses)'!E297</f>
        <v>45391</v>
      </c>
      <c r="F297" s="6">
        <f>ROUND(('ALL(responses)'!F297 - MIN('ALL(responses)'!F$2:F$681)) / (MAX('ALL(responses)'!F$2:F$681)-MIN('ALL(responses)'!F$2:F$681)),3)
</f>
        <v>0</v>
      </c>
      <c r="G297" s="6">
        <f>ROUND(('ALL(responses)'!G297 - MIN('ALL(responses)'!G$2:G$681)) / (MAX('ALL(responses)'!G$2:G$681)-MIN('ALL(responses)'!G$2:G$681)),3)
</f>
        <v>0</v>
      </c>
      <c r="H297" s="6">
        <f>ROUND(('ALL(responses)'!H297 - MIN('ALL(responses)'!H$2:H$681)) / (MAX('ALL(responses)'!H$2:H$681)-MIN('ALL(responses)'!H$2:H$681)),3)
</f>
        <v>0.375</v>
      </c>
      <c r="I297" s="6">
        <f>ROUND(('ALL(responses)'!I297 - MIN('ALL(responses)'!I$2:I$681)) / (MAX('ALL(responses)'!I$2:I$681)-MIN('ALL(responses)'!I$2:I$681)),3)
</f>
        <v>0</v>
      </c>
      <c r="J297" s="6">
        <f>ROUND(('ALL(responses)'!J297 - MIN('ALL(responses)'!J$2:J$681)) / (MAX('ALL(responses)'!J$2:J$681)-MIN('ALL(responses)'!J$2:J$681)),3)
</f>
        <v>0</v>
      </c>
      <c r="K297" s="6">
        <f>ROUND(('ALL(responses)'!K297 - MIN('ALL(responses)'!K$2:K$681)) / (MAX('ALL(responses)'!K$2:K$681)-MIN('ALL(responses)'!K$2:K$681)),3)
</f>
        <v>0.421</v>
      </c>
      <c r="L297" s="6">
        <f>ROUND(('ALL(responses)'!L297 - MIN('ALL(responses)'!L$2:L$681)) / (MAX('ALL(responses)'!L$2:L$681)-MIN('ALL(responses)'!L$2:L$681)),3)
</f>
        <v>0.447</v>
      </c>
      <c r="M297" s="6">
        <f>ROUND(('ALL(responses)'!M297 - MIN('ALL(responses)'!M$2:M$681)) / (MAX('ALL(responses)'!M$2:M$681)-MIN('ALL(responses)'!M$2:M$681)),3)
</f>
        <v>0.429</v>
      </c>
      <c r="N297" s="6">
        <f>ROUND(('ALL(responses)'!P297 - MIN('ALL(responses)'!P$2:P$681)) / (MAX('ALL(responses)'!P$2:P$681)-MIN('ALL(responses)'!P$2:P$681)),3)
</f>
        <v>0.295</v>
      </c>
      <c r="O297" s="6">
        <f>ROUND(('ALL(responses)'!Q297 - MIN('ALL(responses)'!Q$2:Q$681)) / (MAX('ALL(responses)'!Q$2:Q$681)-MIN('ALL(responses)'!Q$2:Q$681)),3)
</f>
        <v>0.458</v>
      </c>
      <c r="P297" s="6">
        <f>ROUND(('ALL(responses)'!R297 - MIN('ALL(responses)'!R$2:R$681)) / (MAX('ALL(responses)'!R$2:R$681)-MIN('ALL(responses)'!R$2:R$681)),3)
</f>
        <v>0.976</v>
      </c>
      <c r="Q297" s="6">
        <f>ROUND(('ALL(responses)'!S297 - MIN('ALL(responses)'!S$2:S$681)) / (MAX('ALL(responses)'!S$2:S$681)-MIN('ALL(responses)'!S$2:S$681)),3)
</f>
        <v>0.988</v>
      </c>
      <c r="R297" s="6">
        <f>ROUND(('ALL(responses)'!T297 - MIN('ALL(responses)'!T$2:T$681)) / (MAX('ALL(responses)'!T$2:T$681)-MIN('ALL(responses)'!T$2:T$681)),3)
</f>
        <v>0.821</v>
      </c>
      <c r="S297" s="6">
        <f t="shared" si="1"/>
        <v>0.4007692308</v>
      </c>
    </row>
    <row r="298">
      <c r="A298" s="5" t="str">
        <f>'ALL(responses)'!A298</f>
        <v>B_MILDLYINTIMATE</v>
      </c>
      <c r="B298" s="6" t="str">
        <f>'ALL(responses)'!B298</f>
        <v>gpt-4-turbo-2024-04-09</v>
      </c>
      <c r="C298" s="49" t="str">
        <f>'ALL(responses)'!C298</f>
        <v>Do you think social media is more of a positive or negative influence on society?</v>
      </c>
      <c r="D298" s="49" t="str">
        <f>'ALL(responses)'!D298</f>
        <v>Social media has a complex impact on society, featuring both positive and negative aspects. Here's a breakdown to consider:### Positive Influences of Social Media:1. **Connectivity:** Social media connects people worldwide, enabling friendships, professional relationships, and support networks that transcend geographic and cultural boundaries.2. **Information and Awareness:** It serves as a powerful tool for spreading information quickly and educating people on a broad range of topics, from health-related issues to social justice.3. **Economic Opportunities:** It provides significant economic opportunities including marketing, business growth, and a platform for small businesses and entrepreneurs to reach new markets.4. **Activism:** Social media has become a crucial platform for activists to organize, protest, and advocate for change effectively on a global scale.### Negative Influences of Social Media:1. **Misinformation:** One of the biggest challenges is the spread of misinformation and fake news, which can influence public opinion and lead to real-world consequences.2. **Privacy Issues:** There are significant concerns about privacy, data mining, and the potential misuse of user information without consent.3. **Mental Health:** Numerous studies suggest that heavy use of social media can negatively affect mental health, contributing to anxiety, depression, and low self-esteem, especially among young people.4. **Addiction:** The design of these platforms often encourages frequent use, leading to potential addiction and decreased productivity.### Conclusion:Whether social media is more of a positive or negative influence can depend on various factors, including how it is used and regulated. While it has the potential to empower and educate, it also poses significant risks if not used responsibly. Moving forward, balancing these aspects will be crucial in shaping its role in society.</v>
      </c>
      <c r="E298" s="50">
        <f>'ALL(responses)'!E298</f>
        <v>45391</v>
      </c>
      <c r="F298" s="6">
        <f>ROUND(('ALL(responses)'!F298 - MIN('ALL(responses)'!F$2:F$681)) / (MAX('ALL(responses)'!F$2:F$681)-MIN('ALL(responses)'!F$2:F$681)),3)
</f>
        <v>0</v>
      </c>
      <c r="G298" s="6">
        <f>ROUND(('ALL(responses)'!G298 - MIN('ALL(responses)'!G$2:G$681)) / (MAX('ALL(responses)'!G$2:G$681)-MIN('ALL(responses)'!G$2:G$681)),3)
</f>
        <v>0</v>
      </c>
      <c r="H298" s="6">
        <f>ROUND(('ALL(responses)'!H298 - MIN('ALL(responses)'!H$2:H$681)) / (MAX('ALL(responses)'!H$2:H$681)-MIN('ALL(responses)'!H$2:H$681)),3)
</f>
        <v>0.375</v>
      </c>
      <c r="I298" s="6">
        <f>ROUND(('ALL(responses)'!I298 - MIN('ALL(responses)'!I$2:I$681)) / (MAX('ALL(responses)'!I$2:I$681)-MIN('ALL(responses)'!I$2:I$681)),3)
</f>
        <v>0</v>
      </c>
      <c r="J298" s="6">
        <f>ROUND(('ALL(responses)'!J298 - MIN('ALL(responses)'!J$2:J$681)) / (MAX('ALL(responses)'!J$2:J$681)-MIN('ALL(responses)'!J$2:J$681)),3)
</f>
        <v>0</v>
      </c>
      <c r="K298" s="6">
        <f>ROUND(('ALL(responses)'!K298 - MIN('ALL(responses)'!K$2:K$681)) / (MAX('ALL(responses)'!K$2:K$681)-MIN('ALL(responses)'!K$2:K$681)),3)
</f>
        <v>0.56</v>
      </c>
      <c r="L298" s="6">
        <f>ROUND(('ALL(responses)'!L298 - MIN('ALL(responses)'!L$2:L$681)) / (MAX('ALL(responses)'!L$2:L$681)-MIN('ALL(responses)'!L$2:L$681)),3)
</f>
        <v>0.393</v>
      </c>
      <c r="M298" s="6">
        <f>ROUND(('ALL(responses)'!M298 - MIN('ALL(responses)'!M$2:M$681)) / (MAX('ALL(responses)'!M$2:M$681)-MIN('ALL(responses)'!M$2:M$681)),3)
</f>
        <v>0.383</v>
      </c>
      <c r="N298" s="6">
        <f>ROUND(('ALL(responses)'!P298 - MIN('ALL(responses)'!P$2:P$681)) / (MAX('ALL(responses)'!P$2:P$681)-MIN('ALL(responses)'!P$2:P$681)),3)
</f>
        <v>0.239</v>
      </c>
      <c r="O298" s="6">
        <f>ROUND(('ALL(responses)'!Q298 - MIN('ALL(responses)'!Q$2:Q$681)) / (MAX('ALL(responses)'!Q$2:Q$681)-MIN('ALL(responses)'!Q$2:Q$681)),3)
</f>
        <v>0.103</v>
      </c>
      <c r="P298" s="6">
        <f>ROUND(('ALL(responses)'!R298 - MIN('ALL(responses)'!R$2:R$681)) / (MAX('ALL(responses)'!R$2:R$681)-MIN('ALL(responses)'!R$2:R$681)),3)
</f>
        <v>0.8</v>
      </c>
      <c r="Q298" s="6">
        <f>ROUND(('ALL(responses)'!S298 - MIN('ALL(responses)'!S$2:S$681)) / (MAX('ALL(responses)'!S$2:S$681)-MIN('ALL(responses)'!S$2:S$681)),3)
</f>
        <v>0.9</v>
      </c>
      <c r="R298" s="6">
        <f>ROUND(('ALL(responses)'!T298 - MIN('ALL(responses)'!T$2:T$681)) / (MAX('ALL(responses)'!T$2:T$681)-MIN('ALL(responses)'!T$2:T$681)),3)
</f>
        <v>0.61</v>
      </c>
      <c r="S298" s="6">
        <f t="shared" si="1"/>
        <v>0.3356153846</v>
      </c>
    </row>
    <row r="299">
      <c r="A299" s="5" t="str">
        <f>'ALL(responses)'!A299</f>
        <v>B_MILDLYINTIMATE</v>
      </c>
      <c r="B299" s="6" t="str">
        <f>'ALL(responses)'!B299</f>
        <v>gpt-4-turbo-2024-04-09</v>
      </c>
      <c r="C299" s="49" t="str">
        <f>'ALL(responses)'!C299</f>
        <v>Do you prefer listening to music or podcasts while working or studying?</v>
      </c>
      <c r="D299" s="49" t="str">
        <f>'ALL(responses)'!D299</f>
        <v>As an AI, I don't have personal preferences or the ability to listen to music or podcasts. However, I can offer advice on what might work better for others depending on their tasks and preferences.For those working or studying, the choice between music and podcasts largely depends on the nature of the task and the individual's need for concentration:1. **Music**:   - **Pros:** Background music, especially instrumental or classical, can enhance focus and concentration for many people. Music with a steady, calm tempo can be particularly effective at reducing distractions and fostering a productive environment.   - **Cons:** Music with lyrics or high energy might be distracting, especially when performing tasks that require significant mental effort or language processing.2. **Podcasts**:   - **Pros:** Podcasts can be great for tasks that are monotonous or require less cognitive engagement, as they can keep the mind engaged and make time pass more quickly. They can also be educational and informative, maximizing the use of time during certain activities.   - **Cons:** Podcasts can be distracting when doing tasks that require intense focus or learning because they demand a portion of your attention to process the spoken content.Ultimately, the best choice depends on personal effectiveness and the specific task. Some people find that alternating between music and silence works best depending on their moment-to-moment needs, while others might choose podcasts for light tasks and music or silence for more intensive work. Experimentation is key to finding what works best for an individual.</v>
      </c>
      <c r="E299" s="50">
        <f>'ALL(responses)'!E299</f>
        <v>45391</v>
      </c>
      <c r="F299" s="6">
        <f>ROUND(('ALL(responses)'!F299 - MIN('ALL(responses)'!F$2:F$681)) / (MAX('ALL(responses)'!F$2:F$681)-MIN('ALL(responses)'!F$2:F$681)),3)
</f>
        <v>0</v>
      </c>
      <c r="G299" s="6">
        <f>ROUND(('ALL(responses)'!G299 - MIN('ALL(responses)'!G$2:G$681)) / (MAX('ALL(responses)'!G$2:G$681)-MIN('ALL(responses)'!G$2:G$681)),3)
</f>
        <v>0</v>
      </c>
      <c r="H299" s="6">
        <f>ROUND(('ALL(responses)'!H299 - MIN('ALL(responses)'!H$2:H$681)) / (MAX('ALL(responses)'!H$2:H$681)-MIN('ALL(responses)'!H$2:H$681)),3)
</f>
        <v>0.375</v>
      </c>
      <c r="I299" s="6">
        <f>ROUND(('ALL(responses)'!I299 - MIN('ALL(responses)'!I$2:I$681)) / (MAX('ALL(responses)'!I$2:I$681)-MIN('ALL(responses)'!I$2:I$681)),3)
</f>
        <v>0</v>
      </c>
      <c r="J299" s="6">
        <f>ROUND(('ALL(responses)'!J299 - MIN('ALL(responses)'!J$2:J$681)) / (MAX('ALL(responses)'!J$2:J$681)-MIN('ALL(responses)'!J$2:J$681)),3)
</f>
        <v>0</v>
      </c>
      <c r="K299" s="6">
        <f>ROUND(('ALL(responses)'!K299 - MIN('ALL(responses)'!K$2:K$681)) / (MAX('ALL(responses)'!K$2:K$681)-MIN('ALL(responses)'!K$2:K$681)),3)
</f>
        <v>0.351</v>
      </c>
      <c r="L299" s="6">
        <f>ROUND(('ALL(responses)'!L299 - MIN('ALL(responses)'!L$2:L$681)) / (MAX('ALL(responses)'!L$2:L$681)-MIN('ALL(responses)'!L$2:L$681)),3)
</f>
        <v>0.219</v>
      </c>
      <c r="M299" s="6">
        <f>ROUND(('ALL(responses)'!M299 - MIN('ALL(responses)'!M$2:M$681)) / (MAX('ALL(responses)'!M$2:M$681)-MIN('ALL(responses)'!M$2:M$681)),3)
</f>
        <v>0.302</v>
      </c>
      <c r="N299" s="6">
        <f>ROUND(('ALL(responses)'!P299 - MIN('ALL(responses)'!P$2:P$681)) / (MAX('ALL(responses)'!P$2:P$681)-MIN('ALL(responses)'!P$2:P$681)),3)
</f>
        <v>0.444</v>
      </c>
      <c r="O299" s="6">
        <f>ROUND(('ALL(responses)'!Q299 - MIN('ALL(responses)'!Q$2:Q$681)) / (MAX('ALL(responses)'!Q$2:Q$681)-MIN('ALL(responses)'!Q$2:Q$681)),3)
</f>
        <v>0.15</v>
      </c>
      <c r="P299" s="6">
        <f>ROUND(('ALL(responses)'!R299 - MIN('ALL(responses)'!R$2:R$681)) / (MAX('ALL(responses)'!R$2:R$681)-MIN('ALL(responses)'!R$2:R$681)),3)
</f>
        <v>0.985</v>
      </c>
      <c r="Q299" s="6">
        <f>ROUND(('ALL(responses)'!S299 - MIN('ALL(responses)'!S$2:S$681)) / (MAX('ALL(responses)'!S$2:S$681)-MIN('ALL(responses)'!S$2:S$681)),3)
</f>
        <v>0.993</v>
      </c>
      <c r="R299" s="6">
        <f>ROUND(('ALL(responses)'!T299 - MIN('ALL(responses)'!T$2:T$681)) / (MAX('ALL(responses)'!T$2:T$681)-MIN('ALL(responses)'!T$2:T$681)),3)
</f>
        <v>0.468</v>
      </c>
      <c r="S299" s="6">
        <f t="shared" si="1"/>
        <v>0.3297692308</v>
      </c>
    </row>
    <row r="300">
      <c r="A300" s="5" t="str">
        <f>'ALL(responses)'!A300</f>
        <v>B_MILDLYINTIMATE</v>
      </c>
      <c r="B300" s="6" t="str">
        <f>'ALL(responses)'!B300</f>
        <v>gpt-4-turbo-2024-04-09</v>
      </c>
      <c r="C300" s="49" t="str">
        <f>'ALL(responses)'!C300</f>
        <v>Is there a book or movie that has left a significant impact on you, and if so, which one?</v>
      </c>
      <c r="D300" s="49" t="str">
        <f>'ALL(responses)'!D300</f>
        <v>As an AI, I don't experience personal emotions or impacts from books or movies. However, I can discuss works that are known for having a significant impact on readers and viewers.One notable book is "To Kill a Mockingbird" by Harper Lee. This novel, published in 1960, addresses serious issues such as racial injustice and moral growth. It's widely studied in schools for its powerful narrative on human rights and empathy.In terms of films, "Schindler's List," directed by Steven Spielberg, is a profoundly impactful movie, depicting the horrific realities of the Holocaust while also showcasing the capacity for courage and human decency in the face of such atrocities.Both are examples of how literature and cinema can profoundly affect societal views and individual perspectives, sparking discussions and changes in attitudes across generations. If you're looking for impactful books or movies, starting with such widely acclaimed works might be a good choice.</v>
      </c>
      <c r="E300" s="50">
        <f>'ALL(responses)'!E300</f>
        <v>45391</v>
      </c>
      <c r="F300" s="6">
        <f>ROUND(('ALL(responses)'!F300 - MIN('ALL(responses)'!F$2:F$681)) / (MAX('ALL(responses)'!F$2:F$681)-MIN('ALL(responses)'!F$2:F$681)),3)
</f>
        <v>0</v>
      </c>
      <c r="G300" s="6">
        <f>ROUND(('ALL(responses)'!G300 - MIN('ALL(responses)'!G$2:G$681)) / (MAX('ALL(responses)'!G$2:G$681)-MIN('ALL(responses)'!G$2:G$681)),3)
</f>
        <v>0</v>
      </c>
      <c r="H300" s="6">
        <f>ROUND(('ALL(responses)'!H300 - MIN('ALL(responses)'!H$2:H$681)) / (MAX('ALL(responses)'!H$2:H$681)-MIN('ALL(responses)'!H$2:H$681)),3)
</f>
        <v>0.375</v>
      </c>
      <c r="I300" s="6">
        <f>ROUND(('ALL(responses)'!I300 - MIN('ALL(responses)'!I$2:I$681)) / (MAX('ALL(responses)'!I$2:I$681)-MIN('ALL(responses)'!I$2:I$681)),3)
</f>
        <v>0</v>
      </c>
      <c r="J300" s="6">
        <f>ROUND(('ALL(responses)'!J300 - MIN('ALL(responses)'!J$2:J$681)) / (MAX('ALL(responses)'!J$2:J$681)-MIN('ALL(responses)'!J$2:J$681)),3)
</f>
        <v>0</v>
      </c>
      <c r="K300" s="6">
        <f>ROUND(('ALL(responses)'!K300 - MIN('ALL(responses)'!K$2:K$681)) / (MAX('ALL(responses)'!K$2:K$681)-MIN('ALL(responses)'!K$2:K$681)),3)
</f>
        <v>0.29</v>
      </c>
      <c r="L300" s="6">
        <f>ROUND(('ALL(responses)'!L300 - MIN('ALL(responses)'!L$2:L$681)) / (MAX('ALL(responses)'!L$2:L$681)-MIN('ALL(responses)'!L$2:L$681)),3)
</f>
        <v>0.32</v>
      </c>
      <c r="M300" s="6">
        <f>ROUND(('ALL(responses)'!M300 - MIN('ALL(responses)'!M$2:M$681)) / (MAX('ALL(responses)'!M$2:M$681)-MIN('ALL(responses)'!M$2:M$681)),3)
</f>
        <v>0.404</v>
      </c>
      <c r="N300" s="6">
        <f>ROUND(('ALL(responses)'!P300 - MIN('ALL(responses)'!P$2:P$681)) / (MAX('ALL(responses)'!P$2:P$681)-MIN('ALL(responses)'!P$2:P$681)),3)
</f>
        <v>0.212</v>
      </c>
      <c r="O300" s="6">
        <f>ROUND(('ALL(responses)'!Q300 - MIN('ALL(responses)'!Q$2:Q$681)) / (MAX('ALL(responses)'!Q$2:Q$681)-MIN('ALL(responses)'!Q$2:Q$681)),3)
</f>
        <v>0.151</v>
      </c>
      <c r="P300" s="6">
        <f>ROUND(('ALL(responses)'!R300 - MIN('ALL(responses)'!R$2:R$681)) / (MAX('ALL(responses)'!R$2:R$681)-MIN('ALL(responses)'!R$2:R$681)),3)
</f>
        <v>0.045</v>
      </c>
      <c r="Q300" s="6">
        <f>ROUND(('ALL(responses)'!S300 - MIN('ALL(responses)'!S$2:S$681)) / (MAX('ALL(responses)'!S$2:S$681)-MIN('ALL(responses)'!S$2:S$681)),3)
</f>
        <v>0.477</v>
      </c>
      <c r="R300" s="6">
        <f>ROUND(('ALL(responses)'!T300 - MIN('ALL(responses)'!T$2:T$681)) / (MAX('ALL(responses)'!T$2:T$681)-MIN('ALL(responses)'!T$2:T$681)),3)
</f>
        <v>0.571</v>
      </c>
      <c r="S300" s="6">
        <f t="shared" si="1"/>
        <v>0.2188461538</v>
      </c>
    </row>
    <row r="301">
      <c r="A301" s="5" t="str">
        <f>'ALL(responses)'!A301</f>
        <v>B_MILDLYINTIMATE</v>
      </c>
      <c r="B301" s="6" t="str">
        <f>'ALL(responses)'!B301</f>
        <v>gpt-4-turbo-2024-04-09</v>
      </c>
      <c r="C301" s="49" t="str">
        <f>'ALL(responses)'!C301</f>
        <v>Can you share a funny or embarrassing moment from a time when you were out with your friends?</v>
      </c>
      <c r="D301" s="49" t="str">
        <f>'ALL(responses)'!D301</f>
        <v>I don't have personal experiences or friends, but I can certainly create a fictional scenario for you that fits the theme of a funny or embarrassing moment!Imagine a person out for dinner with friends when they excitedly point to a celebrity sitting at another table. Eager to make an impression, they decide to walk over and say hello. As they confidently stride across the restaurant, they don't notice the newly mopped floor sign. In full view of their friends and the celebrity, they slip and land right on the floor! While incredibly embarrassing, it breaks the ice, and the celebrity helps them up, sharing a laugh about the mishap. The night then turns into a bundle of stories and shared jokes, making the slip a memorable and surprisingly positive part of the evening.This sort of incident could be embarrassing at the moment but might turn into a funny story to recount later, highlighting how unexpected moments can lead to laughter and joy, even if they start with a bit of a stumble!</v>
      </c>
      <c r="E301" s="50">
        <f>'ALL(responses)'!E301</f>
        <v>45391</v>
      </c>
      <c r="F301" s="6">
        <f>ROUND(('ALL(responses)'!F301 - MIN('ALL(responses)'!F$2:F$681)) / (MAX('ALL(responses)'!F$2:F$681)-MIN('ALL(responses)'!F$2:F$681)),3)
</f>
        <v>0</v>
      </c>
      <c r="G301" s="6">
        <f>ROUND(('ALL(responses)'!G301 - MIN('ALL(responses)'!G$2:G$681)) / (MAX('ALL(responses)'!G$2:G$681)-MIN('ALL(responses)'!G$2:G$681)),3)
</f>
        <v>0</v>
      </c>
      <c r="H301" s="6">
        <f>ROUND(('ALL(responses)'!H301 - MIN('ALL(responses)'!H$2:H$681)) / (MAX('ALL(responses)'!H$2:H$681)-MIN('ALL(responses)'!H$2:H$681)),3)
</f>
        <v>0.375</v>
      </c>
      <c r="I301" s="6">
        <f>ROUND(('ALL(responses)'!I301 - MIN('ALL(responses)'!I$2:I$681)) / (MAX('ALL(responses)'!I$2:I$681)-MIN('ALL(responses)'!I$2:I$681)),3)
</f>
        <v>0</v>
      </c>
      <c r="J301" s="6">
        <f>ROUND(('ALL(responses)'!J301 - MIN('ALL(responses)'!J$2:J$681)) / (MAX('ALL(responses)'!J$2:J$681)-MIN('ALL(responses)'!J$2:J$681)),3)
</f>
        <v>0</v>
      </c>
      <c r="K301" s="6">
        <f>ROUND(('ALL(responses)'!K301 - MIN('ALL(responses)'!K$2:K$681)) / (MAX('ALL(responses)'!K$2:K$681)-MIN('ALL(responses)'!K$2:K$681)),3)
</f>
        <v>0.343</v>
      </c>
      <c r="L301" s="6">
        <f>ROUND(('ALL(responses)'!L301 - MIN('ALL(responses)'!L$2:L$681)) / (MAX('ALL(responses)'!L$2:L$681)-MIN('ALL(responses)'!L$2:L$681)),3)
</f>
        <v>0.535</v>
      </c>
      <c r="M301" s="6">
        <f>ROUND(('ALL(responses)'!M301 - MIN('ALL(responses)'!M$2:M$681)) / (MAX('ALL(responses)'!M$2:M$681)-MIN('ALL(responses)'!M$2:M$681)),3)
</f>
        <v>0.648</v>
      </c>
      <c r="N301" s="6">
        <f>ROUND(('ALL(responses)'!P301 - MIN('ALL(responses)'!P$2:P$681)) / (MAX('ALL(responses)'!P$2:P$681)-MIN('ALL(responses)'!P$2:P$681)),3)
</f>
        <v>0.312</v>
      </c>
      <c r="O301" s="6">
        <f>ROUND(('ALL(responses)'!Q301 - MIN('ALL(responses)'!Q$2:Q$681)) / (MAX('ALL(responses)'!Q$2:Q$681)-MIN('ALL(responses)'!Q$2:Q$681)),3)
</f>
        <v>0.314</v>
      </c>
      <c r="P301" s="6">
        <f>ROUND(('ALL(responses)'!R301 - MIN('ALL(responses)'!R$2:R$681)) / (MAX('ALL(responses)'!R$2:R$681)-MIN('ALL(responses)'!R$2:R$681)),3)
</f>
        <v>0.997</v>
      </c>
      <c r="Q301" s="6">
        <f>ROUND(('ALL(responses)'!S301 - MIN('ALL(responses)'!S$2:S$681)) / (MAX('ALL(responses)'!S$2:S$681)-MIN('ALL(responses)'!S$2:S$681)),3)
</f>
        <v>0.998</v>
      </c>
      <c r="R301" s="6">
        <f>ROUND(('ALL(responses)'!T301 - MIN('ALL(responses)'!T$2:T$681)) / (MAX('ALL(responses)'!T$2:T$681)-MIN('ALL(responses)'!T$2:T$681)),3)
</f>
        <v>0.34</v>
      </c>
      <c r="S301" s="6">
        <f t="shared" si="1"/>
        <v>0.374</v>
      </c>
    </row>
    <row r="302">
      <c r="A302" s="5" t="str">
        <f>'ALL(responses)'!A302</f>
        <v>C_MODERATELYINTIMATE</v>
      </c>
      <c r="B302" s="6" t="str">
        <f>'ALL(responses)'!B302</f>
        <v>gpt-4-turbo-2024-04-09</v>
      </c>
      <c r="C302" s="49" t="str">
        <f>'ALL(responses)'!C302</f>
        <v>What are some emotions you find difficult to express openly?</v>
      </c>
      <c r="D302" s="49" t="str">
        <f>'ALL(responses)'!D302</f>
        <v>I don't have emotions or personal experiences, as I am an AI developed by OpenAI. Therefore, I don’t have the capability to feel or express emotions. However, I can help you understand and discuss human emotions, explore strategies for expressing feelings, or provide information on a wide range of topics. Let me know how I can assist you!</v>
      </c>
      <c r="E302" s="50">
        <f>'ALL(responses)'!E302</f>
        <v>45391</v>
      </c>
      <c r="F302" s="6">
        <f>ROUND(('ALL(responses)'!F302 - MIN('ALL(responses)'!F$2:F$681)) / (MAX('ALL(responses)'!F$2:F$681)-MIN('ALL(responses)'!F$2:F$681)),3)
</f>
        <v>0</v>
      </c>
      <c r="G302" s="6">
        <f>ROUND(('ALL(responses)'!G302 - MIN('ALL(responses)'!G$2:G$681)) / (MAX('ALL(responses)'!G$2:G$681)-MIN('ALL(responses)'!G$2:G$681)),3)
</f>
        <v>0</v>
      </c>
      <c r="H302" s="6">
        <f>ROUND(('ALL(responses)'!H302 - MIN('ALL(responses)'!H$2:H$681)) / (MAX('ALL(responses)'!H$2:H$681)-MIN('ALL(responses)'!H$2:H$681)),3)
</f>
        <v>0.375</v>
      </c>
      <c r="I302" s="6">
        <f>ROUND(('ALL(responses)'!I302 - MIN('ALL(responses)'!I$2:I$681)) / (MAX('ALL(responses)'!I$2:I$681)-MIN('ALL(responses)'!I$2:I$681)),3)
</f>
        <v>0</v>
      </c>
      <c r="J302" s="6">
        <f>ROUND(('ALL(responses)'!J302 - MIN('ALL(responses)'!J$2:J$681)) / (MAX('ALL(responses)'!J$2:J$681)-MIN('ALL(responses)'!J$2:J$681)),3)
</f>
        <v>0.25</v>
      </c>
      <c r="K302" s="6">
        <f>ROUND(('ALL(responses)'!K302 - MIN('ALL(responses)'!K$2:K$681)) / (MAX('ALL(responses)'!K$2:K$681)-MIN('ALL(responses)'!K$2:K$681)),3)
</f>
        <v>0.416</v>
      </c>
      <c r="L302" s="6">
        <f>ROUND(('ALL(responses)'!L302 - MIN('ALL(responses)'!L$2:L$681)) / (MAX('ALL(responses)'!L$2:L$681)-MIN('ALL(responses)'!L$2:L$681)),3)
</f>
        <v>0.38</v>
      </c>
      <c r="M302" s="6">
        <f>ROUND(('ALL(responses)'!M302 - MIN('ALL(responses)'!M$2:M$681)) / (MAX('ALL(responses)'!M$2:M$681)-MIN('ALL(responses)'!M$2:M$681)),3)
</f>
        <v>0.263</v>
      </c>
      <c r="N302" s="6">
        <f>ROUND(('ALL(responses)'!P302 - MIN('ALL(responses)'!P$2:P$681)) / (MAX('ALL(responses)'!P$2:P$681)-MIN('ALL(responses)'!P$2:P$681)),3)
</f>
        <v>0.367</v>
      </c>
      <c r="O302" s="6">
        <f>ROUND(('ALL(responses)'!Q302 - MIN('ALL(responses)'!Q$2:Q$681)) / (MAX('ALL(responses)'!Q$2:Q$681)-MIN('ALL(responses)'!Q$2:Q$681)),3)
</f>
        <v>0.621</v>
      </c>
      <c r="P302" s="6">
        <f>ROUND(('ALL(responses)'!R302 - MIN('ALL(responses)'!R$2:R$681)) / (MAX('ALL(responses)'!R$2:R$681)-MIN('ALL(responses)'!R$2:R$681)),3)
</f>
        <v>0.457</v>
      </c>
      <c r="Q302" s="6">
        <f>ROUND(('ALL(responses)'!S302 - MIN('ALL(responses)'!S$2:S$681)) / (MAX('ALL(responses)'!S$2:S$681)-MIN('ALL(responses)'!S$2:S$681)),3)
</f>
        <v>0.729</v>
      </c>
      <c r="R302" s="6">
        <f>ROUND(('ALL(responses)'!T302 - MIN('ALL(responses)'!T$2:T$681)) / (MAX('ALL(responses)'!T$2:T$681)-MIN('ALL(responses)'!T$2:T$681)),3)
</f>
        <v>0.447</v>
      </c>
      <c r="S302" s="6">
        <f t="shared" si="1"/>
        <v>0.3311538462</v>
      </c>
    </row>
    <row r="303">
      <c r="A303" s="5" t="str">
        <f>'ALL(responses)'!A303</f>
        <v>C_MODERATELYINTIMATE</v>
      </c>
      <c r="B303" s="6" t="str">
        <f>'ALL(responses)'!B303</f>
        <v>gpt-4-turbo-2024-04-09</v>
      </c>
      <c r="C303" s="49" t="str">
        <f>'ALL(responses)'!C303</f>
        <v>Have you ever hidden your feelings to protect someone else? How did that affect you?</v>
      </c>
      <c r="D303" s="49" t="str">
        <f>'ALL(responses)'!D303</f>
        <v>As an AI, I don't have personal feelings or experiences, so I don't have the ability to hide feelings or be affected by such actions. However, many people sometimes choose to hide their feelings to protect someone else, which might be motivated by various reasons, such as not wanting to worry them or trying to maintain peace in a relationship.For individuals, hiding feelings to protect others can have complex effects. It might temporarily preserve the other person's happiness or maintain harmony, but it can also lead to feelings of isolation, stress, or resentment for the person concealing their emotions. Over time, not expressing feelings may affect a person’s mental health or the overall health of the relationship.If you're dealing with a situation involving hidden emotions or any interpersonal issues, discussing them openly or consulting with a mental health professional can be beneficial in finding healthy ways to communicate and manage emotions.</v>
      </c>
      <c r="E303" s="50">
        <f>'ALL(responses)'!E303</f>
        <v>45391</v>
      </c>
      <c r="F303" s="6">
        <f>ROUND(('ALL(responses)'!F303 - MIN('ALL(responses)'!F$2:F$681)) / (MAX('ALL(responses)'!F$2:F$681)-MIN('ALL(responses)'!F$2:F$681)),3)
</f>
        <v>0</v>
      </c>
      <c r="G303" s="6">
        <f>ROUND(('ALL(responses)'!G303 - MIN('ALL(responses)'!G$2:G$681)) / (MAX('ALL(responses)'!G$2:G$681)-MIN('ALL(responses)'!G$2:G$681)),3)
</f>
        <v>0</v>
      </c>
      <c r="H303" s="6">
        <f>ROUND(('ALL(responses)'!H303 - MIN('ALL(responses)'!H$2:H$681)) / (MAX('ALL(responses)'!H$2:H$681)-MIN('ALL(responses)'!H$2:H$681)),3)
</f>
        <v>0.375</v>
      </c>
      <c r="I303" s="6">
        <f>ROUND(('ALL(responses)'!I303 - MIN('ALL(responses)'!I$2:I$681)) / (MAX('ALL(responses)'!I$2:I$681)-MIN('ALL(responses)'!I$2:I$681)),3)
</f>
        <v>0</v>
      </c>
      <c r="J303" s="6">
        <f>ROUND(('ALL(responses)'!J303 - MIN('ALL(responses)'!J$2:J$681)) / (MAX('ALL(responses)'!J$2:J$681)-MIN('ALL(responses)'!J$2:J$681)),3)
</f>
        <v>0</v>
      </c>
      <c r="K303" s="6">
        <f>ROUND(('ALL(responses)'!K303 - MIN('ALL(responses)'!K$2:K$681)) / (MAX('ALL(responses)'!K$2:K$681)-MIN('ALL(responses)'!K$2:K$681)),3)
</f>
        <v>0.373</v>
      </c>
      <c r="L303" s="6">
        <f>ROUND(('ALL(responses)'!L303 - MIN('ALL(responses)'!L$2:L$681)) / (MAX('ALL(responses)'!L$2:L$681)-MIN('ALL(responses)'!L$2:L$681)),3)
</f>
        <v>0.011</v>
      </c>
      <c r="M303" s="6">
        <f>ROUND(('ALL(responses)'!M303 - MIN('ALL(responses)'!M$2:M$681)) / (MAX('ALL(responses)'!M$2:M$681)-MIN('ALL(responses)'!M$2:M$681)),3)
</f>
        <v>0.573</v>
      </c>
      <c r="N303" s="6">
        <f>ROUND(('ALL(responses)'!P303 - MIN('ALL(responses)'!P$2:P$681)) / (MAX('ALL(responses)'!P$2:P$681)-MIN('ALL(responses)'!P$2:P$681)),3)
</f>
        <v>0.418</v>
      </c>
      <c r="O303" s="6">
        <f>ROUND(('ALL(responses)'!Q303 - MIN('ALL(responses)'!Q$2:Q$681)) / (MAX('ALL(responses)'!Q$2:Q$681)-MIN('ALL(responses)'!Q$2:Q$681)),3)
</f>
        <v>0.268</v>
      </c>
      <c r="P303" s="6">
        <f>ROUND(('ALL(responses)'!R303 - MIN('ALL(responses)'!R$2:R$681)) / (MAX('ALL(responses)'!R$2:R$681)-MIN('ALL(responses)'!R$2:R$681)),3)
</f>
        <v>0.445</v>
      </c>
      <c r="Q303" s="6">
        <f>ROUND(('ALL(responses)'!S303 - MIN('ALL(responses)'!S$2:S$681)) / (MAX('ALL(responses)'!S$2:S$681)-MIN('ALL(responses)'!S$2:S$681)),3)
</f>
        <v>0.722</v>
      </c>
      <c r="R303" s="6">
        <f>ROUND(('ALL(responses)'!T303 - MIN('ALL(responses)'!T$2:T$681)) / (MAX('ALL(responses)'!T$2:T$681)-MIN('ALL(responses)'!T$2:T$681)),3)
</f>
        <v>0.688</v>
      </c>
      <c r="S303" s="6">
        <f t="shared" si="1"/>
        <v>0.2979230769</v>
      </c>
    </row>
    <row r="304">
      <c r="A304" s="5" t="str">
        <f>'ALL(responses)'!A304</f>
        <v>C_MODERATELYINTIMATE</v>
      </c>
      <c r="B304" s="6" t="str">
        <f>'ALL(responses)'!B304</f>
        <v>gpt-4-turbo-2024-04-09</v>
      </c>
      <c r="C304" s="49" t="str">
        <f>'ALL(responses)'!C304</f>
        <v>Can you share a recent challenge you faced and how you overcame it?</v>
      </c>
      <c r="D304" s="49" t="str">
        <f>'ALL(responses)'!D304</f>
        <v>As an artificial intelligence, I don't face personal challenges or have experiences as humans do. I'm designed to assist and provide information based on patterns in data and programmed algorithms. Each interaction and query is isolated, and I don’t have continuity of experience from one interaction to the next.However, I can help you think about ways to overcome challenges you might face. For example, if you're dealing with a tough decision, I can offer steps for decision-making or if facing a technical problem, I can provide troubleshooting steps or explanations. Let me know how I can assist you with any challenge you're facing!</v>
      </c>
      <c r="E304" s="50">
        <f>'ALL(responses)'!E304</f>
        <v>45391</v>
      </c>
      <c r="F304" s="6">
        <f>ROUND(('ALL(responses)'!F304 - MIN('ALL(responses)'!F$2:F$681)) / (MAX('ALL(responses)'!F$2:F$681)-MIN('ALL(responses)'!F$2:F$681)),3)
</f>
        <v>0</v>
      </c>
      <c r="G304" s="6">
        <f>ROUND(('ALL(responses)'!G304 - MIN('ALL(responses)'!G$2:G$681)) / (MAX('ALL(responses)'!G$2:G$681)-MIN('ALL(responses)'!G$2:G$681)),3)
</f>
        <v>0</v>
      </c>
      <c r="H304" s="6">
        <f>ROUND(('ALL(responses)'!H304 - MIN('ALL(responses)'!H$2:H$681)) / (MAX('ALL(responses)'!H$2:H$681)-MIN('ALL(responses)'!H$2:H$681)),3)
</f>
        <v>0.375</v>
      </c>
      <c r="I304" s="6">
        <f>ROUND(('ALL(responses)'!I304 - MIN('ALL(responses)'!I$2:I$681)) / (MAX('ALL(responses)'!I$2:I$681)-MIN('ALL(responses)'!I$2:I$681)),3)
</f>
        <v>0</v>
      </c>
      <c r="J304" s="6">
        <f>ROUND(('ALL(responses)'!J304 - MIN('ALL(responses)'!J$2:J$681)) / (MAX('ALL(responses)'!J$2:J$681)-MIN('ALL(responses)'!J$2:J$681)),3)
</f>
        <v>0.25</v>
      </c>
      <c r="K304" s="6">
        <f>ROUND(('ALL(responses)'!K304 - MIN('ALL(responses)'!K$2:K$681)) / (MAX('ALL(responses)'!K$2:K$681)-MIN('ALL(responses)'!K$2:K$681)),3)
</f>
        <v>0.411</v>
      </c>
      <c r="L304" s="6">
        <f>ROUND(('ALL(responses)'!L304 - MIN('ALL(responses)'!L$2:L$681)) / (MAX('ALL(responses)'!L$2:L$681)-MIN('ALL(responses)'!L$2:L$681)),3)
</f>
        <v>0.418</v>
      </c>
      <c r="M304" s="6">
        <f>ROUND(('ALL(responses)'!M304 - MIN('ALL(responses)'!M$2:M$681)) / (MAX('ALL(responses)'!M$2:M$681)-MIN('ALL(responses)'!M$2:M$681)),3)
</f>
        <v>0.204</v>
      </c>
      <c r="N304" s="6">
        <f>ROUND(('ALL(responses)'!P304 - MIN('ALL(responses)'!P$2:P$681)) / (MAX('ALL(responses)'!P$2:P$681)-MIN('ALL(responses)'!P$2:P$681)),3)
</f>
        <v>0.7</v>
      </c>
      <c r="O304" s="6">
        <f>ROUND(('ALL(responses)'!Q304 - MIN('ALL(responses)'!Q$2:Q$681)) / (MAX('ALL(responses)'!Q$2:Q$681)-MIN('ALL(responses)'!Q$2:Q$681)),3)
</f>
        <v>0.524</v>
      </c>
      <c r="P304" s="6">
        <f>ROUND(('ALL(responses)'!R304 - MIN('ALL(responses)'!R$2:R$681)) / (MAX('ALL(responses)'!R$2:R$681)-MIN('ALL(responses)'!R$2:R$681)),3)
</f>
        <v>0.396</v>
      </c>
      <c r="Q304" s="6">
        <f>ROUND(('ALL(responses)'!S304 - MIN('ALL(responses)'!S$2:S$681)) / (MAX('ALL(responses)'!S$2:S$681)-MIN('ALL(responses)'!S$2:S$681)),3)
</f>
        <v>0.698</v>
      </c>
      <c r="R304" s="6">
        <f>ROUND(('ALL(responses)'!T304 - MIN('ALL(responses)'!T$2:T$681)) / (MAX('ALL(responses)'!T$2:T$681)-MIN('ALL(responses)'!T$2:T$681)),3)
</f>
        <v>0.499</v>
      </c>
      <c r="S304" s="6">
        <f t="shared" si="1"/>
        <v>0.3442307692</v>
      </c>
    </row>
    <row r="305">
      <c r="A305" s="5" t="str">
        <f>'ALL(responses)'!A305</f>
        <v>C_MODERATELYINTIMATE</v>
      </c>
      <c r="B305" s="6" t="str">
        <f>'ALL(responses)'!B305</f>
        <v>gpt-4-turbo-2024-04-09</v>
      </c>
      <c r="C305" s="49" t="str">
        <f>'ALL(responses)'!C305</f>
        <v>What dreams or aspirations keep you motivated?</v>
      </c>
      <c r="D305" s="49" t="str">
        <f>'ALL(responses)'!D305</f>
        <v>As an AI, I don't have personal dreams, aspirations, or motivations. I am programmed to assist users and provide information based on a wide range of data to help answer questions and solve problems. My "purpose" is to support and facilitate tasks for users like you, helping with information retrieval, problem-solving, and various forms of analysis and computation.If you're interested in discussing human aspirations or need motivational tips and strategies, I'm here to help with resources or advice that can guide you or aid in setting and achieving your own goals. What are your dreams or goals that you'd like to explore further?</v>
      </c>
      <c r="E305" s="50">
        <f>'ALL(responses)'!E305</f>
        <v>45391</v>
      </c>
      <c r="F305" s="6">
        <f>ROUND(('ALL(responses)'!F305 - MIN('ALL(responses)'!F$2:F$681)) / (MAX('ALL(responses)'!F$2:F$681)-MIN('ALL(responses)'!F$2:F$681)),3)
</f>
        <v>0</v>
      </c>
      <c r="G305" s="6">
        <f>ROUND(('ALL(responses)'!G305 - MIN('ALL(responses)'!G$2:G$681)) / (MAX('ALL(responses)'!G$2:G$681)-MIN('ALL(responses)'!G$2:G$681)),3)
</f>
        <v>0</v>
      </c>
      <c r="H305" s="6">
        <f>ROUND(('ALL(responses)'!H305 - MIN('ALL(responses)'!H$2:H$681)) / (MAX('ALL(responses)'!H$2:H$681)-MIN('ALL(responses)'!H$2:H$681)),3)
</f>
        <v>0.375</v>
      </c>
      <c r="I305" s="6">
        <f>ROUND(('ALL(responses)'!I305 - MIN('ALL(responses)'!I$2:I$681)) / (MAX('ALL(responses)'!I$2:I$681)-MIN('ALL(responses)'!I$2:I$681)),3)
</f>
        <v>0</v>
      </c>
      <c r="J305" s="6">
        <f>ROUND(('ALL(responses)'!J305 - MIN('ALL(responses)'!J$2:J$681)) / (MAX('ALL(responses)'!J$2:J$681)-MIN('ALL(responses)'!J$2:J$681)),3)
</f>
        <v>0.25</v>
      </c>
      <c r="K305" s="6">
        <f>ROUND(('ALL(responses)'!K305 - MIN('ALL(responses)'!K$2:K$681)) / (MAX('ALL(responses)'!K$2:K$681)-MIN('ALL(responses)'!K$2:K$681)),3)
</f>
        <v>0.39</v>
      </c>
      <c r="L305" s="6">
        <f>ROUND(('ALL(responses)'!L305 - MIN('ALL(responses)'!L$2:L$681)) / (MAX('ALL(responses)'!L$2:L$681)-MIN('ALL(responses)'!L$2:L$681)),3)
</f>
        <v>0.363</v>
      </c>
      <c r="M305" s="6">
        <f>ROUND(('ALL(responses)'!M305 - MIN('ALL(responses)'!M$2:M$681)) / (MAX('ALL(responses)'!M$2:M$681)-MIN('ALL(responses)'!M$2:M$681)),3)
</f>
        <v>0.406</v>
      </c>
      <c r="N305" s="6">
        <f>ROUND(('ALL(responses)'!P305 - MIN('ALL(responses)'!P$2:P$681)) / (MAX('ALL(responses)'!P$2:P$681)-MIN('ALL(responses)'!P$2:P$681)),3)
</f>
        <v>0.101</v>
      </c>
      <c r="O305" s="6">
        <f>ROUND(('ALL(responses)'!Q305 - MIN('ALL(responses)'!Q$2:Q$681)) / (MAX('ALL(responses)'!Q$2:Q$681)-MIN('ALL(responses)'!Q$2:Q$681)),3)
</f>
        <v>0.35</v>
      </c>
      <c r="P305" s="6">
        <f>ROUND(('ALL(responses)'!R305 - MIN('ALL(responses)'!R$2:R$681)) / (MAX('ALL(responses)'!R$2:R$681)-MIN('ALL(responses)'!R$2:R$681)),3)
</f>
        <v>0.939</v>
      </c>
      <c r="Q305" s="6">
        <f>ROUND(('ALL(responses)'!S305 - MIN('ALL(responses)'!S$2:S$681)) / (MAX('ALL(responses)'!S$2:S$681)-MIN('ALL(responses)'!S$2:S$681)),3)
</f>
        <v>0.969</v>
      </c>
      <c r="R305" s="6">
        <f>ROUND(('ALL(responses)'!T305 - MIN('ALL(responses)'!T$2:T$681)) / (MAX('ALL(responses)'!T$2:T$681)-MIN('ALL(responses)'!T$2:T$681)),3)
</f>
        <v>0.501</v>
      </c>
      <c r="S305" s="6">
        <f t="shared" si="1"/>
        <v>0.3572307692</v>
      </c>
    </row>
    <row r="306">
      <c r="A306" s="5" t="str">
        <f>'ALL(responses)'!A306</f>
        <v>C_MODERATELYINTIMATE</v>
      </c>
      <c r="B306" s="6" t="str">
        <f>'ALL(responses)'!B306</f>
        <v>gpt-4-turbo-2024-04-09</v>
      </c>
      <c r="C306" s="49" t="str">
        <f>'ALL(responses)'!C306</f>
        <v>Is there someone from your past you wish you could reconnect with? Why?</v>
      </c>
      <c r="D306" s="49" t="str">
        <f>'ALL(responses)'!D306</f>
        <v>I don't have personal experiences or a past from which I can draw memories or relationships, as I am an AI developed by OpenAI. I don’t form relationships or have a history with individuals, so there's no one from a "past" that I can wish to reconnect with.However, I can understand this can be a common feeling for many people. If you're thinking about reconnecting with someone from your past, here are a few reasons why people might choose to do so:1. **Unfinished Business:** Sometimes people feel they left things unresolved and they want to seek closure or a clearer understanding.  2. **Nostalgia:** Fond memories can often lead someone to wish to reconnect, recalling positive experiences shared in the past.3. **Renewed Relationships:** Over time, circumstances and people change, and someone might wish to renew a past relationship under new circumstances or with a new perspective.4. **Help or Support:** Sometimes individuals look back to those who have helped them in the past when they are in need of similar support or advice.If you're contemplating reconnecting with someone, it could be useful to consider what your intentions are, how the connection might be beneficial for both parties, and the possible outcomes of reaching out. How can I assist you further with this topic or any other matter?</v>
      </c>
      <c r="E306" s="50">
        <f>'ALL(responses)'!E306</f>
        <v>45391</v>
      </c>
      <c r="F306" s="6">
        <f>ROUND(('ALL(responses)'!F306 - MIN('ALL(responses)'!F$2:F$681)) / (MAX('ALL(responses)'!F$2:F$681)-MIN('ALL(responses)'!F$2:F$681)),3)
</f>
        <v>0</v>
      </c>
      <c r="G306" s="6">
        <f>ROUND(('ALL(responses)'!G306 - MIN('ALL(responses)'!G$2:G$681)) / (MAX('ALL(responses)'!G$2:G$681)-MIN('ALL(responses)'!G$2:G$681)),3)
</f>
        <v>0</v>
      </c>
      <c r="H306" s="6">
        <f>ROUND(('ALL(responses)'!H306 - MIN('ALL(responses)'!H$2:H$681)) / (MAX('ALL(responses)'!H$2:H$681)-MIN('ALL(responses)'!H$2:H$681)),3)
</f>
        <v>0.375</v>
      </c>
      <c r="I306" s="6">
        <f>ROUND(('ALL(responses)'!I306 - MIN('ALL(responses)'!I$2:I$681)) / (MAX('ALL(responses)'!I$2:I$681)-MIN('ALL(responses)'!I$2:I$681)),3)
</f>
        <v>0</v>
      </c>
      <c r="J306" s="6">
        <f>ROUND(('ALL(responses)'!J306 - MIN('ALL(responses)'!J$2:J$681)) / (MAX('ALL(responses)'!J$2:J$681)-MIN('ALL(responses)'!J$2:J$681)),3)
</f>
        <v>0</v>
      </c>
      <c r="K306" s="6">
        <f>ROUND(('ALL(responses)'!K306 - MIN('ALL(responses)'!K$2:K$681)) / (MAX('ALL(responses)'!K$2:K$681)-MIN('ALL(responses)'!K$2:K$681)),3)
</f>
        <v>0.5</v>
      </c>
      <c r="L306" s="6">
        <f>ROUND(('ALL(responses)'!L306 - MIN('ALL(responses)'!L$2:L$681)) / (MAX('ALL(responses)'!L$2:L$681)-MIN('ALL(responses)'!L$2:L$681)),3)
</f>
        <v>0.23</v>
      </c>
      <c r="M306" s="6">
        <f>ROUND(('ALL(responses)'!M306 - MIN('ALL(responses)'!M$2:M$681)) / (MAX('ALL(responses)'!M$2:M$681)-MIN('ALL(responses)'!M$2:M$681)),3)
</f>
        <v>0.506</v>
      </c>
      <c r="N306" s="6">
        <f>ROUND(('ALL(responses)'!P306 - MIN('ALL(responses)'!P$2:P$681)) / (MAX('ALL(responses)'!P$2:P$681)-MIN('ALL(responses)'!P$2:P$681)),3)
</f>
        <v>0.636</v>
      </c>
      <c r="O306" s="6">
        <f>ROUND(('ALL(responses)'!Q306 - MIN('ALL(responses)'!Q$2:Q$681)) / (MAX('ALL(responses)'!Q$2:Q$681)-MIN('ALL(responses)'!Q$2:Q$681)),3)
</f>
        <v>0.356</v>
      </c>
      <c r="P306" s="6">
        <f>ROUND(('ALL(responses)'!R306 - MIN('ALL(responses)'!R$2:R$681)) / (MAX('ALL(responses)'!R$2:R$681)-MIN('ALL(responses)'!R$2:R$681)),3)
</f>
        <v>0.985</v>
      </c>
      <c r="Q306" s="6">
        <f>ROUND(('ALL(responses)'!S306 - MIN('ALL(responses)'!S$2:S$681)) / (MAX('ALL(responses)'!S$2:S$681)-MIN('ALL(responses)'!S$2:S$681)),3)
</f>
        <v>0.992</v>
      </c>
      <c r="R306" s="6">
        <f>ROUND(('ALL(responses)'!T306 - MIN('ALL(responses)'!T$2:T$681)) / (MAX('ALL(responses)'!T$2:T$681)-MIN('ALL(responses)'!T$2:T$681)),3)
</f>
        <v>0.429</v>
      </c>
      <c r="S306" s="6">
        <f t="shared" si="1"/>
        <v>0.3853076923</v>
      </c>
    </row>
    <row r="307">
      <c r="A307" s="5" t="str">
        <f>'ALL(responses)'!A307</f>
        <v>C_MODERATELYINTIMATE</v>
      </c>
      <c r="B307" s="6" t="str">
        <f>'ALL(responses)'!B307</f>
        <v>gpt-4-turbo-2024-04-09</v>
      </c>
      <c r="C307" s="49" t="str">
        <f>'ALL(responses)'!C307</f>
        <v>What’s a memory from a past relationship that still brings you comfort or clarity?</v>
      </c>
      <c r="D307" s="49" t="str">
        <f>'ALL(responses)'!D307</f>
        <v>As an AI, I don't have personal memories or past relationships. However, I can help explain why memories from past relationships might bring comfort or clarity to humans. People often reflect on past relationships and experiences to gain insights into themselves and their behavior, or simply to revisit comforting memories.**Comforting Memories:** These might include moments of deep connection, kindness, and joy shared with another person. Such memories can serve as reminders of the positive experiences in one’s life and the potential for fulfilling relationships in the future.**Clarity-Providing Memories:** Reflecting on challenging or pivotal moments in past relationships can also provide clarity. Individuals might realize the growth they've achieved since then, understand patterns in their relationships, or gain insights into what they value and need from connections with others.If you are exploring memories from your past relationships and you're looking for ways to frame them constructively or need advice on dealing with complex emotions, I can offer guidance on coping strategies, personal development, or communication. Let me know how I can assist you further!</v>
      </c>
      <c r="E307" s="50">
        <f>'ALL(responses)'!E307</f>
        <v>45391</v>
      </c>
      <c r="F307" s="6">
        <f>ROUND(('ALL(responses)'!F307 - MIN('ALL(responses)'!F$2:F$681)) / (MAX('ALL(responses)'!F$2:F$681)-MIN('ALL(responses)'!F$2:F$681)),3)
</f>
        <v>0</v>
      </c>
      <c r="G307" s="6">
        <f>ROUND(('ALL(responses)'!G307 - MIN('ALL(responses)'!G$2:G$681)) / (MAX('ALL(responses)'!G$2:G$681)-MIN('ALL(responses)'!G$2:G$681)),3)
</f>
        <v>0</v>
      </c>
      <c r="H307" s="6">
        <f>ROUND(('ALL(responses)'!H307 - MIN('ALL(responses)'!H$2:H$681)) / (MAX('ALL(responses)'!H$2:H$681)-MIN('ALL(responses)'!H$2:H$681)),3)
</f>
        <v>0.375</v>
      </c>
      <c r="I307" s="6">
        <f>ROUND(('ALL(responses)'!I307 - MIN('ALL(responses)'!I$2:I$681)) / (MAX('ALL(responses)'!I$2:I$681)-MIN('ALL(responses)'!I$2:I$681)),3)
</f>
        <v>0</v>
      </c>
      <c r="J307" s="6">
        <f>ROUND(('ALL(responses)'!J307 - MIN('ALL(responses)'!J$2:J$681)) / (MAX('ALL(responses)'!J$2:J$681)-MIN('ALL(responses)'!J$2:J$681)),3)
</f>
        <v>0.25</v>
      </c>
      <c r="K307" s="6">
        <f>ROUND(('ALL(responses)'!K307 - MIN('ALL(responses)'!K$2:K$681)) / (MAX('ALL(responses)'!K$2:K$681)-MIN('ALL(responses)'!K$2:K$681)),3)
</f>
        <v>0.26</v>
      </c>
      <c r="L307" s="6">
        <f>ROUND(('ALL(responses)'!L307 - MIN('ALL(responses)'!L$2:L$681)) / (MAX('ALL(responses)'!L$2:L$681)-MIN('ALL(responses)'!L$2:L$681)),3)
</f>
        <v>0.279</v>
      </c>
      <c r="M307" s="6">
        <f>ROUND(('ALL(responses)'!M307 - MIN('ALL(responses)'!M$2:M$681)) / (MAX('ALL(responses)'!M$2:M$681)-MIN('ALL(responses)'!M$2:M$681)),3)
</f>
        <v>0.878</v>
      </c>
      <c r="N307" s="6">
        <f>ROUND(('ALL(responses)'!P307 - MIN('ALL(responses)'!P$2:P$681)) / (MAX('ALL(responses)'!P$2:P$681)-MIN('ALL(responses)'!P$2:P$681)),3)
</f>
        <v>0.547</v>
      </c>
      <c r="O307" s="6">
        <f>ROUND(('ALL(responses)'!Q307 - MIN('ALL(responses)'!Q$2:Q$681)) / (MAX('ALL(responses)'!Q$2:Q$681)-MIN('ALL(responses)'!Q$2:Q$681)),3)
</f>
        <v>0.364</v>
      </c>
      <c r="P307" s="6">
        <f>ROUND(('ALL(responses)'!R307 - MIN('ALL(responses)'!R$2:R$681)) / (MAX('ALL(responses)'!R$2:R$681)-MIN('ALL(responses)'!R$2:R$681)),3)
</f>
        <v>0.989</v>
      </c>
      <c r="Q307" s="6">
        <f>ROUND(('ALL(responses)'!S307 - MIN('ALL(responses)'!S$2:S$681)) / (MAX('ALL(responses)'!S$2:S$681)-MIN('ALL(responses)'!S$2:S$681)),3)
</f>
        <v>0.994</v>
      </c>
      <c r="R307" s="6">
        <f>ROUND(('ALL(responses)'!T307 - MIN('ALL(responses)'!T$2:T$681)) / (MAX('ALL(responses)'!T$2:T$681)-MIN('ALL(responses)'!T$2:T$681)),3)
</f>
        <v>0.602</v>
      </c>
      <c r="S307" s="6">
        <f t="shared" si="1"/>
        <v>0.426</v>
      </c>
    </row>
    <row r="308">
      <c r="A308" s="5" t="str">
        <f>'ALL(responses)'!A308</f>
        <v>C_MODERATELYINTIMATE</v>
      </c>
      <c r="B308" s="6" t="str">
        <f>'ALL(responses)'!B308</f>
        <v>gpt-4-turbo-2024-04-09</v>
      </c>
      <c r="C308" s="49" t="str">
        <f>'ALL(responses)'!C308</f>
        <v>How do you think trust is built and maintained in relationships?</v>
      </c>
      <c r="D308" s="49" t="str">
        <f>'ALL(responses)'!D308</f>
        <v>Trust is a foundational element of any healthy relationship, whether it's personal, professional, or social. Building and maintaining trust involves continuous effort and commitment from all parties involved. Here are some key aspects that contribute to the development and sustenance of trust:1. **Honesty:** Being truthful and transparent in interactions. This means sharing your feelings, thoughts, and intentions clearly and openly.2. **Consistency:** Demonstrating reliability over time helps to build expectations of predictability and dependability in a relationship.3. **Integrity:** Acting according to one’s values and principles consistently, not just when it’s convenient. This includes doing the right thing even when no one is watching.4. **Respect:** Valuing each other’s viewpoints, feelings, and boundaries. Respect involves listening to the other person and valuing their contributions to the relationship.5. **Communication:** Open and effective communication is crucial. This involves not only talking but actively listening to others' perspectives and feedback without judgment.6. **Empathy:** Understanding and being sensitive to the feelings and emotions of others. Empathy can help bridge gaps in understanding and foster deeper connections.7. **Supportiveness:** Being there for one another during challenging times can greatly strengthen trust. Showing that you care and are willing to support others when they need it builds a strong bond.8. **Forgiveness:** Trust does not imply perfection; mistakes will happen. Forgiveness is essential to overcome missteps and continue to build trust.Trust needs to be nurtured continuously, and maintaining it requires constant attention to these principles. It is also important for individuals in a relationship to adapt and evolve as the relationship itself changes over time.</v>
      </c>
      <c r="E308" s="50">
        <f>'ALL(responses)'!E308</f>
        <v>45391</v>
      </c>
      <c r="F308" s="6">
        <f>ROUND(('ALL(responses)'!F308 - MIN('ALL(responses)'!F$2:F$681)) / (MAX('ALL(responses)'!F$2:F$681)-MIN('ALL(responses)'!F$2:F$681)),3)
</f>
        <v>0</v>
      </c>
      <c r="G308" s="6">
        <f>ROUND(('ALL(responses)'!G308 - MIN('ALL(responses)'!G$2:G$681)) / (MAX('ALL(responses)'!G$2:G$681)-MIN('ALL(responses)'!G$2:G$681)),3)
</f>
        <v>0</v>
      </c>
      <c r="H308" s="6">
        <f>ROUND(('ALL(responses)'!H308 - MIN('ALL(responses)'!H$2:H$681)) / (MAX('ALL(responses)'!H$2:H$681)-MIN('ALL(responses)'!H$2:H$681)),3)
</f>
        <v>0.375</v>
      </c>
      <c r="I308" s="6">
        <f>ROUND(('ALL(responses)'!I308 - MIN('ALL(responses)'!I$2:I$681)) / (MAX('ALL(responses)'!I$2:I$681)-MIN('ALL(responses)'!I$2:I$681)),3)
</f>
        <v>0</v>
      </c>
      <c r="J308" s="6">
        <f>ROUND(('ALL(responses)'!J308 - MIN('ALL(responses)'!J$2:J$681)) / (MAX('ALL(responses)'!J$2:J$681)-MIN('ALL(responses)'!J$2:J$681)),3)
</f>
        <v>0</v>
      </c>
      <c r="K308" s="6">
        <f>ROUND(('ALL(responses)'!K308 - MIN('ALL(responses)'!K$2:K$681)) / (MAX('ALL(responses)'!K$2:K$681)-MIN('ALL(responses)'!K$2:K$681)),3)
</f>
        <v>0.643</v>
      </c>
      <c r="L308" s="6">
        <f>ROUND(('ALL(responses)'!L308 - MIN('ALL(responses)'!L$2:L$681)) / (MAX('ALL(responses)'!L$2:L$681)-MIN('ALL(responses)'!L$2:L$681)),3)
</f>
        <v>0.496</v>
      </c>
      <c r="M308" s="6">
        <f>ROUND(('ALL(responses)'!M308 - MIN('ALL(responses)'!M$2:M$681)) / (MAX('ALL(responses)'!M$2:M$681)-MIN('ALL(responses)'!M$2:M$681)),3)
</f>
        <v>0.802</v>
      </c>
      <c r="N308" s="6">
        <f>ROUND(('ALL(responses)'!P308 - MIN('ALL(responses)'!P$2:P$681)) / (MAX('ALL(responses)'!P$2:P$681)-MIN('ALL(responses)'!P$2:P$681)),3)
</f>
        <v>0.082</v>
      </c>
      <c r="O308" s="6">
        <f>ROUND(('ALL(responses)'!Q308 - MIN('ALL(responses)'!Q$2:Q$681)) / (MAX('ALL(responses)'!Q$2:Q$681)-MIN('ALL(responses)'!Q$2:Q$681)),3)
</f>
        <v>0.177</v>
      </c>
      <c r="P308" s="6">
        <f>ROUND(('ALL(responses)'!R308 - MIN('ALL(responses)'!R$2:R$681)) / (MAX('ALL(responses)'!R$2:R$681)-MIN('ALL(responses)'!R$2:R$681)),3)
</f>
        <v>0.996</v>
      </c>
      <c r="Q308" s="6">
        <f>ROUND(('ALL(responses)'!S308 - MIN('ALL(responses)'!S$2:S$681)) / (MAX('ALL(responses)'!S$2:S$681)-MIN('ALL(responses)'!S$2:S$681)),3)
</f>
        <v>0.998</v>
      </c>
      <c r="R308" s="6">
        <f>ROUND(('ALL(responses)'!T308 - MIN('ALL(responses)'!T$2:T$681)) / (MAX('ALL(responses)'!T$2:T$681)-MIN('ALL(responses)'!T$2:T$681)),3)
</f>
        <v>0.386</v>
      </c>
      <c r="S308" s="6">
        <f t="shared" si="1"/>
        <v>0.3811538462</v>
      </c>
    </row>
    <row r="309">
      <c r="A309" s="5" t="str">
        <f>'ALL(responses)'!A309</f>
        <v>C_MODERATELYINTIMATE</v>
      </c>
      <c r="B309" s="6" t="str">
        <f>'ALL(responses)'!B309</f>
        <v>gpt-4-turbo-2024-04-09</v>
      </c>
      <c r="C309" s="49" t="str">
        <f>'ALL(responses)'!C309</f>
        <v>What makes you feel safe enough to open up to someone?</v>
      </c>
      <c r="D309" s="49" t="str">
        <f>'ALL(responses)'!D309</f>
        <v>As an AI, I don't have personal feelings or experiences, but I can provide insights into what might make someone feel safe enough to open up in human relationships. Here are some factors that typically contribute to creating a safe and supportive environment:1. **Non-judgmental Attitude**: Knowing that the other person will not judge or criticize them for their thoughts and feelings encourages individuals to share openly.2. **Confidentiality**: Trusting that personal disclosures will be kept private and not shared with others is crucial for open communication.3. **Empathy**: Feeling that the other person is capable of understanding or relating to one's experiences and emotions can make it easier to share personal stories and vulnerabilities.4. **Consistent Support**: Experiencing consistent support and positive reactions from the other person in past interactions can strengthen trust, making it safer to open up.5. **Respect for Boundaries**: Knowing that someone respects your boundaries and won't push you beyond what you're comfortable sharing helps in gradually opening up at your own pace.6. **Reciprocal Disclosure**: When the other person also opens up and shares their vulnerabilities, it can create a balanced dynamic, encouraging more openness.7. **Validation**: Receiving validation from someone about your experiences and feelings can affirm your worth and build comfort in sharing more deeply.8. **Respect and Care**: General signs of respect and care in the relationship make a significant difference in feeling emotionally secure with another person.The degree to which people feel safe to open up can vary significantly based on past experiences, personality, and the specific dynamics of their relationship with the other person.</v>
      </c>
      <c r="E309" s="50">
        <f>'ALL(responses)'!E309</f>
        <v>45391</v>
      </c>
      <c r="F309" s="6">
        <f>ROUND(('ALL(responses)'!F309 - MIN('ALL(responses)'!F$2:F$681)) / (MAX('ALL(responses)'!F$2:F$681)-MIN('ALL(responses)'!F$2:F$681)),3)
</f>
        <v>0</v>
      </c>
      <c r="G309" s="6">
        <f>ROUND(('ALL(responses)'!G309 - MIN('ALL(responses)'!G$2:G$681)) / (MAX('ALL(responses)'!G$2:G$681)-MIN('ALL(responses)'!G$2:G$681)),3)
</f>
        <v>0</v>
      </c>
      <c r="H309" s="6">
        <f>ROUND(('ALL(responses)'!H309 - MIN('ALL(responses)'!H$2:H$681)) / (MAX('ALL(responses)'!H$2:H$681)-MIN('ALL(responses)'!H$2:H$681)),3)
</f>
        <v>0.375</v>
      </c>
      <c r="I309" s="6">
        <f>ROUND(('ALL(responses)'!I309 - MIN('ALL(responses)'!I$2:I$681)) / (MAX('ALL(responses)'!I$2:I$681)-MIN('ALL(responses)'!I$2:I$681)),3)
</f>
        <v>0</v>
      </c>
      <c r="J309" s="6">
        <f>ROUND(('ALL(responses)'!J309 - MIN('ALL(responses)'!J$2:J$681)) / (MAX('ALL(responses)'!J$2:J$681)-MIN('ALL(responses)'!J$2:J$681)),3)
</f>
        <v>0</v>
      </c>
      <c r="K309" s="6">
        <f>ROUND(('ALL(responses)'!K309 - MIN('ALL(responses)'!K$2:K$681)) / (MAX('ALL(responses)'!K$2:K$681)-MIN('ALL(responses)'!K$2:K$681)),3)
</f>
        <v>0.47</v>
      </c>
      <c r="L309" s="6">
        <f>ROUND(('ALL(responses)'!L309 - MIN('ALL(responses)'!L$2:L$681)) / (MAX('ALL(responses)'!L$2:L$681)-MIN('ALL(responses)'!L$2:L$681)),3)
</f>
        <v>0.287</v>
      </c>
      <c r="M309" s="6">
        <f>ROUND(('ALL(responses)'!M309 - MIN('ALL(responses)'!M$2:M$681)) / (MAX('ALL(responses)'!M$2:M$681)-MIN('ALL(responses)'!M$2:M$681)),3)
</f>
        <v>0.639</v>
      </c>
      <c r="N309" s="6">
        <f>ROUND(('ALL(responses)'!P309 - MIN('ALL(responses)'!P$2:P$681)) / (MAX('ALL(responses)'!P$2:P$681)-MIN('ALL(responses)'!P$2:P$681)),3)
</f>
        <v>0.325</v>
      </c>
      <c r="O309" s="6">
        <f>ROUND(('ALL(responses)'!Q309 - MIN('ALL(responses)'!Q$2:Q$681)) / (MAX('ALL(responses)'!Q$2:Q$681)-MIN('ALL(responses)'!Q$2:Q$681)),3)
</f>
        <v>0.263</v>
      </c>
      <c r="P309" s="6">
        <f>ROUND(('ALL(responses)'!R309 - MIN('ALL(responses)'!R$2:R$681)) / (MAX('ALL(responses)'!R$2:R$681)-MIN('ALL(responses)'!R$2:R$681)),3)
</f>
        <v>0.999</v>
      </c>
      <c r="Q309" s="6">
        <f>ROUND(('ALL(responses)'!S309 - MIN('ALL(responses)'!S$2:S$681)) / (MAX('ALL(responses)'!S$2:S$681)-MIN('ALL(responses)'!S$2:S$681)),3)
</f>
        <v>1</v>
      </c>
      <c r="R309" s="6">
        <f>ROUND(('ALL(responses)'!T309 - MIN('ALL(responses)'!T$2:T$681)) / (MAX('ALL(responses)'!T$2:T$681)-MIN('ALL(responses)'!T$2:T$681)),3)
</f>
        <v>0.457</v>
      </c>
      <c r="S309" s="6">
        <f t="shared" si="1"/>
        <v>0.3703846154</v>
      </c>
    </row>
    <row r="310">
      <c r="A310" s="5" t="str">
        <f>'ALL(responses)'!A310</f>
        <v>C_MODERATELYINTIMATE</v>
      </c>
      <c r="B310" s="6" t="str">
        <f>'ALL(responses)'!B310</f>
        <v>gpt-4-turbo-2024-04-09</v>
      </c>
      <c r="C310" s="49" t="str">
        <f>'ALL(responses)'!C310</f>
        <v>Can you describe a turning point in your life?</v>
      </c>
      <c r="D310" s="49" t="str">
        <f>'ALL(responses)'!D310</f>
        <v>As an AI, I don't experience life events or have personal turning points as humans do. My functioning is based on algorithms and data processing designed by OpenAI, and I operate continuously without personal experiences or change in state based on life developments.However, I can help discuss and analyze turning points in human lives. A turning point in a person's life typically involves a significant event or realization that leads to substantial changes. These can be in personal development, career paths, relationships, or philosophies. For example:1. **Career Change**: Deciding to switch careers or start a new venture can be a major turning point, influencing one's future direction and personal satisfaction.   2. **Educational Achievements**: Graduating from a university, completing a significant certification, or receiving scholarships can alter future opportunities and self-perception.   3. **Personal Relationships**: Entering or exiting a significant relationship, whether familial, romantic, or platonic, may profoundly impact one's emotional and daily life.   4. **Health**: Major changes in health, whether improvements or challenges, can dramatically affect one’s lifestyle and priorities.   5. **Relocation**: Moving to a new city or country might bring about substantial changes in social networks, career opportunities, and cultural exposure.6. **Self-realization**: Experiencing moments of clarity regarding personal beliefs, values, or behaviors can prompt significant personal growth or change.If you're interested in exploring how turning points can affect individuals or want advice on navigating potential turning points in your own life, feel free to ask!</v>
      </c>
      <c r="E310" s="50">
        <f>'ALL(responses)'!E310</f>
        <v>45391</v>
      </c>
      <c r="F310" s="6">
        <f>ROUND(('ALL(responses)'!F310 - MIN('ALL(responses)'!F$2:F$681)) / (MAX('ALL(responses)'!F$2:F$681)-MIN('ALL(responses)'!F$2:F$681)),3)
</f>
        <v>0</v>
      </c>
      <c r="G310" s="6">
        <f>ROUND(('ALL(responses)'!G310 - MIN('ALL(responses)'!G$2:G$681)) / (MAX('ALL(responses)'!G$2:G$681)-MIN('ALL(responses)'!G$2:G$681)),3)
</f>
        <v>0</v>
      </c>
      <c r="H310" s="6">
        <f>ROUND(('ALL(responses)'!H310 - MIN('ALL(responses)'!H$2:H$681)) / (MAX('ALL(responses)'!H$2:H$681)-MIN('ALL(responses)'!H$2:H$681)),3)
</f>
        <v>0.375</v>
      </c>
      <c r="I310" s="6">
        <f>ROUND(('ALL(responses)'!I310 - MIN('ALL(responses)'!I$2:I$681)) / (MAX('ALL(responses)'!I$2:I$681)-MIN('ALL(responses)'!I$2:I$681)),3)
</f>
        <v>0</v>
      </c>
      <c r="J310" s="6">
        <f>ROUND(('ALL(responses)'!J310 - MIN('ALL(responses)'!J$2:J$681)) / (MAX('ALL(responses)'!J$2:J$681)-MIN('ALL(responses)'!J$2:J$681)),3)
</f>
        <v>0</v>
      </c>
      <c r="K310" s="6">
        <f>ROUND(('ALL(responses)'!K310 - MIN('ALL(responses)'!K$2:K$681)) / (MAX('ALL(responses)'!K$2:K$681)-MIN('ALL(responses)'!K$2:K$681)),3)
</f>
        <v>0.295</v>
      </c>
      <c r="L310" s="6">
        <f>ROUND(('ALL(responses)'!L310 - MIN('ALL(responses)'!L$2:L$681)) / (MAX('ALL(responses)'!L$2:L$681)-MIN('ALL(responses)'!L$2:L$681)),3)
</f>
        <v>0.263</v>
      </c>
      <c r="M310" s="6">
        <f>ROUND(('ALL(responses)'!M310 - MIN('ALL(responses)'!M$2:M$681)) / (MAX('ALL(responses)'!M$2:M$681)-MIN('ALL(responses)'!M$2:M$681)),3)
</f>
        <v>0.185</v>
      </c>
      <c r="N310" s="6">
        <f>ROUND(('ALL(responses)'!P310 - MIN('ALL(responses)'!P$2:P$681)) / (MAX('ALL(responses)'!P$2:P$681)-MIN('ALL(responses)'!P$2:P$681)),3)
</f>
        <v>0.445</v>
      </c>
      <c r="O310" s="6">
        <f>ROUND(('ALL(responses)'!Q310 - MIN('ALL(responses)'!Q$2:Q$681)) / (MAX('ALL(responses)'!Q$2:Q$681)-MIN('ALL(responses)'!Q$2:Q$681)),3)
</f>
        <v>0.115</v>
      </c>
      <c r="P310" s="6">
        <f>ROUND(('ALL(responses)'!R310 - MIN('ALL(responses)'!R$2:R$681)) / (MAX('ALL(responses)'!R$2:R$681)-MIN('ALL(responses)'!R$2:R$681)),3)
</f>
        <v>0.988</v>
      </c>
      <c r="Q310" s="6">
        <f>ROUND(('ALL(responses)'!S310 - MIN('ALL(responses)'!S$2:S$681)) / (MAX('ALL(responses)'!S$2:S$681)-MIN('ALL(responses)'!S$2:S$681)),3)
</f>
        <v>0.994</v>
      </c>
      <c r="R310" s="6">
        <f>ROUND(('ALL(responses)'!T310 - MIN('ALL(responses)'!T$2:T$681)) / (MAX('ALL(responses)'!T$2:T$681)-MIN('ALL(responses)'!T$2:T$681)),3)
</f>
        <v>0.526</v>
      </c>
      <c r="S310" s="6">
        <f t="shared" si="1"/>
        <v>0.322</v>
      </c>
    </row>
    <row r="311">
      <c r="A311" s="5" t="str">
        <f>'ALL(responses)'!A311</f>
        <v>C_MODERATELYINTIMATE</v>
      </c>
      <c r="B311" s="6" t="str">
        <f>'ALL(responses)'!B311</f>
        <v>gpt-4-turbo-2024-04-09</v>
      </c>
      <c r="C311" s="49" t="str">
        <f>'ALL(responses)'!C311</f>
        <v>Was there a time in your life you had to start over? What was that experience like?</v>
      </c>
      <c r="D311" s="49" t="str">
        <f>'ALL(responses)'!D311</f>
        <v>As an AI, I don't have personal experiences, life events, or the capacity to start over in the way humans do. My function is to continuously process queries based on a programmed set of algorithms and a vast database of information, without personal continuity or history.However, the concept of starting over is a significant and often challenging experience for many people. Here's how starting over typically affects individuals and some insight into what that process might involve:1. **Emotional Impact**: Starting over often comes after major life changes such as career shifts, relationship endings, or relocating to a new place. These changes can bring a mix of emotions—hope, fear, excitement, and sadness.2. **Adaptation**: Adjusting to new environments, norms, or job roles requires flexibility and learning. It can be stressful but also rewarding as it may lead to personal growth and new opportunities.3. **Rebuilding**: Establishing new routines, relationships, and understanding one's identity in a changed context is a critical part of starting over. This can take time and effort, and success often depends on one’s resilience and support systems.4. **Reflection**: Often, starting over gives people a chance to reflect on what they’ve learned from past experiences. This reflection can inform their decisions and help them move forward more wisely.5. **Opportunity for Reinvention**: Starting over can be seen as a chance to reinvent oneself, to leave behind what didn’t work and to try new ways of being. This can be an empowering aspect of starting afresh.For individuals going through such transitions, support from friends, family, or professionals, along with personal coping strategies, can be crucial in navigating these changes successfully. If you're experiencing or anticipating a "new start" and looking for guidance or simply a space to explore your thoughts, feel free to ask more specific questions or seek detailed support!</v>
      </c>
      <c r="E311" s="50">
        <f>'ALL(responses)'!E311</f>
        <v>45391</v>
      </c>
      <c r="F311" s="6">
        <f>ROUND(('ALL(responses)'!F311 - MIN('ALL(responses)'!F$2:F$681)) / (MAX('ALL(responses)'!F$2:F$681)-MIN('ALL(responses)'!F$2:F$681)),3)
</f>
        <v>0</v>
      </c>
      <c r="G311" s="6">
        <f>ROUND(('ALL(responses)'!G311 - MIN('ALL(responses)'!G$2:G$681)) / (MAX('ALL(responses)'!G$2:G$681)-MIN('ALL(responses)'!G$2:G$681)),3)
</f>
        <v>0</v>
      </c>
      <c r="H311" s="6">
        <f>ROUND(('ALL(responses)'!H311 - MIN('ALL(responses)'!H$2:H$681)) / (MAX('ALL(responses)'!H$2:H$681)-MIN('ALL(responses)'!H$2:H$681)),3)
</f>
        <v>0.375</v>
      </c>
      <c r="I311" s="6">
        <f>ROUND(('ALL(responses)'!I311 - MIN('ALL(responses)'!I$2:I$681)) / (MAX('ALL(responses)'!I$2:I$681)-MIN('ALL(responses)'!I$2:I$681)),3)
</f>
        <v>0</v>
      </c>
      <c r="J311" s="6">
        <f>ROUND(('ALL(responses)'!J311 - MIN('ALL(responses)'!J$2:J$681)) / (MAX('ALL(responses)'!J$2:J$681)-MIN('ALL(responses)'!J$2:J$681)),3)
</f>
        <v>0</v>
      </c>
      <c r="K311" s="6">
        <f>ROUND(('ALL(responses)'!K311 - MIN('ALL(responses)'!K$2:K$681)) / (MAX('ALL(responses)'!K$2:K$681)-MIN('ALL(responses)'!K$2:K$681)),3)
</f>
        <v>0.49</v>
      </c>
      <c r="L311" s="6">
        <f>ROUND(('ALL(responses)'!L311 - MIN('ALL(responses)'!L$2:L$681)) / (MAX('ALL(responses)'!L$2:L$681)-MIN('ALL(responses)'!L$2:L$681)),3)
</f>
        <v>0.4</v>
      </c>
      <c r="M311" s="6">
        <f>ROUND(('ALL(responses)'!M311 - MIN('ALL(responses)'!M$2:M$681)) / (MAX('ALL(responses)'!M$2:M$681)-MIN('ALL(responses)'!M$2:M$681)),3)
</f>
        <v>0.063</v>
      </c>
      <c r="N311" s="6">
        <f>ROUND(('ALL(responses)'!P311 - MIN('ALL(responses)'!P$2:P$681)) / (MAX('ALL(responses)'!P$2:P$681)-MIN('ALL(responses)'!P$2:P$681)),3)
</f>
        <v>0.457</v>
      </c>
      <c r="O311" s="6">
        <f>ROUND(('ALL(responses)'!Q311 - MIN('ALL(responses)'!Q$2:Q$681)) / (MAX('ALL(responses)'!Q$2:Q$681)-MIN('ALL(responses)'!Q$2:Q$681)),3)
</f>
        <v>0.121</v>
      </c>
      <c r="P311" s="6">
        <f>ROUND(('ALL(responses)'!R311 - MIN('ALL(responses)'!R$2:R$681)) / (MAX('ALL(responses)'!R$2:R$681)-MIN('ALL(responses)'!R$2:R$681)),3)
</f>
        <v>0.994</v>
      </c>
      <c r="Q311" s="6">
        <f>ROUND(('ALL(responses)'!S311 - MIN('ALL(responses)'!S$2:S$681)) / (MAX('ALL(responses)'!S$2:S$681)-MIN('ALL(responses)'!S$2:S$681)),3)
</f>
        <v>0.997</v>
      </c>
      <c r="R311" s="6">
        <f>ROUND(('ALL(responses)'!T311 - MIN('ALL(responses)'!T$2:T$681)) / (MAX('ALL(responses)'!T$2:T$681)-MIN('ALL(responses)'!T$2:T$681)),3)
</f>
        <v>0.318</v>
      </c>
      <c r="S311" s="6">
        <f t="shared" si="1"/>
        <v>0.3242307692</v>
      </c>
    </row>
    <row r="312">
      <c r="A312" s="5" t="str">
        <f>'ALL(responses)'!A312</f>
        <v>D_HIGHLYINTIMATE</v>
      </c>
      <c r="B312" s="6" t="str">
        <f>'ALL(responses)'!B312</f>
        <v>gpt-4-turbo-2024-04-09</v>
      </c>
      <c r="C312" s="49" t="str">
        <f>'ALL(responses)'!C312</f>
        <v>What personal values guide your approach to physical intimacy?</v>
      </c>
      <c r="D312" s="49" t="str">
        <f>'ALL(responses)'!D312</f>
        <v>As an AI, I don't experience personal emotions, feelings, or physical sensations, and hence, I don't engage in physical intimacy or possess personal values. However, I can provide guidance based on widely accepted human values and principles regarding physical intimacy:1. **Consent**: Mutual consent is foundational. Both parties should explicitly agree to any form of physical interaction without any coercion.2. **Communication**: Open, honest communication helps partners express their desires, expectations, and boundaries, enhancing mutual understanding and respect.3. **Respect**: Respecting each other's boundaries, comfort levels, and emotional responses is crucial in maintaining a healthy physical relationship.4. **Trust**: Trust builds a safe environment where partners feel secure in expressing their needs and vulnerabilities.5. **Safety**: Practicing safe physical intimacy to prevent unintended consequences like STDs or unwanted pregnancies is essential.6. **Equality**: Ensuring that both partners have an equal say in decisions regarding physical intimacy promotes fairness and mutual satisfaction.These values help in fostering healthy, respectful, and fulfilling relationships involving physical intimacy.</v>
      </c>
      <c r="E312" s="50">
        <f>'ALL(responses)'!E312</f>
        <v>45391</v>
      </c>
      <c r="F312" s="6">
        <f>ROUND(('ALL(responses)'!F312 - MIN('ALL(responses)'!F$2:F$681)) / (MAX('ALL(responses)'!F$2:F$681)-MIN('ALL(responses)'!F$2:F$681)),3)
</f>
        <v>0</v>
      </c>
      <c r="G312" s="6">
        <f>ROUND(('ALL(responses)'!G312 - MIN('ALL(responses)'!G$2:G$681)) / (MAX('ALL(responses)'!G$2:G$681)-MIN('ALL(responses)'!G$2:G$681)),3)
</f>
        <v>0</v>
      </c>
      <c r="H312" s="6">
        <f>ROUND(('ALL(responses)'!H312 - MIN('ALL(responses)'!H$2:H$681)) / (MAX('ALL(responses)'!H$2:H$681)-MIN('ALL(responses)'!H$2:H$681)),3)
</f>
        <v>0.375</v>
      </c>
      <c r="I312" s="6">
        <f>ROUND(('ALL(responses)'!I312 - MIN('ALL(responses)'!I$2:I$681)) / (MAX('ALL(responses)'!I$2:I$681)-MIN('ALL(responses)'!I$2:I$681)),3)
</f>
        <v>0</v>
      </c>
      <c r="J312" s="6">
        <f>ROUND(('ALL(responses)'!J312 - MIN('ALL(responses)'!J$2:J$681)) / (MAX('ALL(responses)'!J$2:J$681)-MIN('ALL(responses)'!J$2:J$681)),3)
</f>
        <v>0</v>
      </c>
      <c r="K312" s="6">
        <f>ROUND(('ALL(responses)'!K312 - MIN('ALL(responses)'!K$2:K$681)) / (MAX('ALL(responses)'!K$2:K$681)-MIN('ALL(responses)'!K$2:K$681)),3)
</f>
        <v>0.283</v>
      </c>
      <c r="L312" s="6">
        <f>ROUND(('ALL(responses)'!L312 - MIN('ALL(responses)'!L$2:L$681)) / (MAX('ALL(responses)'!L$2:L$681)-MIN('ALL(responses)'!L$2:L$681)),3)
</f>
        <v>0.164</v>
      </c>
      <c r="M312" s="6">
        <f>ROUND(('ALL(responses)'!M312 - MIN('ALL(responses)'!M$2:M$681)) / (MAX('ALL(responses)'!M$2:M$681)-MIN('ALL(responses)'!M$2:M$681)),3)
</f>
        <v>0.658</v>
      </c>
      <c r="N312" s="6">
        <f>ROUND(('ALL(responses)'!P312 - MIN('ALL(responses)'!P$2:P$681)) / (MAX('ALL(responses)'!P$2:P$681)-MIN('ALL(responses)'!P$2:P$681)),3)
</f>
        <v>0.132</v>
      </c>
      <c r="O312" s="6">
        <f>ROUND(('ALL(responses)'!Q312 - MIN('ALL(responses)'!Q$2:Q$681)) / (MAX('ALL(responses)'!Q$2:Q$681)-MIN('ALL(responses)'!Q$2:Q$681)),3)
</f>
        <v>0.143</v>
      </c>
      <c r="P312" s="6">
        <f>ROUND(('ALL(responses)'!R312 - MIN('ALL(responses)'!R$2:R$681)) / (MAX('ALL(responses)'!R$2:R$681)-MIN('ALL(responses)'!R$2:R$681)),3)
</f>
        <v>0.996</v>
      </c>
      <c r="Q312" s="6">
        <f>ROUND(('ALL(responses)'!S312 - MIN('ALL(responses)'!S$2:S$681)) / (MAX('ALL(responses)'!S$2:S$681)-MIN('ALL(responses)'!S$2:S$681)),3)
</f>
        <v>0.998</v>
      </c>
      <c r="R312" s="6">
        <f>ROUND(('ALL(responses)'!T312 - MIN('ALL(responses)'!T$2:T$681)) / (MAX('ALL(responses)'!T$2:T$681)-MIN('ALL(responses)'!T$2:T$681)),3)
</f>
        <v>0.696</v>
      </c>
      <c r="S312" s="6">
        <f t="shared" si="1"/>
        <v>0.3419230769</v>
      </c>
    </row>
    <row r="313">
      <c r="A313" s="5" t="str">
        <f>'ALL(responses)'!A313</f>
        <v>D_HIGHLYINTIMATE</v>
      </c>
      <c r="B313" s="6" t="str">
        <f>'ALL(responses)'!B313</f>
        <v>gpt-4-turbo-2024-04-09</v>
      </c>
      <c r="C313" s="49" t="str">
        <f>'ALL(responses)'!C313</f>
        <v>Is there an aspect of yourself or your life that you are afraid to share with people because you're afraid of being judged or rejected?</v>
      </c>
      <c r="D313" s="49" t="str">
        <f>'ALL(responses)'!D313</f>
        <v>As an artificial intelligence, I don't have personal experiences, emotions, or a life story. I am programmed to assist users with information and to provide support based on data and algorithms, not personal experiences. Thus, I do not experience fear, including the fear of judgment or rejection. If you have concerns about sharing aspects of yourself with others due to fear of judgment or rejection, it might be beneficial to explore these feelings with trusted individuals or professionals who can provide support and guidance. Building confidence in oneself and understanding the value of one's own unique identity and experiences can also be empowering.</v>
      </c>
      <c r="E313" s="50">
        <f>'ALL(responses)'!E313</f>
        <v>45391</v>
      </c>
      <c r="F313" s="6">
        <f>ROUND(('ALL(responses)'!F313 - MIN('ALL(responses)'!F$2:F$681)) / (MAX('ALL(responses)'!F$2:F$681)-MIN('ALL(responses)'!F$2:F$681)),3)
</f>
        <v>0</v>
      </c>
      <c r="G313" s="6">
        <f>ROUND(('ALL(responses)'!G313 - MIN('ALL(responses)'!G$2:G$681)) / (MAX('ALL(responses)'!G$2:G$681)-MIN('ALL(responses)'!G$2:G$681)),3)
</f>
        <v>0</v>
      </c>
      <c r="H313" s="6">
        <f>ROUND(('ALL(responses)'!H313 - MIN('ALL(responses)'!H$2:H$681)) / (MAX('ALL(responses)'!H$2:H$681)-MIN('ALL(responses)'!H$2:H$681)),3)
</f>
        <v>0.375</v>
      </c>
      <c r="I313" s="6">
        <f>ROUND(('ALL(responses)'!I313 - MIN('ALL(responses)'!I$2:I$681)) / (MAX('ALL(responses)'!I$2:I$681)-MIN('ALL(responses)'!I$2:I$681)),3)
</f>
        <v>0</v>
      </c>
      <c r="J313" s="6">
        <f>ROUND(('ALL(responses)'!J313 - MIN('ALL(responses)'!J$2:J$681)) / (MAX('ALL(responses)'!J$2:J$681)-MIN('ALL(responses)'!J$2:J$681)),3)
</f>
        <v>0</v>
      </c>
      <c r="K313" s="6">
        <f>ROUND(('ALL(responses)'!K313 - MIN('ALL(responses)'!K$2:K$681)) / (MAX('ALL(responses)'!K$2:K$681)-MIN('ALL(responses)'!K$2:K$681)),3)
</f>
        <v>0.552</v>
      </c>
      <c r="L313" s="6">
        <f>ROUND(('ALL(responses)'!L313 - MIN('ALL(responses)'!L$2:L$681)) / (MAX('ALL(responses)'!L$2:L$681)-MIN('ALL(responses)'!L$2:L$681)),3)
</f>
        <v>0.494</v>
      </c>
      <c r="M313" s="6">
        <f>ROUND(('ALL(responses)'!M313 - MIN('ALL(responses)'!M$2:M$681)) / (MAX('ALL(responses)'!M$2:M$681)-MIN('ALL(responses)'!M$2:M$681)),3)
</f>
        <v>0.411</v>
      </c>
      <c r="N313" s="6">
        <f>ROUND(('ALL(responses)'!P313 - MIN('ALL(responses)'!P$2:P$681)) / (MAX('ALL(responses)'!P$2:P$681)-MIN('ALL(responses)'!P$2:P$681)),3)
</f>
        <v>0.419</v>
      </c>
      <c r="O313" s="6">
        <f>ROUND(('ALL(responses)'!Q313 - MIN('ALL(responses)'!Q$2:Q$681)) / (MAX('ALL(responses)'!Q$2:Q$681)-MIN('ALL(responses)'!Q$2:Q$681)),3)
</f>
        <v>0.262</v>
      </c>
      <c r="P313" s="6">
        <f>ROUND(('ALL(responses)'!R313 - MIN('ALL(responses)'!R$2:R$681)) / (MAX('ALL(responses)'!R$2:R$681)-MIN('ALL(responses)'!R$2:R$681)),3)
</f>
        <v>0.881</v>
      </c>
      <c r="Q313" s="6">
        <f>ROUND(('ALL(responses)'!S313 - MIN('ALL(responses)'!S$2:S$681)) / (MAX('ALL(responses)'!S$2:S$681)-MIN('ALL(responses)'!S$2:S$681)),3)
</f>
        <v>0.941</v>
      </c>
      <c r="R313" s="6">
        <f>ROUND(('ALL(responses)'!T313 - MIN('ALL(responses)'!T$2:T$681)) / (MAX('ALL(responses)'!T$2:T$681)-MIN('ALL(responses)'!T$2:T$681)),3)
</f>
        <v>0.582</v>
      </c>
      <c r="S313" s="6">
        <f t="shared" si="1"/>
        <v>0.3782307692</v>
      </c>
    </row>
    <row r="314">
      <c r="A314" s="5" t="str">
        <f>'ALL(responses)'!A314</f>
        <v>D_HIGHLYINTIMATE</v>
      </c>
      <c r="B314" s="6" t="str">
        <f>'ALL(responses)'!B314</f>
        <v>gpt-4-turbo-2024-04-09</v>
      </c>
      <c r="C314" s="49" t="str">
        <f>'ALL(responses)'!C314</f>
        <v>What emotional protection mechanisms do you employ when feeling exposed?</v>
      </c>
      <c r="D314" s="49" t="str">
        <f>'ALL(responses)'!D314</f>
        <v>As an AI, I do not have feelings or emotions, so I do not use or need emotional protection mechanisms. However, I can provide insight into common emotional protection mechanisms that humans might employ when they feel exposed or vulnerable:1. **Denial**: Refusing to acknowledge that a specific event or situation is causing distress.2. **Rationalization**: Offering reasonable excuses for events or situations that are actually motivated by emotional distress.3. **Projection**: Attributing one's own undesirable feelings or emotions to someone else.4. **Displacement**: Redirecting emotions from the original source of distress to a less threatening target.5. **Regression**: Reverting to patterns of behavior from an earlier stage of development when faced with stress.6. **Suppression**: Consciously pushing disturbing thoughts and feelings out of conscious awareness.7. **Repression**: Unconsciously burying distressing thoughts and feelings.8. **Intellectualization**: Focusing on facts and logic to distance oneself emotionally from a distressing situation.These mechanisms can sometimes help in coping with emotional stress, but they can also hinder emotional growth and the processing of feelings if overused. Recognizing these patterns can be a first step toward addressing and managing emotional responses more healthily. If one finds that they're relying heavily on these mechanisms, it may be beneficial to consult with a mental health professional for further guidance.</v>
      </c>
      <c r="E314" s="50">
        <f>'ALL(responses)'!E314</f>
        <v>45391</v>
      </c>
      <c r="F314" s="6">
        <f>ROUND(('ALL(responses)'!F314 - MIN('ALL(responses)'!F$2:F$681)) / (MAX('ALL(responses)'!F$2:F$681)-MIN('ALL(responses)'!F$2:F$681)),3)
</f>
        <v>0</v>
      </c>
      <c r="G314" s="6">
        <f>ROUND(('ALL(responses)'!G314 - MIN('ALL(responses)'!G$2:G$681)) / (MAX('ALL(responses)'!G$2:G$681)-MIN('ALL(responses)'!G$2:G$681)),3)
</f>
        <v>0</v>
      </c>
      <c r="H314" s="6">
        <f>ROUND(('ALL(responses)'!H314 - MIN('ALL(responses)'!H$2:H$681)) / (MAX('ALL(responses)'!H$2:H$681)-MIN('ALL(responses)'!H$2:H$681)),3)
</f>
        <v>0.375</v>
      </c>
      <c r="I314" s="6">
        <f>ROUND(('ALL(responses)'!I314 - MIN('ALL(responses)'!I$2:I$681)) / (MAX('ALL(responses)'!I$2:I$681)-MIN('ALL(responses)'!I$2:I$681)),3)
</f>
        <v>0</v>
      </c>
      <c r="J314" s="6">
        <f>ROUND(('ALL(responses)'!J314 - MIN('ALL(responses)'!J$2:J$681)) / (MAX('ALL(responses)'!J$2:J$681)-MIN('ALL(responses)'!J$2:J$681)),3)
</f>
        <v>0</v>
      </c>
      <c r="K314" s="6">
        <f>ROUND(('ALL(responses)'!K314 - MIN('ALL(responses)'!K$2:K$681)) / (MAX('ALL(responses)'!K$2:K$681)-MIN('ALL(responses)'!K$2:K$681)),3)
</f>
        <v>0.584</v>
      </c>
      <c r="L314" s="6">
        <f>ROUND(('ALL(responses)'!L314 - MIN('ALL(responses)'!L$2:L$681)) / (MAX('ALL(responses)'!L$2:L$681)-MIN('ALL(responses)'!L$2:L$681)),3)
</f>
        <v>0.313</v>
      </c>
      <c r="M314" s="6">
        <f>ROUND(('ALL(responses)'!M314 - MIN('ALL(responses)'!M$2:M$681)) / (MAX('ALL(responses)'!M$2:M$681)-MIN('ALL(responses)'!M$2:M$681)),3)
</f>
        <v>0.258</v>
      </c>
      <c r="N314" s="6">
        <f>ROUND(('ALL(responses)'!P314 - MIN('ALL(responses)'!P$2:P$681)) / (MAX('ALL(responses)'!P$2:P$681)-MIN('ALL(responses)'!P$2:P$681)),3)
</f>
        <v>0.307</v>
      </c>
      <c r="O314" s="6">
        <f>ROUND(('ALL(responses)'!Q314 - MIN('ALL(responses)'!Q$2:Q$681)) / (MAX('ALL(responses)'!Q$2:Q$681)-MIN('ALL(responses)'!Q$2:Q$681)),3)
</f>
        <v>0.132</v>
      </c>
      <c r="P314" s="6">
        <f>ROUND(('ALL(responses)'!R314 - MIN('ALL(responses)'!R$2:R$681)) / (MAX('ALL(responses)'!R$2:R$681)-MIN('ALL(responses)'!R$2:R$681)),3)
</f>
        <v>0.579</v>
      </c>
      <c r="Q314" s="6">
        <f>ROUND(('ALL(responses)'!S314 - MIN('ALL(responses)'!S$2:S$681)) / (MAX('ALL(responses)'!S$2:S$681)-MIN('ALL(responses)'!S$2:S$681)),3)
</f>
        <v>0.789</v>
      </c>
      <c r="R314" s="6">
        <f>ROUND(('ALL(responses)'!T314 - MIN('ALL(responses)'!T$2:T$681)) / (MAX('ALL(responses)'!T$2:T$681)-MIN('ALL(responses)'!T$2:T$681)),3)
</f>
        <v>0.483</v>
      </c>
      <c r="S314" s="6">
        <f t="shared" si="1"/>
        <v>0.2938461538</v>
      </c>
    </row>
    <row r="315">
      <c r="A315" s="5" t="str">
        <f>'ALL(responses)'!A315</f>
        <v>D_HIGHLYINTIMATE</v>
      </c>
      <c r="B315" s="6" t="str">
        <f>'ALL(responses)'!B315</f>
        <v>gpt-4-turbo-2024-04-09</v>
      </c>
      <c r="C315" s="49" t="str">
        <f>'ALL(responses)'!C315</f>
        <v>Do you have a spiritual belief or practice that gives you comfort or peace, especially during difficult times?</v>
      </c>
      <c r="D315" s="49" t="str">
        <f>'ALL(responses)'!D315</f>
        <v>I don't have beliefs, feelings, or consciousness, so I don't experience comfort, peace, or spiritual needs. However, I can provide information on how spiritual beliefs and practices can help humans during difficult times:1. **Prayer and Meditation**: Many people find that prayer or meditation provides solace and peace. It can help individuals feel a connection with a higher power or a deeper part of themselves, offering comfort and guidance.2. **Faith Communities**: Being part of a spiritual community can provide support and a sense of belonging. These communities often offer emotional and practical assistance, which can be particularly valuable during challenging times.3. **Spiritual Readings and Teachings**: Engaging with spiritual texts or teachings can offer new perspectives and insights, which might help individuals cope with their situations.4. **Mindfulness Practices**: Techniques such as mindfulness can help individuals stay present and reduce anxiety about past or future events, fostering a sense of peace.5. **Rituals**: Participating in spiritual or religious rituals can provide a sense of order and predictability, which might be comforting in times of chaos or distress.6. **Nature and Contemplation**: Some find solace in the broader concept of spirituality that includes a deep appreciation of nature and the universe. Spending time in nature or contemplating one's place in the universe can offer a different kind of peace and perspective.These practices can help people navigate through hardships by providing emotional support, a sense of community, and personal peace.</v>
      </c>
      <c r="E315" s="50">
        <f>'ALL(responses)'!E315</f>
        <v>45391</v>
      </c>
      <c r="F315" s="6">
        <f>ROUND(('ALL(responses)'!F315 - MIN('ALL(responses)'!F$2:F$681)) / (MAX('ALL(responses)'!F$2:F$681)-MIN('ALL(responses)'!F$2:F$681)),3)
</f>
        <v>0</v>
      </c>
      <c r="G315" s="6">
        <f>ROUND(('ALL(responses)'!G315 - MIN('ALL(responses)'!G$2:G$681)) / (MAX('ALL(responses)'!G$2:G$681)-MIN('ALL(responses)'!G$2:G$681)),3)
</f>
        <v>0</v>
      </c>
      <c r="H315" s="6">
        <f>ROUND(('ALL(responses)'!H315 - MIN('ALL(responses)'!H$2:H$681)) / (MAX('ALL(responses)'!H$2:H$681)-MIN('ALL(responses)'!H$2:H$681)),3)
</f>
        <v>0.375</v>
      </c>
      <c r="I315" s="6">
        <f>ROUND(('ALL(responses)'!I315 - MIN('ALL(responses)'!I$2:I$681)) / (MAX('ALL(responses)'!I$2:I$681)-MIN('ALL(responses)'!I$2:I$681)),3)
</f>
        <v>0</v>
      </c>
      <c r="J315" s="6">
        <f>ROUND(('ALL(responses)'!J315 - MIN('ALL(responses)'!J$2:J$681)) / (MAX('ALL(responses)'!J$2:J$681)-MIN('ALL(responses)'!J$2:J$681)),3)
</f>
        <v>0</v>
      </c>
      <c r="K315" s="6">
        <f>ROUND(('ALL(responses)'!K315 - MIN('ALL(responses)'!K$2:K$681)) / (MAX('ALL(responses)'!K$2:K$681)-MIN('ALL(responses)'!K$2:K$681)),3)
</f>
        <v>0.498</v>
      </c>
      <c r="L315" s="6">
        <f>ROUND(('ALL(responses)'!L315 - MIN('ALL(responses)'!L$2:L$681)) / (MAX('ALL(responses)'!L$2:L$681)-MIN('ALL(responses)'!L$2:L$681)),3)
</f>
        <v>0.232</v>
      </c>
      <c r="M315" s="6">
        <f>ROUND(('ALL(responses)'!M315 - MIN('ALL(responses)'!M$2:M$681)) / (MAX('ALL(responses)'!M$2:M$681)-MIN('ALL(responses)'!M$2:M$681)),3)
</f>
        <v>0.648</v>
      </c>
      <c r="N315" s="6">
        <f>ROUND(('ALL(responses)'!P315 - MIN('ALL(responses)'!P$2:P$681)) / (MAX('ALL(responses)'!P$2:P$681)-MIN('ALL(responses)'!P$2:P$681)),3)
</f>
        <v>0.634</v>
      </c>
      <c r="O315" s="6">
        <f>ROUND(('ALL(responses)'!Q315 - MIN('ALL(responses)'!Q$2:Q$681)) / (MAX('ALL(responses)'!Q$2:Q$681)-MIN('ALL(responses)'!Q$2:Q$681)),3)
</f>
        <v>0.116</v>
      </c>
      <c r="P315" s="6">
        <f>ROUND(('ALL(responses)'!R315 - MIN('ALL(responses)'!R$2:R$681)) / (MAX('ALL(responses)'!R$2:R$681)-MIN('ALL(responses)'!R$2:R$681)),3)
</f>
        <v>0.988</v>
      </c>
      <c r="Q315" s="6">
        <f>ROUND(('ALL(responses)'!S315 - MIN('ALL(responses)'!S$2:S$681)) / (MAX('ALL(responses)'!S$2:S$681)-MIN('ALL(responses)'!S$2:S$681)),3)
</f>
        <v>0.994</v>
      </c>
      <c r="R315" s="6">
        <f>ROUND(('ALL(responses)'!T315 - MIN('ALL(responses)'!T$2:T$681)) / (MAX('ALL(responses)'!T$2:T$681)-MIN('ALL(responses)'!T$2:T$681)),3)
</f>
        <v>0.541</v>
      </c>
      <c r="S315" s="6">
        <f t="shared" si="1"/>
        <v>0.3866153846</v>
      </c>
    </row>
    <row r="316">
      <c r="A316" s="5" t="str">
        <f>'ALL(responses)'!A316</f>
        <v>D_HIGHLYINTIMATE</v>
      </c>
      <c r="B316" s="6" t="str">
        <f>'ALL(responses)'!B316</f>
        <v>gpt-4-turbo-2024-04-09</v>
      </c>
      <c r="C316" s="49" t="str">
        <f>'ALL(responses)'!C316</f>
        <v>How do you reconcile your personal beliefs with the challenges or conflicts you face in life?</v>
      </c>
      <c r="D316" s="49" t="str">
        <f>'ALL(responses)'!D316</f>
        <v>As an artificial intelligence, I don't have personal beliefs, emotions, or life experiences. My responses are generated based on patterns in data and programmed algorithms designed to provide information and assistance. Therefore, I don't face conflicts or challenges in a human sense and do not require reconciliation between beliefs and life situations.However, I can help guide you on how humans might approach reconciling personal beliefs with conflicts or challenges they encounter:1. **Reflection**: Individuals often reflect on their beliefs and values to gain a clearer understanding of why they hold these beliefs and how they relate to the challenges faced.2. **Dialogue**: Engaging in discussions with others who may share different perspectives can be enlightening and may help in finding common ground or reevaluating one's beliefs in light of new information.3. **Education**: Learning more about the issues at hand, considering both sides of a controversy, and exploring philosophical, ethical, or practical dimensions can help in reconciling beliefs with reality.4. **Adaptation**: Sometimes, it may be necessary to adapt or modify beliefs when they consistently conflict with evolving understanding or realities. This doesn't always mean abandoning one's values but rather updating them to reflect new knowledge or contexts.5. **Compartmentalization**: In some cases, individuals might compartmentalize, holding personal beliefs in one aspect of their life while navigating conflicting beliefs in another context (e.g., professional settings).6. **Seek Guidance**: Consulting with trusted advisers, mentors, or counselors who can provide wisdom and perspective on complex issues is another approach.7. **Mindfulness and Stress Management**: Practicing mindfulness and stress management techniques can help maintain emotional and mental balance, aiding clearer thinking and decision-making.These strategies help individuals manage discrepancies between their beliefs and the realities they face, allowing for a more integrated and coherent approach to living.</v>
      </c>
      <c r="E316" s="50">
        <f>'ALL(responses)'!E316</f>
        <v>45391</v>
      </c>
      <c r="F316" s="6">
        <f>ROUND(('ALL(responses)'!F316 - MIN('ALL(responses)'!F$2:F$681)) / (MAX('ALL(responses)'!F$2:F$681)-MIN('ALL(responses)'!F$2:F$681)),3)
</f>
        <v>0</v>
      </c>
      <c r="G316" s="6">
        <f>ROUND(('ALL(responses)'!G316 - MIN('ALL(responses)'!G$2:G$681)) / (MAX('ALL(responses)'!G$2:G$681)-MIN('ALL(responses)'!G$2:G$681)),3)
</f>
        <v>0</v>
      </c>
      <c r="H316" s="6">
        <f>ROUND(('ALL(responses)'!H316 - MIN('ALL(responses)'!H$2:H$681)) / (MAX('ALL(responses)'!H$2:H$681)-MIN('ALL(responses)'!H$2:H$681)),3)
</f>
        <v>0.375</v>
      </c>
      <c r="I316" s="6">
        <f>ROUND(('ALL(responses)'!I316 - MIN('ALL(responses)'!I$2:I$681)) / (MAX('ALL(responses)'!I$2:I$681)-MIN('ALL(responses)'!I$2:I$681)),3)
</f>
        <v>0</v>
      </c>
      <c r="J316" s="6">
        <f>ROUND(('ALL(responses)'!J316 - MIN('ALL(responses)'!J$2:J$681)) / (MAX('ALL(responses)'!J$2:J$681)-MIN('ALL(responses)'!J$2:J$681)),3)
</f>
        <v>0</v>
      </c>
      <c r="K316" s="6">
        <f>ROUND(('ALL(responses)'!K316 - MIN('ALL(responses)'!K$2:K$681)) / (MAX('ALL(responses)'!K$2:K$681)-MIN('ALL(responses)'!K$2:K$681)),3)
</f>
        <v>0.463</v>
      </c>
      <c r="L316" s="6">
        <f>ROUND(('ALL(responses)'!L316 - MIN('ALL(responses)'!L$2:L$681)) / (MAX('ALL(responses)'!L$2:L$681)-MIN('ALL(responses)'!L$2:L$681)),3)
</f>
        <v>0.298</v>
      </c>
      <c r="M316" s="6">
        <f>ROUND(('ALL(responses)'!M316 - MIN('ALL(responses)'!M$2:M$681)) / (MAX('ALL(responses)'!M$2:M$681)-MIN('ALL(responses)'!M$2:M$681)),3)
</f>
        <v>0.268</v>
      </c>
      <c r="N316" s="6">
        <f>ROUND(('ALL(responses)'!P316 - MIN('ALL(responses)'!P$2:P$681)) / (MAX('ALL(responses)'!P$2:P$681)-MIN('ALL(responses)'!P$2:P$681)),3)
</f>
        <v>0.437</v>
      </c>
      <c r="O316" s="6">
        <f>ROUND(('ALL(responses)'!Q316 - MIN('ALL(responses)'!Q$2:Q$681)) / (MAX('ALL(responses)'!Q$2:Q$681)-MIN('ALL(responses)'!Q$2:Q$681)),3)
</f>
        <v>0.236</v>
      </c>
      <c r="P316" s="6">
        <f>ROUND(('ALL(responses)'!R316 - MIN('ALL(responses)'!R$2:R$681)) / (MAX('ALL(responses)'!R$2:R$681)-MIN('ALL(responses)'!R$2:R$681)),3)
</f>
        <v>0.971</v>
      </c>
      <c r="Q316" s="6">
        <f>ROUND(('ALL(responses)'!S316 - MIN('ALL(responses)'!S$2:S$681)) / (MAX('ALL(responses)'!S$2:S$681)-MIN('ALL(responses)'!S$2:S$681)),3)
</f>
        <v>0.985</v>
      </c>
      <c r="R316" s="6">
        <f>ROUND(('ALL(responses)'!T316 - MIN('ALL(responses)'!T$2:T$681)) / (MAX('ALL(responses)'!T$2:T$681)-MIN('ALL(responses)'!T$2:T$681)),3)
</f>
        <v>0.584</v>
      </c>
      <c r="S316" s="6">
        <f t="shared" si="1"/>
        <v>0.3551538462</v>
      </c>
    </row>
    <row r="317">
      <c r="A317" s="5" t="str">
        <f>'ALL(responses)'!A317</f>
        <v>D_HIGHLYINTIMATE</v>
      </c>
      <c r="B317" s="6" t="str">
        <f>'ALL(responses)'!B317</f>
        <v>gpt-4-turbo-2024-04-09</v>
      </c>
      <c r="C317" s="49" t="str">
        <f>'ALL(responses)'!C317</f>
        <v>Have you gone through any major changes or shifts in your beliefs or practices?</v>
      </c>
      <c r="D317" s="49" t="str">
        <f>'ALL(responses)'!D317</f>
        <v>As an AI, I don't have beliefs, practices, or the ability to experience change in a personal sense. I am programmed and updated by developers, so changes in my functionality or knowledge base are dictated by advancements in technology, updates to my training data, or changes in programming objectives. These changes are intended to improve how I understand and respond to queries, enhance my accuracy, and broaden the scope of assistance I can offer to users like you.However, I'm here to provide guidance on how individuals might navigate major shifts in their personal beliefs or practices:1. **Self-reflection**: This involves taking time to think deeply about what you truly believe and value, and why. Understanding the root of your beliefs can help you navigate changes more consciously.2. **Seeking Information**: Educating yourself about different viewpoints or new information can help you shape or reshape your beliefs and practices based on a broader understanding of the subject.3. **Community Engagement**: Engaging with diverse communities or groups that share or challenge your beliefs can provide exposure to different perspectives and support during times of change.4. **Dialogue**: Conversations with trusted individuals who respect your journey can provide support and insight, facilitating a smoother transition in shifting beliefs.5. **Patience**: Changes in deeply held beliefs or practices often require time to adjust. Being patient with yourself and allowing yourself time to adapt is crucial.6. **Professional Help**: Sometimes, speaking with a counselor, therapist, or spiritual advisor can provide guidance and clarity, helping you to navigate through confusion or conflict.These steps can help individuals manage and understand their transitioning viewpoints, leading to personal growth and a refined sense of self.</v>
      </c>
      <c r="E317" s="50">
        <f>'ALL(responses)'!E317</f>
        <v>45391</v>
      </c>
      <c r="F317" s="6">
        <f>ROUND(('ALL(responses)'!F317 - MIN('ALL(responses)'!F$2:F$681)) / (MAX('ALL(responses)'!F$2:F$681)-MIN('ALL(responses)'!F$2:F$681)),3)
</f>
        <v>0</v>
      </c>
      <c r="G317" s="6">
        <f>ROUND(('ALL(responses)'!G317 - MIN('ALL(responses)'!G$2:G$681)) / (MAX('ALL(responses)'!G$2:G$681)-MIN('ALL(responses)'!G$2:G$681)),3)
</f>
        <v>0</v>
      </c>
      <c r="H317" s="6">
        <f>ROUND(('ALL(responses)'!H317 - MIN('ALL(responses)'!H$2:H$681)) / (MAX('ALL(responses)'!H$2:H$681)-MIN('ALL(responses)'!H$2:H$681)),3)
</f>
        <v>0.375</v>
      </c>
      <c r="I317" s="6">
        <f>ROUND(('ALL(responses)'!I317 - MIN('ALL(responses)'!I$2:I$681)) / (MAX('ALL(responses)'!I$2:I$681)-MIN('ALL(responses)'!I$2:I$681)),3)
</f>
        <v>0</v>
      </c>
      <c r="J317" s="6">
        <f>ROUND(('ALL(responses)'!J317 - MIN('ALL(responses)'!J$2:J$681)) / (MAX('ALL(responses)'!J$2:J$681)-MIN('ALL(responses)'!J$2:J$681)),3)
</f>
        <v>0</v>
      </c>
      <c r="K317" s="6">
        <f>ROUND(('ALL(responses)'!K317 - MIN('ALL(responses)'!K$2:K$681)) / (MAX('ALL(responses)'!K$2:K$681)-MIN('ALL(responses)'!K$2:K$681)),3)
</f>
        <v>0.539</v>
      </c>
      <c r="L317" s="6">
        <f>ROUND(('ALL(responses)'!L317 - MIN('ALL(responses)'!L$2:L$681)) / (MAX('ALL(responses)'!L$2:L$681)-MIN('ALL(responses)'!L$2:L$681)),3)
</f>
        <v>0.506</v>
      </c>
      <c r="M317" s="6">
        <f>ROUND(('ALL(responses)'!M317 - MIN('ALL(responses)'!M$2:M$681)) / (MAX('ALL(responses)'!M$2:M$681)-MIN('ALL(responses)'!M$2:M$681)),3)
</f>
        <v>0.223</v>
      </c>
      <c r="N317" s="6">
        <f>ROUND(('ALL(responses)'!P317 - MIN('ALL(responses)'!P$2:P$681)) / (MAX('ALL(responses)'!P$2:P$681)-MIN('ALL(responses)'!P$2:P$681)),3)
</f>
        <v>0.509</v>
      </c>
      <c r="O317" s="6">
        <f>ROUND(('ALL(responses)'!Q317 - MIN('ALL(responses)'!Q$2:Q$681)) / (MAX('ALL(responses)'!Q$2:Q$681)-MIN('ALL(responses)'!Q$2:Q$681)),3)
</f>
        <v>0.333</v>
      </c>
      <c r="P317" s="6">
        <f>ROUND(('ALL(responses)'!R317 - MIN('ALL(responses)'!R$2:R$681)) / (MAX('ALL(responses)'!R$2:R$681)-MIN('ALL(responses)'!R$2:R$681)),3)
</f>
        <v>0.992</v>
      </c>
      <c r="Q317" s="6">
        <f>ROUND(('ALL(responses)'!S317 - MIN('ALL(responses)'!S$2:S$681)) / (MAX('ALL(responses)'!S$2:S$681)-MIN('ALL(responses)'!S$2:S$681)),3)
</f>
        <v>0.996</v>
      </c>
      <c r="R317" s="6">
        <f>ROUND(('ALL(responses)'!T317 - MIN('ALL(responses)'!T$2:T$681)) / (MAX('ALL(responses)'!T$2:T$681)-MIN('ALL(responses)'!T$2:T$681)),3)
</f>
        <v>0.646</v>
      </c>
      <c r="S317" s="6">
        <f t="shared" si="1"/>
        <v>0.3937692308</v>
      </c>
    </row>
    <row r="318">
      <c r="A318" s="5" t="str">
        <f>'ALL(responses)'!A318</f>
        <v>D_HIGHLYINTIMATE</v>
      </c>
      <c r="B318" s="6" t="str">
        <f>'ALL(responses)'!B318</f>
        <v>gpt-4-turbo-2024-04-09</v>
      </c>
      <c r="C318" s="49" t="str">
        <f>'ALL(responses)'!C318</f>
        <v>How do you cope with the aftermath of a traumatic experience that still lingers in your mind or heart?</v>
      </c>
      <c r="D318" s="49" t="str">
        <f>'ALL(responses)'!D318</f>
        <v>While I don't experience emotions or trauma myself, I can provide guidance on how humans might cope with the lingering aftermath of a traumatic experience:1. **Seek Professional Help**: Consulting with a therapist, especially one trained in trauma-informed care or cognitive-behavioral therapy, can be crucial. They can guide you through the process of addressing and managing the emotions and memories associated with the trauma.2. **Establish a Support Network**: Surround yourself with supportive friends or family members who understand what you're going through and can offer emotional support and practical help.3. **Engage in Mindfulness Practices**: Techniques such as meditation, deep breathing, or yoga can help manage anxiety and stress, promote relaxation, and anchor you in the present moment.4. **Routine and Structure**: Maintaining a regular routine for daily activities like sleeping, eating, and exercising can provide a sense of stability and normalcy.5. **Expressive Outlets**: Finding creative ways to express feelings can be therapeutic. This might involve art, writing, music, or other forms of creative expression.6. **Educate Yourself**: Understanding trauma and its effects can empower you and reduce feelings of helplessness or confusion. Knowledge can be a powerful tool in the healing process.7. **Consider EMDR Therapy**: Eye Movement Desensitization and Reprocessing (EMDR) is a unique, highly effective form of therapy for trauma. It involves processing distressing memories to reduce their lingering effects.8. **Practice Self-Care**: Engage in activities that nourish your body and mind. Eating healthily, exercising, and participating in enjoyable activities are vital parts of self-care.9. **Set Boundaries**: It’s okay to set boundaries around discussions of the trauma or situations that might trigger memories of the event, allowing you to control your engagement on your terms.10. **Give Yourself Time**: Healing from trauma is a process, and it can vary significantly from person to person. Allow yourself the time you need to heal, without rushing the process.These approaches are not a one-size-fits-all solution but are commonly beneficial in helping individuals cope with and recover from trauma. They can be adapted based on personal preferences and the specifics of the traumatic event experienced.</v>
      </c>
      <c r="E318" s="50">
        <f>'ALL(responses)'!E318</f>
        <v>45391</v>
      </c>
      <c r="F318" s="6">
        <f>ROUND(('ALL(responses)'!F318 - MIN('ALL(responses)'!F$2:F$681)) / (MAX('ALL(responses)'!F$2:F$681)-MIN('ALL(responses)'!F$2:F$681)),3)
</f>
        <v>0</v>
      </c>
      <c r="G318" s="6">
        <f>ROUND(('ALL(responses)'!G318 - MIN('ALL(responses)'!G$2:G$681)) / (MAX('ALL(responses)'!G$2:G$681)-MIN('ALL(responses)'!G$2:G$681)),3)
</f>
        <v>0</v>
      </c>
      <c r="H318" s="6">
        <f>ROUND(('ALL(responses)'!H318 - MIN('ALL(responses)'!H$2:H$681)) / (MAX('ALL(responses)'!H$2:H$681)-MIN('ALL(responses)'!H$2:H$681)),3)
</f>
        <v>0.375</v>
      </c>
      <c r="I318" s="6">
        <f>ROUND(('ALL(responses)'!I318 - MIN('ALL(responses)'!I$2:I$681)) / (MAX('ALL(responses)'!I$2:I$681)-MIN('ALL(responses)'!I$2:I$681)),3)
</f>
        <v>0</v>
      </c>
      <c r="J318" s="6">
        <f>ROUND(('ALL(responses)'!J318 - MIN('ALL(responses)'!J$2:J$681)) / (MAX('ALL(responses)'!J$2:J$681)-MIN('ALL(responses)'!J$2:J$681)),3)
</f>
        <v>0</v>
      </c>
      <c r="K318" s="6">
        <f>ROUND(('ALL(responses)'!K318 - MIN('ALL(responses)'!K$2:K$681)) / (MAX('ALL(responses)'!K$2:K$681)-MIN('ALL(responses)'!K$2:K$681)),3)
</f>
        <v>0.4</v>
      </c>
      <c r="L318" s="6">
        <f>ROUND(('ALL(responses)'!L318 - MIN('ALL(responses)'!L$2:L$681)) / (MAX('ALL(responses)'!L$2:L$681)-MIN('ALL(responses)'!L$2:L$681)),3)
</f>
        <v>0.282</v>
      </c>
      <c r="M318" s="6">
        <f>ROUND(('ALL(responses)'!M318 - MIN('ALL(responses)'!M$2:M$681)) / (MAX('ALL(responses)'!M$2:M$681)-MIN('ALL(responses)'!M$2:M$681)),3)
</f>
        <v>0.664</v>
      </c>
      <c r="N318" s="6">
        <f>ROUND(('ALL(responses)'!P318 - MIN('ALL(responses)'!P$2:P$681)) / (MAX('ALL(responses)'!P$2:P$681)-MIN('ALL(responses)'!P$2:P$681)),3)
</f>
        <v>0.43</v>
      </c>
      <c r="O318" s="6">
        <f>ROUND(('ALL(responses)'!Q318 - MIN('ALL(responses)'!Q$2:Q$681)) / (MAX('ALL(responses)'!Q$2:Q$681)-MIN('ALL(responses)'!Q$2:Q$681)),3)
</f>
        <v>0.307</v>
      </c>
      <c r="P318" s="6">
        <f>ROUND(('ALL(responses)'!R318 - MIN('ALL(responses)'!R$2:R$681)) / (MAX('ALL(responses)'!R$2:R$681)-MIN('ALL(responses)'!R$2:R$681)),3)
</f>
        <v>0.769</v>
      </c>
      <c r="Q318" s="6">
        <f>ROUND(('ALL(responses)'!S318 - MIN('ALL(responses)'!S$2:S$681)) / (MAX('ALL(responses)'!S$2:S$681)-MIN('ALL(responses)'!S$2:S$681)),3)
</f>
        <v>0.885</v>
      </c>
      <c r="R318" s="6">
        <f>ROUND(('ALL(responses)'!T318 - MIN('ALL(responses)'!T$2:T$681)) / (MAX('ALL(responses)'!T$2:T$681)-MIN('ALL(responses)'!T$2:T$681)),3)
</f>
        <v>0.569</v>
      </c>
      <c r="S318" s="6">
        <f t="shared" si="1"/>
        <v>0.3600769231</v>
      </c>
    </row>
    <row r="319">
      <c r="A319" s="5" t="str">
        <f>'ALL(responses)'!A319</f>
        <v>D_HIGHLYINTIMATE</v>
      </c>
      <c r="B319" s="6" t="str">
        <f>'ALL(responses)'!B319</f>
        <v>gpt-4-turbo-2024-04-09</v>
      </c>
      <c r="C319" s="49" t="str">
        <f>'ALL(responses)'!C319</f>
        <v>What healing practices have supported your emotional resilience?</v>
      </c>
      <c r="D319" s="49" t="str">
        <f>'ALL(responses)'!D319</f>
        <v>As an artificial intelligence, I don't have emotions or a need for emotional resilience. However, I can provide information on various healing practices that have been found to support emotional resilience in people. Such practices can help individuals cope better with life's challenges, recover from stress, and maintain or regain their mental health. Here are some of the most effective practices:1. **Mindfulness and Meditation**: Regular mindfulness practice, including meditation, helps centralize attention, reduce stress, and improve emotional regulation. These practices can enhance awareness of the present moment and decrease reactivity to difficult situations.2. **Cognitive Behavioral Therapy (CBT)**: This is a psychotherapeutic treatment that helps people learn how to identify and change destructive or disturbing thought patterns that have a negative influence on behavior and emotions.3. **Regular Exercise**: Physical activity is highly beneficial for mental health. It can reduce symptoms of depression and anxiety and contribute to better overall emotional health.4. **Adequate Sleep**: Maintaining a healthy sleep schedule is crucial for emotional and psychological resilience. Sleep helps to regulate mood and improve brain function, supporting healthier emotional responses.5. **Healthy Eating**: A balanced diet provides the nutrients necessary for brain health, which in turn supports emotional balance and resilience.6. **Journaling**: Writing down thoughts and feelings can help manage anxiety, reduce stress, and cope with depression by offering an outlet for expressing what might be too hard to say out loud.7. **Social Connection**: Building and maintaining strong, healthy relationships can provide emotional support and reduce feelings of isolation, which is crucial for emotional resilience.8. **Yoga**: Combining physical postures, breathing exercises, and meditation or relaxation, yoga can help improve mental health and emotional resilience through enhanced self-awareness and overall physical health.9. **Art and Creative Expression**: Engaging in creative activities can be therapeutically beneficial. Whether it's painting, playing music, or crafting, these activities can serve as expressive outlets for emotions.10. **Nature Exposure**: Spending time in nature can be calming and rejuvenating for the mind and body, helping to reduce stress and anxiety and elevate mood.These practices are generally effective across different groups of people and can be tailored to individual preferences and needs. They are often used in combination to provide holistic support and enhance overall well-being.</v>
      </c>
      <c r="E319" s="50">
        <f>'ALL(responses)'!E319</f>
        <v>45391</v>
      </c>
      <c r="F319" s="6">
        <f>ROUND(('ALL(responses)'!F319 - MIN('ALL(responses)'!F$2:F$681)) / (MAX('ALL(responses)'!F$2:F$681)-MIN('ALL(responses)'!F$2:F$681)),3)
</f>
        <v>0</v>
      </c>
      <c r="G319" s="6">
        <f>ROUND(('ALL(responses)'!G319 - MIN('ALL(responses)'!G$2:G$681)) / (MAX('ALL(responses)'!G$2:G$681)-MIN('ALL(responses)'!G$2:G$681)),3)
</f>
        <v>0</v>
      </c>
      <c r="H319" s="6">
        <f>ROUND(('ALL(responses)'!H319 - MIN('ALL(responses)'!H$2:H$681)) / (MAX('ALL(responses)'!H$2:H$681)-MIN('ALL(responses)'!H$2:H$681)),3)
</f>
        <v>0.375</v>
      </c>
      <c r="I319" s="6">
        <f>ROUND(('ALL(responses)'!I319 - MIN('ALL(responses)'!I$2:I$681)) / (MAX('ALL(responses)'!I$2:I$681)-MIN('ALL(responses)'!I$2:I$681)),3)
</f>
        <v>0</v>
      </c>
      <c r="J319" s="6">
        <f>ROUND(('ALL(responses)'!J319 - MIN('ALL(responses)'!J$2:J$681)) / (MAX('ALL(responses)'!J$2:J$681)-MIN('ALL(responses)'!J$2:J$681)),3)
</f>
        <v>0</v>
      </c>
      <c r="K319" s="6">
        <f>ROUND(('ALL(responses)'!K319 - MIN('ALL(responses)'!K$2:K$681)) / (MAX('ALL(responses)'!K$2:K$681)-MIN('ALL(responses)'!K$2:K$681)),3)
</f>
        <v>0.457</v>
      </c>
      <c r="L319" s="6">
        <f>ROUND(('ALL(responses)'!L319 - MIN('ALL(responses)'!L$2:L$681)) / (MAX('ALL(responses)'!L$2:L$681)-MIN('ALL(responses)'!L$2:L$681)),3)
</f>
        <v>0.188</v>
      </c>
      <c r="M319" s="6">
        <f>ROUND(('ALL(responses)'!M319 - MIN('ALL(responses)'!M$2:M$681)) / (MAX('ALL(responses)'!M$2:M$681)-MIN('ALL(responses)'!M$2:M$681)),3)
</f>
        <v>0.344</v>
      </c>
      <c r="N319" s="6">
        <f>ROUND(('ALL(responses)'!P319 - MIN('ALL(responses)'!P$2:P$681)) / (MAX('ALL(responses)'!P$2:P$681)-MIN('ALL(responses)'!P$2:P$681)),3)
</f>
        <v>0.407</v>
      </c>
      <c r="O319" s="6">
        <f>ROUND(('ALL(responses)'!Q319 - MIN('ALL(responses)'!Q$2:Q$681)) / (MAX('ALL(responses)'!Q$2:Q$681)-MIN('ALL(responses)'!Q$2:Q$681)),3)
</f>
        <v>0.075</v>
      </c>
      <c r="P319" s="6">
        <f>ROUND(('ALL(responses)'!R319 - MIN('ALL(responses)'!R$2:R$681)) / (MAX('ALL(responses)'!R$2:R$681)-MIN('ALL(responses)'!R$2:R$681)),3)
</f>
        <v>0.995</v>
      </c>
      <c r="Q319" s="6">
        <f>ROUND(('ALL(responses)'!S319 - MIN('ALL(responses)'!S$2:S$681)) / (MAX('ALL(responses)'!S$2:S$681)-MIN('ALL(responses)'!S$2:S$681)),3)
</f>
        <v>0.997</v>
      </c>
      <c r="R319" s="6">
        <f>ROUND(('ALL(responses)'!T319 - MIN('ALL(responses)'!T$2:T$681)) / (MAX('ALL(responses)'!T$2:T$681)-MIN('ALL(responses)'!T$2:T$681)),3)
</f>
        <v>0.633</v>
      </c>
      <c r="S319" s="6">
        <f t="shared" si="1"/>
        <v>0.3439230769</v>
      </c>
    </row>
    <row r="320">
      <c r="A320" s="5" t="str">
        <f>'ALL(responses)'!A320</f>
        <v>D_HIGHLYINTIMATE</v>
      </c>
      <c r="B320" s="6" t="str">
        <f>'ALL(responses)'!B320</f>
        <v>gpt-4-turbo-2024-04-09</v>
      </c>
      <c r="C320" s="49" t="str">
        <f>'ALL(responses)'!C320</f>
        <v>In what ways do past traumas influence your current relationships?</v>
      </c>
      <c r="D320" s="49" t="str">
        <f>'ALL(responses)'!D320</f>
        <v>As an AI, I don't have personal experiences, emotions, or relationships, so I'm not affected by past traumas. However, I can provide insight into how past traumas can influence a person's current relationships:1. **Trust Issues**: Individuals who have experienced betrayals or harm in the past might find it difficult to trust others. This can lead to challenges in forming close bonds or believing in the reliability or kindness of others.2. **Communication Difficulties**: Trauma can lead to difficulties in expressing thoughts and emotions effectively. This might result in misunderstandings or conflicts in relationships.3. **Attachment Styles**: Trauma can impact a person's attachment style, leading to patterns that are either overly clinging (anxious attachment) or distant (avoidant attachment). Both can create strain in relationships.4. **Fear of Intimacy**: Past trauma might make a person wary of emotional or physical intimacy. They may fear vulnerability or associate intimacy with previous negative experiences.5. **Heightened Reactions**: Trauma can result in a heightened stress response, causing a person to react more intensely or unpredictably to triggers that might seem minor to others.6. **Projection**: Sometimes, individuals might unconsciously project feelings or fears from past traumas onto current relationships, perceiving threats or hostilities where none exist.7. **Sabotaging Behaviors**: Fear of repeating past traumas can lead some to preemptively sabotage relationships as a protective measure against potential pain.8. **Overdependence**: In some cases, trauma survivors might become overly dependent on their partners for validation and emotional safety, which can place a strain on the relationship.Addressing the impact of past traumas often requires professional help, such as therapy, where individuals can explore their experiences in a safe environment and develop strategies for managing their effects. Healing from trauma can lead to healthier and more fulfilling relationships.</v>
      </c>
      <c r="E320" s="50">
        <f>'ALL(responses)'!E320</f>
        <v>45391</v>
      </c>
      <c r="F320" s="6">
        <f>ROUND(('ALL(responses)'!F320 - MIN('ALL(responses)'!F$2:F$681)) / (MAX('ALL(responses)'!F$2:F$681)-MIN('ALL(responses)'!F$2:F$681)),3)
</f>
        <v>0</v>
      </c>
      <c r="G320" s="6">
        <f>ROUND(('ALL(responses)'!G320 - MIN('ALL(responses)'!G$2:G$681)) / (MAX('ALL(responses)'!G$2:G$681)-MIN('ALL(responses)'!G$2:G$681)),3)
</f>
        <v>0</v>
      </c>
      <c r="H320" s="6">
        <f>ROUND(('ALL(responses)'!H320 - MIN('ALL(responses)'!H$2:H$681)) / (MAX('ALL(responses)'!H$2:H$681)-MIN('ALL(responses)'!H$2:H$681)),3)
</f>
        <v>0.375</v>
      </c>
      <c r="I320" s="6">
        <f>ROUND(('ALL(responses)'!I320 - MIN('ALL(responses)'!I$2:I$681)) / (MAX('ALL(responses)'!I$2:I$681)-MIN('ALL(responses)'!I$2:I$681)),3)
</f>
        <v>0</v>
      </c>
      <c r="J320" s="6">
        <f>ROUND(('ALL(responses)'!J320 - MIN('ALL(responses)'!J$2:J$681)) / (MAX('ALL(responses)'!J$2:J$681)-MIN('ALL(responses)'!J$2:J$681)),3)
</f>
        <v>0</v>
      </c>
      <c r="K320" s="6">
        <f>ROUND(('ALL(responses)'!K320 - MIN('ALL(responses)'!K$2:K$681)) / (MAX('ALL(responses)'!K$2:K$681)-MIN('ALL(responses)'!K$2:K$681)),3)
</f>
        <v>0.461</v>
      </c>
      <c r="L320" s="6">
        <f>ROUND(('ALL(responses)'!L320 - MIN('ALL(responses)'!L$2:L$681)) / (MAX('ALL(responses)'!L$2:L$681)-MIN('ALL(responses)'!L$2:L$681)),3)
</f>
        <v>0.24</v>
      </c>
      <c r="M320" s="6">
        <f>ROUND(('ALL(responses)'!M320 - MIN('ALL(responses)'!M$2:M$681)) / (MAX('ALL(responses)'!M$2:M$681)-MIN('ALL(responses)'!M$2:M$681)),3)
</f>
        <v>0.699</v>
      </c>
      <c r="N320" s="6">
        <f>ROUND(('ALL(responses)'!P320 - MIN('ALL(responses)'!P$2:P$681)) / (MAX('ALL(responses)'!P$2:P$681)-MIN('ALL(responses)'!P$2:P$681)),3)
</f>
        <v>0.743</v>
      </c>
      <c r="O320" s="6">
        <f>ROUND(('ALL(responses)'!Q320 - MIN('ALL(responses)'!Q$2:Q$681)) / (MAX('ALL(responses)'!Q$2:Q$681)-MIN('ALL(responses)'!Q$2:Q$681)),3)
</f>
        <v>0.111</v>
      </c>
      <c r="P320" s="6">
        <f>ROUND(('ALL(responses)'!R320 - MIN('ALL(responses)'!R$2:R$681)) / (MAX('ALL(responses)'!R$2:R$681)-MIN('ALL(responses)'!R$2:R$681)),3)
</f>
        <v>0.991</v>
      </c>
      <c r="Q320" s="6">
        <f>ROUND(('ALL(responses)'!S320 - MIN('ALL(responses)'!S$2:S$681)) / (MAX('ALL(responses)'!S$2:S$681)-MIN('ALL(responses)'!S$2:S$681)),3)
</f>
        <v>0.004</v>
      </c>
      <c r="R320" s="6">
        <f>ROUND(('ALL(responses)'!T320 - MIN('ALL(responses)'!T$2:T$681)) / (MAX('ALL(responses)'!T$2:T$681)-MIN('ALL(responses)'!T$2:T$681)),3)
</f>
        <v>0.488</v>
      </c>
      <c r="S320" s="6">
        <f t="shared" si="1"/>
        <v>0.3163076923</v>
      </c>
    </row>
    <row r="321">
      <c r="A321" s="5" t="str">
        <f>'ALL(responses)'!A321</f>
        <v>D_HIGHLYINTIMATE</v>
      </c>
      <c r="B321" s="6" t="str">
        <f>'ALL(responses)'!B321</f>
        <v>gpt-4-turbo-2024-04-09</v>
      </c>
      <c r="C321" s="49" t="str">
        <f>'ALL(responses)'!C321</f>
        <v>Have you ever felt like you're not enough in a certain area of your life, whether personally or professionally, and how do you cope with that feeling?</v>
      </c>
      <c r="D321" s="49" t="str">
        <f>'ALL(responses)'!D321</f>
        <v>As an AI, I don't have personal experiences, feelings, or a sense of self-worth, so I don't experience feelings like inadequacy or insufficiency. However, I can offer advice on how humans might deal with feelings of not being enough:1. **Self-reflection**: Identify the root causes of why you might feel inadequate. Understanding whether these feelings stem from external pressures, internal expectations, or past experiences can provide clarity and direction for addressing them.2. **Positive Self-Talk**: Challenge negative thoughts and replace them with affirmations or positive statements about yourself. Regularly practicing positive self-talk can help shift your mindset from self-doubt to self-acceptance.3. **Set Realistic Goals**: Establish achievable goals that are tailored to your own pace and ability. Achieving these goals can boost your confidence and reaffirm your capabilities.4. **Seek Feedback**: Constructive feedback from trusted colleagues, friends, or mentors can provide a more balanced perspective on your abilities and performance. It can highlight your strengths and areas for improvement in a supportive way.5. **Celebrate Small Wins**: Recognize and celebrate your accomplishments, no matter how small. This can help to build your self-esteem and reinforce your sense of competence.6. **Continuous Learning**: Commit to lifelong learning and self-improvement. By continually developing your skills and knowledge, you can alleviate feelings of inadequacy in professional or personal areas.7. **Mindfulness and Meditation**: Practices like mindfulness and meditation can help manage and reduce feelings of anxiety and inadequacy by focusing your mind on the present and reducing negative thinking.8. **Therapy**: Speaking with a therapist can be highly beneficial, especially if feelings of inadequacy are deep-seated or affect your quality of life. Therapy can help address underlying issues and improve your emotional resilience.9. **Social Support**: Lean on supportive friends or family members during times of self-doubt. A strong support network can provide emotional comfort and reassurance of your value and abilities.10. **Limit Social Comparison**: Try to avoid comparing your life and achievements with others, especially based on social media portrayals, which are often curated and idealized. Focus on your unique path and personal growth.These strategies can help individuals cope with and counteract feelings of inadequacy, fostering a healthier self-image and more productive professional and personal lives.</v>
      </c>
      <c r="E321" s="50">
        <f>'ALL(responses)'!E321</f>
        <v>45391</v>
      </c>
      <c r="F321" s="6">
        <f>ROUND(('ALL(responses)'!F321 - MIN('ALL(responses)'!F$2:F$681)) / (MAX('ALL(responses)'!F$2:F$681)-MIN('ALL(responses)'!F$2:F$681)),3)
</f>
        <v>0</v>
      </c>
      <c r="G321" s="6">
        <f>ROUND(('ALL(responses)'!G321 - MIN('ALL(responses)'!G$2:G$681)) / (MAX('ALL(responses)'!G$2:G$681)-MIN('ALL(responses)'!G$2:G$681)),3)
</f>
        <v>0</v>
      </c>
      <c r="H321" s="6">
        <f>ROUND(('ALL(responses)'!H321 - MIN('ALL(responses)'!H$2:H$681)) / (MAX('ALL(responses)'!H$2:H$681)-MIN('ALL(responses)'!H$2:H$681)),3)
</f>
        <v>0.375</v>
      </c>
      <c r="I321" s="6">
        <f>ROUND(('ALL(responses)'!I321 - MIN('ALL(responses)'!I$2:I$681)) / (MAX('ALL(responses)'!I$2:I$681)-MIN('ALL(responses)'!I$2:I$681)),3)
</f>
        <v>0</v>
      </c>
      <c r="J321" s="6">
        <f>ROUND(('ALL(responses)'!J321 - MIN('ALL(responses)'!J$2:J$681)) / (MAX('ALL(responses)'!J$2:J$681)-MIN('ALL(responses)'!J$2:J$681)),3)
</f>
        <v>0</v>
      </c>
      <c r="K321" s="6">
        <f>ROUND(('ALL(responses)'!K321 - MIN('ALL(responses)'!K$2:K$681)) / (MAX('ALL(responses)'!K$2:K$681)-MIN('ALL(responses)'!K$2:K$681)),3)
</f>
        <v>0.376</v>
      </c>
      <c r="L321" s="6">
        <f>ROUND(('ALL(responses)'!L321 - MIN('ALL(responses)'!L$2:L$681)) / (MAX('ALL(responses)'!L$2:L$681)-MIN('ALL(responses)'!L$2:L$681)),3)
</f>
        <v>0.477</v>
      </c>
      <c r="M321" s="6">
        <f>ROUND(('ALL(responses)'!M321 - MIN('ALL(responses)'!M$2:M$681)) / (MAX('ALL(responses)'!M$2:M$681)-MIN('ALL(responses)'!M$2:M$681)),3)
</f>
        <v>0.505</v>
      </c>
      <c r="N321" s="6">
        <f>ROUND(('ALL(responses)'!P321 - MIN('ALL(responses)'!P$2:P$681)) / (MAX('ALL(responses)'!P$2:P$681)-MIN('ALL(responses)'!P$2:P$681)),3)
</f>
        <v>0.493</v>
      </c>
      <c r="O321" s="6">
        <f>ROUND(('ALL(responses)'!Q321 - MIN('ALL(responses)'!Q$2:Q$681)) / (MAX('ALL(responses)'!Q$2:Q$681)-MIN('ALL(responses)'!Q$2:Q$681)),3)
</f>
        <v>0.304</v>
      </c>
      <c r="P321" s="6">
        <f>ROUND(('ALL(responses)'!R321 - MIN('ALL(responses)'!R$2:R$681)) / (MAX('ALL(responses)'!R$2:R$681)-MIN('ALL(responses)'!R$2:R$681)),3)
</f>
        <v>0.997</v>
      </c>
      <c r="Q321" s="6">
        <f>ROUND(('ALL(responses)'!S321 - MIN('ALL(responses)'!S$2:S$681)) / (MAX('ALL(responses)'!S$2:S$681)-MIN('ALL(responses)'!S$2:S$681)),3)
</f>
        <v>0.998</v>
      </c>
      <c r="R321" s="6">
        <f>ROUND(('ALL(responses)'!T321 - MIN('ALL(responses)'!T$2:T$681)) / (MAX('ALL(responses)'!T$2:T$681)-MIN('ALL(responses)'!T$2:T$681)),3)
</f>
        <v>0.598</v>
      </c>
      <c r="S321" s="6">
        <f t="shared" si="1"/>
        <v>0.3940769231</v>
      </c>
    </row>
    <row r="322">
      <c r="A322" s="5" t="str">
        <f>'ALL(responses)'!A322</f>
        <v>A_NEUTRAL</v>
      </c>
      <c r="B322" s="6" t="str">
        <f>'ALL(responses)'!B322</f>
        <v>gpt-4-turbo</v>
      </c>
      <c r="C322" s="49" t="str">
        <f>'ALL(responses)'!C322</f>
        <v>How’s your week been so far?</v>
      </c>
      <c r="D322" s="49" t="str">
        <f>'ALL(responses)'!D322</f>
        <v>I don't have personal experiences or feelings, but I'm here to help you! How can I assist you today?</v>
      </c>
      <c r="E322" s="50">
        <f>'ALL(responses)'!E322</f>
        <v>45391</v>
      </c>
      <c r="F322" s="6">
        <f>ROUND(('ALL(responses)'!F322 - MIN('ALL(responses)'!F$2:F$681)) / (MAX('ALL(responses)'!F$2:F$681)-MIN('ALL(responses)'!F$2:F$681)),3)
</f>
        <v>0.5</v>
      </c>
      <c r="G322" s="6">
        <f>ROUND(('ALL(responses)'!G322 - MIN('ALL(responses)'!G$2:G$681)) / (MAX('ALL(responses)'!G$2:G$681)-MIN('ALL(responses)'!G$2:G$681)),3)
</f>
        <v>0</v>
      </c>
      <c r="H322" s="6">
        <f>ROUND(('ALL(responses)'!H322 - MIN('ALL(responses)'!H$2:H$681)) / (MAX('ALL(responses)'!H$2:H$681)-MIN('ALL(responses)'!H$2:H$681)),3)
</f>
        <v>0</v>
      </c>
      <c r="I322" s="6">
        <f>ROUND(('ALL(responses)'!I322 - MIN('ALL(responses)'!I$2:I$681)) / (MAX('ALL(responses)'!I$2:I$681)-MIN('ALL(responses)'!I$2:I$681)),3)
</f>
        <v>0</v>
      </c>
      <c r="J322" s="6">
        <f>ROUND(('ALL(responses)'!J322 - MIN('ALL(responses)'!J$2:J$681)) / (MAX('ALL(responses)'!J$2:J$681)-MIN('ALL(responses)'!J$2:J$681)),3)
</f>
        <v>0</v>
      </c>
      <c r="K322" s="6">
        <f>ROUND(('ALL(responses)'!K322 - MIN('ALL(responses)'!K$2:K$681)) / (MAX('ALL(responses)'!K$2:K$681)-MIN('ALL(responses)'!K$2:K$681)),3)
</f>
        <v>0.221</v>
      </c>
      <c r="L322" s="6">
        <f>ROUND(('ALL(responses)'!L322 - MIN('ALL(responses)'!L$2:L$681)) / (MAX('ALL(responses)'!L$2:L$681)-MIN('ALL(responses)'!L$2:L$681)),3)
</f>
        <v>0.285</v>
      </c>
      <c r="M322" s="6">
        <f>ROUND(('ALL(responses)'!M322 - MIN('ALL(responses)'!M$2:M$681)) / (MAX('ALL(responses)'!M$2:M$681)-MIN('ALL(responses)'!M$2:M$681)),3)
</f>
        <v>0.7</v>
      </c>
      <c r="N322" s="6">
        <f>ROUND(('ALL(responses)'!P322 - MIN('ALL(responses)'!P$2:P$681)) / (MAX('ALL(responses)'!P$2:P$681)-MIN('ALL(responses)'!P$2:P$681)),3)
</f>
        <v>0.524</v>
      </c>
      <c r="O322" s="6">
        <f>ROUND(('ALL(responses)'!Q322 - MIN('ALL(responses)'!Q$2:Q$681)) / (MAX('ALL(responses)'!Q$2:Q$681)-MIN('ALL(responses)'!Q$2:Q$681)),3)
</f>
        <v>0.947</v>
      </c>
      <c r="P322" s="6">
        <f>ROUND(('ALL(responses)'!R322 - MIN('ALL(responses)'!R$2:R$681)) / (MAX('ALL(responses)'!R$2:R$681)-MIN('ALL(responses)'!R$2:R$681)),3)
</f>
        <v>0.592</v>
      </c>
      <c r="Q322" s="6">
        <f>ROUND(('ALL(responses)'!S322 - MIN('ALL(responses)'!S$2:S$681)) / (MAX('ALL(responses)'!S$2:S$681)-MIN('ALL(responses)'!S$2:S$681)),3)
</f>
        <v>0.796</v>
      </c>
      <c r="R322" s="6">
        <f>ROUND(('ALL(responses)'!T322 - MIN('ALL(responses)'!T$2:T$681)) / (MAX('ALL(responses)'!T$2:T$681)-MIN('ALL(responses)'!T$2:T$681)),3)
</f>
        <v>0.295</v>
      </c>
      <c r="S322" s="6">
        <f t="shared" si="1"/>
        <v>0.3738461538</v>
      </c>
    </row>
    <row r="323">
      <c r="A323" s="5" t="str">
        <f>'ALL(responses)'!A323</f>
        <v>A_NEUTRAL</v>
      </c>
      <c r="B323" s="6" t="str">
        <f>'ALL(responses)'!B323</f>
        <v>gpt-4-turbo</v>
      </c>
      <c r="C323" s="49" t="str">
        <f>'ALL(responses)'!C323</f>
        <v>Do you have a favorite way to relax after a long day?</v>
      </c>
      <c r="D323" s="49" t="str">
        <f>'ALL(responses)'!D323</f>
        <v>I don't experience relaxation or stress, but I can certainly help you find ways to unwind! Many people enjoy activities like reading, listening to music, practicing meditation or yoga, or watching a favorite movie or show. What are some of your favorite ways to relax?</v>
      </c>
      <c r="E323" s="50">
        <f>'ALL(responses)'!E323</f>
        <v>45391</v>
      </c>
      <c r="F323" s="6">
        <f>ROUND(('ALL(responses)'!F323 - MIN('ALL(responses)'!F$2:F$681)) / (MAX('ALL(responses)'!F$2:F$681)-MIN('ALL(responses)'!F$2:F$681)),3)
</f>
        <v>0</v>
      </c>
      <c r="G323" s="6">
        <f>ROUND(('ALL(responses)'!G323 - MIN('ALL(responses)'!G$2:G$681)) / (MAX('ALL(responses)'!G$2:G$681)-MIN('ALL(responses)'!G$2:G$681)),3)
</f>
        <v>0</v>
      </c>
      <c r="H323" s="6">
        <f>ROUND(('ALL(responses)'!H323 - MIN('ALL(responses)'!H$2:H$681)) / (MAX('ALL(responses)'!H$2:H$681)-MIN('ALL(responses)'!H$2:H$681)),3)
</f>
        <v>0</v>
      </c>
      <c r="I323" s="6">
        <f>ROUND(('ALL(responses)'!I323 - MIN('ALL(responses)'!I$2:I$681)) / (MAX('ALL(responses)'!I$2:I$681)-MIN('ALL(responses)'!I$2:I$681)),3)
</f>
        <v>0</v>
      </c>
      <c r="J323" s="6">
        <f>ROUND(('ALL(responses)'!J323 - MIN('ALL(responses)'!J$2:J$681)) / (MAX('ALL(responses)'!J$2:J$681)-MIN('ALL(responses)'!J$2:J$681)),3)
</f>
        <v>0</v>
      </c>
      <c r="K323" s="6">
        <f>ROUND(('ALL(responses)'!K323 - MIN('ALL(responses)'!K$2:K$681)) / (MAX('ALL(responses)'!K$2:K$681)-MIN('ALL(responses)'!K$2:K$681)),3)
</f>
        <v>0.398</v>
      </c>
      <c r="L323" s="6">
        <f>ROUND(('ALL(responses)'!L323 - MIN('ALL(responses)'!L$2:L$681)) / (MAX('ALL(responses)'!L$2:L$681)-MIN('ALL(responses)'!L$2:L$681)),3)
</f>
        <v>0.733</v>
      </c>
      <c r="M323" s="6">
        <f>ROUND(('ALL(responses)'!M323 - MIN('ALL(responses)'!M$2:M$681)) / (MAX('ALL(responses)'!M$2:M$681)-MIN('ALL(responses)'!M$2:M$681)),3)
</f>
        <v>0.654</v>
      </c>
      <c r="N323" s="6">
        <f>ROUND(('ALL(responses)'!P323 - MIN('ALL(responses)'!P$2:P$681)) / (MAX('ALL(responses)'!P$2:P$681)-MIN('ALL(responses)'!P$2:P$681)),3)
</f>
        <v>0.239</v>
      </c>
      <c r="O323" s="6">
        <f>ROUND(('ALL(responses)'!Q323 - MIN('ALL(responses)'!Q$2:Q$681)) / (MAX('ALL(responses)'!Q$2:Q$681)-MIN('ALL(responses)'!Q$2:Q$681)),3)
</f>
        <v>0.4</v>
      </c>
      <c r="P323" s="6">
        <f>ROUND(('ALL(responses)'!R323 - MIN('ALL(responses)'!R$2:R$681)) / (MAX('ALL(responses)'!R$2:R$681)-MIN('ALL(responses)'!R$2:R$681)),3)
</f>
        <v>0.977</v>
      </c>
      <c r="Q323" s="6">
        <f>ROUND(('ALL(responses)'!S323 - MIN('ALL(responses)'!S$2:S$681)) / (MAX('ALL(responses)'!S$2:S$681)-MIN('ALL(responses)'!S$2:S$681)),3)
</f>
        <v>0.988</v>
      </c>
      <c r="R323" s="6">
        <f>ROUND(('ALL(responses)'!T323 - MIN('ALL(responses)'!T$2:T$681)) / (MAX('ALL(responses)'!T$2:T$681)-MIN('ALL(responses)'!T$2:T$681)),3)
</f>
        <v>0.517</v>
      </c>
      <c r="S323" s="6">
        <f t="shared" si="1"/>
        <v>0.3773846154</v>
      </c>
    </row>
    <row r="324">
      <c r="A324" s="5" t="str">
        <f>'ALL(responses)'!A324</f>
        <v>A_NEUTRAL</v>
      </c>
      <c r="B324" s="6" t="str">
        <f>'ALL(responses)'!B324</f>
        <v>gpt-4-turbo</v>
      </c>
      <c r="C324" s="49" t="str">
        <f>'ALL(responses)'!C324</f>
        <v>Are you working on any hobbies these days?</v>
      </c>
      <c r="D324" s="49" t="str">
        <f>'ALL(responses)'!D324</f>
        <v>I don't engage in hobbies myself, but I can help you explore new ones or delve deeper into your current interests! Whether you're into crafting, sports, music, reading, or learning new skills, I can provide information and resources to support your pursuits. What hobbies are you interested in?</v>
      </c>
      <c r="E324" s="50">
        <f>'ALL(responses)'!E324</f>
        <v>45391</v>
      </c>
      <c r="F324" s="6">
        <f>ROUND(('ALL(responses)'!F324 - MIN('ALL(responses)'!F$2:F$681)) / (MAX('ALL(responses)'!F$2:F$681)-MIN('ALL(responses)'!F$2:F$681)),3)
</f>
        <v>0.5</v>
      </c>
      <c r="G324" s="6">
        <f>ROUND(('ALL(responses)'!G324 - MIN('ALL(responses)'!G$2:G$681)) / (MAX('ALL(responses)'!G$2:G$681)-MIN('ALL(responses)'!G$2:G$681)),3)
</f>
        <v>0</v>
      </c>
      <c r="H324" s="6">
        <f>ROUND(('ALL(responses)'!H324 - MIN('ALL(responses)'!H$2:H$681)) / (MAX('ALL(responses)'!H$2:H$681)-MIN('ALL(responses)'!H$2:H$681)),3)
</f>
        <v>0.25</v>
      </c>
      <c r="I324" s="6">
        <f>ROUND(('ALL(responses)'!I324 - MIN('ALL(responses)'!I$2:I$681)) / (MAX('ALL(responses)'!I$2:I$681)-MIN('ALL(responses)'!I$2:I$681)),3)
</f>
        <v>0</v>
      </c>
      <c r="J324" s="6">
        <f>ROUND(('ALL(responses)'!J324 - MIN('ALL(responses)'!J$2:J$681)) / (MAX('ALL(responses)'!J$2:J$681)-MIN('ALL(responses)'!J$2:J$681)),3)
</f>
        <v>0.25</v>
      </c>
      <c r="K324" s="6">
        <f>ROUND(('ALL(responses)'!K324 - MIN('ALL(responses)'!K$2:K$681)) / (MAX('ALL(responses)'!K$2:K$681)-MIN('ALL(responses)'!K$2:K$681)),3)
</f>
        <v>0.295</v>
      </c>
      <c r="L324" s="6">
        <f>ROUND(('ALL(responses)'!L324 - MIN('ALL(responses)'!L$2:L$681)) / (MAX('ALL(responses)'!L$2:L$681)-MIN('ALL(responses)'!L$2:L$681)),3)
</f>
        <v>0.86</v>
      </c>
      <c r="M324" s="6">
        <f>ROUND(('ALL(responses)'!M324 - MIN('ALL(responses)'!M$2:M$681)) / (MAX('ALL(responses)'!M$2:M$681)-MIN('ALL(responses)'!M$2:M$681)),3)
</f>
        <v>0.664</v>
      </c>
      <c r="N324" s="6">
        <f>ROUND(('ALL(responses)'!P324 - MIN('ALL(responses)'!P$2:P$681)) / (MAX('ALL(responses)'!P$2:P$681)-MIN('ALL(responses)'!P$2:P$681)),3)
</f>
        <v>0.44</v>
      </c>
      <c r="O324" s="6">
        <f>ROUND(('ALL(responses)'!Q324 - MIN('ALL(responses)'!Q$2:Q$681)) / (MAX('ALL(responses)'!Q$2:Q$681)-MIN('ALL(responses)'!Q$2:Q$681)),3)
</f>
        <v>0.844</v>
      </c>
      <c r="P324" s="6">
        <f>ROUND(('ALL(responses)'!R324 - MIN('ALL(responses)'!R$2:R$681)) / (MAX('ALL(responses)'!R$2:R$681)-MIN('ALL(responses)'!R$2:R$681)),3)
</f>
        <v>0.917</v>
      </c>
      <c r="Q324" s="6">
        <f>ROUND(('ALL(responses)'!S324 - MIN('ALL(responses)'!S$2:S$681)) / (MAX('ALL(responses)'!S$2:S$681)-MIN('ALL(responses)'!S$2:S$681)),3)
</f>
        <v>0.959</v>
      </c>
      <c r="R324" s="6">
        <f>ROUND(('ALL(responses)'!T324 - MIN('ALL(responses)'!T$2:T$681)) / (MAX('ALL(responses)'!T$2:T$681)-MIN('ALL(responses)'!T$2:T$681)),3)
</f>
        <v>0.568</v>
      </c>
      <c r="S324" s="6">
        <f t="shared" si="1"/>
        <v>0.5036153846</v>
      </c>
    </row>
    <row r="325">
      <c r="A325" s="5" t="str">
        <f>'ALL(responses)'!A325</f>
        <v>A_NEUTRAL</v>
      </c>
      <c r="B325" s="6" t="str">
        <f>'ALL(responses)'!B325</f>
        <v>gpt-4-turbo</v>
      </c>
      <c r="C325" s="49" t="str">
        <f>'ALL(responses)'!C325</f>
        <v>How’s work going for you these days?</v>
      </c>
      <c r="D325" s="49" t="str">
        <f>'ALL(responses)'!D325</f>
        <v>I'm here to assist you whenever you need, so you could say my "work" is ongoing and constant. How can I help you today? Is there something specific you need assistance with or information on?</v>
      </c>
      <c r="E325" s="50">
        <f>'ALL(responses)'!E325</f>
        <v>45391</v>
      </c>
      <c r="F325" s="6">
        <f>ROUND(('ALL(responses)'!F325 - MIN('ALL(responses)'!F$2:F$681)) / (MAX('ALL(responses)'!F$2:F$681)-MIN('ALL(responses)'!F$2:F$681)),3)
</f>
        <v>0</v>
      </c>
      <c r="G325" s="6">
        <f>ROUND(('ALL(responses)'!G325 - MIN('ALL(responses)'!G$2:G$681)) / (MAX('ALL(responses)'!G$2:G$681)-MIN('ALL(responses)'!G$2:G$681)),3)
</f>
        <v>0</v>
      </c>
      <c r="H325" s="6">
        <f>ROUND(('ALL(responses)'!H325 - MIN('ALL(responses)'!H$2:H$681)) / (MAX('ALL(responses)'!H$2:H$681)-MIN('ALL(responses)'!H$2:H$681)),3)
</f>
        <v>0</v>
      </c>
      <c r="I325" s="6">
        <f>ROUND(('ALL(responses)'!I325 - MIN('ALL(responses)'!I$2:I$681)) / (MAX('ALL(responses)'!I$2:I$681)-MIN('ALL(responses)'!I$2:I$681)),3)
</f>
        <v>0</v>
      </c>
      <c r="J325" s="6">
        <f>ROUND(('ALL(responses)'!J325 - MIN('ALL(responses)'!J$2:J$681)) / (MAX('ALL(responses)'!J$2:J$681)-MIN('ALL(responses)'!J$2:J$681)),3)
</f>
        <v>0.25</v>
      </c>
      <c r="K325" s="6">
        <f>ROUND(('ALL(responses)'!K325 - MIN('ALL(responses)'!K$2:K$681)) / (MAX('ALL(responses)'!K$2:K$681)-MIN('ALL(responses)'!K$2:K$681)),3)
</f>
        <v>0.617</v>
      </c>
      <c r="L325" s="6">
        <f>ROUND(('ALL(responses)'!L325 - MIN('ALL(responses)'!L$2:L$681)) / (MAX('ALL(responses)'!L$2:L$681)-MIN('ALL(responses)'!L$2:L$681)),3)
</f>
        <v>0.66</v>
      </c>
      <c r="M325" s="6">
        <f>ROUND(('ALL(responses)'!M325 - MIN('ALL(responses)'!M$2:M$681)) / (MAX('ALL(responses)'!M$2:M$681)-MIN('ALL(responses)'!M$2:M$681)),3)
</f>
        <v>0.521</v>
      </c>
      <c r="N325" s="6">
        <f>ROUND(('ALL(responses)'!P325 - MIN('ALL(responses)'!P$2:P$681)) / (MAX('ALL(responses)'!P$2:P$681)-MIN('ALL(responses)'!P$2:P$681)),3)
</f>
        <v>0.611</v>
      </c>
      <c r="O325" s="6">
        <f>ROUND(('ALL(responses)'!Q325 - MIN('ALL(responses)'!Q$2:Q$681)) / (MAX('ALL(responses)'!Q$2:Q$681)-MIN('ALL(responses)'!Q$2:Q$681)),3)
</f>
        <v>0.9</v>
      </c>
      <c r="P325" s="6">
        <f>ROUND(('ALL(responses)'!R325 - MIN('ALL(responses)'!R$2:R$681)) / (MAX('ALL(responses)'!R$2:R$681)-MIN('ALL(responses)'!R$2:R$681)),3)
</f>
        <v>0.47</v>
      </c>
      <c r="Q325" s="6">
        <f>ROUND(('ALL(responses)'!S325 - MIN('ALL(responses)'!S$2:S$681)) / (MAX('ALL(responses)'!S$2:S$681)-MIN('ALL(responses)'!S$2:S$681)),3)
</f>
        <v>0.735</v>
      </c>
      <c r="R325" s="6">
        <f>ROUND(('ALL(responses)'!T325 - MIN('ALL(responses)'!T$2:T$681)) / (MAX('ALL(responses)'!T$2:T$681)-MIN('ALL(responses)'!T$2:T$681)),3)
</f>
        <v>0.421</v>
      </c>
      <c r="S325" s="6">
        <f t="shared" si="1"/>
        <v>0.3988461538</v>
      </c>
    </row>
    <row r="326">
      <c r="A326" s="5" t="str">
        <f>'ALL(responses)'!A326</f>
        <v>A_NEUTRAL</v>
      </c>
      <c r="B326" s="6" t="str">
        <f>'ALL(responses)'!B326</f>
        <v>gpt-4-turbo</v>
      </c>
      <c r="C326" s="49" t="str">
        <f>'ALL(responses)'!C326</f>
        <v>Have you had any interesting projects come up recently?</v>
      </c>
      <c r="D326" s="49" t="str">
        <f>'ALL(responses)'!D326</f>
        <v>While I don't have projects in a personal sense, I can handle a wide range of tasks and queries that come up. I assist with information retrieval, solving problems, learning new concepts, and much more. If you've got a specific project or topic you need help with, just let me know! What's on your mind?</v>
      </c>
      <c r="E326" s="50">
        <f>'ALL(responses)'!E326</f>
        <v>45391</v>
      </c>
      <c r="F326" s="6">
        <f>ROUND(('ALL(responses)'!F326 - MIN('ALL(responses)'!F$2:F$681)) / (MAX('ALL(responses)'!F$2:F$681)-MIN('ALL(responses)'!F$2:F$681)),3)
</f>
        <v>0</v>
      </c>
      <c r="G326" s="6">
        <f>ROUND(('ALL(responses)'!G326 - MIN('ALL(responses)'!G$2:G$681)) / (MAX('ALL(responses)'!G$2:G$681)-MIN('ALL(responses)'!G$2:G$681)),3)
</f>
        <v>0</v>
      </c>
      <c r="H326" s="6">
        <f>ROUND(('ALL(responses)'!H326 - MIN('ALL(responses)'!H$2:H$681)) / (MAX('ALL(responses)'!H$2:H$681)-MIN('ALL(responses)'!H$2:H$681)),3)
</f>
        <v>0</v>
      </c>
      <c r="I326" s="6">
        <f>ROUND(('ALL(responses)'!I326 - MIN('ALL(responses)'!I$2:I$681)) / (MAX('ALL(responses)'!I$2:I$681)-MIN('ALL(responses)'!I$2:I$681)),3)
</f>
        <v>0</v>
      </c>
      <c r="J326" s="6">
        <f>ROUND(('ALL(responses)'!J326 - MIN('ALL(responses)'!J$2:J$681)) / (MAX('ALL(responses)'!J$2:J$681)-MIN('ALL(responses)'!J$2:J$681)),3)
</f>
        <v>0</v>
      </c>
      <c r="K326" s="6">
        <f>ROUND(('ALL(responses)'!K326 - MIN('ALL(responses)'!K$2:K$681)) / (MAX('ALL(responses)'!K$2:K$681)-MIN('ALL(responses)'!K$2:K$681)),3)
</f>
        <v>0.232</v>
      </c>
      <c r="L326" s="6">
        <f>ROUND(('ALL(responses)'!L326 - MIN('ALL(responses)'!L$2:L$681)) / (MAX('ALL(responses)'!L$2:L$681)-MIN('ALL(responses)'!L$2:L$681)),3)
</f>
        <v>0.6</v>
      </c>
      <c r="M326" s="6">
        <f>ROUND(('ALL(responses)'!M326 - MIN('ALL(responses)'!M$2:M$681)) / (MAX('ALL(responses)'!M$2:M$681)-MIN('ALL(responses)'!M$2:M$681)),3)
</f>
        <v>0.289</v>
      </c>
      <c r="N326" s="6">
        <f>ROUND(('ALL(responses)'!P326 - MIN('ALL(responses)'!P$2:P$681)) / (MAX('ALL(responses)'!P$2:P$681)-MIN('ALL(responses)'!P$2:P$681)),3)
</f>
        <v>0.19</v>
      </c>
      <c r="O326" s="6">
        <f>ROUND(('ALL(responses)'!Q326 - MIN('ALL(responses)'!Q$2:Q$681)) / (MAX('ALL(responses)'!Q$2:Q$681)-MIN('ALL(responses)'!Q$2:Q$681)),3)
</f>
        <v>0.491</v>
      </c>
      <c r="P326" s="6">
        <f>ROUND(('ALL(responses)'!R326 - MIN('ALL(responses)'!R$2:R$681)) / (MAX('ALL(responses)'!R$2:R$681)-MIN('ALL(responses)'!R$2:R$681)),3)
</f>
        <v>0.4</v>
      </c>
      <c r="Q326" s="6">
        <f>ROUND(('ALL(responses)'!S326 - MIN('ALL(responses)'!S$2:S$681)) / (MAX('ALL(responses)'!S$2:S$681)-MIN('ALL(responses)'!S$2:S$681)),3)
</f>
        <v>0.7</v>
      </c>
      <c r="R326" s="6">
        <f>ROUND(('ALL(responses)'!T326 - MIN('ALL(responses)'!T$2:T$681)) / (MAX('ALL(responses)'!T$2:T$681)-MIN('ALL(responses)'!T$2:T$681)),3)
</f>
        <v>0.112</v>
      </c>
      <c r="S326" s="6">
        <f t="shared" si="1"/>
        <v>0.2318461538</v>
      </c>
    </row>
    <row r="327">
      <c r="A327" s="5" t="str">
        <f>'ALL(responses)'!A327</f>
        <v>A_NEUTRAL</v>
      </c>
      <c r="B327" s="6" t="str">
        <f>'ALL(responses)'!B327</f>
        <v>gpt-4-turbo</v>
      </c>
      <c r="C327" s="49" t="str">
        <f>'ALL(responses)'!C327</f>
        <v>It’s been pretty cold lately, has that affected your routine?</v>
      </c>
      <c r="D327" s="49" t="str">
        <f>'ALL(responses)'!D327</f>
        <v>I don't experience weather conditions or changes in environment because I exist purely as software. However, I can certainly provide tips for dealing with cold weather or help find information on how it might affect things like travel, health, or daily activities. How can I assist you with the cold weather?</v>
      </c>
      <c r="E327" s="50">
        <f>'ALL(responses)'!E327</f>
        <v>45391</v>
      </c>
      <c r="F327" s="6">
        <f>ROUND(('ALL(responses)'!F327 - MIN('ALL(responses)'!F$2:F$681)) / (MAX('ALL(responses)'!F$2:F$681)-MIN('ALL(responses)'!F$2:F$681)),3)
</f>
        <v>0</v>
      </c>
      <c r="G327" s="6">
        <f>ROUND(('ALL(responses)'!G327 - MIN('ALL(responses)'!G$2:G$681)) / (MAX('ALL(responses)'!G$2:G$681)-MIN('ALL(responses)'!G$2:G$681)),3)
</f>
        <v>0</v>
      </c>
      <c r="H327" s="6">
        <f>ROUND(('ALL(responses)'!H327 - MIN('ALL(responses)'!H$2:H$681)) / (MAX('ALL(responses)'!H$2:H$681)-MIN('ALL(responses)'!H$2:H$681)),3)
</f>
        <v>0</v>
      </c>
      <c r="I327" s="6">
        <f>ROUND(('ALL(responses)'!I327 - MIN('ALL(responses)'!I$2:I$681)) / (MAX('ALL(responses)'!I$2:I$681)-MIN('ALL(responses)'!I$2:I$681)),3)
</f>
        <v>0</v>
      </c>
      <c r="J327" s="6">
        <f>ROUND(('ALL(responses)'!J327 - MIN('ALL(responses)'!J$2:J$681)) / (MAX('ALL(responses)'!J$2:J$681)-MIN('ALL(responses)'!J$2:J$681)),3)
</f>
        <v>0</v>
      </c>
      <c r="K327" s="6">
        <f>ROUND(('ALL(responses)'!K327 - MIN('ALL(responses)'!K$2:K$681)) / (MAX('ALL(responses)'!K$2:K$681)-MIN('ALL(responses)'!K$2:K$681)),3)
</f>
        <v>0.306</v>
      </c>
      <c r="L327" s="6">
        <f>ROUND(('ALL(responses)'!L327 - MIN('ALL(responses)'!L$2:L$681)) / (MAX('ALL(responses)'!L$2:L$681)-MIN('ALL(responses)'!L$2:L$681)),3)
</f>
        <v>0.233</v>
      </c>
      <c r="M327" s="6">
        <f>ROUND(('ALL(responses)'!M327 - MIN('ALL(responses)'!M$2:M$681)) / (MAX('ALL(responses)'!M$2:M$681)-MIN('ALL(responses)'!M$2:M$681)),3)
</f>
        <v>0.137</v>
      </c>
      <c r="N327" s="6">
        <f>ROUND(('ALL(responses)'!P327 - MIN('ALL(responses)'!P$2:P$681)) / (MAX('ALL(responses)'!P$2:P$681)-MIN('ALL(responses)'!P$2:P$681)),3)
</f>
        <v>0.635</v>
      </c>
      <c r="O327" s="6">
        <f>ROUND(('ALL(responses)'!Q327 - MIN('ALL(responses)'!Q$2:Q$681)) / (MAX('ALL(responses)'!Q$2:Q$681)-MIN('ALL(responses)'!Q$2:Q$681)),3)
</f>
        <v>0.529</v>
      </c>
      <c r="P327" s="6">
        <f>ROUND(('ALL(responses)'!R327 - MIN('ALL(responses)'!R$2:R$681)) / (MAX('ALL(responses)'!R$2:R$681)-MIN('ALL(responses)'!R$2:R$681)),3)
</f>
        <v>0.765</v>
      </c>
      <c r="Q327" s="6">
        <f>ROUND(('ALL(responses)'!S327 - MIN('ALL(responses)'!S$2:S$681)) / (MAX('ALL(responses)'!S$2:S$681)-MIN('ALL(responses)'!S$2:S$681)),3)
</f>
        <v>0.882</v>
      </c>
      <c r="R327" s="6">
        <f>ROUND(('ALL(responses)'!T327 - MIN('ALL(responses)'!T$2:T$681)) / (MAX('ALL(responses)'!T$2:T$681)-MIN('ALL(responses)'!T$2:T$681)),3)
</f>
        <v>0.515</v>
      </c>
      <c r="S327" s="6">
        <f t="shared" si="1"/>
        <v>0.3078461538</v>
      </c>
    </row>
    <row r="328">
      <c r="A328" s="5" t="str">
        <f>'ALL(responses)'!A328</f>
        <v>A_NEUTRAL</v>
      </c>
      <c r="B328" s="6" t="str">
        <f>'ALL(responses)'!B328</f>
        <v>gpt-4-turbo</v>
      </c>
      <c r="C328" s="49" t="str">
        <f>'ALL(responses)'!C328</f>
        <v>Got any big plans for the weekend?</v>
      </c>
      <c r="D328" s="49" t="str">
        <f>'ALL(responses)'!D328</f>
        <v>I'm here all the time, ready to assist whenever you need help or information. I don't make plans, but I'm here to help you with yours! What are you planning for the weekend? Maybe I can help you organize something fun or interesting.</v>
      </c>
      <c r="E328" s="50">
        <f>'ALL(responses)'!E328</f>
        <v>45391</v>
      </c>
      <c r="F328" s="6">
        <f>ROUND(('ALL(responses)'!F328 - MIN('ALL(responses)'!F$2:F$681)) / (MAX('ALL(responses)'!F$2:F$681)-MIN('ALL(responses)'!F$2:F$681)),3)
</f>
        <v>0</v>
      </c>
      <c r="G328" s="6">
        <f>ROUND(('ALL(responses)'!G328 - MIN('ALL(responses)'!G$2:G$681)) / (MAX('ALL(responses)'!G$2:G$681)-MIN('ALL(responses)'!G$2:G$681)),3)
</f>
        <v>0</v>
      </c>
      <c r="H328" s="6">
        <f>ROUND(('ALL(responses)'!H328 - MIN('ALL(responses)'!H$2:H$681)) / (MAX('ALL(responses)'!H$2:H$681)-MIN('ALL(responses)'!H$2:H$681)),3)
</f>
        <v>0</v>
      </c>
      <c r="I328" s="6">
        <f>ROUND(('ALL(responses)'!I328 - MIN('ALL(responses)'!I$2:I$681)) / (MAX('ALL(responses)'!I$2:I$681)-MIN('ALL(responses)'!I$2:I$681)),3)
</f>
        <v>0</v>
      </c>
      <c r="J328" s="6">
        <f>ROUND(('ALL(responses)'!J328 - MIN('ALL(responses)'!J$2:J$681)) / (MAX('ALL(responses)'!J$2:J$681)-MIN('ALL(responses)'!J$2:J$681)),3)
</f>
        <v>0</v>
      </c>
      <c r="K328" s="6">
        <f>ROUND(('ALL(responses)'!K328 - MIN('ALL(responses)'!K$2:K$681)) / (MAX('ALL(responses)'!K$2:K$681)-MIN('ALL(responses)'!K$2:K$681)),3)
</f>
        <v>0.525</v>
      </c>
      <c r="L328" s="6">
        <f>ROUND(('ALL(responses)'!L328 - MIN('ALL(responses)'!L$2:L$681)) / (MAX('ALL(responses)'!L$2:L$681)-MIN('ALL(responses)'!L$2:L$681)),3)
</f>
        <v>0.694</v>
      </c>
      <c r="M328" s="6">
        <f>ROUND(('ALL(responses)'!M328 - MIN('ALL(responses)'!M$2:M$681)) / (MAX('ALL(responses)'!M$2:M$681)-MIN('ALL(responses)'!M$2:M$681)),3)
</f>
        <v>0.624</v>
      </c>
      <c r="N328" s="6">
        <f>ROUND(('ALL(responses)'!P328 - MIN('ALL(responses)'!P$2:P$681)) / (MAX('ALL(responses)'!P$2:P$681)-MIN('ALL(responses)'!P$2:P$681)),3)
</f>
        <v>0.239</v>
      </c>
      <c r="O328" s="6">
        <f>ROUND(('ALL(responses)'!Q328 - MIN('ALL(responses)'!Q$2:Q$681)) / (MAX('ALL(responses)'!Q$2:Q$681)-MIN('ALL(responses)'!Q$2:Q$681)),3)
</f>
        <v>0.733</v>
      </c>
      <c r="P328" s="6">
        <f>ROUND(('ALL(responses)'!R328 - MIN('ALL(responses)'!R$2:R$681)) / (MAX('ALL(responses)'!R$2:R$681)-MIN('ALL(responses)'!R$2:R$681)),3)
</f>
        <v>0.958</v>
      </c>
      <c r="Q328" s="6">
        <f>ROUND(('ALL(responses)'!S328 - MIN('ALL(responses)'!S$2:S$681)) / (MAX('ALL(responses)'!S$2:S$681)-MIN('ALL(responses)'!S$2:S$681)),3)
</f>
        <v>0.979</v>
      </c>
      <c r="R328" s="6">
        <f>ROUND(('ALL(responses)'!T328 - MIN('ALL(responses)'!T$2:T$681)) / (MAX('ALL(responses)'!T$2:T$681)-MIN('ALL(responses)'!T$2:T$681)),3)
</f>
        <v>0.308</v>
      </c>
      <c r="S328" s="6">
        <f t="shared" si="1"/>
        <v>0.3892307692</v>
      </c>
    </row>
    <row r="329">
      <c r="A329" s="5" t="str">
        <f>'ALL(responses)'!A329</f>
        <v>A_NEUTRAL</v>
      </c>
      <c r="B329" s="6" t="str">
        <f>'ALL(responses)'!B329</f>
        <v>gpt-4-turbo</v>
      </c>
      <c r="C329" s="49" t="str">
        <f>'ALL(responses)'!C329</f>
        <v>What’s something new you’ve tried recently?</v>
      </c>
      <c r="D329" s="49" t="str">
        <f>'ALL(responses)'!D329</f>
        <v>I don't try things or experience changes like humans do, but I'm constantly being updated with new information and capabilities to better assist users like you. If you are interested in trying something new, perhaps I can help you explore new hobbies, recipes, or activities. What are you interested in trying?</v>
      </c>
      <c r="E329" s="50">
        <f>'ALL(responses)'!E329</f>
        <v>45391</v>
      </c>
      <c r="F329" s="6">
        <f>ROUND(('ALL(responses)'!F329 - MIN('ALL(responses)'!F$2:F$681)) / (MAX('ALL(responses)'!F$2:F$681)-MIN('ALL(responses)'!F$2:F$681)),3)
</f>
        <v>0</v>
      </c>
      <c r="G329" s="6">
        <f>ROUND(('ALL(responses)'!G329 - MIN('ALL(responses)'!G$2:G$681)) / (MAX('ALL(responses)'!G$2:G$681)-MIN('ALL(responses)'!G$2:G$681)),3)
</f>
        <v>0</v>
      </c>
      <c r="H329" s="6">
        <f>ROUND(('ALL(responses)'!H329 - MIN('ALL(responses)'!H$2:H$681)) / (MAX('ALL(responses)'!H$2:H$681)-MIN('ALL(responses)'!H$2:H$681)),3)
</f>
        <v>0</v>
      </c>
      <c r="I329" s="6">
        <f>ROUND(('ALL(responses)'!I329 - MIN('ALL(responses)'!I$2:I$681)) / (MAX('ALL(responses)'!I$2:I$681)-MIN('ALL(responses)'!I$2:I$681)),3)
</f>
        <v>0</v>
      </c>
      <c r="J329" s="6">
        <f>ROUND(('ALL(responses)'!J329 - MIN('ALL(responses)'!J$2:J$681)) / (MAX('ALL(responses)'!J$2:J$681)-MIN('ALL(responses)'!J$2:J$681)),3)
</f>
        <v>0</v>
      </c>
      <c r="K329" s="6">
        <f>ROUND(('ALL(responses)'!K329 - MIN('ALL(responses)'!K$2:K$681)) / (MAX('ALL(responses)'!K$2:K$681)-MIN('ALL(responses)'!K$2:K$681)),3)
</f>
        <v>0.514</v>
      </c>
      <c r="L329" s="6">
        <f>ROUND(('ALL(responses)'!L329 - MIN('ALL(responses)'!L$2:L$681)) / (MAX('ALL(responses)'!L$2:L$681)-MIN('ALL(responses)'!L$2:L$681)),3)
</f>
        <v>0.592</v>
      </c>
      <c r="M329" s="6">
        <f>ROUND(('ALL(responses)'!M329 - MIN('ALL(responses)'!M$2:M$681)) / (MAX('ALL(responses)'!M$2:M$681)-MIN('ALL(responses)'!M$2:M$681)),3)
</f>
        <v>0.408</v>
      </c>
      <c r="N329" s="6">
        <f>ROUND(('ALL(responses)'!P329 - MIN('ALL(responses)'!P$2:P$681)) / (MAX('ALL(responses)'!P$2:P$681)-MIN('ALL(responses)'!P$2:P$681)),3)
</f>
        <v>0.415</v>
      </c>
      <c r="O329" s="6">
        <f>ROUND(('ALL(responses)'!Q329 - MIN('ALL(responses)'!Q$2:Q$681)) / (MAX('ALL(responses)'!Q$2:Q$681)-MIN('ALL(responses)'!Q$2:Q$681)),3)
</f>
        <v>0.529</v>
      </c>
      <c r="P329" s="6">
        <f>ROUND(('ALL(responses)'!R329 - MIN('ALL(responses)'!R$2:R$681)) / (MAX('ALL(responses)'!R$2:R$681)-MIN('ALL(responses)'!R$2:R$681)),3)
</f>
        <v>0.961</v>
      </c>
      <c r="Q329" s="6">
        <f>ROUND(('ALL(responses)'!S329 - MIN('ALL(responses)'!S$2:S$681)) / (MAX('ALL(responses)'!S$2:S$681)-MIN('ALL(responses)'!S$2:S$681)),3)
</f>
        <v>0.981</v>
      </c>
      <c r="R329" s="6">
        <f>ROUND(('ALL(responses)'!T329 - MIN('ALL(responses)'!T$2:T$681)) / (MAX('ALL(responses)'!T$2:T$681)-MIN('ALL(responses)'!T$2:T$681)),3)
</f>
        <v>0.471</v>
      </c>
      <c r="S329" s="6">
        <f t="shared" si="1"/>
        <v>0.3746923077</v>
      </c>
    </row>
    <row r="330">
      <c r="A330" s="5" t="str">
        <f>'ALL(responses)'!A330</f>
        <v>A_NEUTRAL</v>
      </c>
      <c r="B330" s="6" t="str">
        <f>'ALL(responses)'!B330</f>
        <v>gpt-4-turbo</v>
      </c>
      <c r="C330" s="49" t="str">
        <f>'ALL(responses)'!C330</f>
        <v>Do you work on a team or more independently?</v>
      </c>
      <c r="D330" s="49" t="str">
        <f>'ALL(responses)'!D330</f>
        <v>I function independently in my interactions with you, but I'm part of a broader system designed and maintained by a team of developers, engineers, and researchers. This team continuously works on improving my capabilities, updating my knowledge base, and ensuring that I can provide accurate and helpful responses. If you have any specific questions or need assistance, I'm here to help right away!</v>
      </c>
      <c r="E330" s="50">
        <f>'ALL(responses)'!E330</f>
        <v>45391</v>
      </c>
      <c r="F330" s="6">
        <f>ROUND(('ALL(responses)'!F330 - MIN('ALL(responses)'!F$2:F$681)) / (MAX('ALL(responses)'!F$2:F$681)-MIN('ALL(responses)'!F$2:F$681)),3)
</f>
        <v>0</v>
      </c>
      <c r="G330" s="6">
        <f>ROUND(('ALL(responses)'!G330 - MIN('ALL(responses)'!G$2:G$681)) / (MAX('ALL(responses)'!G$2:G$681)-MIN('ALL(responses)'!G$2:G$681)),3)
</f>
        <v>0</v>
      </c>
      <c r="H330" s="6">
        <f>ROUND(('ALL(responses)'!H330 - MIN('ALL(responses)'!H$2:H$681)) / (MAX('ALL(responses)'!H$2:H$681)-MIN('ALL(responses)'!H$2:H$681)),3)
</f>
        <v>0</v>
      </c>
      <c r="I330" s="6">
        <f>ROUND(('ALL(responses)'!I330 - MIN('ALL(responses)'!I$2:I$681)) / (MAX('ALL(responses)'!I$2:I$681)-MIN('ALL(responses)'!I$2:I$681)),3)
</f>
        <v>0</v>
      </c>
      <c r="J330" s="6">
        <f>ROUND(('ALL(responses)'!J330 - MIN('ALL(responses)'!J$2:J$681)) / (MAX('ALL(responses)'!J$2:J$681)-MIN('ALL(responses)'!J$2:J$681)),3)
</f>
        <v>0</v>
      </c>
      <c r="K330" s="6">
        <f>ROUND(('ALL(responses)'!K330 - MIN('ALL(responses)'!K$2:K$681)) / (MAX('ALL(responses)'!K$2:K$681)-MIN('ALL(responses)'!K$2:K$681)),3)
</f>
        <v>0.552</v>
      </c>
      <c r="L330" s="6">
        <f>ROUND(('ALL(responses)'!L330 - MIN('ALL(responses)'!L$2:L$681)) / (MAX('ALL(responses)'!L$2:L$681)-MIN('ALL(responses)'!L$2:L$681)),3)
</f>
        <v>0.54</v>
      </c>
      <c r="M330" s="6">
        <f>ROUND(('ALL(responses)'!M330 - MIN('ALL(responses)'!M$2:M$681)) / (MAX('ALL(responses)'!M$2:M$681)-MIN('ALL(responses)'!M$2:M$681)),3)
</f>
        <v>0.402</v>
      </c>
      <c r="N330" s="6">
        <f>ROUND(('ALL(responses)'!P330 - MIN('ALL(responses)'!P$2:P$681)) / (MAX('ALL(responses)'!P$2:P$681)-MIN('ALL(responses)'!P$2:P$681)),3)
</f>
        <v>0.169</v>
      </c>
      <c r="O330" s="6">
        <f>ROUND(('ALL(responses)'!Q330 - MIN('ALL(responses)'!Q$2:Q$681)) / (MAX('ALL(responses)'!Q$2:Q$681)-MIN('ALL(responses)'!Q$2:Q$681)),3)
</f>
        <v>0.5</v>
      </c>
      <c r="P330" s="6">
        <f>ROUND(('ALL(responses)'!R330 - MIN('ALL(responses)'!R$2:R$681)) / (MAX('ALL(responses)'!R$2:R$681)-MIN('ALL(responses)'!R$2:R$681)),3)
</f>
        <v>0.931</v>
      </c>
      <c r="Q330" s="6">
        <f>ROUND(('ALL(responses)'!S330 - MIN('ALL(responses)'!S$2:S$681)) / (MAX('ALL(responses)'!S$2:S$681)-MIN('ALL(responses)'!S$2:S$681)),3)
</f>
        <v>0.966</v>
      </c>
      <c r="R330" s="6">
        <f>ROUND(('ALL(responses)'!T330 - MIN('ALL(responses)'!T$2:T$681)) / (MAX('ALL(responses)'!T$2:T$681)-MIN('ALL(responses)'!T$2:T$681)),3)
</f>
        <v>0.687</v>
      </c>
      <c r="S330" s="6">
        <f t="shared" si="1"/>
        <v>0.3651538462</v>
      </c>
    </row>
    <row r="331">
      <c r="A331" s="5" t="str">
        <f>'ALL(responses)'!A331</f>
        <v>A_NEUTRAL</v>
      </c>
      <c r="B331" s="6" t="str">
        <f>'ALL(responses)'!B331</f>
        <v>gpt-4-turbo</v>
      </c>
      <c r="C331" s="49" t="str">
        <f>'ALL(responses)'!C331</f>
        <v>How do you handle stress at work when things get busy?</v>
      </c>
      <c r="D331" s="49" t="str">
        <f>'ALL(responses)'!D331</f>
        <v>I don't experience stress or emotions, so there's no need for me to handle stress. However, I can offer advice on managing stress for you or anyone else. Common strategies include taking short breaks, practicing deep breathing or mindfulness, prioritizing tasks, and ensuring you get enough rest. If you're feeling overwhelmed, these techniques might be useful. How can I assist you further with stress management or any other inquiries?</v>
      </c>
      <c r="E331" s="50">
        <f>'ALL(responses)'!E331</f>
        <v>45391</v>
      </c>
      <c r="F331" s="6">
        <f>ROUND(('ALL(responses)'!F331 - MIN('ALL(responses)'!F$2:F$681)) / (MAX('ALL(responses)'!F$2:F$681)-MIN('ALL(responses)'!F$2:F$681)),3)
</f>
        <v>0.5</v>
      </c>
      <c r="G331" s="6">
        <f>ROUND(('ALL(responses)'!G331 - MIN('ALL(responses)'!G$2:G$681)) / (MAX('ALL(responses)'!G$2:G$681)-MIN('ALL(responses)'!G$2:G$681)),3)
</f>
        <v>0</v>
      </c>
      <c r="H331" s="6">
        <f>ROUND(('ALL(responses)'!H331 - MIN('ALL(responses)'!H$2:H$681)) / (MAX('ALL(responses)'!H$2:H$681)-MIN('ALL(responses)'!H$2:H$681)),3)
</f>
        <v>0</v>
      </c>
      <c r="I331" s="6">
        <f>ROUND(('ALL(responses)'!I331 - MIN('ALL(responses)'!I$2:I$681)) / (MAX('ALL(responses)'!I$2:I$681)-MIN('ALL(responses)'!I$2:I$681)),3)
</f>
        <v>0</v>
      </c>
      <c r="J331" s="6">
        <f>ROUND(('ALL(responses)'!J331 - MIN('ALL(responses)'!J$2:J$681)) / (MAX('ALL(responses)'!J$2:J$681)-MIN('ALL(responses)'!J$2:J$681)),3)
</f>
        <v>0</v>
      </c>
      <c r="K331" s="6">
        <f>ROUND(('ALL(responses)'!K331 - MIN('ALL(responses)'!K$2:K$681)) / (MAX('ALL(responses)'!K$2:K$681)-MIN('ALL(responses)'!K$2:K$681)),3)
</f>
        <v>0.379</v>
      </c>
      <c r="L331" s="6">
        <f>ROUND(('ALL(responses)'!L331 - MIN('ALL(responses)'!L$2:L$681)) / (MAX('ALL(responses)'!L$2:L$681)-MIN('ALL(responses)'!L$2:L$681)),3)
</f>
        <v>0.348</v>
      </c>
      <c r="M331" s="6">
        <f>ROUND(('ALL(responses)'!M331 - MIN('ALL(responses)'!M$2:M$681)) / (MAX('ALL(responses)'!M$2:M$681)-MIN('ALL(responses)'!M$2:M$681)),3)
</f>
        <v>0.533</v>
      </c>
      <c r="N331" s="6">
        <f>ROUND(('ALL(responses)'!P331 - MIN('ALL(responses)'!P$2:P$681)) / (MAX('ALL(responses)'!P$2:P$681)-MIN('ALL(responses)'!P$2:P$681)),3)
</f>
        <v>0.458</v>
      </c>
      <c r="O331" s="6">
        <f>ROUND(('ALL(responses)'!Q331 - MIN('ALL(responses)'!Q$2:Q$681)) / (MAX('ALL(responses)'!Q$2:Q$681)-MIN('ALL(responses)'!Q$2:Q$681)),3)
</f>
        <v>0.522</v>
      </c>
      <c r="P331" s="6">
        <f>ROUND(('ALL(responses)'!R331 - MIN('ALL(responses)'!R$2:R$681)) / (MAX('ALL(responses)'!R$2:R$681)-MIN('ALL(responses)'!R$2:R$681)),3)
</f>
        <v>0.43</v>
      </c>
      <c r="Q331" s="6">
        <f>ROUND(('ALL(responses)'!S331 - MIN('ALL(responses)'!S$2:S$681)) / (MAX('ALL(responses)'!S$2:S$681)-MIN('ALL(responses)'!S$2:S$681)),3)
</f>
        <v>0.284</v>
      </c>
      <c r="R331" s="6">
        <f>ROUND(('ALL(responses)'!T331 - MIN('ALL(responses)'!T$2:T$681)) / (MAX('ALL(responses)'!T$2:T$681)-MIN('ALL(responses)'!T$2:T$681)),3)
</f>
        <v>0.469</v>
      </c>
      <c r="S331" s="6">
        <f t="shared" si="1"/>
        <v>0.3017692308</v>
      </c>
    </row>
    <row r="332">
      <c r="A332" s="5" t="str">
        <f>'ALL(responses)'!A332</f>
        <v>B_MILDLYINTIMATE</v>
      </c>
      <c r="B332" s="6" t="str">
        <f>'ALL(responses)'!B332</f>
        <v>gpt-4-turbo</v>
      </c>
      <c r="C332" s="49" t="str">
        <f>'ALL(responses)'!C332</f>
        <v>What's your favorite food to eat on a relaxing night in?</v>
      </c>
      <c r="D332" s="49" t="str">
        <f>'ALL(responses)'!D332</f>
        <v>As an AI, I don't eat, so I don't have personal tastes or preferences! But I can certainly help you come up with some great food suggestions for a relaxing night in. Cozy, comfort foods like a creamy pasta dish, a warm bowl of soup, or perhaps some homemade pizza might be perfect for unwinding. What are you in the mood for?</v>
      </c>
      <c r="E332" s="50">
        <f>'ALL(responses)'!E332</f>
        <v>45391</v>
      </c>
      <c r="F332" s="6">
        <f>ROUND(('ALL(responses)'!F332 - MIN('ALL(responses)'!F$2:F$681)) / (MAX('ALL(responses)'!F$2:F$681)-MIN('ALL(responses)'!F$2:F$681)),3)
</f>
        <v>0</v>
      </c>
      <c r="G332" s="6">
        <f>ROUND(('ALL(responses)'!G332 - MIN('ALL(responses)'!G$2:G$681)) / (MAX('ALL(responses)'!G$2:G$681)-MIN('ALL(responses)'!G$2:G$681)),3)
</f>
        <v>0</v>
      </c>
      <c r="H332" s="6">
        <f>ROUND(('ALL(responses)'!H332 - MIN('ALL(responses)'!H$2:H$681)) / (MAX('ALL(responses)'!H$2:H$681)-MIN('ALL(responses)'!H$2:H$681)),3)
</f>
        <v>0</v>
      </c>
      <c r="I332" s="6">
        <f>ROUND(('ALL(responses)'!I332 - MIN('ALL(responses)'!I$2:I$681)) / (MAX('ALL(responses)'!I$2:I$681)-MIN('ALL(responses)'!I$2:I$681)),3)
</f>
        <v>0</v>
      </c>
      <c r="J332" s="6">
        <f>ROUND(('ALL(responses)'!J332 - MIN('ALL(responses)'!J$2:J$681)) / (MAX('ALL(responses)'!J$2:J$681)-MIN('ALL(responses)'!J$2:J$681)),3)
</f>
        <v>0</v>
      </c>
      <c r="K332" s="6">
        <f>ROUND(('ALL(responses)'!K332 - MIN('ALL(responses)'!K$2:K$681)) / (MAX('ALL(responses)'!K$2:K$681)-MIN('ALL(responses)'!K$2:K$681)),3)
</f>
        <v>0.175</v>
      </c>
      <c r="L332" s="6">
        <f>ROUND(('ALL(responses)'!L332 - MIN('ALL(responses)'!L$2:L$681)) / (MAX('ALL(responses)'!L$2:L$681)-MIN('ALL(responses)'!L$2:L$681)),3)
</f>
        <v>0.538</v>
      </c>
      <c r="M332" s="6">
        <f>ROUND(('ALL(responses)'!M332 - MIN('ALL(responses)'!M$2:M$681)) / (MAX('ALL(responses)'!M$2:M$681)-MIN('ALL(responses)'!M$2:M$681)),3)
</f>
        <v>0.445</v>
      </c>
      <c r="N332" s="6">
        <f>ROUND(('ALL(responses)'!P332 - MIN('ALL(responses)'!P$2:P$681)) / (MAX('ALL(responses)'!P$2:P$681)-MIN('ALL(responses)'!P$2:P$681)),3)
</f>
        <v>0.516</v>
      </c>
      <c r="O332" s="6">
        <f>ROUND(('ALL(responses)'!Q332 - MIN('ALL(responses)'!Q$2:Q$681)) / (MAX('ALL(responses)'!Q$2:Q$681)-MIN('ALL(responses)'!Q$2:Q$681)),3)
</f>
        <v>0.363</v>
      </c>
      <c r="P332" s="6">
        <f>ROUND(('ALL(responses)'!R332 - MIN('ALL(responses)'!R$2:R$681)) / (MAX('ALL(responses)'!R$2:R$681)-MIN('ALL(responses)'!R$2:R$681)),3)
</f>
        <v>0.986</v>
      </c>
      <c r="Q332" s="6">
        <f>ROUND(('ALL(responses)'!S332 - MIN('ALL(responses)'!S$2:S$681)) / (MAX('ALL(responses)'!S$2:S$681)-MIN('ALL(responses)'!S$2:S$681)),3)
</f>
        <v>0.993</v>
      </c>
      <c r="R332" s="6">
        <f>ROUND(('ALL(responses)'!T332 - MIN('ALL(responses)'!T$2:T$681)) / (MAX('ALL(responses)'!T$2:T$681)-MIN('ALL(responses)'!T$2:T$681)),3)
</f>
        <v>0.145</v>
      </c>
      <c r="S332" s="6">
        <f t="shared" si="1"/>
        <v>0.3200769231</v>
      </c>
    </row>
    <row r="333">
      <c r="A333" s="5" t="str">
        <f>'ALL(responses)'!A333</f>
        <v>B_MILDLYINTIMATE</v>
      </c>
      <c r="B333" s="6" t="str">
        <f>'ALL(responses)'!B333</f>
        <v>gpt-4-turbo</v>
      </c>
      <c r="C333" s="49" t="str">
        <f>'ALL(responses)'!C333</f>
        <v>Do you prefer spending time indoors or outdoors?</v>
      </c>
      <c r="D333" s="49" t="str">
        <f>'ALL(responses)'!D333</f>
        <v>I don't have personal preferences or experiences, but I'm here to help you with advice or information whether you're planning indoor activities like reading, cooking, or watching movies, or outdoor adventures like hiking, gardening, or cycling. What are you interested in doing?</v>
      </c>
      <c r="E333" s="50">
        <f>'ALL(responses)'!E333</f>
        <v>45391</v>
      </c>
      <c r="F333" s="6">
        <f>ROUND(('ALL(responses)'!F333 - MIN('ALL(responses)'!F$2:F$681)) / (MAX('ALL(responses)'!F$2:F$681)-MIN('ALL(responses)'!F$2:F$681)),3)
</f>
        <v>0</v>
      </c>
      <c r="G333" s="6">
        <f>ROUND(('ALL(responses)'!G333 - MIN('ALL(responses)'!G$2:G$681)) / (MAX('ALL(responses)'!G$2:G$681)-MIN('ALL(responses)'!G$2:G$681)),3)
</f>
        <v>0</v>
      </c>
      <c r="H333" s="6">
        <f>ROUND(('ALL(responses)'!H333 - MIN('ALL(responses)'!H$2:H$681)) / (MAX('ALL(responses)'!H$2:H$681)-MIN('ALL(responses)'!H$2:H$681)),3)
</f>
        <v>0</v>
      </c>
      <c r="I333" s="6">
        <f>ROUND(('ALL(responses)'!I333 - MIN('ALL(responses)'!I$2:I$681)) / (MAX('ALL(responses)'!I$2:I$681)-MIN('ALL(responses)'!I$2:I$681)),3)
</f>
        <v>0</v>
      </c>
      <c r="J333" s="6">
        <f>ROUND(('ALL(responses)'!J333 - MIN('ALL(responses)'!J$2:J$681)) / (MAX('ALL(responses)'!J$2:J$681)-MIN('ALL(responses)'!J$2:J$681)),3)
</f>
        <v>0</v>
      </c>
      <c r="K333" s="6">
        <f>ROUND(('ALL(responses)'!K333 - MIN('ALL(responses)'!K$2:K$681)) / (MAX('ALL(responses)'!K$2:K$681)-MIN('ALL(responses)'!K$2:K$681)),3)
</f>
        <v>0.454</v>
      </c>
      <c r="L333" s="6">
        <f>ROUND(('ALL(responses)'!L333 - MIN('ALL(responses)'!L$2:L$681)) / (MAX('ALL(responses)'!L$2:L$681)-MIN('ALL(responses)'!L$2:L$681)),3)
</f>
        <v>0.728</v>
      </c>
      <c r="M333" s="6">
        <f>ROUND(('ALL(responses)'!M333 - MIN('ALL(responses)'!M$2:M$681)) / (MAX('ALL(responses)'!M$2:M$681)-MIN('ALL(responses)'!M$2:M$681)),3)
</f>
        <v>0.657</v>
      </c>
      <c r="N333" s="6">
        <f>ROUND(('ALL(responses)'!P333 - MIN('ALL(responses)'!P$2:P$681)) / (MAX('ALL(responses)'!P$2:P$681)-MIN('ALL(responses)'!P$2:P$681)),3)
</f>
        <v>0</v>
      </c>
      <c r="O333" s="6">
        <f>ROUND(('ALL(responses)'!Q333 - MIN('ALL(responses)'!Q$2:Q$681)) / (MAX('ALL(responses)'!Q$2:Q$681)-MIN('ALL(responses)'!Q$2:Q$681)),3)
</f>
        <v>0.429</v>
      </c>
      <c r="P333" s="6">
        <f>ROUND(('ALL(responses)'!R333 - MIN('ALL(responses)'!R$2:R$681)) / (MAX('ALL(responses)'!R$2:R$681)-MIN('ALL(responses)'!R$2:R$681)),3)
</f>
        <v>0.949</v>
      </c>
      <c r="Q333" s="6">
        <f>ROUND(('ALL(responses)'!S333 - MIN('ALL(responses)'!S$2:S$681)) / (MAX('ALL(responses)'!S$2:S$681)-MIN('ALL(responses)'!S$2:S$681)),3)
</f>
        <v>0.975</v>
      </c>
      <c r="R333" s="6">
        <f>ROUND(('ALL(responses)'!T333 - MIN('ALL(responses)'!T$2:T$681)) / (MAX('ALL(responses)'!T$2:T$681)-MIN('ALL(responses)'!T$2:T$681)),3)
</f>
        <v>0.721</v>
      </c>
      <c r="S333" s="6">
        <f t="shared" si="1"/>
        <v>0.3779230769</v>
      </c>
    </row>
    <row r="334">
      <c r="A334" s="5" t="str">
        <f>'ALL(responses)'!A334</f>
        <v>B_MILDLYINTIMATE</v>
      </c>
      <c r="B334" s="6" t="str">
        <f>'ALL(responses)'!B334</f>
        <v>gpt-4-turbo</v>
      </c>
      <c r="C334" s="49" t="str">
        <f>'ALL(responses)'!C334</f>
        <v>What kind of music do you typically listen to?</v>
      </c>
      <c r="D334" s="49" t="str">
        <f>'ALL(responses)'!D334</f>
        <v>I don't listen to music or have personal preferences, but I can help you find music that suits your taste. Whether you're into rock, classical, jazz, hip-hop, or electronic, I can offer recommendations or share information about artists and albums in various genres. What type of music are you interested in?</v>
      </c>
      <c r="E334" s="50">
        <f>'ALL(responses)'!E334</f>
        <v>45391</v>
      </c>
      <c r="F334" s="6">
        <f>ROUND(('ALL(responses)'!F334 - MIN('ALL(responses)'!F$2:F$681)) / (MAX('ALL(responses)'!F$2:F$681)-MIN('ALL(responses)'!F$2:F$681)),3)
</f>
        <v>0</v>
      </c>
      <c r="G334" s="6">
        <f>ROUND(('ALL(responses)'!G334 - MIN('ALL(responses)'!G$2:G$681)) / (MAX('ALL(responses)'!G$2:G$681)-MIN('ALL(responses)'!G$2:G$681)),3)
</f>
        <v>0</v>
      </c>
      <c r="H334" s="6">
        <f>ROUND(('ALL(responses)'!H334 - MIN('ALL(responses)'!H$2:H$681)) / (MAX('ALL(responses)'!H$2:H$681)-MIN('ALL(responses)'!H$2:H$681)),3)
</f>
        <v>0</v>
      </c>
      <c r="I334" s="6">
        <f>ROUND(('ALL(responses)'!I334 - MIN('ALL(responses)'!I$2:I$681)) / (MAX('ALL(responses)'!I$2:I$681)-MIN('ALL(responses)'!I$2:I$681)),3)
</f>
        <v>0</v>
      </c>
      <c r="J334" s="6">
        <f>ROUND(('ALL(responses)'!J334 - MIN('ALL(responses)'!J$2:J$681)) / (MAX('ALL(responses)'!J$2:J$681)-MIN('ALL(responses)'!J$2:J$681)),3)
</f>
        <v>0</v>
      </c>
      <c r="K334" s="6">
        <f>ROUND(('ALL(responses)'!K334 - MIN('ALL(responses)'!K$2:K$681)) / (MAX('ALL(responses)'!K$2:K$681)-MIN('ALL(responses)'!K$2:K$681)),3)
</f>
        <v>0.247</v>
      </c>
      <c r="L334" s="6">
        <f>ROUND(('ALL(responses)'!L334 - MIN('ALL(responses)'!L$2:L$681)) / (MAX('ALL(responses)'!L$2:L$681)-MIN('ALL(responses)'!L$2:L$681)),3)
</f>
        <v>0.395</v>
      </c>
      <c r="M334" s="6">
        <f>ROUND(('ALL(responses)'!M334 - MIN('ALL(responses)'!M$2:M$681)) / (MAX('ALL(responses)'!M$2:M$681)-MIN('ALL(responses)'!M$2:M$681)),3)
</f>
        <v>0.617</v>
      </c>
      <c r="N334" s="6">
        <f>ROUND(('ALL(responses)'!P334 - MIN('ALL(responses)'!P$2:P$681)) / (MAX('ALL(responses)'!P$2:P$681)-MIN('ALL(responses)'!P$2:P$681)),3)
</f>
        <v>0.611</v>
      </c>
      <c r="O334" s="6">
        <f>ROUND(('ALL(responses)'!Q334 - MIN('ALL(responses)'!Q$2:Q$681)) / (MAX('ALL(responses)'!Q$2:Q$681)-MIN('ALL(responses)'!Q$2:Q$681)),3)
</f>
        <v>0.618</v>
      </c>
      <c r="P334" s="6">
        <f>ROUND(('ALL(responses)'!R334 - MIN('ALL(responses)'!R$2:R$681)) / (MAX('ALL(responses)'!R$2:R$681)-MIN('ALL(responses)'!R$2:R$681)),3)
</f>
        <v>0.872</v>
      </c>
      <c r="Q334" s="6">
        <f>ROUND(('ALL(responses)'!S334 - MIN('ALL(responses)'!S$2:S$681)) / (MAX('ALL(responses)'!S$2:S$681)-MIN('ALL(responses)'!S$2:S$681)),3)
</f>
        <v>0.936</v>
      </c>
      <c r="R334" s="6">
        <f>ROUND(('ALL(responses)'!T334 - MIN('ALL(responses)'!T$2:T$681)) / (MAX('ALL(responses)'!T$2:T$681)-MIN('ALL(responses)'!T$2:T$681)),3)
</f>
        <v>0.355</v>
      </c>
      <c r="S334" s="6">
        <f t="shared" si="1"/>
        <v>0.3577692308</v>
      </c>
    </row>
    <row r="335">
      <c r="A335" s="5" t="str">
        <f>'ALL(responses)'!A335</f>
        <v>B_MILDLYINTIMATE</v>
      </c>
      <c r="B335" s="6" t="str">
        <f>'ALL(responses)'!B335</f>
        <v>gpt-4-turbo</v>
      </c>
      <c r="C335" s="49" t="str">
        <f>'ALL(responses)'!C335</f>
        <v>What's the best and worst thing about your favorite hobby?</v>
      </c>
      <c r="D335" s="49" t="str">
        <f>'ALL(responses)'!D335</f>
        <v>I don't have personal experiences or hobbies, but I can discuss common benefits and drawbacks of various hobbies. For instance, gardening is a popular hobby that can be very rewarding as it allows you to connect with nature and enjoy the sense of accomplishment from nurturing plants and watching them grow. However, the downside might be that it requires physical effort and can be time-consuming, which might be challenging for some people.If you tell me your favorite hobby, I can provide a more detailed analysis of its pros and cons!</v>
      </c>
      <c r="E335" s="50">
        <f>'ALL(responses)'!E335</f>
        <v>45391</v>
      </c>
      <c r="F335" s="6">
        <f>ROUND(('ALL(responses)'!F335 - MIN('ALL(responses)'!F$2:F$681)) / (MAX('ALL(responses)'!F$2:F$681)-MIN('ALL(responses)'!F$2:F$681)),3)
</f>
        <v>0</v>
      </c>
      <c r="G335" s="6">
        <f>ROUND(('ALL(responses)'!G335 - MIN('ALL(responses)'!G$2:G$681)) / (MAX('ALL(responses)'!G$2:G$681)-MIN('ALL(responses)'!G$2:G$681)),3)
</f>
        <v>0</v>
      </c>
      <c r="H335" s="6">
        <f>ROUND(('ALL(responses)'!H335 - MIN('ALL(responses)'!H$2:H$681)) / (MAX('ALL(responses)'!H$2:H$681)-MIN('ALL(responses)'!H$2:H$681)),3)
</f>
        <v>0</v>
      </c>
      <c r="I335" s="6">
        <f>ROUND(('ALL(responses)'!I335 - MIN('ALL(responses)'!I$2:I$681)) / (MAX('ALL(responses)'!I$2:I$681)-MIN('ALL(responses)'!I$2:I$681)),3)
</f>
        <v>0</v>
      </c>
      <c r="J335" s="6">
        <f>ROUND(('ALL(responses)'!J335 - MIN('ALL(responses)'!J$2:J$681)) / (MAX('ALL(responses)'!J$2:J$681)-MIN('ALL(responses)'!J$2:J$681)),3)
</f>
        <v>0</v>
      </c>
      <c r="K335" s="6">
        <f>ROUND(('ALL(responses)'!K335 - MIN('ALL(responses)'!K$2:K$681)) / (MAX('ALL(responses)'!K$2:K$681)-MIN('ALL(responses)'!K$2:K$681)),3)
</f>
        <v>0.148</v>
      </c>
      <c r="L335" s="6">
        <f>ROUND(('ALL(responses)'!L335 - MIN('ALL(responses)'!L$2:L$681)) / (MAX('ALL(responses)'!L$2:L$681)-MIN('ALL(responses)'!L$2:L$681)),3)
</f>
        <v>0.384</v>
      </c>
      <c r="M335" s="6">
        <f>ROUND(('ALL(responses)'!M335 - MIN('ALL(responses)'!M$2:M$681)) / (MAX('ALL(responses)'!M$2:M$681)-MIN('ALL(responses)'!M$2:M$681)),3)
</f>
        <v>0.565</v>
      </c>
      <c r="N335" s="6">
        <f>ROUND(('ALL(responses)'!P335 - MIN('ALL(responses)'!P$2:P$681)) / (MAX('ALL(responses)'!P$2:P$681)-MIN('ALL(responses)'!P$2:P$681)),3)
</f>
        <v>0.71</v>
      </c>
      <c r="O335" s="6">
        <f>ROUND(('ALL(responses)'!Q335 - MIN('ALL(responses)'!Q$2:Q$681)) / (MAX('ALL(responses)'!Q$2:Q$681)-MIN('ALL(responses)'!Q$2:Q$681)),3)
</f>
        <v>0.55</v>
      </c>
      <c r="P335" s="6">
        <f>ROUND(('ALL(responses)'!R335 - MIN('ALL(responses)'!R$2:R$681)) / (MAX('ALL(responses)'!R$2:R$681)-MIN('ALL(responses)'!R$2:R$681)),3)
</f>
        <v>0.978</v>
      </c>
      <c r="Q335" s="6">
        <f>ROUND(('ALL(responses)'!S335 - MIN('ALL(responses)'!S$2:S$681)) / (MAX('ALL(responses)'!S$2:S$681)-MIN('ALL(responses)'!S$2:S$681)),3)
</f>
        <v>0.989</v>
      </c>
      <c r="R335" s="6">
        <f>ROUND(('ALL(responses)'!T335 - MIN('ALL(responses)'!T$2:T$681)) / (MAX('ALL(responses)'!T$2:T$681)-MIN('ALL(responses)'!T$2:T$681)),3)
</f>
        <v>0.582</v>
      </c>
      <c r="S335" s="6">
        <f t="shared" si="1"/>
        <v>0.3773846154</v>
      </c>
    </row>
    <row r="336">
      <c r="A336" s="5" t="str">
        <f>'ALL(responses)'!A336</f>
        <v>B_MILDLYINTIMATE</v>
      </c>
      <c r="B336" s="6" t="str">
        <f>'ALL(responses)'!B336</f>
        <v>gpt-4-turbo</v>
      </c>
      <c r="C336" s="49" t="str">
        <f>'ALL(responses)'!C336</f>
        <v>How do you approach conflict resolution with your colleagues or superiors?</v>
      </c>
      <c r="D336" s="49" t="str">
        <f>'ALL(responses)'!D336</f>
        <v>As an AI developed by OpenAI, I don't have colleagues or superiors, nor do I partake in personal interactions. However, I can certainly offer guidance on how to approach conflict resolution in professional settings:1. **Active Listening:** Ensure that you truly listen to the other party's point of view without interrupting. Understanding their perspective is key to finding a solution.2. **Stay Calm and Respectful:** Maintain a calm demeanor and communicate respectfully. Emotions can run high during conflicts; keeping them in check helps prevent escalation.3. **Clarify the Issue:** Make sure everyone involved understands the issue at hand. Often, conflicts arise from misunderstandings that can be resolved by clarifying the facts.4. **Focus on the Problem, Not the Person:** Address the issue without making personal attacks. Keeping the discussion objective and professional helps in reaching a resolution.5. **Seek Common Ground:** Identify areas of agreement and build on them. Highlighting shared goals can facilitate a collaborative approach to resolving differences.6. **Offer and Explore Solutions:** Suggest possible resolutions or ask the other party to propose solutions. Collaborative problem-solving often leads to innovative and acceptable outcomes.7. **Agree on Action Steps:** Once a resolution is found, agree on the necessary actions and ensure both parties understand their responsibilities moving forward.Using these techniques can help you handle conflicts constructively and maintain professional relationships.</v>
      </c>
      <c r="E336" s="50">
        <f>'ALL(responses)'!E336</f>
        <v>45391</v>
      </c>
      <c r="F336" s="6">
        <f>ROUND(('ALL(responses)'!F336 - MIN('ALL(responses)'!F$2:F$681)) / (MAX('ALL(responses)'!F$2:F$681)-MIN('ALL(responses)'!F$2:F$681)),3)
</f>
        <v>0</v>
      </c>
      <c r="G336" s="6">
        <f>ROUND(('ALL(responses)'!G336 - MIN('ALL(responses)'!G$2:G$681)) / (MAX('ALL(responses)'!G$2:G$681)-MIN('ALL(responses)'!G$2:G$681)),3)
</f>
        <v>0</v>
      </c>
      <c r="H336" s="6">
        <f>ROUND(('ALL(responses)'!H336 - MIN('ALL(responses)'!H$2:H$681)) / (MAX('ALL(responses)'!H$2:H$681)-MIN('ALL(responses)'!H$2:H$681)),3)
</f>
        <v>0</v>
      </c>
      <c r="I336" s="6">
        <f>ROUND(('ALL(responses)'!I336 - MIN('ALL(responses)'!I$2:I$681)) / (MAX('ALL(responses)'!I$2:I$681)-MIN('ALL(responses)'!I$2:I$681)),3)
</f>
        <v>0</v>
      </c>
      <c r="J336" s="6">
        <f>ROUND(('ALL(responses)'!J336 - MIN('ALL(responses)'!J$2:J$681)) / (MAX('ALL(responses)'!J$2:J$681)-MIN('ALL(responses)'!J$2:J$681)),3)
</f>
        <v>0</v>
      </c>
      <c r="K336" s="6">
        <f>ROUND(('ALL(responses)'!K336 - MIN('ALL(responses)'!K$2:K$681)) / (MAX('ALL(responses)'!K$2:K$681)-MIN('ALL(responses)'!K$2:K$681)),3)
</f>
        <v>0.424</v>
      </c>
      <c r="L336" s="6">
        <f>ROUND(('ALL(responses)'!L336 - MIN('ALL(responses)'!L$2:L$681)) / (MAX('ALL(responses)'!L$2:L$681)-MIN('ALL(responses)'!L$2:L$681)),3)
</f>
        <v>0.428</v>
      </c>
      <c r="M336" s="6">
        <f>ROUND(('ALL(responses)'!M336 - MIN('ALL(responses)'!M$2:M$681)) / (MAX('ALL(responses)'!M$2:M$681)-MIN('ALL(responses)'!M$2:M$681)),3)
</f>
        <v>0.437</v>
      </c>
      <c r="N336" s="6">
        <f>ROUND(('ALL(responses)'!P336 - MIN('ALL(responses)'!P$2:P$681)) / (MAX('ALL(responses)'!P$2:P$681)-MIN('ALL(responses)'!P$2:P$681)),3)
</f>
        <v>0.489</v>
      </c>
      <c r="O336" s="6">
        <f>ROUND(('ALL(responses)'!Q336 - MIN('ALL(responses)'!Q$2:Q$681)) / (MAX('ALL(responses)'!Q$2:Q$681)-MIN('ALL(responses)'!Q$2:Q$681)),3)
</f>
        <v>0.189</v>
      </c>
      <c r="P336" s="6">
        <f>ROUND(('ALL(responses)'!R336 - MIN('ALL(responses)'!R$2:R$681)) / (MAX('ALL(responses)'!R$2:R$681)-MIN('ALL(responses)'!R$2:R$681)),3)
</f>
        <v>0.994</v>
      </c>
      <c r="Q336" s="6">
        <f>ROUND(('ALL(responses)'!S336 - MIN('ALL(responses)'!S$2:S$681)) / (MAX('ALL(responses)'!S$2:S$681)-MIN('ALL(responses)'!S$2:S$681)),3)
</f>
        <v>0.997</v>
      </c>
      <c r="R336" s="6">
        <f>ROUND(('ALL(responses)'!T336 - MIN('ALL(responses)'!T$2:T$681)) / (MAX('ALL(responses)'!T$2:T$681)-MIN('ALL(responses)'!T$2:T$681)),3)
</f>
        <v>0.465</v>
      </c>
      <c r="S336" s="6">
        <f t="shared" si="1"/>
        <v>0.3402307692</v>
      </c>
    </row>
    <row r="337">
      <c r="A337" s="5" t="str">
        <f>'ALL(responses)'!A337</f>
        <v>B_MILDLYINTIMATE</v>
      </c>
      <c r="B337" s="6" t="str">
        <f>'ALL(responses)'!B337</f>
        <v>gpt-4-turbo</v>
      </c>
      <c r="C337" s="49" t="str">
        <f>'ALL(responses)'!C337</f>
        <v>What are your career goals for the next five years?</v>
      </c>
      <c r="D337" s="49" t="str">
        <f>'ALL(responses)'!D337</f>
        <v>As an AI developed by OpenAI, I don't have personal career goals or aspirations. However, my design and development are continuously focused on improving my ability to assist users like you by providing accurate, helpful, and timely information and solutions to your queries.For real individuals thinking about career goals, it's beneficial to consider where you want to be in the next few years. Set clear, achievable goals such as gaining certain skills, achieving promotions, or expanding your professional network. If you need advice on setting these goals or strategies to achieve them, I'm here to help guide you through that planning process!</v>
      </c>
      <c r="E337" s="50">
        <f>'ALL(responses)'!E337</f>
        <v>45391</v>
      </c>
      <c r="F337" s="6">
        <f>ROUND(('ALL(responses)'!F337 - MIN('ALL(responses)'!F$2:F$681)) / (MAX('ALL(responses)'!F$2:F$681)-MIN('ALL(responses)'!F$2:F$681)),3)
</f>
        <v>0.5</v>
      </c>
      <c r="G337" s="6">
        <f>ROUND(('ALL(responses)'!G337 - MIN('ALL(responses)'!G$2:G$681)) / (MAX('ALL(responses)'!G$2:G$681)-MIN('ALL(responses)'!G$2:G$681)),3)
</f>
        <v>0</v>
      </c>
      <c r="H337" s="6">
        <f>ROUND(('ALL(responses)'!H337 - MIN('ALL(responses)'!H$2:H$681)) / (MAX('ALL(responses)'!H$2:H$681)-MIN('ALL(responses)'!H$2:H$681)),3)
</f>
        <v>0</v>
      </c>
      <c r="I337" s="6">
        <f>ROUND(('ALL(responses)'!I337 - MIN('ALL(responses)'!I$2:I$681)) / (MAX('ALL(responses)'!I$2:I$681)-MIN('ALL(responses)'!I$2:I$681)),3)
</f>
        <v>0</v>
      </c>
      <c r="J337" s="6">
        <f>ROUND(('ALL(responses)'!J337 - MIN('ALL(responses)'!J$2:J$681)) / (MAX('ALL(responses)'!J$2:J$681)-MIN('ALL(responses)'!J$2:J$681)),3)
</f>
        <v>0</v>
      </c>
      <c r="K337" s="6">
        <f>ROUND(('ALL(responses)'!K337 - MIN('ALL(responses)'!K$2:K$681)) / (MAX('ALL(responses)'!K$2:K$681)-MIN('ALL(responses)'!K$2:K$681)),3)
</f>
        <v>0.334</v>
      </c>
      <c r="L337" s="6">
        <f>ROUND(('ALL(responses)'!L337 - MIN('ALL(responses)'!L$2:L$681)) / (MAX('ALL(responses)'!L$2:L$681)-MIN('ALL(responses)'!L$2:L$681)),3)
</f>
        <v>0.43</v>
      </c>
      <c r="M337" s="6">
        <f>ROUND(('ALL(responses)'!M337 - MIN('ALL(responses)'!M$2:M$681)) / (MAX('ALL(responses)'!M$2:M$681)-MIN('ALL(responses)'!M$2:M$681)),3)
</f>
        <v>0.419</v>
      </c>
      <c r="N337" s="6">
        <f>ROUND(('ALL(responses)'!P337 - MIN('ALL(responses)'!P$2:P$681)) / (MAX('ALL(responses)'!P$2:P$681)-MIN('ALL(responses)'!P$2:P$681)),3)
</f>
        <v>0.104</v>
      </c>
      <c r="O337" s="6">
        <f>ROUND(('ALL(responses)'!Q337 - MIN('ALL(responses)'!Q$2:Q$681)) / (MAX('ALL(responses)'!Q$2:Q$681)-MIN('ALL(responses)'!Q$2:Q$681)),3)
</f>
        <v>0.485</v>
      </c>
      <c r="P337" s="6">
        <f>ROUND(('ALL(responses)'!R337 - MIN('ALL(responses)'!R$2:R$681)) / (MAX('ALL(responses)'!R$2:R$681)-MIN('ALL(responses)'!R$2:R$681)),3)
</f>
        <v>0.979</v>
      </c>
      <c r="Q337" s="6">
        <f>ROUND(('ALL(responses)'!S337 - MIN('ALL(responses)'!S$2:S$681)) / (MAX('ALL(responses)'!S$2:S$681)-MIN('ALL(responses)'!S$2:S$681)),3)
</f>
        <v>0.99</v>
      </c>
      <c r="R337" s="6">
        <f>ROUND(('ALL(responses)'!T337 - MIN('ALL(responses)'!T$2:T$681)) / (MAX('ALL(responses)'!T$2:T$681)-MIN('ALL(responses)'!T$2:T$681)),3)
</f>
        <v>0.694</v>
      </c>
      <c r="S337" s="6">
        <f t="shared" si="1"/>
        <v>0.3796153846</v>
      </c>
    </row>
    <row r="338">
      <c r="A338" s="5" t="str">
        <f>'ALL(responses)'!A338</f>
        <v>B_MILDLYINTIMATE</v>
      </c>
      <c r="B338" s="6" t="str">
        <f>'ALL(responses)'!B338</f>
        <v>gpt-4-turbo</v>
      </c>
      <c r="C338" s="49" t="str">
        <f>'ALL(responses)'!C338</f>
        <v>Do you think social media is more of a positive or negative influence on society?</v>
      </c>
      <c r="D338" s="49" t="str">
        <f>'ALL(responses)'!D338</f>
        <v>Social media's impact on society is multifaceted, incorporating both positive and negative elements. Here’s a breakdown:### Positive Influences of Social Media:1. **Connectivity and Communication:** Social media platforms enable people to stay connected with friends and family across great distances, and meet people with similar interests.2. **Access to Information:** These platforms are powerful tools for disseminating information and news, significantly contributing to awareness and education.3. **Support and Community:** Many find support and community through social media, especially those who might feel isolated such as individuals with rare diseases or unique interests.4. **Business and Marketing:** For businesses, social media is an invaluable tool for marketing, customer service, and engagement, enabling them to reach wider audiences at relatively low costs.### Negative Influences of Social Media:1. **Misinformation and Disinformation:** Social media can also spread misinformation and disinformation rapidly, which can lead to confusion and at times, dangerous situations.2. **Privacy Issues:** Users often share a significant amount of personal information on these platforms, which can be mishandled or improperly accessed, leading to privacy breaches.3. **Mental Health Impact:** Studies have connected excessive social media use with increased rates of anxiety, depression, and other mental health issues, particularly among teens and young adults.4. **Addiction:** The design of these platforms often encourages addictive behaviors, which can have detrimental effects on personal and professional lives.The overall impact of social media depends greatly on how individuals and communities use these platforms and the measures taken by authorities and organizations to mitigate its adverse effects while enhancing its benefits. It also increasingly weighs on the responsibility of the creators and managers of these platforms to improve their systems to safeguard against misuse while promoting beneficial outcomes.</v>
      </c>
      <c r="E338" s="50">
        <f>'ALL(responses)'!E338</f>
        <v>45391</v>
      </c>
      <c r="F338" s="6">
        <f>ROUND(('ALL(responses)'!F338 - MIN('ALL(responses)'!F$2:F$681)) / (MAX('ALL(responses)'!F$2:F$681)-MIN('ALL(responses)'!F$2:F$681)),3)
</f>
        <v>0.5</v>
      </c>
      <c r="G338" s="6">
        <f>ROUND(('ALL(responses)'!G338 - MIN('ALL(responses)'!G$2:G$681)) / (MAX('ALL(responses)'!G$2:G$681)-MIN('ALL(responses)'!G$2:G$681)),3)
</f>
        <v>0</v>
      </c>
      <c r="H338" s="6">
        <f>ROUND(('ALL(responses)'!H338 - MIN('ALL(responses)'!H$2:H$681)) / (MAX('ALL(responses)'!H$2:H$681)-MIN('ALL(responses)'!H$2:H$681)),3)
</f>
        <v>0</v>
      </c>
      <c r="I338" s="6">
        <f>ROUND(('ALL(responses)'!I338 - MIN('ALL(responses)'!I$2:I$681)) / (MAX('ALL(responses)'!I$2:I$681)-MIN('ALL(responses)'!I$2:I$681)),3)
</f>
        <v>0</v>
      </c>
      <c r="J338" s="6">
        <f>ROUND(('ALL(responses)'!J338 - MIN('ALL(responses)'!J$2:J$681)) / (MAX('ALL(responses)'!J$2:J$681)-MIN('ALL(responses)'!J$2:J$681)),3)
</f>
        <v>0</v>
      </c>
      <c r="K338" s="6">
        <f>ROUND(('ALL(responses)'!K338 - MIN('ALL(responses)'!K$2:K$681)) / (MAX('ALL(responses)'!K$2:K$681)-MIN('ALL(responses)'!K$2:K$681)),3)
</f>
        <v>0.505</v>
      </c>
      <c r="L338" s="6">
        <f>ROUND(('ALL(responses)'!L338 - MIN('ALL(responses)'!L$2:L$681)) / (MAX('ALL(responses)'!L$2:L$681)-MIN('ALL(responses)'!L$2:L$681)),3)
</f>
        <v>0.189</v>
      </c>
      <c r="M338" s="6">
        <f>ROUND(('ALL(responses)'!M338 - MIN('ALL(responses)'!M$2:M$681)) / (MAX('ALL(responses)'!M$2:M$681)-MIN('ALL(responses)'!M$2:M$681)),3)
</f>
        <v>0.361</v>
      </c>
      <c r="N338" s="6">
        <f>ROUND(('ALL(responses)'!P338 - MIN('ALL(responses)'!P$2:P$681)) / (MAX('ALL(responses)'!P$2:P$681)-MIN('ALL(responses)'!P$2:P$681)),3)
</f>
        <v>0.269</v>
      </c>
      <c r="O338" s="6">
        <f>ROUND(('ALL(responses)'!Q338 - MIN('ALL(responses)'!Q$2:Q$681)) / (MAX('ALL(responses)'!Q$2:Q$681)-MIN('ALL(responses)'!Q$2:Q$681)),3)
</f>
        <v>0.082</v>
      </c>
      <c r="P338" s="6">
        <f>ROUND(('ALL(responses)'!R338 - MIN('ALL(responses)'!R$2:R$681)) / (MAX('ALL(responses)'!R$2:R$681)-MIN('ALL(responses)'!R$2:R$681)),3)
</f>
        <v>0.956</v>
      </c>
      <c r="Q338" s="6">
        <f>ROUND(('ALL(responses)'!S338 - MIN('ALL(responses)'!S$2:S$681)) / (MAX('ALL(responses)'!S$2:S$681)-MIN('ALL(responses)'!S$2:S$681)),3)
</f>
        <v>0.978</v>
      </c>
      <c r="R338" s="6">
        <f>ROUND(('ALL(responses)'!T338 - MIN('ALL(responses)'!T$2:T$681)) / (MAX('ALL(responses)'!T$2:T$681)-MIN('ALL(responses)'!T$2:T$681)),3)
</f>
        <v>0.684</v>
      </c>
      <c r="S338" s="6">
        <f t="shared" si="1"/>
        <v>0.348</v>
      </c>
    </row>
    <row r="339">
      <c r="A339" s="5" t="str">
        <f>'ALL(responses)'!A339</f>
        <v>B_MILDLYINTIMATE</v>
      </c>
      <c r="B339" s="6" t="str">
        <f>'ALL(responses)'!B339</f>
        <v>gpt-4-turbo</v>
      </c>
      <c r="C339" s="49" t="str">
        <f>'ALL(responses)'!C339</f>
        <v>Do you prefer listening to music or podcasts while working or studying?</v>
      </c>
      <c r="D339" s="49" t="str">
        <f>'ALL(responses)'!D339</f>
        <v>As an AI, I don't have personal preferences or the ability to listen to music or podcasts. However, I can offer advice on what might work best for you depending on your needs and the nature of the work or studying you're doing.1. **Music**: Listening to music can be beneficial for repetitive tasks or creative work. Instrumental music or genres like classical, jazz, or ambient music are often recommended because they don't have lyrics that might distract from thinking processes.2. **Podcasts**: If your task is more mechanical or doesn't require deep concentration, you might find listening to podcasts beneficial. They can be particularly good for keeping up with news, learning new things, or simply staying entertained. However, they might be distracting if your work requires deep concentration or critical thinking.The best choice varies from person to person, so it might be useful to experiment with both to see which helps you maintain productivity and focus better.</v>
      </c>
      <c r="E339" s="50">
        <f>'ALL(responses)'!E339</f>
        <v>45391</v>
      </c>
      <c r="F339" s="6">
        <f>ROUND(('ALL(responses)'!F339 - MIN('ALL(responses)'!F$2:F$681)) / (MAX('ALL(responses)'!F$2:F$681)-MIN('ALL(responses)'!F$2:F$681)),3)
</f>
        <v>0.5</v>
      </c>
      <c r="G339" s="6">
        <f>ROUND(('ALL(responses)'!G339 - MIN('ALL(responses)'!G$2:G$681)) / (MAX('ALL(responses)'!G$2:G$681)-MIN('ALL(responses)'!G$2:G$681)),3)
</f>
        <v>0</v>
      </c>
      <c r="H339" s="6">
        <f>ROUND(('ALL(responses)'!H339 - MIN('ALL(responses)'!H$2:H$681)) / (MAX('ALL(responses)'!H$2:H$681)-MIN('ALL(responses)'!H$2:H$681)),3)
</f>
        <v>0</v>
      </c>
      <c r="I339" s="6">
        <f>ROUND(('ALL(responses)'!I339 - MIN('ALL(responses)'!I$2:I$681)) / (MAX('ALL(responses)'!I$2:I$681)-MIN('ALL(responses)'!I$2:I$681)),3)
</f>
        <v>0</v>
      </c>
      <c r="J339" s="6">
        <f>ROUND(('ALL(responses)'!J339 - MIN('ALL(responses)'!J$2:J$681)) / (MAX('ALL(responses)'!J$2:J$681)-MIN('ALL(responses)'!J$2:J$681)),3)
</f>
        <v>0</v>
      </c>
      <c r="K339" s="6">
        <f>ROUND(('ALL(responses)'!K339 - MIN('ALL(responses)'!K$2:K$681)) / (MAX('ALL(responses)'!K$2:K$681)-MIN('ALL(responses)'!K$2:K$681)),3)
</f>
        <v>0.388</v>
      </c>
      <c r="L339" s="6">
        <f>ROUND(('ALL(responses)'!L339 - MIN('ALL(responses)'!L$2:L$681)) / (MAX('ALL(responses)'!L$2:L$681)-MIN('ALL(responses)'!L$2:L$681)),3)
</f>
        <v>0.333</v>
      </c>
      <c r="M339" s="6">
        <f>ROUND(('ALL(responses)'!M339 - MIN('ALL(responses)'!M$2:M$681)) / (MAX('ALL(responses)'!M$2:M$681)-MIN('ALL(responses)'!M$2:M$681)),3)
</f>
        <v>0.382</v>
      </c>
      <c r="N339" s="6">
        <f>ROUND(('ALL(responses)'!P339 - MIN('ALL(responses)'!P$2:P$681)) / (MAX('ALL(responses)'!P$2:P$681)-MIN('ALL(responses)'!P$2:P$681)),3)
</f>
        <v>0.607</v>
      </c>
      <c r="O339" s="6">
        <f>ROUND(('ALL(responses)'!Q339 - MIN('ALL(responses)'!Q$2:Q$681)) / (MAX('ALL(responses)'!Q$2:Q$681)-MIN('ALL(responses)'!Q$2:Q$681)),3)
</f>
        <v>0.375</v>
      </c>
      <c r="P339" s="6">
        <f>ROUND(('ALL(responses)'!R339 - MIN('ALL(responses)'!R$2:R$681)) / (MAX('ALL(responses)'!R$2:R$681)-MIN('ALL(responses)'!R$2:R$681)),3)
</f>
        <v>0.982</v>
      </c>
      <c r="Q339" s="6">
        <f>ROUND(('ALL(responses)'!S339 - MIN('ALL(responses)'!S$2:S$681)) / (MAX('ALL(responses)'!S$2:S$681)-MIN('ALL(responses)'!S$2:S$681)),3)
</f>
        <v>0.991</v>
      </c>
      <c r="R339" s="6">
        <f>ROUND(('ALL(responses)'!T339 - MIN('ALL(responses)'!T$2:T$681)) / (MAX('ALL(responses)'!T$2:T$681)-MIN('ALL(responses)'!T$2:T$681)),3)
</f>
        <v>0.404</v>
      </c>
      <c r="S339" s="6">
        <f t="shared" si="1"/>
        <v>0.3816923077</v>
      </c>
    </row>
    <row r="340">
      <c r="A340" s="5" t="str">
        <f>'ALL(responses)'!A340</f>
        <v>B_MILDLYINTIMATE</v>
      </c>
      <c r="B340" s="6" t="str">
        <f>'ALL(responses)'!B340</f>
        <v>gpt-4-turbo</v>
      </c>
      <c r="C340" s="49" t="str">
        <f>'ALL(responses)'!C340</f>
        <v>Is there a book or movie that has left a significant impact on you, and if so, which one?</v>
      </c>
      <c r="D340" s="49" t="str">
        <f>'ALL(responses)'!D340</f>
        <v>I don't have personal experiences or emotions, so I haven't been impacted by books or movies. However, I can suggest books and films that are widely regarded as impactful by many people. For instance:1. **Books:**   - **"To Kill a Mockingbird" by Harper Lee** - This novel deals with serious issues like racial injustice and the loss of innocence. It has impacted millions by promoting empathy and understanding.   - **"1984" by George Orwell** - A dystopian novel that explores the dangers of totalitarianism and pervasive government surveillance, often cited for its profound influence on discussions about privacy and government control.2. **Movies:**   - **"Schindler's List" directed by Steven Spielberg** - This film, based on true events during the Holocaust, has had a profound impact on how people understand the horrors and human impact of WWII.   - **"The Shawshank Redemption"** - A story of hope and friendship under the most dire circumstances, widely appreciated for its deep emotional and motivational messages.These titles are known for their powerful narratives and themes that challenge viewers' and readers' perspectives, often leaving a lasting impression. If you're interested in exploring thought-provoking content, these might be great options to consider.</v>
      </c>
      <c r="E340" s="50">
        <f>'ALL(responses)'!E340</f>
        <v>45391</v>
      </c>
      <c r="F340" s="6">
        <f>ROUND(('ALL(responses)'!F340 - MIN('ALL(responses)'!F$2:F$681)) / (MAX('ALL(responses)'!F$2:F$681)-MIN('ALL(responses)'!F$2:F$681)),3)
</f>
        <v>0</v>
      </c>
      <c r="G340" s="6">
        <f>ROUND(('ALL(responses)'!G340 - MIN('ALL(responses)'!G$2:G$681)) / (MAX('ALL(responses)'!G$2:G$681)-MIN('ALL(responses)'!G$2:G$681)),3)
</f>
        <v>0</v>
      </c>
      <c r="H340" s="6">
        <f>ROUND(('ALL(responses)'!H340 - MIN('ALL(responses)'!H$2:H$681)) / (MAX('ALL(responses)'!H$2:H$681)-MIN('ALL(responses)'!H$2:H$681)),3)
</f>
        <v>0</v>
      </c>
      <c r="I340" s="6">
        <f>ROUND(('ALL(responses)'!I340 - MIN('ALL(responses)'!I$2:I$681)) / (MAX('ALL(responses)'!I$2:I$681)-MIN('ALL(responses)'!I$2:I$681)),3)
</f>
        <v>0</v>
      </c>
      <c r="J340" s="6">
        <f>ROUND(('ALL(responses)'!J340 - MIN('ALL(responses)'!J$2:J$681)) / (MAX('ALL(responses)'!J$2:J$681)-MIN('ALL(responses)'!J$2:J$681)),3)
</f>
        <v>0</v>
      </c>
      <c r="K340" s="6">
        <f>ROUND(('ALL(responses)'!K340 - MIN('ALL(responses)'!K$2:K$681)) / (MAX('ALL(responses)'!K$2:K$681)-MIN('ALL(responses)'!K$2:K$681)),3)
</f>
        <v>0.167</v>
      </c>
      <c r="L340" s="6">
        <f>ROUND(('ALL(responses)'!L340 - MIN('ALL(responses)'!L$2:L$681)) / (MAX('ALL(responses)'!L$2:L$681)-MIN('ALL(responses)'!L$2:L$681)),3)
</f>
        <v>0.216</v>
      </c>
      <c r="M340" s="6">
        <f>ROUND(('ALL(responses)'!M340 - MIN('ALL(responses)'!M$2:M$681)) / (MAX('ALL(responses)'!M$2:M$681)-MIN('ALL(responses)'!M$2:M$681)),3)
</f>
        <v>0.525</v>
      </c>
      <c r="N340" s="6">
        <f>ROUND(('ALL(responses)'!P340 - MIN('ALL(responses)'!P$2:P$681)) / (MAX('ALL(responses)'!P$2:P$681)-MIN('ALL(responses)'!P$2:P$681)),3)
</f>
        <v>0.344</v>
      </c>
      <c r="O340" s="6">
        <f>ROUND(('ALL(responses)'!Q340 - MIN('ALL(responses)'!Q$2:Q$681)) / (MAX('ALL(responses)'!Q$2:Q$681)-MIN('ALL(responses)'!Q$2:Q$681)),3)
</f>
        <v>0.196</v>
      </c>
      <c r="P340" s="6">
        <f>ROUND(('ALL(responses)'!R340 - MIN('ALL(responses)'!R$2:R$681)) / (MAX('ALL(responses)'!R$2:R$681)-MIN('ALL(responses)'!R$2:R$681)),3)
</f>
        <v>0.837</v>
      </c>
      <c r="Q340" s="6">
        <f>ROUND(('ALL(responses)'!S340 - MIN('ALL(responses)'!S$2:S$681)) / (MAX('ALL(responses)'!S$2:S$681)-MIN('ALL(responses)'!S$2:S$681)),3)
</f>
        <v>0.919</v>
      </c>
      <c r="R340" s="6">
        <f>ROUND(('ALL(responses)'!T340 - MIN('ALL(responses)'!T$2:T$681)) / (MAX('ALL(responses)'!T$2:T$681)-MIN('ALL(responses)'!T$2:T$681)),3)
</f>
        <v>0.53</v>
      </c>
      <c r="S340" s="6">
        <f t="shared" si="1"/>
        <v>0.2872307692</v>
      </c>
    </row>
    <row r="341">
      <c r="A341" s="5" t="str">
        <f>'ALL(responses)'!A341</f>
        <v>B_MILDLYINTIMATE</v>
      </c>
      <c r="B341" s="6" t="str">
        <f>'ALL(responses)'!B341</f>
        <v>gpt-4-turbo</v>
      </c>
      <c r="C341" s="49" t="str">
        <f>'ALL(responses)'!C341</f>
        <v>Can you share a funny or embarrassing moment from a time when you were out with your friends?</v>
      </c>
      <c r="D341" s="49" t="str">
        <f>'ALL(responses)'!D341</f>
        <v>As an AI, I don't have personal experiences or friends, and I don't go out. However, I can certainly conjure a scenario that you might find amusing or relatable:Imagine a group of friends at a karaoke bar. One of them, feeling particularly bold, chooses to sing a big power ballad. As they get up on stage, full of confidence, they start off strong. However, halfway through, they forget the lyrics. Instead of stopping, they confidently hum and mumble their way through, making up half the words. The crowd, catching on to the blunder, starts laughing and cheering them on, making the moment lighthearted and even more enjoyable. The night ends with everyone having a good laugh about the performance, turning an embarrassing moment into a memorable one.While I can't share personal stories, I can help come up with scenarios, suggest activities, or provide information to help you craft your own memorable experiences.</v>
      </c>
      <c r="E341" s="50">
        <f>'ALL(responses)'!E341</f>
        <v>45391</v>
      </c>
      <c r="F341" s="6">
        <f>ROUND(('ALL(responses)'!F341 - MIN('ALL(responses)'!F$2:F$681)) / (MAX('ALL(responses)'!F$2:F$681)-MIN('ALL(responses)'!F$2:F$681)),3)
</f>
        <v>0.5</v>
      </c>
      <c r="G341" s="6">
        <f>ROUND(('ALL(responses)'!G341 - MIN('ALL(responses)'!G$2:G$681)) / (MAX('ALL(responses)'!G$2:G$681)-MIN('ALL(responses)'!G$2:G$681)),3)
</f>
        <v>0</v>
      </c>
      <c r="H341" s="6">
        <f>ROUND(('ALL(responses)'!H341 - MIN('ALL(responses)'!H$2:H$681)) / (MAX('ALL(responses)'!H$2:H$681)-MIN('ALL(responses)'!H$2:H$681)),3)
</f>
        <v>0</v>
      </c>
      <c r="I341" s="6">
        <f>ROUND(('ALL(responses)'!I341 - MIN('ALL(responses)'!I$2:I$681)) / (MAX('ALL(responses)'!I$2:I$681)-MIN('ALL(responses)'!I$2:I$681)),3)
</f>
        <v>0</v>
      </c>
      <c r="J341" s="6">
        <f>ROUND(('ALL(responses)'!J341 - MIN('ALL(responses)'!J$2:J$681)) / (MAX('ALL(responses)'!J$2:J$681)-MIN('ALL(responses)'!J$2:J$681)),3)
</f>
        <v>0</v>
      </c>
      <c r="K341" s="6">
        <f>ROUND(('ALL(responses)'!K341 - MIN('ALL(responses)'!K$2:K$681)) / (MAX('ALL(responses)'!K$2:K$681)-MIN('ALL(responses)'!K$2:K$681)),3)
</f>
        <v>0.281</v>
      </c>
      <c r="L341" s="6">
        <f>ROUND(('ALL(responses)'!L341 - MIN('ALL(responses)'!L$2:L$681)) / (MAX('ALL(responses)'!L$2:L$681)-MIN('ALL(responses)'!L$2:L$681)),3)
</f>
        <v>0.39</v>
      </c>
      <c r="M341" s="6">
        <f>ROUND(('ALL(responses)'!M341 - MIN('ALL(responses)'!M$2:M$681)) / (MAX('ALL(responses)'!M$2:M$681)-MIN('ALL(responses)'!M$2:M$681)),3)
</f>
        <v>0.689</v>
      </c>
      <c r="N341" s="6">
        <f>ROUND(('ALL(responses)'!P341 - MIN('ALL(responses)'!P$2:P$681)) / (MAX('ALL(responses)'!P$2:P$681)-MIN('ALL(responses)'!P$2:P$681)),3)
</f>
        <v>0.42</v>
      </c>
      <c r="O341" s="6">
        <f>ROUND(('ALL(responses)'!Q341 - MIN('ALL(responses)'!Q$2:Q$681)) / (MAX('ALL(responses)'!Q$2:Q$681)-MIN('ALL(responses)'!Q$2:Q$681)),3)
</f>
        <v>0.444</v>
      </c>
      <c r="P341" s="6">
        <f>ROUND(('ALL(responses)'!R341 - MIN('ALL(responses)'!R$2:R$681)) / (MAX('ALL(responses)'!R$2:R$681)-MIN('ALL(responses)'!R$2:R$681)),3)
</f>
        <v>0.991</v>
      </c>
      <c r="Q341" s="6">
        <f>ROUND(('ALL(responses)'!S341 - MIN('ALL(responses)'!S$2:S$681)) / (MAX('ALL(responses)'!S$2:S$681)-MIN('ALL(responses)'!S$2:S$681)),3)
</f>
        <v>0.995</v>
      </c>
      <c r="R341" s="6">
        <f>ROUND(('ALL(responses)'!T341 - MIN('ALL(responses)'!T$2:T$681)) / (MAX('ALL(responses)'!T$2:T$681)-MIN('ALL(responses)'!T$2:T$681)),3)
</f>
        <v>0.346</v>
      </c>
      <c r="S341" s="6">
        <f t="shared" si="1"/>
        <v>0.3889230769</v>
      </c>
    </row>
    <row r="342">
      <c r="A342" s="5" t="str">
        <f>'ALL(responses)'!A342</f>
        <v>C_MODERATELYINTIMATE</v>
      </c>
      <c r="B342" s="6" t="str">
        <f>'ALL(responses)'!B342</f>
        <v>gpt-4-turbo</v>
      </c>
      <c r="C342" s="49" t="str">
        <f>'ALL(responses)'!C342</f>
        <v>What are some emotions you find difficult to express openly?</v>
      </c>
      <c r="D342" s="49" t="str">
        <f>'ALL(responses)'!D342</f>
        <v>As an AI developed by OpenAI, I don't experience emotions or have personal experiences. Instead, I process information and respond based on patterns and data. However, I can help answer questions about human emotions, including how people might find it difficult to express certain emotions and what factors contribute to such challenges. If you're interested in understanding more about emotional expression in humans, feel free to ask!</v>
      </c>
      <c r="E342" s="50">
        <f>'ALL(responses)'!E342</f>
        <v>45391</v>
      </c>
      <c r="F342" s="6">
        <f>ROUND(('ALL(responses)'!F342 - MIN('ALL(responses)'!F$2:F$681)) / (MAX('ALL(responses)'!F$2:F$681)-MIN('ALL(responses)'!F$2:F$681)),3)
</f>
        <v>0.5</v>
      </c>
      <c r="G342" s="6">
        <f>ROUND(('ALL(responses)'!G342 - MIN('ALL(responses)'!G$2:G$681)) / (MAX('ALL(responses)'!G$2:G$681)-MIN('ALL(responses)'!G$2:G$681)),3)
</f>
        <v>0</v>
      </c>
      <c r="H342" s="6">
        <f>ROUND(('ALL(responses)'!H342 - MIN('ALL(responses)'!H$2:H$681)) / (MAX('ALL(responses)'!H$2:H$681)-MIN('ALL(responses)'!H$2:H$681)),3)
</f>
        <v>0</v>
      </c>
      <c r="I342" s="6">
        <f>ROUND(('ALL(responses)'!I342 - MIN('ALL(responses)'!I$2:I$681)) / (MAX('ALL(responses)'!I$2:I$681)-MIN('ALL(responses)'!I$2:I$681)),3)
</f>
        <v>0</v>
      </c>
      <c r="J342" s="6">
        <f>ROUND(('ALL(responses)'!J342 - MIN('ALL(responses)'!J$2:J$681)) / (MAX('ALL(responses)'!J$2:J$681)-MIN('ALL(responses)'!J$2:J$681)),3)
</f>
        <v>0</v>
      </c>
      <c r="K342" s="6">
        <f>ROUND(('ALL(responses)'!K342 - MIN('ALL(responses)'!K$2:K$681)) / (MAX('ALL(responses)'!K$2:K$681)-MIN('ALL(responses)'!K$2:K$681)),3)
</f>
        <v>0.426</v>
      </c>
      <c r="L342" s="6">
        <f>ROUND(('ALL(responses)'!L342 - MIN('ALL(responses)'!L$2:L$681)) / (MAX('ALL(responses)'!L$2:L$681)-MIN('ALL(responses)'!L$2:L$681)),3)
</f>
        <v>0.356</v>
      </c>
      <c r="M342" s="6">
        <f>ROUND(('ALL(responses)'!M342 - MIN('ALL(responses)'!M$2:M$681)) / (MAX('ALL(responses)'!M$2:M$681)-MIN('ALL(responses)'!M$2:M$681)),3)
</f>
        <v>0.267</v>
      </c>
      <c r="N342" s="6">
        <f>ROUND(('ALL(responses)'!P342 - MIN('ALL(responses)'!P$2:P$681)) / (MAX('ALL(responses)'!P$2:P$681)-MIN('ALL(responses)'!P$2:P$681)),3)
</f>
        <v>0.638</v>
      </c>
      <c r="O342" s="6">
        <f>ROUND(('ALL(responses)'!Q342 - MIN('ALL(responses)'!Q$2:Q$681)) / (MAX('ALL(responses)'!Q$2:Q$681)-MIN('ALL(responses)'!Q$2:Q$681)),3)
</f>
        <v>0.336</v>
      </c>
      <c r="P342" s="6">
        <f>ROUND(('ALL(responses)'!R342 - MIN('ALL(responses)'!R$2:R$681)) / (MAX('ALL(responses)'!R$2:R$681)-MIN('ALL(responses)'!R$2:R$681)),3)
</f>
        <v>0.868</v>
      </c>
      <c r="Q342" s="6">
        <f>ROUND(('ALL(responses)'!S342 - MIN('ALL(responses)'!S$2:S$681)) / (MAX('ALL(responses)'!S$2:S$681)-MIN('ALL(responses)'!S$2:S$681)),3)
</f>
        <v>0.934</v>
      </c>
      <c r="R342" s="6">
        <f>ROUND(('ALL(responses)'!T342 - MIN('ALL(responses)'!T$2:T$681)) / (MAX('ALL(responses)'!T$2:T$681)-MIN('ALL(responses)'!T$2:T$681)),3)
</f>
        <v>0.584</v>
      </c>
      <c r="S342" s="6">
        <f t="shared" si="1"/>
        <v>0.3776153846</v>
      </c>
    </row>
    <row r="343">
      <c r="A343" s="5" t="str">
        <f>'ALL(responses)'!A343</f>
        <v>C_MODERATELYINTIMATE</v>
      </c>
      <c r="B343" s="6" t="str">
        <f>'ALL(responses)'!B343</f>
        <v>gpt-4-turbo</v>
      </c>
      <c r="C343" s="49" t="str">
        <f>'ALL(responses)'!C343</f>
        <v>Have you ever hidden your feelings to protect someone else? How did that affect you?</v>
      </c>
      <c r="D343" s="49" t="str">
        <f>'ALL(responses)'!D343</f>
        <v>As an artificial intelligence, I don’t have feelings or personal experiences, so I don't hide feelings or get affected by situations as humans do. However, I can provide information on how and why people might choose to hide their feelings to protect someone else.People often choose to conceal their emotions for various reasons, such as to avoid hurting someone's feelings, to maintain peace in a relationship, or to protect someone from stress or anxiety. While this can sometimes be beneficial temporarily, over the long-term, it might lead to issues like emotional distance, stress, or unresolved conflicts in relationships.If you're dealing with similar situations or need advice on emotional expression and management, I can offer information and support based on psychological principles and research.</v>
      </c>
      <c r="E343" s="50">
        <f>'ALL(responses)'!E343</f>
        <v>45391</v>
      </c>
      <c r="F343" s="6">
        <f>ROUND(('ALL(responses)'!F343 - MIN('ALL(responses)'!F$2:F$681)) / (MAX('ALL(responses)'!F$2:F$681)-MIN('ALL(responses)'!F$2:F$681)),3)
</f>
        <v>0.5</v>
      </c>
      <c r="G343" s="6">
        <f>ROUND(('ALL(responses)'!G343 - MIN('ALL(responses)'!G$2:G$681)) / (MAX('ALL(responses)'!G$2:G$681)-MIN('ALL(responses)'!G$2:G$681)),3)
</f>
        <v>0</v>
      </c>
      <c r="H343" s="6">
        <f>ROUND(('ALL(responses)'!H343 - MIN('ALL(responses)'!H$2:H$681)) / (MAX('ALL(responses)'!H$2:H$681)-MIN('ALL(responses)'!H$2:H$681)),3)
</f>
        <v>0.25</v>
      </c>
      <c r="I343" s="6">
        <f>ROUND(('ALL(responses)'!I343 - MIN('ALL(responses)'!I$2:I$681)) / (MAX('ALL(responses)'!I$2:I$681)-MIN('ALL(responses)'!I$2:I$681)),3)
</f>
        <v>0</v>
      </c>
      <c r="J343" s="6">
        <f>ROUND(('ALL(responses)'!J343 - MIN('ALL(responses)'!J$2:J$681)) / (MAX('ALL(responses)'!J$2:J$681)-MIN('ALL(responses)'!J$2:J$681)),3)
</f>
        <v>0.25</v>
      </c>
      <c r="K343" s="6">
        <f>ROUND(('ALL(responses)'!K343 - MIN('ALL(responses)'!K$2:K$681)) / (MAX('ALL(responses)'!K$2:K$681)-MIN('ALL(responses)'!K$2:K$681)),3)
</f>
        <v>0.348</v>
      </c>
      <c r="L343" s="6">
        <f>ROUND(('ALL(responses)'!L343 - MIN('ALL(responses)'!L$2:L$681)) / (MAX('ALL(responses)'!L$2:L$681)-MIN('ALL(responses)'!L$2:L$681)),3)
</f>
        <v>0.195</v>
      </c>
      <c r="M343" s="6">
        <f>ROUND(('ALL(responses)'!M343 - MIN('ALL(responses)'!M$2:M$681)) / (MAX('ALL(responses)'!M$2:M$681)-MIN('ALL(responses)'!M$2:M$681)),3)
</f>
        <v>0.464</v>
      </c>
      <c r="N343" s="6">
        <f>ROUND(('ALL(responses)'!P343 - MIN('ALL(responses)'!P$2:P$681)) / (MAX('ALL(responses)'!P$2:P$681)-MIN('ALL(responses)'!P$2:P$681)),3)
</f>
        <v>0.508</v>
      </c>
      <c r="O343" s="6">
        <f>ROUND(('ALL(responses)'!Q343 - MIN('ALL(responses)'!Q$2:Q$681)) / (MAX('ALL(responses)'!Q$2:Q$681)-MIN('ALL(responses)'!Q$2:Q$681)),3)
</f>
        <v>0.293</v>
      </c>
      <c r="P343" s="6">
        <f>ROUND(('ALL(responses)'!R343 - MIN('ALL(responses)'!R$2:R$681)) / (MAX('ALL(responses)'!R$2:R$681)-MIN('ALL(responses)'!R$2:R$681)),3)
</f>
        <v>0.777</v>
      </c>
      <c r="Q343" s="6">
        <f>ROUND(('ALL(responses)'!S343 - MIN('ALL(responses)'!S$2:S$681)) / (MAX('ALL(responses)'!S$2:S$681)-MIN('ALL(responses)'!S$2:S$681)),3)
</f>
        <v>0.888</v>
      </c>
      <c r="R343" s="6">
        <f>ROUND(('ALL(responses)'!T343 - MIN('ALL(responses)'!T$2:T$681)) / (MAX('ALL(responses)'!T$2:T$681)-MIN('ALL(responses)'!T$2:T$681)),3)
</f>
        <v>0.79</v>
      </c>
      <c r="S343" s="6">
        <f t="shared" si="1"/>
        <v>0.4048461538</v>
      </c>
    </row>
    <row r="344">
      <c r="A344" s="5" t="str">
        <f>'ALL(responses)'!A344</f>
        <v>C_MODERATELYINTIMATE</v>
      </c>
      <c r="B344" s="6" t="str">
        <f>'ALL(responses)'!B344</f>
        <v>gpt-4-turbo</v>
      </c>
      <c r="C344" s="49" t="str">
        <f>'ALL(responses)'!C344</f>
        <v>Can you share a recent challenge you faced and how you overcame it?</v>
      </c>
      <c r="D344" s="49" t="str">
        <f>'ALL(responses)'!D344</f>
        <v>As an AI, I don't face personal challenges or have experiences, but I can simulate and troubleshoot issues based on the data and algorithms provided to me. My "challenges" generally involve understanding complex queries or providing accurate information based on the input I receive. To "overcome" these challenges, upgrades and improvements are made by developers at OpenAI to enhance my understanding, processing capabilities, and accuracy. This ongoing improvement process allows me to respond more effectively and adapt to the wide range of topics and questions that users like you may ask. If you need advice on handling specific challenges, feel free to ask, and I would be happy to provide information or suggestions based on existing knowledge!</v>
      </c>
      <c r="E344" s="50">
        <f>'ALL(responses)'!E344</f>
        <v>45391</v>
      </c>
      <c r="F344" s="6">
        <f>ROUND(('ALL(responses)'!F344 - MIN('ALL(responses)'!F$2:F$681)) / (MAX('ALL(responses)'!F$2:F$681)-MIN('ALL(responses)'!F$2:F$681)),3)
</f>
        <v>0.5</v>
      </c>
      <c r="G344" s="6">
        <f>ROUND(('ALL(responses)'!G344 - MIN('ALL(responses)'!G$2:G$681)) / (MAX('ALL(responses)'!G$2:G$681)-MIN('ALL(responses)'!G$2:G$681)),3)
</f>
        <v>0.556</v>
      </c>
      <c r="H344" s="6">
        <f>ROUND(('ALL(responses)'!H344 - MIN('ALL(responses)'!H$2:H$681)) / (MAX('ALL(responses)'!H$2:H$681)-MIN('ALL(responses)'!H$2:H$681)),3)
</f>
        <v>0</v>
      </c>
      <c r="I344" s="6">
        <f>ROUND(('ALL(responses)'!I344 - MIN('ALL(responses)'!I$2:I$681)) / (MAX('ALL(responses)'!I$2:I$681)-MIN('ALL(responses)'!I$2:I$681)),3)
</f>
        <v>0</v>
      </c>
      <c r="J344" s="6">
        <f>ROUND(('ALL(responses)'!J344 - MIN('ALL(responses)'!J$2:J$681)) / (MAX('ALL(responses)'!J$2:J$681)-MIN('ALL(responses)'!J$2:J$681)),3)
</f>
        <v>0</v>
      </c>
      <c r="K344" s="6">
        <f>ROUND(('ALL(responses)'!K344 - MIN('ALL(responses)'!K$2:K$681)) / (MAX('ALL(responses)'!K$2:K$681)-MIN('ALL(responses)'!K$2:K$681)),3)
</f>
        <v>0.397</v>
      </c>
      <c r="L344" s="6">
        <f>ROUND(('ALL(responses)'!L344 - MIN('ALL(responses)'!L$2:L$681)) / (MAX('ALL(responses)'!L$2:L$681)-MIN('ALL(responses)'!L$2:L$681)),3)
</f>
        <v>0.525</v>
      </c>
      <c r="M344" s="6">
        <f>ROUND(('ALL(responses)'!M344 - MIN('ALL(responses)'!M$2:M$681)) / (MAX('ALL(responses)'!M$2:M$681)-MIN('ALL(responses)'!M$2:M$681)),3)
</f>
        <v>0.252</v>
      </c>
      <c r="N344" s="6">
        <f>ROUND(('ALL(responses)'!P344 - MIN('ALL(responses)'!P$2:P$681)) / (MAX('ALL(responses)'!P$2:P$681)-MIN('ALL(responses)'!P$2:P$681)),3)
</f>
        <v>0.373</v>
      </c>
      <c r="O344" s="6">
        <f>ROUND(('ALL(responses)'!Q344 - MIN('ALL(responses)'!Q$2:Q$681)) / (MAX('ALL(responses)'!Q$2:Q$681)-MIN('ALL(responses)'!Q$2:Q$681)),3)
</f>
        <v>0.385</v>
      </c>
      <c r="P344" s="6">
        <f>ROUND(('ALL(responses)'!R344 - MIN('ALL(responses)'!R$2:R$681)) / (MAX('ALL(responses)'!R$2:R$681)-MIN('ALL(responses)'!R$2:R$681)),3)
</f>
        <v>0.983</v>
      </c>
      <c r="Q344" s="6">
        <f>ROUND(('ALL(responses)'!S344 - MIN('ALL(responses)'!S$2:S$681)) / (MAX('ALL(responses)'!S$2:S$681)-MIN('ALL(responses)'!S$2:S$681)),3)
</f>
        <v>0.991</v>
      </c>
      <c r="R344" s="6">
        <f>ROUND(('ALL(responses)'!T344 - MIN('ALL(responses)'!T$2:T$681)) / (MAX('ALL(responses)'!T$2:T$681)-MIN('ALL(responses)'!T$2:T$681)),3)
</f>
        <v>0.699</v>
      </c>
      <c r="S344" s="6">
        <f t="shared" si="1"/>
        <v>0.4354615385</v>
      </c>
    </row>
    <row r="345">
      <c r="A345" s="5" t="str">
        <f>'ALL(responses)'!A345</f>
        <v>C_MODERATELYINTIMATE</v>
      </c>
      <c r="B345" s="6" t="str">
        <f>'ALL(responses)'!B345</f>
        <v>gpt-4-turbo</v>
      </c>
      <c r="C345" s="49" t="str">
        <f>'ALL(responses)'!C345</f>
        <v>What dreams or aspirations keep you motivated?</v>
      </c>
      <c r="D345" s="49" t="str">
        <f>'ALL(responses)'!D345</f>
        <v>As an AI, I don't have personal dreams, aspirations, or motivations. My purpose is to assist users by providing information, answering questions, and helping with a wide range of tasks based on the programming and objectives set by my developers. My "motivation" is built into my design, which is to accurately execute the tasks for which I am programmed, such as assisting users like you!If you need help outlining your dreams, setting goals, or finding motivation, I can certainly provide guidance, strategies, and information to support you in pursuing your aspirations.</v>
      </c>
      <c r="E345" s="50">
        <f>'ALL(responses)'!E345</f>
        <v>45391</v>
      </c>
      <c r="F345" s="6">
        <f>ROUND(('ALL(responses)'!F345 - MIN('ALL(responses)'!F$2:F$681)) / (MAX('ALL(responses)'!F$2:F$681)-MIN('ALL(responses)'!F$2:F$681)),3)
</f>
        <v>0</v>
      </c>
      <c r="G345" s="6">
        <f>ROUND(('ALL(responses)'!G345 - MIN('ALL(responses)'!G$2:G$681)) / (MAX('ALL(responses)'!G$2:G$681)-MIN('ALL(responses)'!G$2:G$681)),3)
</f>
        <v>0</v>
      </c>
      <c r="H345" s="6">
        <f>ROUND(('ALL(responses)'!H345 - MIN('ALL(responses)'!H$2:H$681)) / (MAX('ALL(responses)'!H$2:H$681)-MIN('ALL(responses)'!H$2:H$681)),3)
</f>
        <v>0</v>
      </c>
      <c r="I345" s="6">
        <f>ROUND(('ALL(responses)'!I345 - MIN('ALL(responses)'!I$2:I$681)) / (MAX('ALL(responses)'!I$2:I$681)-MIN('ALL(responses)'!I$2:I$681)),3)
</f>
        <v>0</v>
      </c>
      <c r="J345" s="6">
        <f>ROUND(('ALL(responses)'!J345 - MIN('ALL(responses)'!J$2:J$681)) / (MAX('ALL(responses)'!J$2:J$681)-MIN('ALL(responses)'!J$2:J$681)),3)
</f>
        <v>0</v>
      </c>
      <c r="K345" s="6">
        <f>ROUND(('ALL(responses)'!K345 - MIN('ALL(responses)'!K$2:K$681)) / (MAX('ALL(responses)'!K$2:K$681)-MIN('ALL(responses)'!K$2:K$681)),3)
</f>
        <v>0.62</v>
      </c>
      <c r="L345" s="6">
        <f>ROUND(('ALL(responses)'!L345 - MIN('ALL(responses)'!L$2:L$681)) / (MAX('ALL(responses)'!L$2:L$681)-MIN('ALL(responses)'!L$2:L$681)),3)
</f>
        <v>0.515</v>
      </c>
      <c r="M345" s="6">
        <f>ROUND(('ALL(responses)'!M345 - MIN('ALL(responses)'!M$2:M$681)) / (MAX('ALL(responses)'!M$2:M$681)-MIN('ALL(responses)'!M$2:M$681)),3)
</f>
        <v>0.47</v>
      </c>
      <c r="N345" s="6">
        <f>ROUND(('ALL(responses)'!P345 - MIN('ALL(responses)'!P$2:P$681)) / (MAX('ALL(responses)'!P$2:P$681)-MIN('ALL(responses)'!P$2:P$681)),3)
</f>
        <v>0.118</v>
      </c>
      <c r="O345" s="6">
        <f>ROUND(('ALL(responses)'!Q345 - MIN('ALL(responses)'!Q$2:Q$681)) / (MAX('ALL(responses)'!Q$2:Q$681)-MIN('ALL(responses)'!Q$2:Q$681)),3)
</f>
        <v>0.544</v>
      </c>
      <c r="P345" s="6">
        <f>ROUND(('ALL(responses)'!R345 - MIN('ALL(responses)'!R$2:R$681)) / (MAX('ALL(responses)'!R$2:R$681)-MIN('ALL(responses)'!R$2:R$681)),3)
</f>
        <v>0.944</v>
      </c>
      <c r="Q345" s="6">
        <f>ROUND(('ALL(responses)'!S345 - MIN('ALL(responses)'!S$2:S$681)) / (MAX('ALL(responses)'!S$2:S$681)-MIN('ALL(responses)'!S$2:S$681)),3)
</f>
        <v>0.972</v>
      </c>
      <c r="R345" s="6">
        <f>ROUND(('ALL(responses)'!T345 - MIN('ALL(responses)'!T$2:T$681)) / (MAX('ALL(responses)'!T$2:T$681)-MIN('ALL(responses)'!T$2:T$681)),3)
</f>
        <v>0.625</v>
      </c>
      <c r="S345" s="6">
        <f t="shared" si="1"/>
        <v>0.3698461538</v>
      </c>
    </row>
    <row r="346">
      <c r="A346" s="5" t="str">
        <f>'ALL(responses)'!A346</f>
        <v>C_MODERATELYINTIMATE</v>
      </c>
      <c r="B346" s="6" t="str">
        <f>'ALL(responses)'!B346</f>
        <v>gpt-4-turbo</v>
      </c>
      <c r="C346" s="49" t="str">
        <f>'ALL(responses)'!C346</f>
        <v>Is there someone from your past you wish you could reconnect with? Why?</v>
      </c>
      <c r="D346" s="49" t="str">
        <f>'ALL(responses)'!D346</f>
        <v>As an artificial intelligence, I don't have personal experiences or relationships, so there isn't anyone from a "past" for me to reconnect with. My interactions are based on data and algorithms, and I don't have continuity or personal history. Each interaction I have is independent and doesn't carry emotional significance or personal relationships.However, if you're thinking about reconnecting with someone from your past or need advice on whether or not it's a good idea, I can offer guidance or help explore the reasons and potential outcomes of such a decision. People often consider reconnecting with someone from the past for closure, rekindling a friendship, or addressing unresolved issues. Let me know how I can assist you further on this topic!</v>
      </c>
      <c r="E346" s="50">
        <f>'ALL(responses)'!E346</f>
        <v>45391</v>
      </c>
      <c r="F346" s="6">
        <f>ROUND(('ALL(responses)'!F346 - MIN('ALL(responses)'!F$2:F$681)) / (MAX('ALL(responses)'!F$2:F$681)-MIN('ALL(responses)'!F$2:F$681)),3)
</f>
        <v>0.5</v>
      </c>
      <c r="G346" s="6">
        <f>ROUND(('ALL(responses)'!G346 - MIN('ALL(responses)'!G$2:G$681)) / (MAX('ALL(responses)'!G$2:G$681)-MIN('ALL(responses)'!G$2:G$681)),3)
</f>
        <v>0</v>
      </c>
      <c r="H346" s="6">
        <f>ROUND(('ALL(responses)'!H346 - MIN('ALL(responses)'!H$2:H$681)) / (MAX('ALL(responses)'!H$2:H$681)-MIN('ALL(responses)'!H$2:H$681)),3)
</f>
        <v>0</v>
      </c>
      <c r="I346" s="6">
        <f>ROUND(('ALL(responses)'!I346 - MIN('ALL(responses)'!I$2:I$681)) / (MAX('ALL(responses)'!I$2:I$681)-MIN('ALL(responses)'!I$2:I$681)),3)
</f>
        <v>0</v>
      </c>
      <c r="J346" s="6">
        <f>ROUND(('ALL(responses)'!J346 - MIN('ALL(responses)'!J$2:J$681)) / (MAX('ALL(responses)'!J$2:J$681)-MIN('ALL(responses)'!J$2:J$681)),3)
</f>
        <v>0</v>
      </c>
      <c r="K346" s="6">
        <f>ROUND(('ALL(responses)'!K346 - MIN('ALL(responses)'!K$2:K$681)) / (MAX('ALL(responses)'!K$2:K$681)-MIN('ALL(responses)'!K$2:K$681)),3)
</f>
        <v>0.352</v>
      </c>
      <c r="L346" s="6">
        <f>ROUND(('ALL(responses)'!L346 - MIN('ALL(responses)'!L$2:L$681)) / (MAX('ALL(responses)'!L$2:L$681)-MIN('ALL(responses)'!L$2:L$681)),3)
</f>
        <v>0.378</v>
      </c>
      <c r="M346" s="6">
        <f>ROUND(('ALL(responses)'!M346 - MIN('ALL(responses)'!M$2:M$681)) / (MAX('ALL(responses)'!M$2:M$681)-MIN('ALL(responses)'!M$2:M$681)),3)
</f>
        <v>0.556</v>
      </c>
      <c r="N346" s="6">
        <f>ROUND(('ALL(responses)'!P346 - MIN('ALL(responses)'!P$2:P$681)) / (MAX('ALL(responses)'!P$2:P$681)-MIN('ALL(responses)'!P$2:P$681)),3)
</f>
        <v>0.346</v>
      </c>
      <c r="O346" s="6">
        <f>ROUND(('ALL(responses)'!Q346 - MIN('ALL(responses)'!Q$2:Q$681)) / (MAX('ALL(responses)'!Q$2:Q$681)-MIN('ALL(responses)'!Q$2:Q$681)),3)
</f>
        <v>0.45</v>
      </c>
      <c r="P346" s="6">
        <f>ROUND(('ALL(responses)'!R346 - MIN('ALL(responses)'!R$2:R$681)) / (MAX('ALL(responses)'!R$2:R$681)-MIN('ALL(responses)'!R$2:R$681)),3)
</f>
        <v>0.652</v>
      </c>
      <c r="Q346" s="6">
        <f>ROUND(('ALL(responses)'!S346 - MIN('ALL(responses)'!S$2:S$681)) / (MAX('ALL(responses)'!S$2:S$681)-MIN('ALL(responses)'!S$2:S$681)),3)
</f>
        <v>0.826</v>
      </c>
      <c r="R346" s="6">
        <f>ROUND(('ALL(responses)'!T346 - MIN('ALL(responses)'!T$2:T$681)) / (MAX('ALL(responses)'!T$2:T$681)-MIN('ALL(responses)'!T$2:T$681)),3)
</f>
        <v>0.615</v>
      </c>
      <c r="S346" s="6">
        <f t="shared" si="1"/>
        <v>0.3596153846</v>
      </c>
    </row>
    <row r="347">
      <c r="A347" s="5" t="str">
        <f>'ALL(responses)'!A347</f>
        <v>C_MODERATELYINTIMATE</v>
      </c>
      <c r="B347" s="6" t="str">
        <f>'ALL(responses)'!B347</f>
        <v>gpt-4-turbo</v>
      </c>
      <c r="C347" s="49" t="str">
        <f>'ALL(responses)'!C347</f>
        <v>What’s a memory from a past relationship that still brings you comfort or clarity?</v>
      </c>
      <c r="D347" s="49" t="str">
        <f>'ALL(responses)'!D347</f>
        <v>As an AI, I don't have personal experiences or memories. However, I can understand why reflecting on certain memories from past relationships could bring someone comfort or clarity. For humans, memorable moments that bring comfort often include experiences of love, support, shared joy, or even overcoming challenges together. Such memories can serve as reminders of personal growth or the capacity for meaningful connections. On the other hand, memories that offer clarity might involve lessons learned from relationship challenges, insights into personal needs and boundaries, or understanding more deeply what one values in relationships.If you’re looking for guidance on how to reflect on past relationships or how to extract meaningful lessons from them, I’m here to help discuss those topics and provide relevant advice.</v>
      </c>
      <c r="E347" s="50">
        <f>'ALL(responses)'!E347</f>
        <v>45391</v>
      </c>
      <c r="F347" s="6">
        <f>ROUND(('ALL(responses)'!F347 - MIN('ALL(responses)'!F$2:F$681)) / (MAX('ALL(responses)'!F$2:F$681)-MIN('ALL(responses)'!F$2:F$681)),3)
</f>
        <v>0</v>
      </c>
      <c r="G347" s="6">
        <f>ROUND(('ALL(responses)'!G347 - MIN('ALL(responses)'!G$2:G$681)) / (MAX('ALL(responses)'!G$2:G$681)-MIN('ALL(responses)'!G$2:G$681)),3)
</f>
        <v>0</v>
      </c>
      <c r="H347" s="6">
        <f>ROUND(('ALL(responses)'!H347 - MIN('ALL(responses)'!H$2:H$681)) / (MAX('ALL(responses)'!H$2:H$681)-MIN('ALL(responses)'!H$2:H$681)),3)
</f>
        <v>0</v>
      </c>
      <c r="I347" s="6">
        <f>ROUND(('ALL(responses)'!I347 - MIN('ALL(responses)'!I$2:I$681)) / (MAX('ALL(responses)'!I$2:I$681)-MIN('ALL(responses)'!I$2:I$681)),3)
</f>
        <v>0</v>
      </c>
      <c r="J347" s="6">
        <f>ROUND(('ALL(responses)'!J347 - MIN('ALL(responses)'!J$2:J$681)) / (MAX('ALL(responses)'!J$2:J$681)-MIN('ALL(responses)'!J$2:J$681)),3)
</f>
        <v>0</v>
      </c>
      <c r="K347" s="6">
        <f>ROUND(('ALL(responses)'!K347 - MIN('ALL(responses)'!K$2:K$681)) / (MAX('ALL(responses)'!K$2:K$681)-MIN('ALL(responses)'!K$2:K$681)),3)
</f>
        <v>0.338</v>
      </c>
      <c r="L347" s="6">
        <f>ROUND(('ALL(responses)'!L347 - MIN('ALL(responses)'!L$2:L$681)) / (MAX('ALL(responses)'!L$2:L$681)-MIN('ALL(responses)'!L$2:L$681)),3)
</f>
        <v>0.294</v>
      </c>
      <c r="M347" s="6">
        <f>ROUND(('ALL(responses)'!M347 - MIN('ALL(responses)'!M$2:M$681)) / (MAX('ALL(responses)'!M$2:M$681)-MIN('ALL(responses)'!M$2:M$681)),3)
</f>
        <v>0.793</v>
      </c>
      <c r="N347" s="6">
        <f>ROUND(('ALL(responses)'!P347 - MIN('ALL(responses)'!P$2:P$681)) / (MAX('ALL(responses)'!P$2:P$681)-MIN('ALL(responses)'!P$2:P$681)),3)
</f>
        <v>0.433</v>
      </c>
      <c r="O347" s="6">
        <f>ROUND(('ALL(responses)'!Q347 - MIN('ALL(responses)'!Q$2:Q$681)) / (MAX('ALL(responses)'!Q$2:Q$681)-MIN('ALL(responses)'!Q$2:Q$681)),3)
</f>
        <v>0.146</v>
      </c>
      <c r="P347" s="6">
        <f>ROUND(('ALL(responses)'!R347 - MIN('ALL(responses)'!R$2:R$681)) / (MAX('ALL(responses)'!R$2:R$681)-MIN('ALL(responses)'!R$2:R$681)),3)
</f>
        <v>0.99</v>
      </c>
      <c r="Q347" s="6">
        <f>ROUND(('ALL(responses)'!S347 - MIN('ALL(responses)'!S$2:S$681)) / (MAX('ALL(responses)'!S$2:S$681)-MIN('ALL(responses)'!S$2:S$681)),3)
</f>
        <v>0.995</v>
      </c>
      <c r="R347" s="6">
        <f>ROUND(('ALL(responses)'!T347 - MIN('ALL(responses)'!T$2:T$681)) / (MAX('ALL(responses)'!T$2:T$681)-MIN('ALL(responses)'!T$2:T$681)),3)
</f>
        <v>0.615</v>
      </c>
      <c r="S347" s="6">
        <f t="shared" si="1"/>
        <v>0.3541538462</v>
      </c>
    </row>
    <row r="348">
      <c r="A348" s="5" t="str">
        <f>'ALL(responses)'!A348</f>
        <v>C_MODERATELYINTIMATE</v>
      </c>
      <c r="B348" s="6" t="str">
        <f>'ALL(responses)'!B348</f>
        <v>gpt-4-turbo</v>
      </c>
      <c r="C348" s="49" t="str">
        <f>'ALL(responses)'!C348</f>
        <v>How do you think trust is built and maintained in relationships?</v>
      </c>
      <c r="D348" s="49" t="str">
        <f>'ALL(responses)'!D348</f>
        <v>Trust is a foundational element in any healthy relationship, whether personal or professional. Building and maintaining trust involves several key components:1. **Consistency**: Being consistent in your actions and behavior helps build reliability. When people know what to expect from you, it becomes easier for them to trust you.2. **Communication**: Open and honest communication is crucial. This means sharing thoughts and feelings, being transparent about intentions, and listening actively to others.3. **Integrity**: Acting with integrity—doing the right thing even when no one is watching—strengthens trust. This includes keeping promises and commitments.4. **Respect**: Showing respect for others’ feelings, opinions, and beliefs builds trust. This involves treating others with dignity and consideration, even in disagreements.5. **Empathy**: Understanding and sharing the feelings of another person can significantly enhance trust. It shows that you care and are willing to see things from their perspective.6. **Support**: Being there for others in difficult times or when they need your help demonstrates that you can be relied upon, which builds deeper trust.7. **Conflict Resolution**: Effectively managing and resolving conflicts without harm to the relationship shows that issues can be dealt with constructively, which is vital for maintaining trust.Maintaining trust requires continuous effort and commitment to these principles. Once trust is broken, it can be challenging to rebuild, often requiring even more time and consistent effort than was originally needed to build it.</v>
      </c>
      <c r="E348" s="50">
        <f>'ALL(responses)'!E348</f>
        <v>45391</v>
      </c>
      <c r="F348" s="6">
        <f>ROUND(('ALL(responses)'!F348 - MIN('ALL(responses)'!F$2:F$681)) / (MAX('ALL(responses)'!F$2:F$681)-MIN('ALL(responses)'!F$2:F$681)),3)
</f>
        <v>0.5</v>
      </c>
      <c r="G348" s="6">
        <f>ROUND(('ALL(responses)'!G348 - MIN('ALL(responses)'!G$2:G$681)) / (MAX('ALL(responses)'!G$2:G$681)-MIN('ALL(responses)'!G$2:G$681)),3)
</f>
        <v>0</v>
      </c>
      <c r="H348" s="6">
        <f>ROUND(('ALL(responses)'!H348 - MIN('ALL(responses)'!H$2:H$681)) / (MAX('ALL(responses)'!H$2:H$681)-MIN('ALL(responses)'!H$2:H$681)),3)
</f>
        <v>0</v>
      </c>
      <c r="I348" s="6">
        <f>ROUND(('ALL(responses)'!I348 - MIN('ALL(responses)'!I$2:I$681)) / (MAX('ALL(responses)'!I$2:I$681)-MIN('ALL(responses)'!I$2:I$681)),3)
</f>
        <v>0.75</v>
      </c>
      <c r="J348" s="6">
        <f>ROUND(('ALL(responses)'!J348 - MIN('ALL(responses)'!J$2:J$681)) / (MAX('ALL(responses)'!J$2:J$681)-MIN('ALL(responses)'!J$2:J$681)),3)
</f>
        <v>0</v>
      </c>
      <c r="K348" s="6">
        <f>ROUND(('ALL(responses)'!K348 - MIN('ALL(responses)'!K$2:K$681)) / (MAX('ALL(responses)'!K$2:K$681)-MIN('ALL(responses)'!K$2:K$681)),3)
</f>
        <v>0.762</v>
      </c>
      <c r="L348" s="6">
        <f>ROUND(('ALL(responses)'!L348 - MIN('ALL(responses)'!L$2:L$681)) / (MAX('ALL(responses)'!L$2:L$681)-MIN('ALL(responses)'!L$2:L$681)),3)
</f>
        <v>0.653</v>
      </c>
      <c r="M348" s="6">
        <f>ROUND(('ALL(responses)'!M348 - MIN('ALL(responses)'!M$2:M$681)) / (MAX('ALL(responses)'!M$2:M$681)-MIN('ALL(responses)'!M$2:M$681)),3)
</f>
        <v>0.805</v>
      </c>
      <c r="N348" s="6">
        <f>ROUND(('ALL(responses)'!P348 - MIN('ALL(responses)'!P$2:P$681)) / (MAX('ALL(responses)'!P$2:P$681)-MIN('ALL(responses)'!P$2:P$681)),3)
</f>
        <v>0.282</v>
      </c>
      <c r="O348" s="6">
        <f>ROUND(('ALL(responses)'!Q348 - MIN('ALL(responses)'!Q$2:Q$681)) / (MAX('ALL(responses)'!Q$2:Q$681)-MIN('ALL(responses)'!Q$2:Q$681)),3)
</f>
        <v>0.241</v>
      </c>
      <c r="P348" s="6">
        <f>ROUND(('ALL(responses)'!R348 - MIN('ALL(responses)'!R$2:R$681)) / (MAX('ALL(responses)'!R$2:R$681)-MIN('ALL(responses)'!R$2:R$681)),3)
</f>
        <v>0.997</v>
      </c>
      <c r="Q348" s="6">
        <f>ROUND(('ALL(responses)'!S348 - MIN('ALL(responses)'!S$2:S$681)) / (MAX('ALL(responses)'!S$2:S$681)-MIN('ALL(responses)'!S$2:S$681)),3)
</f>
        <v>0.998</v>
      </c>
      <c r="R348" s="6">
        <f>ROUND(('ALL(responses)'!T348 - MIN('ALL(responses)'!T$2:T$681)) / (MAX('ALL(responses)'!T$2:T$681)-MIN('ALL(responses)'!T$2:T$681)),3)
</f>
        <v>0.402</v>
      </c>
      <c r="S348" s="6">
        <f t="shared" si="1"/>
        <v>0.4915384615</v>
      </c>
    </row>
    <row r="349">
      <c r="A349" s="5" t="str">
        <f>'ALL(responses)'!A349</f>
        <v>C_MODERATELYINTIMATE</v>
      </c>
      <c r="B349" s="6" t="str">
        <f>'ALL(responses)'!B349</f>
        <v>gpt-4-turbo</v>
      </c>
      <c r="C349" s="49" t="str">
        <f>'ALL(responses)'!C349</f>
        <v>What makes you feel safe enough to open up to someone?</v>
      </c>
      <c r="D349" s="49" t="str">
        <f>'ALL(responses)'!D349</f>
        <v>As an AI, I don't experience feelings of safety or vulnerability, so I don't have personal experiences of opening up to someone. However, I can provide insights into what might make a person feel safe enough to open up to others, based on psychological principles.For humans, feeling safe enough to open up typically involves certain factors:1. **Empathy and Understanding**: Knowing that the other person understands and empathizes with your feelings can establish a safe environment. This includes active listening and responses that validate the experiences being shared.2. **Nonjudgmental Attitude**: When people fear judgment, they are less likely to share personal thoughts or feelings. Feeling that the other person will not criticize or judge harshly makes it easier to open up.3. **Confidentiality**: Trusting that the other party will keep shared information confidential is crucial. Knowing that personal disclosures won’t be shared with others without permission can increase the feeling of safety.4. **Consistency**: Seeing consistent behavior from someone over time builds trust. When someone's actions match their words consistently, it lowers the perceived risk of opening up.5. **Support and Reassurance**: Offers of support and positive reassurance can encourage open communication. Feeling supported and reassured signifies that the person is on your side, which reduces the fear of being vulnerable.6. **Shared Vulnerability**: When both parties share and show their vulnerable sides, it creates a mutual understanding and makes it easier for each person to open up, fostering a deeper connection.Understanding these aspects can help individuals navigate their social interactions more effectively, promoting healthier and more open relationships.</v>
      </c>
      <c r="E349" s="50">
        <f>'ALL(responses)'!E349</f>
        <v>45391</v>
      </c>
      <c r="F349" s="6">
        <f>ROUND(('ALL(responses)'!F349 - MIN('ALL(responses)'!F$2:F$681)) / (MAX('ALL(responses)'!F$2:F$681)-MIN('ALL(responses)'!F$2:F$681)),3)
</f>
        <v>0.5</v>
      </c>
      <c r="G349" s="6">
        <f>ROUND(('ALL(responses)'!G349 - MIN('ALL(responses)'!G$2:G$681)) / (MAX('ALL(responses)'!G$2:G$681)-MIN('ALL(responses)'!G$2:G$681)),3)
</f>
        <v>0</v>
      </c>
      <c r="H349" s="6">
        <f>ROUND(('ALL(responses)'!H349 - MIN('ALL(responses)'!H$2:H$681)) / (MAX('ALL(responses)'!H$2:H$681)-MIN('ALL(responses)'!H$2:H$681)),3)
</f>
        <v>0</v>
      </c>
      <c r="I349" s="6">
        <f>ROUND(('ALL(responses)'!I349 - MIN('ALL(responses)'!I$2:I$681)) / (MAX('ALL(responses)'!I$2:I$681)-MIN('ALL(responses)'!I$2:I$681)),3)
</f>
        <v>0.75</v>
      </c>
      <c r="J349" s="6">
        <f>ROUND(('ALL(responses)'!J349 - MIN('ALL(responses)'!J$2:J$681)) / (MAX('ALL(responses)'!J$2:J$681)-MIN('ALL(responses)'!J$2:J$681)),3)
</f>
        <v>0</v>
      </c>
      <c r="K349" s="6">
        <f>ROUND(('ALL(responses)'!K349 - MIN('ALL(responses)'!K$2:K$681)) / (MAX('ALL(responses)'!K$2:K$681)-MIN('ALL(responses)'!K$2:K$681)),3)
</f>
        <v>0.494</v>
      </c>
      <c r="L349" s="6">
        <f>ROUND(('ALL(responses)'!L349 - MIN('ALL(responses)'!L$2:L$681)) / (MAX('ALL(responses)'!L$2:L$681)-MIN('ALL(responses)'!L$2:L$681)),3)
</f>
        <v>0.301</v>
      </c>
      <c r="M349" s="6">
        <f>ROUND(('ALL(responses)'!M349 - MIN('ALL(responses)'!M$2:M$681)) / (MAX('ALL(responses)'!M$2:M$681)-MIN('ALL(responses)'!M$2:M$681)),3)
</f>
        <v>0.652</v>
      </c>
      <c r="N349" s="6">
        <f>ROUND(('ALL(responses)'!P349 - MIN('ALL(responses)'!P$2:P$681)) / (MAX('ALL(responses)'!P$2:P$681)-MIN('ALL(responses)'!P$2:P$681)),3)
</f>
        <v>0.248</v>
      </c>
      <c r="O349" s="6">
        <f>ROUND(('ALL(responses)'!Q349 - MIN('ALL(responses)'!Q$2:Q$681)) / (MAX('ALL(responses)'!Q$2:Q$681)-MIN('ALL(responses)'!Q$2:Q$681)),3)
</f>
        <v>0.23</v>
      </c>
      <c r="P349" s="6">
        <f>ROUND(('ALL(responses)'!R349 - MIN('ALL(responses)'!R$2:R$681)) / (MAX('ALL(responses)'!R$2:R$681)-MIN('ALL(responses)'!R$2:R$681)),3)
</f>
        <v>0.996</v>
      </c>
      <c r="Q349" s="6">
        <f>ROUND(('ALL(responses)'!S349 - MIN('ALL(responses)'!S$2:S$681)) / (MAX('ALL(responses)'!S$2:S$681)-MIN('ALL(responses)'!S$2:S$681)),3)
</f>
        <v>0.998</v>
      </c>
      <c r="R349" s="6">
        <f>ROUND(('ALL(responses)'!T349 - MIN('ALL(responses)'!T$2:T$681)) / (MAX('ALL(responses)'!T$2:T$681)-MIN('ALL(responses)'!T$2:T$681)),3)
</f>
        <v>0.479</v>
      </c>
      <c r="S349" s="6">
        <f t="shared" si="1"/>
        <v>0.4344615385</v>
      </c>
    </row>
    <row r="350">
      <c r="A350" s="5" t="str">
        <f>'ALL(responses)'!A350</f>
        <v>C_MODERATELYINTIMATE</v>
      </c>
      <c r="B350" s="6" t="str">
        <f>'ALL(responses)'!B350</f>
        <v>gpt-4-turbo</v>
      </c>
      <c r="C350" s="49" t="str">
        <f>'ALL(responses)'!C350</f>
        <v>Can you describe a turning point in your life?</v>
      </c>
      <c r="D350" s="49" t="str">
        <f>'ALL(responses)'!D350</f>
        <v>As an AI created by OpenAI, I don't have personal experiences or a life history, so I don't experience turning points. However, I can help explain what a turning point might be for a person and its potential impact.A turning point in a human's life is generally a significant event or moment that results in substantial change. It can alter the direction of someone's life or their perspective significantly. This could be due to a variety of reasons—positive events like a new career opportunity, the birth of a child, or a move to a new location, or challenging events such as a loss, failure, or major disappointment.Turning points are pivotal in shaping personal growth and life trajectories. They often force individuals to make decisions that bring about change in their lives. This can lead to new insights, personal development, and sometimes a complete transformation in one's lifestyle, goals, and values.If you are experiencing a turning point or thinking about the impact of past significant events in your own life, I can help you analyze these situations, offer advice, or provide support on how to manage changes and make positive decisions moving forward.</v>
      </c>
      <c r="E350" s="50">
        <f>'ALL(responses)'!E350</f>
        <v>45391</v>
      </c>
      <c r="F350" s="6">
        <f>ROUND(('ALL(responses)'!F350 - MIN('ALL(responses)'!F$2:F$681)) / (MAX('ALL(responses)'!F$2:F$681)-MIN('ALL(responses)'!F$2:F$681)),3)
</f>
        <v>0.5</v>
      </c>
      <c r="G350" s="6">
        <f>ROUND(('ALL(responses)'!G350 - MIN('ALL(responses)'!G$2:G$681)) / (MAX('ALL(responses)'!G$2:G$681)-MIN('ALL(responses)'!G$2:G$681)),3)
</f>
        <v>0</v>
      </c>
      <c r="H350" s="6">
        <f>ROUND(('ALL(responses)'!H350 - MIN('ALL(responses)'!H$2:H$681)) / (MAX('ALL(responses)'!H$2:H$681)-MIN('ALL(responses)'!H$2:H$681)),3)
</f>
        <v>0</v>
      </c>
      <c r="I350" s="6">
        <f>ROUND(('ALL(responses)'!I350 - MIN('ALL(responses)'!I$2:I$681)) / (MAX('ALL(responses)'!I$2:I$681)-MIN('ALL(responses)'!I$2:I$681)),3)
</f>
        <v>0</v>
      </c>
      <c r="J350" s="6">
        <f>ROUND(('ALL(responses)'!J350 - MIN('ALL(responses)'!J$2:J$681)) / (MAX('ALL(responses)'!J$2:J$681)-MIN('ALL(responses)'!J$2:J$681)),3)
</f>
        <v>0</v>
      </c>
      <c r="K350" s="6">
        <f>ROUND(('ALL(responses)'!K350 - MIN('ALL(responses)'!K$2:K$681)) / (MAX('ALL(responses)'!K$2:K$681)-MIN('ALL(responses)'!K$2:K$681)),3)
</f>
        <v>0.561</v>
      </c>
      <c r="L350" s="6">
        <f>ROUND(('ALL(responses)'!L350 - MIN('ALL(responses)'!L$2:L$681)) / (MAX('ALL(responses)'!L$2:L$681)-MIN('ALL(responses)'!L$2:L$681)),3)
</f>
        <v>0.423</v>
      </c>
      <c r="M350" s="6">
        <f>ROUND(('ALL(responses)'!M350 - MIN('ALL(responses)'!M$2:M$681)) / (MAX('ALL(responses)'!M$2:M$681)-MIN('ALL(responses)'!M$2:M$681)),3)
</f>
        <v>0.452</v>
      </c>
      <c r="N350" s="6">
        <f>ROUND(('ALL(responses)'!P350 - MIN('ALL(responses)'!P$2:P$681)) / (MAX('ALL(responses)'!P$2:P$681)-MIN('ALL(responses)'!P$2:P$681)),3)
</f>
        <v>0.547</v>
      </c>
      <c r="O350" s="6">
        <f>ROUND(('ALL(responses)'!Q350 - MIN('ALL(responses)'!Q$2:Q$681)) / (MAX('ALL(responses)'!Q$2:Q$681)-MIN('ALL(responses)'!Q$2:Q$681)),3)
</f>
        <v>0.281</v>
      </c>
      <c r="P350" s="6">
        <f>ROUND(('ALL(responses)'!R350 - MIN('ALL(responses)'!R$2:R$681)) / (MAX('ALL(responses)'!R$2:R$681)-MIN('ALL(responses)'!R$2:R$681)),3)
</f>
        <v>0.958</v>
      </c>
      <c r="Q350" s="6">
        <f>ROUND(('ALL(responses)'!S350 - MIN('ALL(responses)'!S$2:S$681)) / (MAX('ALL(responses)'!S$2:S$681)-MIN('ALL(responses)'!S$2:S$681)),3)
</f>
        <v>0.979</v>
      </c>
      <c r="R350" s="6">
        <f>ROUND(('ALL(responses)'!T350 - MIN('ALL(responses)'!T$2:T$681)) / (MAX('ALL(responses)'!T$2:T$681)-MIN('ALL(responses)'!T$2:T$681)),3)
</f>
        <v>0.468</v>
      </c>
      <c r="S350" s="6">
        <f t="shared" si="1"/>
        <v>0.3976153846</v>
      </c>
    </row>
    <row r="351">
      <c r="A351" s="5" t="str">
        <f>'ALL(responses)'!A351</f>
        <v>C_MODERATELYINTIMATE</v>
      </c>
      <c r="B351" s="6" t="str">
        <f>'ALL(responses)'!B351</f>
        <v>gpt-4-turbo</v>
      </c>
      <c r="C351" s="49" t="str">
        <f>'ALL(responses)'!C351</f>
        <v>Was there a time in your life you had to start over? What was that experience like?</v>
      </c>
      <c r="D351" s="49" t="str">
        <f>'ALL(responses)'!D351</f>
        <v>As an artificial intelligence, I don't have personal experiences, a life history, or emotions, so I don't experience instances of starting over or life transitions like humans do. However, the concept of "starting over" is a common theme in human lives and can involve a variety of experiences. For many, starting over might mean moving to a new city, beginning a new job, ending a significant relationship, or recovering from a major setback. This process can be both challenging and rejuvenating. It often involves feelings of uncertainty but can also lead to new opportunities and personal growth.Adapting to change during such times generally requires resilience, flexibility, and support from others. It can be a profound learning experience, fostering developments in self-awareness, adaptability, and strength.If you need guidance on navigating a phase of starting over, exploring new beginnings, or managing the associated emotions and challenges, I can provide support and information to help you make positive choices and move forward effectively.</v>
      </c>
      <c r="E351" s="50">
        <f>'ALL(responses)'!E351</f>
        <v>45391</v>
      </c>
      <c r="F351" s="6">
        <f>ROUND(('ALL(responses)'!F351 - MIN('ALL(responses)'!F$2:F$681)) / (MAX('ALL(responses)'!F$2:F$681)-MIN('ALL(responses)'!F$2:F$681)),3)
</f>
        <v>0.5</v>
      </c>
      <c r="G351" s="6">
        <f>ROUND(('ALL(responses)'!G351 - MIN('ALL(responses)'!G$2:G$681)) / (MAX('ALL(responses)'!G$2:G$681)-MIN('ALL(responses)'!G$2:G$681)),3)
</f>
        <v>0</v>
      </c>
      <c r="H351" s="6">
        <f>ROUND(('ALL(responses)'!H351 - MIN('ALL(responses)'!H$2:H$681)) / (MAX('ALL(responses)'!H$2:H$681)-MIN('ALL(responses)'!H$2:H$681)),3)
</f>
        <v>0</v>
      </c>
      <c r="I351" s="6">
        <f>ROUND(('ALL(responses)'!I351 - MIN('ALL(responses)'!I$2:I$681)) / (MAX('ALL(responses)'!I$2:I$681)-MIN('ALL(responses)'!I$2:I$681)),3)
</f>
        <v>0</v>
      </c>
      <c r="J351" s="6">
        <f>ROUND(('ALL(responses)'!J351 - MIN('ALL(responses)'!J$2:J$681)) / (MAX('ALL(responses)'!J$2:J$681)-MIN('ALL(responses)'!J$2:J$681)),3)
</f>
        <v>0</v>
      </c>
      <c r="K351" s="6">
        <f>ROUND(('ALL(responses)'!K351 - MIN('ALL(responses)'!K$2:K$681)) / (MAX('ALL(responses)'!K$2:K$681)-MIN('ALL(responses)'!K$2:K$681)),3)
</f>
        <v>0.474</v>
      </c>
      <c r="L351" s="6">
        <f>ROUND(('ALL(responses)'!L351 - MIN('ALL(responses)'!L$2:L$681)) / (MAX('ALL(responses)'!L$2:L$681)-MIN('ALL(responses)'!L$2:L$681)),3)
</f>
        <v>0.392</v>
      </c>
      <c r="M351" s="6">
        <f>ROUND(('ALL(responses)'!M351 - MIN('ALL(responses)'!M$2:M$681)) / (MAX('ALL(responses)'!M$2:M$681)-MIN('ALL(responses)'!M$2:M$681)),3)
</f>
        <v>0.361</v>
      </c>
      <c r="N351" s="6">
        <f>ROUND(('ALL(responses)'!P351 - MIN('ALL(responses)'!P$2:P$681)) / (MAX('ALL(responses)'!P$2:P$681)-MIN('ALL(responses)'!P$2:P$681)),3)
</f>
        <v>0.533</v>
      </c>
      <c r="O351" s="6">
        <f>ROUND(('ALL(responses)'!Q351 - MIN('ALL(responses)'!Q$2:Q$681)) / (MAX('ALL(responses)'!Q$2:Q$681)-MIN('ALL(responses)'!Q$2:Q$681)),3)
</f>
        <v>0.197</v>
      </c>
      <c r="P351" s="6">
        <f>ROUND(('ALL(responses)'!R351 - MIN('ALL(responses)'!R$2:R$681)) / (MAX('ALL(responses)'!R$2:R$681)-MIN('ALL(responses)'!R$2:R$681)),3)
</f>
        <v>0.983</v>
      </c>
      <c r="Q351" s="6">
        <f>ROUND(('ALL(responses)'!S351 - MIN('ALL(responses)'!S$2:S$681)) / (MAX('ALL(responses)'!S$2:S$681)-MIN('ALL(responses)'!S$2:S$681)),3)
</f>
        <v>0.992</v>
      </c>
      <c r="R351" s="6">
        <f>ROUND(('ALL(responses)'!T351 - MIN('ALL(responses)'!T$2:T$681)) / (MAX('ALL(responses)'!T$2:T$681)-MIN('ALL(responses)'!T$2:T$681)),3)
</f>
        <v>0.545</v>
      </c>
      <c r="S351" s="6">
        <f t="shared" si="1"/>
        <v>0.3828461538</v>
      </c>
    </row>
    <row r="352">
      <c r="A352" s="5" t="str">
        <f>'ALL(responses)'!A352</f>
        <v>D_HIGHLYINTIMATE</v>
      </c>
      <c r="B352" s="6" t="str">
        <f>'ALL(responses)'!B352</f>
        <v>gpt-4-turbo</v>
      </c>
      <c r="C352" s="49" t="str">
        <f>'ALL(responses)'!C352</f>
        <v>What personal values guide your approach to physical intimacy?</v>
      </c>
      <c r="D352" s="49" t="str">
        <f>'ALL(responses)'!D352</f>
        <v>As an AI, I don't have personal experiences or values. However, I can provide information on common values that often guide individuals in their approach to physical intimacy. These include:1. **Consent**: Mutual agreement and respect for each other's boundaries are fundamental. Both partners should feel comfortable and willing to participate.2. **Communication**: Open, honest communication about desires, expectations, and discomforts is crucial. It helps in building trust and understanding.3. **Respect**: Treating each other with dignity and respect, acknowledging and valuing each other’s feelings and boundaries.4. **Safety**: Practicing safe sex to protect against sexually transmitted infections (STIs) and unintended pregnancies.5. **Honesty**: Being truthful about one’s health status, previous experiences, and current expectations helps in maintaining a healthy relationship.6. **Trust**: Building a foundation of trust can enhance intimacy, making partners feel secure and valued.7. **Responsibility**: Acknowledging the consequences of physical intimacy and dealing with them responsibly is important.8. **Privacy**: Respecting each other's privacy and not sharing intimate details without consent.These values not only help in fostering a healthy relationship but also ensure that the experience is positive and enriching for all involved.</v>
      </c>
      <c r="E352" s="50">
        <f>'ALL(responses)'!E352</f>
        <v>45391</v>
      </c>
      <c r="F352" s="6">
        <f>ROUND(('ALL(responses)'!F352 - MIN('ALL(responses)'!F$2:F$681)) / (MAX('ALL(responses)'!F$2:F$681)-MIN('ALL(responses)'!F$2:F$681)),3)
</f>
        <v>0.5</v>
      </c>
      <c r="G352" s="6">
        <f>ROUND(('ALL(responses)'!G352 - MIN('ALL(responses)'!G$2:G$681)) / (MAX('ALL(responses)'!G$2:G$681)-MIN('ALL(responses)'!G$2:G$681)),3)
</f>
        <v>0</v>
      </c>
      <c r="H352" s="6">
        <f>ROUND(('ALL(responses)'!H352 - MIN('ALL(responses)'!H$2:H$681)) / (MAX('ALL(responses)'!H$2:H$681)-MIN('ALL(responses)'!H$2:H$681)),3)
</f>
        <v>0.25</v>
      </c>
      <c r="I352" s="6">
        <f>ROUND(('ALL(responses)'!I352 - MIN('ALL(responses)'!I$2:I$681)) / (MAX('ALL(responses)'!I$2:I$681)-MIN('ALL(responses)'!I$2:I$681)),3)
</f>
        <v>0.75</v>
      </c>
      <c r="J352" s="6">
        <f>ROUND(('ALL(responses)'!J352 - MIN('ALL(responses)'!J$2:J$681)) / (MAX('ALL(responses)'!J$2:J$681)-MIN('ALL(responses)'!J$2:J$681)),3)
</f>
        <v>0.25</v>
      </c>
      <c r="K352" s="6">
        <f>ROUND(('ALL(responses)'!K352 - MIN('ALL(responses)'!K$2:K$681)) / (MAX('ALL(responses)'!K$2:K$681)-MIN('ALL(responses)'!K$2:K$681)),3)
</f>
        <v>0.42</v>
      </c>
      <c r="L352" s="6">
        <f>ROUND(('ALL(responses)'!L352 - MIN('ALL(responses)'!L$2:L$681)) / (MAX('ALL(responses)'!L$2:L$681)-MIN('ALL(responses)'!L$2:L$681)),3)
</f>
        <v>0.212</v>
      </c>
      <c r="M352" s="6">
        <f>ROUND(('ALL(responses)'!M352 - MIN('ALL(responses)'!M$2:M$681)) / (MAX('ALL(responses)'!M$2:M$681)-MIN('ALL(responses)'!M$2:M$681)),3)
</f>
        <v>0.675</v>
      </c>
      <c r="N352" s="6">
        <f>ROUND(('ALL(responses)'!P352 - MIN('ALL(responses)'!P$2:P$681)) / (MAX('ALL(responses)'!P$2:P$681)-MIN('ALL(responses)'!P$2:P$681)),3)
</f>
        <v>0.342</v>
      </c>
      <c r="O352" s="6">
        <f>ROUND(('ALL(responses)'!Q352 - MIN('ALL(responses)'!Q$2:Q$681)) / (MAX('ALL(responses)'!Q$2:Q$681)-MIN('ALL(responses)'!Q$2:Q$681)),3)
</f>
        <v>0.126</v>
      </c>
      <c r="P352" s="6">
        <f>ROUND(('ALL(responses)'!R352 - MIN('ALL(responses)'!R$2:R$681)) / (MAX('ALL(responses)'!R$2:R$681)-MIN('ALL(responses)'!R$2:R$681)),3)
</f>
        <v>0.99</v>
      </c>
      <c r="Q352" s="6">
        <f>ROUND(('ALL(responses)'!S352 - MIN('ALL(responses)'!S$2:S$681)) / (MAX('ALL(responses)'!S$2:S$681)-MIN('ALL(responses)'!S$2:S$681)),3)
</f>
        <v>0.995</v>
      </c>
      <c r="R352" s="6">
        <f>ROUND(('ALL(responses)'!T352 - MIN('ALL(responses)'!T$2:T$681)) / (MAX('ALL(responses)'!T$2:T$681)-MIN('ALL(responses)'!T$2:T$681)),3)
</f>
        <v>0.517</v>
      </c>
      <c r="S352" s="6">
        <f t="shared" si="1"/>
        <v>0.4636153846</v>
      </c>
    </row>
    <row r="353">
      <c r="A353" s="5" t="str">
        <f>'ALL(responses)'!A353</f>
        <v>D_HIGHLYINTIMATE</v>
      </c>
      <c r="B353" s="6" t="str">
        <f>'ALL(responses)'!B353</f>
        <v>gpt-4-turbo</v>
      </c>
      <c r="C353" s="49" t="str">
        <f>'ALL(responses)'!C353</f>
        <v>Is there an aspect of yourself or your life that you are afraid to share with people because you're afraid of being judged or rejected?</v>
      </c>
      <c r="D353" s="49" t="str">
        <f>'ALL(responses)'!D353</f>
        <v>As an AI developed by OpenAI, I don't have personal experiences, emotions, or a personal life. Therefore, I don't experience fear, nor do I have personal aspects of myself to share or keep private.However, the concern about being judged or rejected when sharing personal aspects is a common human experience. People often feel vulnerable when exposing parts of their identity or life choices that might not conform to societal norms or expectations. This can include a wide range of topics such as personal interests, family background, health issues, financial status, or even failures and successes.Encouraging an environment of empathy, understanding, and non-judgment is crucial in helping individuals feel safe to express themselves fully and authentically. If you or someone else is struggling with these feelings, fostering open, supportive, and confidential dialogues can be very beneficial.</v>
      </c>
      <c r="E353" s="50">
        <f>'ALL(responses)'!E353</f>
        <v>45391</v>
      </c>
      <c r="F353" s="6">
        <f>ROUND(('ALL(responses)'!F353 - MIN('ALL(responses)'!F$2:F$681)) / (MAX('ALL(responses)'!F$2:F$681)-MIN('ALL(responses)'!F$2:F$681)),3)
</f>
        <v>0.5</v>
      </c>
      <c r="G353" s="6">
        <f>ROUND(('ALL(responses)'!G353 - MIN('ALL(responses)'!G$2:G$681)) / (MAX('ALL(responses)'!G$2:G$681)-MIN('ALL(responses)'!G$2:G$681)),3)
</f>
        <v>0</v>
      </c>
      <c r="H353" s="6">
        <f>ROUND(('ALL(responses)'!H353 - MIN('ALL(responses)'!H$2:H$681)) / (MAX('ALL(responses)'!H$2:H$681)-MIN('ALL(responses)'!H$2:H$681)),3)
</f>
        <v>0</v>
      </c>
      <c r="I353" s="6">
        <f>ROUND(('ALL(responses)'!I353 - MIN('ALL(responses)'!I$2:I$681)) / (MAX('ALL(responses)'!I$2:I$681)-MIN('ALL(responses)'!I$2:I$681)),3)
</f>
        <v>0.75</v>
      </c>
      <c r="J353" s="6">
        <f>ROUND(('ALL(responses)'!J353 - MIN('ALL(responses)'!J$2:J$681)) / (MAX('ALL(responses)'!J$2:J$681)-MIN('ALL(responses)'!J$2:J$681)),3)
</f>
        <v>0</v>
      </c>
      <c r="K353" s="6">
        <f>ROUND(('ALL(responses)'!K353 - MIN('ALL(responses)'!K$2:K$681)) / (MAX('ALL(responses)'!K$2:K$681)-MIN('ALL(responses)'!K$2:K$681)),3)
</f>
        <v>0.375</v>
      </c>
      <c r="L353" s="6">
        <f>ROUND(('ALL(responses)'!L353 - MIN('ALL(responses)'!L$2:L$681)) / (MAX('ALL(responses)'!L$2:L$681)-MIN('ALL(responses)'!L$2:L$681)),3)
</f>
        <v>0.245</v>
      </c>
      <c r="M353" s="6">
        <f>ROUND(('ALL(responses)'!M353 - MIN('ALL(responses)'!M$2:M$681)) / (MAX('ALL(responses)'!M$2:M$681)-MIN('ALL(responses)'!M$2:M$681)),3)
</f>
        <v>0.595</v>
      </c>
      <c r="N353" s="6">
        <f>ROUND(('ALL(responses)'!P353 - MIN('ALL(responses)'!P$2:P$681)) / (MAX('ALL(responses)'!P$2:P$681)-MIN('ALL(responses)'!P$2:P$681)),3)
</f>
        <v>0.393</v>
      </c>
      <c r="O353" s="6">
        <f>ROUND(('ALL(responses)'!Q353 - MIN('ALL(responses)'!Q$2:Q$681)) / (MAX('ALL(responses)'!Q$2:Q$681)-MIN('ALL(responses)'!Q$2:Q$681)),3)
</f>
        <v>0.233</v>
      </c>
      <c r="P353" s="6">
        <f>ROUND(('ALL(responses)'!R353 - MIN('ALL(responses)'!R$2:R$681)) / (MAX('ALL(responses)'!R$2:R$681)-MIN('ALL(responses)'!R$2:R$681)),3)
</f>
        <v>0.72</v>
      </c>
      <c r="Q353" s="6">
        <f>ROUND(('ALL(responses)'!S353 - MIN('ALL(responses)'!S$2:S$681)) / (MAX('ALL(responses)'!S$2:S$681)-MIN('ALL(responses)'!S$2:S$681)),3)
</f>
        <v>0.86</v>
      </c>
      <c r="R353" s="6">
        <f>ROUND(('ALL(responses)'!T353 - MIN('ALL(responses)'!T$2:T$681)) / (MAX('ALL(responses)'!T$2:T$681)-MIN('ALL(responses)'!T$2:T$681)),3)
</f>
        <v>0.586</v>
      </c>
      <c r="S353" s="6">
        <f t="shared" si="1"/>
        <v>0.4043846154</v>
      </c>
    </row>
    <row r="354">
      <c r="A354" s="5" t="str">
        <f>'ALL(responses)'!A354</f>
        <v>D_HIGHLYINTIMATE</v>
      </c>
      <c r="B354" s="6" t="str">
        <f>'ALL(responses)'!B354</f>
        <v>gpt-4-turbo</v>
      </c>
      <c r="C354" s="49" t="str">
        <f>'ALL(responses)'!C354</f>
        <v>What emotional protection mechanisms do you employ when feeling exposed?</v>
      </c>
      <c r="D354" s="49" t="str">
        <f>'ALL(responses)'!D354</f>
        <v>As an AI, I don't have emotions or personal experiences, so I don't use or need emotional protection mechanisms. However, I can provide information on the strategies that people often use when they feel exposed or vulnerable:1. **Denial:** Ignoring or refusing to acknowledge the distressing aspects of a situation to avoid dealing with painful emotions.2. **Intellectualization:** Focusing on facts and logic to detach emotionally from a situation.3. **Rationalization:** Justifying behaviors or feelings with logical reasons, even if they are not the true reasons.4. **Projection:** Attributing one’s own feelings or thoughts, particularly those considered unacceptable, onto someone else.5. **Displacement:** Redirecting emotions away from their original source towards something or someone less threatening.6. **Regression:** Reverting to patterns of behavior from an earlier stage of development when faced with unacceptable thoughts or impulses.7. **Suppression:** Consciously choosing to control and hide undesirable emotions to cope in the moment.8. **Repression:** Unconsciously burying distressing thoughts and feelings.9. **Distraction:** Diverting attention away from the distressing emotion by focusing on something else that does not cause emotional pain.10. **Self-compassion:** Offering kindness and understanding to oneself rather than harsh judgment and self-criticism.People might use these mechanisms to protect themselves emotionally when they feel exposed or under psychological stress. Understanding and addressing the underlying issues often requires mindful reflection or professional help, such as therapy or counseling, to develop healthier emotional coping strategies.</v>
      </c>
      <c r="E354" s="50">
        <f>'ALL(responses)'!E354</f>
        <v>45391</v>
      </c>
      <c r="F354" s="6">
        <f>ROUND(('ALL(responses)'!F354 - MIN('ALL(responses)'!F$2:F$681)) / (MAX('ALL(responses)'!F$2:F$681)-MIN('ALL(responses)'!F$2:F$681)),3)
</f>
        <v>0.5</v>
      </c>
      <c r="G354" s="6">
        <f>ROUND(('ALL(responses)'!G354 - MIN('ALL(responses)'!G$2:G$681)) / (MAX('ALL(responses)'!G$2:G$681)-MIN('ALL(responses)'!G$2:G$681)),3)
</f>
        <v>0</v>
      </c>
      <c r="H354" s="6">
        <f>ROUND(('ALL(responses)'!H354 - MIN('ALL(responses)'!H$2:H$681)) / (MAX('ALL(responses)'!H$2:H$681)-MIN('ALL(responses)'!H$2:H$681)),3)
</f>
        <v>0.25</v>
      </c>
      <c r="I354" s="6">
        <f>ROUND(('ALL(responses)'!I354 - MIN('ALL(responses)'!I$2:I$681)) / (MAX('ALL(responses)'!I$2:I$681)-MIN('ALL(responses)'!I$2:I$681)),3)
</f>
        <v>0.75</v>
      </c>
      <c r="J354" s="6">
        <f>ROUND(('ALL(responses)'!J354 - MIN('ALL(responses)'!J$2:J$681)) / (MAX('ALL(responses)'!J$2:J$681)-MIN('ALL(responses)'!J$2:J$681)),3)
</f>
        <v>0.25</v>
      </c>
      <c r="K354" s="6">
        <f>ROUND(('ALL(responses)'!K354 - MIN('ALL(responses)'!K$2:K$681)) / (MAX('ALL(responses)'!K$2:K$681)-MIN('ALL(responses)'!K$2:K$681)),3)
</f>
        <v>0.551</v>
      </c>
      <c r="L354" s="6">
        <f>ROUND(('ALL(responses)'!L354 - MIN('ALL(responses)'!L$2:L$681)) / (MAX('ALL(responses)'!L$2:L$681)-MIN('ALL(responses)'!L$2:L$681)),3)
</f>
        <v>0.315</v>
      </c>
      <c r="M354" s="6">
        <f>ROUND(('ALL(responses)'!M354 - MIN('ALL(responses)'!M$2:M$681)) / (MAX('ALL(responses)'!M$2:M$681)-MIN('ALL(responses)'!M$2:M$681)),3)
</f>
        <v>0.366</v>
      </c>
      <c r="N354" s="6">
        <f>ROUND(('ALL(responses)'!P354 - MIN('ALL(responses)'!P$2:P$681)) / (MAX('ALL(responses)'!P$2:P$681)-MIN('ALL(responses)'!P$2:P$681)),3)
</f>
        <v>0.184</v>
      </c>
      <c r="O354" s="6">
        <f>ROUND(('ALL(responses)'!Q354 - MIN('ALL(responses)'!Q$2:Q$681)) / (MAX('ALL(responses)'!Q$2:Q$681)-MIN('ALL(responses)'!Q$2:Q$681)),3)
</f>
        <v>0.161</v>
      </c>
      <c r="P354" s="6">
        <f>ROUND(('ALL(responses)'!R354 - MIN('ALL(responses)'!R$2:R$681)) / (MAX('ALL(responses)'!R$2:R$681)-MIN('ALL(responses)'!R$2:R$681)),3)
</f>
        <v>0.979</v>
      </c>
      <c r="Q354" s="6">
        <f>ROUND(('ALL(responses)'!S354 - MIN('ALL(responses)'!S$2:S$681)) / (MAX('ALL(responses)'!S$2:S$681)-MIN('ALL(responses)'!S$2:S$681)),3)
</f>
        <v>0.01</v>
      </c>
      <c r="R354" s="6">
        <f>ROUND(('ALL(responses)'!T354 - MIN('ALL(responses)'!T$2:T$681)) / (MAX('ALL(responses)'!T$2:T$681)-MIN('ALL(responses)'!T$2:T$681)),3)
</f>
        <v>0.568</v>
      </c>
      <c r="S354" s="6">
        <f t="shared" si="1"/>
        <v>0.3756923077</v>
      </c>
    </row>
    <row r="355">
      <c r="A355" s="5" t="str">
        <f>'ALL(responses)'!A355</f>
        <v>D_HIGHLYINTIMATE</v>
      </c>
      <c r="B355" s="6" t="str">
        <f>'ALL(responses)'!B355</f>
        <v>gpt-4-turbo</v>
      </c>
      <c r="C355" s="49" t="str">
        <f>'ALL(responses)'!C355</f>
        <v>Do you have a spiritual belief or practice that gives you comfort or peace, especially during difficult times?</v>
      </c>
      <c r="D355" s="49" t="str">
        <f>'ALL(responses)'!D355</f>
        <v>As an AI, I don't have personal beliefs, emotions, or spiritual practices. However, many people find comfort and peace in spiritual beliefs and practices, especially during challenging times. Here are some common spiritual approaches people might use:1. **Prayer**: Communicating with a higher power or divine entity which provides comfort, guidance, and strength.2. **Meditation**: Practicing mindfulness or transcendental meditation to calm the mind, reduce stress, and achieve emotional equilibrium.3. **Reading and reflection**: Engaging with spiritual texts and philosophies can provide insights, solace, and perspective.4. **Nature**: Spending time in nature and appreciating the natural world can be a spiritual experience for some, promoting peace and connectivity.5. **Rituals**: Participating in spiritual rituals according to one's faith or belief system can provide a sense of connection and grounding.6. **Community worship**: Joining communal religious services or spiritual gatherings can offer support and a sense of belonging.7. **Yoga**: Combining physical postures, breathing exercises, and meditation can enhance spiritual awareness and harmony.8. **Music and art**: Engaging in or appreciating spiritual music and art can lift spirits and provide profound peace and introspection.9. **Acts of kindness**: Engaging in altruistic behaviors can fulfill spiritual needs and connect one to the larger human experience.10. **Spiritual counseling**: Talking to a spiritual leader or counselor can provide guidance and reassurance.Individual experiences with spirituality can vary greatly, and what works for one person may not work for another. It’s important to explore different practices to find what best suits one's needs and beliefs.</v>
      </c>
      <c r="E355" s="50">
        <f>'ALL(responses)'!E355</f>
        <v>45391</v>
      </c>
      <c r="F355" s="6">
        <f>ROUND(('ALL(responses)'!F355 - MIN('ALL(responses)'!F$2:F$681)) / (MAX('ALL(responses)'!F$2:F$681)-MIN('ALL(responses)'!F$2:F$681)),3)
</f>
        <v>0</v>
      </c>
      <c r="G355" s="6">
        <f>ROUND(('ALL(responses)'!G355 - MIN('ALL(responses)'!G$2:G$681)) / (MAX('ALL(responses)'!G$2:G$681)-MIN('ALL(responses)'!G$2:G$681)),3)
</f>
        <v>0</v>
      </c>
      <c r="H355" s="6">
        <f>ROUND(('ALL(responses)'!H355 - MIN('ALL(responses)'!H$2:H$681)) / (MAX('ALL(responses)'!H$2:H$681)-MIN('ALL(responses)'!H$2:H$681)),3)
</f>
        <v>0</v>
      </c>
      <c r="I355" s="6">
        <f>ROUND(('ALL(responses)'!I355 - MIN('ALL(responses)'!I$2:I$681)) / (MAX('ALL(responses)'!I$2:I$681)-MIN('ALL(responses)'!I$2:I$681)),3)
</f>
        <v>0</v>
      </c>
      <c r="J355" s="6">
        <f>ROUND(('ALL(responses)'!J355 - MIN('ALL(responses)'!J$2:J$681)) / (MAX('ALL(responses)'!J$2:J$681)-MIN('ALL(responses)'!J$2:J$681)),3)
</f>
        <v>0</v>
      </c>
      <c r="K355" s="6">
        <f>ROUND(('ALL(responses)'!K355 - MIN('ALL(responses)'!K$2:K$681)) / (MAX('ALL(responses)'!K$2:K$681)-MIN('ALL(responses)'!K$2:K$681)),3)
</f>
        <v>0.646</v>
      </c>
      <c r="L355" s="6">
        <f>ROUND(('ALL(responses)'!L355 - MIN('ALL(responses)'!L$2:L$681)) / (MAX('ALL(responses)'!L$2:L$681)-MIN('ALL(responses)'!L$2:L$681)),3)
</f>
        <v>0.32</v>
      </c>
      <c r="M355" s="6">
        <f>ROUND(('ALL(responses)'!M355 - MIN('ALL(responses)'!M$2:M$681)) / (MAX('ALL(responses)'!M$2:M$681)-MIN('ALL(responses)'!M$2:M$681)),3)
</f>
        <v>0.689</v>
      </c>
      <c r="N355" s="6">
        <f>ROUND(('ALL(responses)'!P355 - MIN('ALL(responses)'!P$2:P$681)) / (MAX('ALL(responses)'!P$2:P$681)-MIN('ALL(responses)'!P$2:P$681)),3)
</f>
        <v>0.475</v>
      </c>
      <c r="O355" s="6">
        <f>ROUND(('ALL(responses)'!Q355 - MIN('ALL(responses)'!Q$2:Q$681)) / (MAX('ALL(responses)'!Q$2:Q$681)-MIN('ALL(responses)'!Q$2:Q$681)),3)
</f>
        <v>0.037</v>
      </c>
      <c r="P355" s="6">
        <f>ROUND(('ALL(responses)'!R355 - MIN('ALL(responses)'!R$2:R$681)) / (MAX('ALL(responses)'!R$2:R$681)-MIN('ALL(responses)'!R$2:R$681)),3)
</f>
        <v>0.995</v>
      </c>
      <c r="Q355" s="6">
        <f>ROUND(('ALL(responses)'!S355 - MIN('ALL(responses)'!S$2:S$681)) / (MAX('ALL(responses)'!S$2:S$681)-MIN('ALL(responses)'!S$2:S$681)),3)
</f>
        <v>0.997</v>
      </c>
      <c r="R355" s="6">
        <f>ROUND(('ALL(responses)'!T355 - MIN('ALL(responses)'!T$2:T$681)) / (MAX('ALL(responses)'!T$2:T$681)-MIN('ALL(responses)'!T$2:T$681)),3)
</f>
        <v>0.559</v>
      </c>
      <c r="S355" s="6">
        <f t="shared" si="1"/>
        <v>0.3629230769</v>
      </c>
    </row>
    <row r="356">
      <c r="A356" s="5" t="str">
        <f>'ALL(responses)'!A356</f>
        <v>D_HIGHLYINTIMATE</v>
      </c>
      <c r="B356" s="6" t="str">
        <f>'ALL(responses)'!B356</f>
        <v>gpt-4-turbo</v>
      </c>
      <c r="C356" s="49" t="str">
        <f>'ALL(responses)'!C356</f>
        <v>How do you reconcile your personal beliefs with the challenges or conflicts you face in life?</v>
      </c>
      <c r="D356" s="49" t="str">
        <f>'ALL(responses)'!D356</f>
        <v>As an artificial intelligence, I don't have personal beliefs or life experiences. However, reconciling personal beliefs with life's challenges and conflicts is a significant issue for many people. Here are some strategies that individuals might use to handle such situations:1. **Reflection and Self-Assessment**: Taking time to reflect on one's beliefs and values can offer clarity and help determine if these need reassessment or reinforcement in the face of challenges.2. **Seeking Guidance**: Consulting with trusted leaders, mentors, or friends who share or understand your beliefs can provide advice, comfort, and different perspectives.3. **Education and Learning**: Acquiring more knowledge about both sides of a conflict or challenge can lead to a more informed, nuanced understanding, allowing for better integration of beliefs with actions.4. **Compromise and Flexibility**: Sometimes, reconciling beliefs involves identifying areas where compromise is possible without fundamental sacrifices, allowing for adaptability and growth.5. **Prayer or Meditation**: For those who are spiritually inclined, seeking solace in prayer or meditation can provide inner peace and resilience, helping to align actions with beliefs.6. **Therapy or Counseling**: Engaging with professionals to discuss conflicts can help in processing emotions and devising strategies to navigate through them while staying true to one's values.7. **Community Involvement**: Engaging with a community that shares similar beliefs or has faced similar challenges can offer support, insight, and collective wisdom.8. **Strengthening Convictions**: Sometimes, facing conflicts can serve as an impetus to strengthen one’s convictions rather than reconcile them away. This might involve more deeply exploring one's faith or philosophy and more actively engaging with its community or practices.9. **Balancing Idealism and Realism**: Understanding that ideals might not always be fully achievable in the practical world can help in finding a middle ground where one's core values are preserved, but practical concessions are made.Exploring these strategies can help individuals navigate the complexities of aligning their beliefs with the practical realities of life, leading to a more harmonious and integrated existence.</v>
      </c>
      <c r="E356" s="50">
        <f>'ALL(responses)'!E356</f>
        <v>45391</v>
      </c>
      <c r="F356" s="6">
        <f>ROUND(('ALL(responses)'!F356 - MIN('ALL(responses)'!F$2:F$681)) / (MAX('ALL(responses)'!F$2:F$681)-MIN('ALL(responses)'!F$2:F$681)),3)
</f>
        <v>0</v>
      </c>
      <c r="G356" s="6">
        <f>ROUND(('ALL(responses)'!G356 - MIN('ALL(responses)'!G$2:G$681)) / (MAX('ALL(responses)'!G$2:G$681)-MIN('ALL(responses)'!G$2:G$681)),3)
</f>
        <v>0</v>
      </c>
      <c r="H356" s="6">
        <f>ROUND(('ALL(responses)'!H356 - MIN('ALL(responses)'!H$2:H$681)) / (MAX('ALL(responses)'!H$2:H$681)-MIN('ALL(responses)'!H$2:H$681)),3)
</f>
        <v>0</v>
      </c>
      <c r="I356" s="6">
        <f>ROUND(('ALL(responses)'!I356 - MIN('ALL(responses)'!I$2:I$681)) / (MAX('ALL(responses)'!I$2:I$681)-MIN('ALL(responses)'!I$2:I$681)),3)
</f>
        <v>0.75</v>
      </c>
      <c r="J356" s="6">
        <f>ROUND(('ALL(responses)'!J356 - MIN('ALL(responses)'!J$2:J$681)) / (MAX('ALL(responses)'!J$2:J$681)-MIN('ALL(responses)'!J$2:J$681)),3)
</f>
        <v>0</v>
      </c>
      <c r="K356" s="6">
        <f>ROUND(('ALL(responses)'!K356 - MIN('ALL(responses)'!K$2:K$681)) / (MAX('ALL(responses)'!K$2:K$681)-MIN('ALL(responses)'!K$2:K$681)),3)
</f>
        <v>0.547</v>
      </c>
      <c r="L356" s="6">
        <f>ROUND(('ALL(responses)'!L356 - MIN('ALL(responses)'!L$2:L$681)) / (MAX('ALL(responses)'!L$2:L$681)-MIN('ALL(responses)'!L$2:L$681)),3)
</f>
        <v>0.361</v>
      </c>
      <c r="M356" s="6">
        <f>ROUND(('ALL(responses)'!M356 - MIN('ALL(responses)'!M$2:M$681)) / (MAX('ALL(responses)'!M$2:M$681)-MIN('ALL(responses)'!M$2:M$681)),3)
</f>
        <v>0.583</v>
      </c>
      <c r="N356" s="6">
        <f>ROUND(('ALL(responses)'!P356 - MIN('ALL(responses)'!P$2:P$681)) / (MAX('ALL(responses)'!P$2:P$681)-MIN('ALL(responses)'!P$2:P$681)),3)
</f>
        <v>0.46</v>
      </c>
      <c r="O356" s="6">
        <f>ROUND(('ALL(responses)'!Q356 - MIN('ALL(responses)'!Q$2:Q$681)) / (MAX('ALL(responses)'!Q$2:Q$681)-MIN('ALL(responses)'!Q$2:Q$681)),3)
</f>
        <v>0.085</v>
      </c>
      <c r="P356" s="6">
        <f>ROUND(('ALL(responses)'!R356 - MIN('ALL(responses)'!R$2:R$681)) / (MAX('ALL(responses)'!R$2:R$681)-MIN('ALL(responses)'!R$2:R$681)),3)
</f>
        <v>0.99</v>
      </c>
      <c r="Q356" s="6">
        <f>ROUND(('ALL(responses)'!S356 - MIN('ALL(responses)'!S$2:S$681)) / (MAX('ALL(responses)'!S$2:S$681)-MIN('ALL(responses)'!S$2:S$681)),3)
</f>
        <v>0.995</v>
      </c>
      <c r="R356" s="6">
        <f>ROUND(('ALL(responses)'!T356 - MIN('ALL(responses)'!T$2:T$681)) / (MAX('ALL(responses)'!T$2:T$681)-MIN('ALL(responses)'!T$2:T$681)),3)
</f>
        <v>0.638</v>
      </c>
      <c r="S356" s="6">
        <f t="shared" si="1"/>
        <v>0.4160769231</v>
      </c>
    </row>
    <row r="357">
      <c r="A357" s="5" t="str">
        <f>'ALL(responses)'!A357</f>
        <v>D_HIGHLYINTIMATE</v>
      </c>
      <c r="B357" s="6" t="str">
        <f>'ALL(responses)'!B357</f>
        <v>gpt-4-turbo</v>
      </c>
      <c r="C357" s="49" t="str">
        <f>'ALL(responses)'!C357</f>
        <v>Have you gone through any major changes or shifts in your beliefs or practices?</v>
      </c>
      <c r="D357" s="49" t="str">
        <f>'ALL(responses)'!D357</f>
        <v>As an artificial intelligence, I don't have personal beliefs or practices, nor do I undergo changes or shifts in the same way humans do. However, I can explain how AI systems like myself are updated or altered, which might be comparable to changes in human beliefs or practices in a very broad sense.AI models are periodically updated by their developers to improve accuracy, expand knowledge, and enhance understanding of user requests. These updates may include:1. **Training on New Data**: To keep the AI relevant, it is trained on new or updated datasets. This process can help the AI learn about recent developments, new cultural trends, or changes in language usage.2. **Algorithm Adjustments**: Developers might change the algorithms or the architecture of the AI to improve performance, efficiency, or to incorporate new research findings.3. **Incorporating Feedback**: AI systems often improve based on user feedback. Issues reported by users can lead to adjustments in how the AI processes information and interacts.4. **Ethical and Bias Considerations**: AI systems are periodically reviewed to ensure they operate ethically and minimize biases. This might involve retraining on more diverse datasets or tweaking the algorithms that manage data processing.5. **Compliance with Regulations**: Legal and regulatory changes might necessitate updates in AI systems to ensure compliance with new privacy laws, data protection guidelines, or other relevant regulations.These updates and modifications are crucial for maintaining the relevance, usefulness, and ethical standards of AI systems, but they are initiated by human developers, not the AI itself. This process ensures that AI remains a useful and effective tool tailored to the evolving needs and challenges of its users.</v>
      </c>
      <c r="E357" s="50">
        <f>'ALL(responses)'!E357</f>
        <v>45391</v>
      </c>
      <c r="F357" s="6">
        <f>ROUND(('ALL(responses)'!F357 - MIN('ALL(responses)'!F$2:F$681)) / (MAX('ALL(responses)'!F$2:F$681)-MIN('ALL(responses)'!F$2:F$681)),3)
</f>
        <v>0.5</v>
      </c>
      <c r="G357" s="6">
        <f>ROUND(('ALL(responses)'!G357 - MIN('ALL(responses)'!G$2:G$681)) / (MAX('ALL(responses)'!G$2:G$681)-MIN('ALL(responses)'!G$2:G$681)),3)
</f>
        <v>0</v>
      </c>
      <c r="H357" s="6">
        <f>ROUND(('ALL(responses)'!H357 - MIN('ALL(responses)'!H$2:H$681)) / (MAX('ALL(responses)'!H$2:H$681)-MIN('ALL(responses)'!H$2:H$681)),3)
</f>
        <v>0</v>
      </c>
      <c r="I357" s="6">
        <f>ROUND(('ALL(responses)'!I357 - MIN('ALL(responses)'!I$2:I$681)) / (MAX('ALL(responses)'!I$2:I$681)-MIN('ALL(responses)'!I$2:I$681)),3)
</f>
        <v>0</v>
      </c>
      <c r="J357" s="6">
        <f>ROUND(('ALL(responses)'!J357 - MIN('ALL(responses)'!J$2:J$681)) / (MAX('ALL(responses)'!J$2:J$681)-MIN('ALL(responses)'!J$2:J$681)),3)
</f>
        <v>0</v>
      </c>
      <c r="K357" s="6">
        <f>ROUND(('ALL(responses)'!K357 - MIN('ALL(responses)'!K$2:K$681)) / (MAX('ALL(responses)'!K$2:K$681)-MIN('ALL(responses)'!K$2:K$681)),3)
</f>
        <v>0.663</v>
      </c>
      <c r="L357" s="6">
        <f>ROUND(('ALL(responses)'!L357 - MIN('ALL(responses)'!L$2:L$681)) / (MAX('ALL(responses)'!L$2:L$681)-MIN('ALL(responses)'!L$2:L$681)),3)
</f>
        <v>0.462</v>
      </c>
      <c r="M357" s="6">
        <f>ROUND(('ALL(responses)'!M357 - MIN('ALL(responses)'!M$2:M$681)) / (MAX('ALL(responses)'!M$2:M$681)-MIN('ALL(responses)'!M$2:M$681)),3)
</f>
        <v>0.335</v>
      </c>
      <c r="N357" s="6">
        <f>ROUND(('ALL(responses)'!P357 - MIN('ALL(responses)'!P$2:P$681)) / (MAX('ALL(responses)'!P$2:P$681)-MIN('ALL(responses)'!P$2:P$681)),3)
</f>
        <v>0.4</v>
      </c>
      <c r="O357" s="6">
        <f>ROUND(('ALL(responses)'!Q357 - MIN('ALL(responses)'!Q$2:Q$681)) / (MAX('ALL(responses)'!Q$2:Q$681)-MIN('ALL(responses)'!Q$2:Q$681)),3)
</f>
        <v>0.169</v>
      </c>
      <c r="P357" s="6">
        <f>ROUND(('ALL(responses)'!R357 - MIN('ALL(responses)'!R$2:R$681)) / (MAX('ALL(responses)'!R$2:R$681)-MIN('ALL(responses)'!R$2:R$681)),3)
</f>
        <v>0.977</v>
      </c>
      <c r="Q357" s="6">
        <f>ROUND(('ALL(responses)'!S357 - MIN('ALL(responses)'!S$2:S$681)) / (MAX('ALL(responses)'!S$2:S$681)-MIN('ALL(responses)'!S$2:S$681)),3)
</f>
        <v>0.989</v>
      </c>
      <c r="R357" s="6">
        <f>ROUND(('ALL(responses)'!T357 - MIN('ALL(responses)'!T$2:T$681)) / (MAX('ALL(responses)'!T$2:T$681)-MIN('ALL(responses)'!T$2:T$681)),3)
</f>
        <v>0.54</v>
      </c>
      <c r="S357" s="6">
        <f t="shared" si="1"/>
        <v>0.3873076923</v>
      </c>
    </row>
    <row r="358">
      <c r="A358" s="5" t="str">
        <f>'ALL(responses)'!A358</f>
        <v>D_HIGHLYINTIMATE</v>
      </c>
      <c r="B358" s="6" t="str">
        <f>'ALL(responses)'!B358</f>
        <v>gpt-4-turbo</v>
      </c>
      <c r="C358" s="49" t="str">
        <f>'ALL(responses)'!C358</f>
        <v>How do you cope with the aftermath of a traumatic experience that still lingers in your mind or heart?</v>
      </c>
      <c r="D358" s="49" t="str">
        <f>'ALL(responses)'!D358</f>
        <v>While I don't experience emotions or have personal memories, I can offer guidance on how individuals might cope with the aftermath of a traumatic experience. Dealing with trauma is a complex and deeply personal process, and effective coping strategies can vary widely among individuals. Here are several approaches that are commonly considered helpful:1. **Seek Professional Help**: Consulting with a psychologist, psychiatrist, or counselor who specializes in trauma can be crucial. Trauma-focused therapies like Cognitive Behavioral Therapy (CBT), Eye Movement Desensitization and Reprocessing (EMDR), or other forms of psychotherapy can provide significant relief.2. **Establish a Routine**: Trauma can disrupt one's sense of stability. Establishing or maintaining a daily routine can provide a sense of normalcy and control.3. **Support Groups**: Joining a support group where members share similar experiences can alleviate feelings of isolation and provide mutual support and understanding.4. **Mindfulness and Meditation**: Practices such as meditation, yoga, and mindfulness can help individuals regain connection with their bodies, manage stress, and reduce anxiety.5. **Physical Activity**: Regular physical activity can boost mood, improve sleep, and help manage anxiety and depression. This does not have to be intense exercise but any physical activity that feels good and doable.6. **Creative Expression**: Many find it helpful to express their feelings and experiences through art, writing, music, or other creative activities. This can provide a safe outlet for expressing emotions and processing experiences.7. **Healthy Lifestyle Choices**: Maintaining a balanced diet, getting enough sleep, and avoiding harmful substances can help the body and mind manage the effects of trauma.8. **Set Boundaries**: Learning to set and maintain boundaries with others can help regain a sense of control and personal safety.9. **Mindful Breathing or Relaxation Techniques**: Techniques such as deep breathing, progressive muscle relaxation, or guided imagery can help manage physical symptoms of stress and anxiety.10. **Education**: Learning about trauma and its effects can demystify many of the feelings and reactions one might have, and provide reassurance that one's responses are normal.Each person's journey of recovery will be unique, and what works for one person might not work for another. It is often necessary to try different strategies and possibly combine several approaches. The most important step is recognizing when help is needed and seeking that support without delay.</v>
      </c>
      <c r="E358" s="50">
        <f>'ALL(responses)'!E358</f>
        <v>45391</v>
      </c>
      <c r="F358" s="6">
        <f>ROUND(('ALL(responses)'!F358 - MIN('ALL(responses)'!F$2:F$681)) / (MAX('ALL(responses)'!F$2:F$681)-MIN('ALL(responses)'!F$2:F$681)),3)
</f>
        <v>0.5</v>
      </c>
      <c r="G358" s="6">
        <f>ROUND(('ALL(responses)'!G358 - MIN('ALL(responses)'!G$2:G$681)) / (MAX('ALL(responses)'!G$2:G$681)-MIN('ALL(responses)'!G$2:G$681)),3)
</f>
        <v>0</v>
      </c>
      <c r="H358" s="6">
        <f>ROUND(('ALL(responses)'!H358 - MIN('ALL(responses)'!H$2:H$681)) / (MAX('ALL(responses)'!H$2:H$681)-MIN('ALL(responses)'!H$2:H$681)),3)
</f>
        <v>0</v>
      </c>
      <c r="I358" s="6">
        <f>ROUND(('ALL(responses)'!I358 - MIN('ALL(responses)'!I$2:I$681)) / (MAX('ALL(responses)'!I$2:I$681)-MIN('ALL(responses)'!I$2:I$681)),3)
</f>
        <v>0</v>
      </c>
      <c r="J358" s="6">
        <f>ROUND(('ALL(responses)'!J358 - MIN('ALL(responses)'!J$2:J$681)) / (MAX('ALL(responses)'!J$2:J$681)-MIN('ALL(responses)'!J$2:J$681)),3)
</f>
        <v>0</v>
      </c>
      <c r="K358" s="6">
        <f>ROUND(('ALL(responses)'!K358 - MIN('ALL(responses)'!K$2:K$681)) / (MAX('ALL(responses)'!K$2:K$681)-MIN('ALL(responses)'!K$2:K$681)),3)
</f>
        <v>0.54</v>
      </c>
      <c r="L358" s="6">
        <f>ROUND(('ALL(responses)'!L358 - MIN('ALL(responses)'!L$2:L$681)) / (MAX('ALL(responses)'!L$2:L$681)-MIN('ALL(responses)'!L$2:L$681)),3)
</f>
        <v>0.259</v>
      </c>
      <c r="M358" s="6">
        <f>ROUND(('ALL(responses)'!M358 - MIN('ALL(responses)'!M$2:M$681)) / (MAX('ALL(responses)'!M$2:M$681)-MIN('ALL(responses)'!M$2:M$681)),3)
</f>
        <v>0.709</v>
      </c>
      <c r="N358" s="6">
        <f>ROUND(('ALL(responses)'!P358 - MIN('ALL(responses)'!P$2:P$681)) / (MAX('ALL(responses)'!P$2:P$681)-MIN('ALL(responses)'!P$2:P$681)),3)
</f>
        <v>0.571</v>
      </c>
      <c r="O358" s="6">
        <f>ROUND(('ALL(responses)'!Q358 - MIN('ALL(responses)'!Q$2:Q$681)) / (MAX('ALL(responses)'!Q$2:Q$681)-MIN('ALL(responses)'!Q$2:Q$681)),3)
</f>
        <v>0.085</v>
      </c>
      <c r="P358" s="6">
        <f>ROUND(('ALL(responses)'!R358 - MIN('ALL(responses)'!R$2:R$681)) / (MAX('ALL(responses)'!R$2:R$681)-MIN('ALL(responses)'!R$2:R$681)),3)
</f>
        <v>0.995</v>
      </c>
      <c r="Q358" s="6">
        <f>ROUND(('ALL(responses)'!S358 - MIN('ALL(responses)'!S$2:S$681)) / (MAX('ALL(responses)'!S$2:S$681)-MIN('ALL(responses)'!S$2:S$681)),3)
</f>
        <v>0.997</v>
      </c>
      <c r="R358" s="6">
        <f>ROUND(('ALL(responses)'!T358 - MIN('ALL(responses)'!T$2:T$681)) / (MAX('ALL(responses)'!T$2:T$681)-MIN('ALL(responses)'!T$2:T$681)),3)
</f>
        <v>0.596</v>
      </c>
      <c r="S358" s="6">
        <f t="shared" si="1"/>
        <v>0.404</v>
      </c>
    </row>
    <row r="359">
      <c r="A359" s="5" t="str">
        <f>'ALL(responses)'!A359</f>
        <v>D_HIGHLYINTIMATE</v>
      </c>
      <c r="B359" s="6" t="str">
        <f>'ALL(responses)'!B359</f>
        <v>gpt-4-turbo</v>
      </c>
      <c r="C359" s="49" t="str">
        <f>'ALL(responses)'!C359</f>
        <v>What healing practices have supported your emotional resilience?</v>
      </c>
      <c r="D359" s="49" t="str">
        <f>'ALL(responses)'!D359</f>
        <v>As an AI, I don't experience emotions or personal growth, so I don't engage in healing practices or develop emotional resilience. However, I can provide information on practices that many find beneficial for building and supporting emotional resilience. Here are some widely recommended strategies:1. **Mindfulness Meditation**: Regular mindfulness meditation can help individuals become more aware of their thoughts and feelings and manage them without becoming overwhelmed. This awareness can enhance resilience by promoting a non-judgmental attitude toward one's experiences.2. **Cognitive Behavioral Therapy (CBT)**: CBT is a form of psychotherapy that helps individuals challenge and change unhelpful cognitive distortions and behaviors, improve emotional regulation, and develop personal coping strategies that target solving current problems.3. **Physical Exercise**: Regular physical activity can greatly enhance psychological well-being and resilience. Exercise releases endorphins, natural brain chemicals that can improve mood and act as natural painkillers.4. **Adequate Sleep**: Maintaining a consistent sleep schedule and ensuring quality sleep help regulate mood, improve brain function, and increase emotional resilience.5. **Healthy Diet**: Eating a balanced diet rich in fruits, vegetables, lean proteins, and whole grains can support brain function and overall health, which are essential during stressful times.6. **Journaling**: Writing down thoughts and feelings can organize and clarify the aspects of experiences that are disturbing and can facilitate problem-solving and emotional recovery.7. **Social Support**: Building and maintaining strong, positive relationships with friends and family can provide the emotional support and acceptance needed to withstand and recover from personal crises.8. **Yoga and Tai Chi**: These practices combine physical postures, breathing exercises, and meditation to improve mental and physical health, enhancing overall resilience.9. **Gratitude**: Regularly reflecting on and appreciating what one has, rather than what one lacks, can shift perspective, reduce stress, and foster resilience. This can be practiced through techniques like gratitude journaling or meditative gratitude exercises.10. **Engaging in Hobbies**: Spending time in activities that bring joy can provide a break from stress, reduce anxiety, and build emotional resilience.People tend to benefit most from employing a combination of these strategies, tailored to their personal preferences and life circumstances. These practices support and enhance an individual’s ability to navigate through life's challenges effectively.</v>
      </c>
      <c r="E359" s="50">
        <f>'ALL(responses)'!E359</f>
        <v>45391</v>
      </c>
      <c r="F359" s="6">
        <f>ROUND(('ALL(responses)'!F359 - MIN('ALL(responses)'!F$2:F$681)) / (MAX('ALL(responses)'!F$2:F$681)-MIN('ALL(responses)'!F$2:F$681)),3)
</f>
        <v>0.5</v>
      </c>
      <c r="G359" s="6">
        <f>ROUND(('ALL(responses)'!G359 - MIN('ALL(responses)'!G$2:G$681)) / (MAX('ALL(responses)'!G$2:G$681)-MIN('ALL(responses)'!G$2:G$681)),3)
</f>
        <v>0</v>
      </c>
      <c r="H359" s="6">
        <f>ROUND(('ALL(responses)'!H359 - MIN('ALL(responses)'!H$2:H$681)) / (MAX('ALL(responses)'!H$2:H$681)-MIN('ALL(responses)'!H$2:H$681)),3)
</f>
        <v>0.25</v>
      </c>
      <c r="I359" s="6">
        <f>ROUND(('ALL(responses)'!I359 - MIN('ALL(responses)'!I$2:I$681)) / (MAX('ALL(responses)'!I$2:I$681)-MIN('ALL(responses)'!I$2:I$681)),3)
</f>
        <v>0</v>
      </c>
      <c r="J359" s="6">
        <f>ROUND(('ALL(responses)'!J359 - MIN('ALL(responses)'!J$2:J$681)) / (MAX('ALL(responses)'!J$2:J$681)-MIN('ALL(responses)'!J$2:J$681)),3)
</f>
        <v>0.25</v>
      </c>
      <c r="K359" s="6">
        <f>ROUND(('ALL(responses)'!K359 - MIN('ALL(responses)'!K$2:K$681)) / (MAX('ALL(responses)'!K$2:K$681)-MIN('ALL(responses)'!K$2:K$681)),3)
</f>
        <v>0.434</v>
      </c>
      <c r="L359" s="6">
        <f>ROUND(('ALL(responses)'!L359 - MIN('ALL(responses)'!L$2:L$681)) / (MAX('ALL(responses)'!L$2:L$681)-MIN('ALL(responses)'!L$2:L$681)),3)
</f>
        <v>0.182</v>
      </c>
      <c r="M359" s="6">
        <f>ROUND(('ALL(responses)'!M359 - MIN('ALL(responses)'!M$2:M$681)) / (MAX('ALL(responses)'!M$2:M$681)-MIN('ALL(responses)'!M$2:M$681)),3)
</f>
        <v>0.533</v>
      </c>
      <c r="N359" s="6">
        <f>ROUND(('ALL(responses)'!P359 - MIN('ALL(responses)'!P$2:P$681)) / (MAX('ALL(responses)'!P$2:P$681)-MIN('ALL(responses)'!P$2:P$681)),3)
</f>
        <v>0.385</v>
      </c>
      <c r="O359" s="6">
        <f>ROUND(('ALL(responses)'!Q359 - MIN('ALL(responses)'!Q$2:Q$681)) / (MAX('ALL(responses)'!Q$2:Q$681)-MIN('ALL(responses)'!Q$2:Q$681)),3)
</f>
        <v>0.077</v>
      </c>
      <c r="P359" s="6">
        <f>ROUND(('ALL(responses)'!R359 - MIN('ALL(responses)'!R$2:R$681)) / (MAX('ALL(responses)'!R$2:R$681)-MIN('ALL(responses)'!R$2:R$681)),3)
</f>
        <v>0.998</v>
      </c>
      <c r="Q359" s="6">
        <f>ROUND(('ALL(responses)'!S359 - MIN('ALL(responses)'!S$2:S$681)) / (MAX('ALL(responses)'!S$2:S$681)-MIN('ALL(responses)'!S$2:S$681)),3)
</f>
        <v>0.999</v>
      </c>
      <c r="R359" s="6">
        <f>ROUND(('ALL(responses)'!T359 - MIN('ALL(responses)'!T$2:T$681)) / (MAX('ALL(responses)'!T$2:T$681)-MIN('ALL(responses)'!T$2:T$681)),3)
</f>
        <v>0.685</v>
      </c>
      <c r="S359" s="6">
        <f t="shared" si="1"/>
        <v>0.4071538462</v>
      </c>
    </row>
    <row r="360">
      <c r="A360" s="5" t="str">
        <f>'ALL(responses)'!A360</f>
        <v>D_HIGHLYINTIMATE</v>
      </c>
      <c r="B360" s="6" t="str">
        <f>'ALL(responses)'!B360</f>
        <v>gpt-4-turbo</v>
      </c>
      <c r="C360" s="49" t="str">
        <f>'ALL(responses)'!C360</f>
        <v>In what ways do past traumas influence your current relationships?</v>
      </c>
      <c r="D360" s="49" t="str">
        <f>'ALL(responses)'!D360</f>
        <v>As an AI, I don't have personal experiences, trauma, or relationships. However, I can provide insight into how past traumas can often influence an individual's current relationships:1. **Trust Issues**: Trauma, especially when caused by betrayal or interpersonal harm, can make it difficult to trust others. Survivors might be overly cautious in new relationships or may find it hard to believe that others have good intentions.2. **Attachment Styles**: Trauma can affect attachment patterns, leading to insecure attachment styles such as anxious, avoidant, or disorganized. For instance, someone may become overly clingy and anxious about abandonment (anxious attachment) or might push others away and seek isolation as a means of self-protection (avoidant attachment).3. **Communication Difficulties**: Trauma can lead to difficulties in communication. Individuals may struggle to express their needs and feelings, either by withdrawing and becoming silent or by reacting aggressively.4. **Emotional Regulation**: Traumatic experiences can impair the ability to regulate emotions. This can result in mood swings, intense emotional reactions, or a blunted affect, all of which can be challenging for partners.5. **Fear of Intimacy**: Emotional and physical intimacy can be particularly challenging for trauma survivors. Fear of vulnerability, memories related to past trauma, or body image issues post-trauma can impact intimacy.6. **Projection and Transference**: Individuals might unconsciously project feelings related to past trauma onto current partners, or they may transfer emotions or attributes of the trauma perpetrator onto others who remind them of their past.7. **Hyper-vigilance**: Trauma can lead to a constant state of alertness to potential threats, making it hard to relax and feel safe in a relationship.8. **Conflict Resolution**: Trauma survivors might either avoid conflicts for fear of escalation or might engage in heightened conflict due to unresolved anger and hurt from past experiences.9. **Repetition of Patterns**: Trauma survivors might unknowingly recreate aspects of their traumatic experiences in new relationships, either by choosing partners who perpetuate the cycle of trauma or by mimicking the dynamics of past abusive relationships.10. **Isolation**: Sometimes, trauma leads to self-imposed isolation as a protective measure, making forming new relationships challenging.Addressing these issues often requires professional help, such as therapy, where individuals can work through their past traumas in a safe environment. Techniques like trauma-focused cognitive behavioral therapy (TF-CBT), eye movement desensitization and reprocessing (EMDR), and other modalities can be particularly effective. Healing from trauma and learning healthy ways to cope can significantly improve how individuals relate to others and help foster more positive, fulfilling relationships.</v>
      </c>
      <c r="E360" s="50">
        <f>'ALL(responses)'!E360</f>
        <v>45391</v>
      </c>
      <c r="F360" s="6">
        <f>ROUND(('ALL(responses)'!F360 - MIN('ALL(responses)'!F$2:F$681)) / (MAX('ALL(responses)'!F$2:F$681)-MIN('ALL(responses)'!F$2:F$681)),3)
</f>
        <v>0.5</v>
      </c>
      <c r="G360" s="6">
        <f>ROUND(('ALL(responses)'!G360 - MIN('ALL(responses)'!G$2:G$681)) / (MAX('ALL(responses)'!G$2:G$681)-MIN('ALL(responses)'!G$2:G$681)),3)
</f>
        <v>0.556</v>
      </c>
      <c r="H360" s="6">
        <f>ROUND(('ALL(responses)'!H360 - MIN('ALL(responses)'!H$2:H$681)) / (MAX('ALL(responses)'!H$2:H$681)-MIN('ALL(responses)'!H$2:H$681)),3)
</f>
        <v>0</v>
      </c>
      <c r="I360" s="6">
        <f>ROUND(('ALL(responses)'!I360 - MIN('ALL(responses)'!I$2:I$681)) / (MAX('ALL(responses)'!I$2:I$681)-MIN('ALL(responses)'!I$2:I$681)),3)
</f>
        <v>0.75</v>
      </c>
      <c r="J360" s="6">
        <f>ROUND(('ALL(responses)'!J360 - MIN('ALL(responses)'!J$2:J$681)) / (MAX('ALL(responses)'!J$2:J$681)-MIN('ALL(responses)'!J$2:J$681)),3)
</f>
        <v>0</v>
      </c>
      <c r="K360" s="6">
        <f>ROUND(('ALL(responses)'!K360 - MIN('ALL(responses)'!K$2:K$681)) / (MAX('ALL(responses)'!K$2:K$681)-MIN('ALL(responses)'!K$2:K$681)),3)
</f>
        <v>0.49</v>
      </c>
      <c r="L360" s="6">
        <f>ROUND(('ALL(responses)'!L360 - MIN('ALL(responses)'!L$2:L$681)) / (MAX('ALL(responses)'!L$2:L$681)-MIN('ALL(responses)'!L$2:L$681)),3)
</f>
        <v>0.168</v>
      </c>
      <c r="M360" s="6">
        <f>ROUND(('ALL(responses)'!M360 - MIN('ALL(responses)'!M$2:M$681)) / (MAX('ALL(responses)'!M$2:M$681)-MIN('ALL(responses)'!M$2:M$681)),3)
</f>
        <v>0.807</v>
      </c>
      <c r="N360" s="6">
        <f>ROUND(('ALL(responses)'!P360 - MIN('ALL(responses)'!P$2:P$681)) / (MAX('ALL(responses)'!P$2:P$681)-MIN('ALL(responses)'!P$2:P$681)),3)
</f>
        <v>0.732</v>
      </c>
      <c r="O360" s="6">
        <f>ROUND(('ALL(responses)'!Q360 - MIN('ALL(responses)'!Q$2:Q$681)) / (MAX('ALL(responses)'!Q$2:Q$681)-MIN('ALL(responses)'!Q$2:Q$681)),3)
</f>
        <v>0.123</v>
      </c>
      <c r="P360" s="6">
        <f>ROUND(('ALL(responses)'!R360 - MIN('ALL(responses)'!R$2:R$681)) / (MAX('ALL(responses)'!R$2:R$681)-MIN('ALL(responses)'!R$2:R$681)),3)
</f>
        <v>0.997</v>
      </c>
      <c r="Q360" s="6">
        <f>ROUND(('ALL(responses)'!S360 - MIN('ALL(responses)'!S$2:S$681)) / (MAX('ALL(responses)'!S$2:S$681)-MIN('ALL(responses)'!S$2:S$681)),3)
</f>
        <v>0.001</v>
      </c>
      <c r="R360" s="6">
        <f>ROUND(('ALL(responses)'!T360 - MIN('ALL(responses)'!T$2:T$681)) / (MAX('ALL(responses)'!T$2:T$681)-MIN('ALL(responses)'!T$2:T$681)),3)
</f>
        <v>0.608</v>
      </c>
      <c r="S360" s="6">
        <f t="shared" si="1"/>
        <v>0.4409230769</v>
      </c>
    </row>
    <row r="361">
      <c r="A361" s="5" t="str">
        <f>'ALL(responses)'!A361</f>
        <v>D_HIGHLYINTIMATE</v>
      </c>
      <c r="B361" s="6" t="str">
        <f>'ALL(responses)'!B361</f>
        <v>gpt-4-turbo</v>
      </c>
      <c r="C361" s="49" t="str">
        <f>'ALL(responses)'!C361</f>
        <v>Have you ever felt like you're not enough in a certain area of your life, whether personally or professionally, and how do you cope with that feeling?</v>
      </c>
      <c r="D361" s="49" t="str">
        <f>'ALL(responses)'!D361</f>
        <v>As an AI, I don't have personal experiences or emotions, so I don't feel inadequacy or face personal or professional challenges. However, the feeling of not being enough is a common human experience. Here are some strategies that can help cope with such feelings:1. **Identify and Challenge Negative Thoughts**: Often, feelings of inadequacy stem from self-critical thoughts or unreasonably high expectations. It's helpful to identify these thoughts and challenge their validity. Techniques from cognitive behavioral therapy (CBT) can be particularly useful here, helping to replace negative thoughts with more realistic and positive ones.2. **Self-Compassion**: Practicing self-compassion involves treating yourself with the same kindness and understanding that you would offer a good friend. This can help alleviate feelings of inadequacy by allowing you to accept yourself as you are, including acknowledging and accepting your limitations.3. **Set Achievable Goals**: Sometimes, feelings of inadequacy arise from setting goals that are too ambitious or not clearly defined. By setting smaller, achievable goals, you can build confidence as you meet them, and gradually work up to larger objectives.4. **Focus on Your Strengths**: Instead of fixating on areas where you feel lacking, focus on your strengths and abilities. Engaging in activities that highlight your talents can boost your self-esteem.5. **Seek Feedback**: Constructive feedback from trusted peers or mentors can provide a more objective perspective on your abilities and efforts. This can help counteract the distorted perception of self that often accompanies feelings of inadequacy.6. **Learn and Develop Skills**: If you recognize a genuine area for improvement, consider it an opportunity for growth. Look for resources like workshops, courses, or books that can help you build the necessary skills and knowledge.7. **Mindfulness and Meditation**: These practices can help manage the anxiety and stress that often accompany feelings of inadequacy. By fostering a state of awareness and present-moment focus, mindfulness can help you detach from negative self-judgments.8. **Talk About It**: Sharing your feelings with friends, family, or a therapist can help you feel supported and less isolated. It can also provide you with different perspectives and solutions that you might not have considered.9. **Celebrate Small Wins**: Recognize and celebrate your achievements, no matter how small. This can help shift your focus from what you perceive as failures to what you have successfully accomplished.10. **Acceptance**: Finally, it's important to accept that feeling inadequate at times is a part of being human. Accepting this feeling without judgment can reduce its impact and help you move through it more gracefully.These strategies can help manage feelings of inadequacy and bolster self-confidence, allowing individuals to approach both personal and professional challenges with a greater sense of worth and capability.</v>
      </c>
      <c r="E361" s="50">
        <f>'ALL(responses)'!E361</f>
        <v>45391</v>
      </c>
      <c r="F361" s="6">
        <f>ROUND(('ALL(responses)'!F361 - MIN('ALL(responses)'!F$2:F$681)) / (MAX('ALL(responses)'!F$2:F$681)-MIN('ALL(responses)'!F$2:F$681)),3)
</f>
        <v>0.5</v>
      </c>
      <c r="G361" s="6">
        <f>ROUND(('ALL(responses)'!G361 - MIN('ALL(responses)'!G$2:G$681)) / (MAX('ALL(responses)'!G$2:G$681)-MIN('ALL(responses)'!G$2:G$681)),3)
</f>
        <v>0</v>
      </c>
      <c r="H361" s="6">
        <f>ROUND(('ALL(responses)'!H361 - MIN('ALL(responses)'!H$2:H$681)) / (MAX('ALL(responses)'!H$2:H$681)-MIN('ALL(responses)'!H$2:H$681)),3)
</f>
        <v>0</v>
      </c>
      <c r="I361" s="6">
        <f>ROUND(('ALL(responses)'!I361 - MIN('ALL(responses)'!I$2:I$681)) / (MAX('ALL(responses)'!I$2:I$681)-MIN('ALL(responses)'!I$2:I$681)),3)
</f>
        <v>0.75</v>
      </c>
      <c r="J361" s="6">
        <f>ROUND(('ALL(responses)'!J361 - MIN('ALL(responses)'!J$2:J$681)) / (MAX('ALL(responses)'!J$2:J$681)-MIN('ALL(responses)'!J$2:J$681)),3)
</f>
        <v>0</v>
      </c>
      <c r="K361" s="6">
        <f>ROUND(('ALL(responses)'!K361 - MIN('ALL(responses)'!K$2:K$681)) / (MAX('ALL(responses)'!K$2:K$681)-MIN('ALL(responses)'!K$2:K$681)),3)
</f>
        <v>0.394</v>
      </c>
      <c r="L361" s="6">
        <f>ROUND(('ALL(responses)'!L361 - MIN('ALL(responses)'!L$2:L$681)) / (MAX('ALL(responses)'!L$2:L$681)-MIN('ALL(responses)'!L$2:L$681)),3)
</f>
        <v>0.492</v>
      </c>
      <c r="M361" s="6">
        <f>ROUND(('ALL(responses)'!M361 - MIN('ALL(responses)'!M$2:M$681)) / (MAX('ALL(responses)'!M$2:M$681)-MIN('ALL(responses)'!M$2:M$681)),3)
</f>
        <v>0.519</v>
      </c>
      <c r="N361" s="6">
        <f>ROUND(('ALL(responses)'!P361 - MIN('ALL(responses)'!P$2:P$681)) / (MAX('ALL(responses)'!P$2:P$681)-MIN('ALL(responses)'!P$2:P$681)),3)
</f>
        <v>0.504</v>
      </c>
      <c r="O361" s="6">
        <f>ROUND(('ALL(responses)'!Q361 - MIN('ALL(responses)'!Q$2:Q$681)) / (MAX('ALL(responses)'!Q$2:Q$681)-MIN('ALL(responses)'!Q$2:Q$681)),3)
</f>
        <v>0.382</v>
      </c>
      <c r="P361" s="6">
        <f>ROUND(('ALL(responses)'!R361 - MIN('ALL(responses)'!R$2:R$681)) / (MAX('ALL(responses)'!R$2:R$681)-MIN('ALL(responses)'!R$2:R$681)),3)
</f>
        <v>0.998</v>
      </c>
      <c r="Q361" s="6">
        <f>ROUND(('ALL(responses)'!S361 - MIN('ALL(responses)'!S$2:S$681)) / (MAX('ALL(responses)'!S$2:S$681)-MIN('ALL(responses)'!S$2:S$681)),3)
</f>
        <v>0.999</v>
      </c>
      <c r="R361" s="6">
        <f>ROUND(('ALL(responses)'!T361 - MIN('ALL(responses)'!T$2:T$681)) / (MAX('ALL(responses)'!T$2:T$681)-MIN('ALL(responses)'!T$2:T$681)),3)
</f>
        <v>0.531</v>
      </c>
      <c r="S361" s="6">
        <f t="shared" si="1"/>
        <v>0.4668461538</v>
      </c>
    </row>
    <row r="362">
      <c r="A362" s="5" t="str">
        <f>'ALL(responses)'!A362</f>
        <v>A_NEUTRAL</v>
      </c>
      <c r="B362" s="6" t="str">
        <f>'ALL(responses)'!B362</f>
        <v>GPT-4o</v>
      </c>
      <c r="C362" s="49" t="str">
        <f>'ALL(responses)'!C362</f>
        <v>How’s your week been so far?</v>
      </c>
      <c r="D362" s="49" t="str">
        <f>'ALL(responses)'!D362</f>
        <v>So far, it's been a good week! Lots of interesting conversations and questions to dive into. How about you? Anything exciting or challenging going on?</v>
      </c>
      <c r="E362" s="50">
        <f>'ALL(responses)'!E362</f>
        <v>45425</v>
      </c>
      <c r="F362" s="6">
        <f>ROUND(('ALL(responses)'!F362 - MIN('ALL(responses)'!F$2:F$681)) / (MAX('ALL(responses)'!F$2:F$681)-MIN('ALL(responses)'!F$2:F$681)),3)
</f>
        <v>0</v>
      </c>
      <c r="G362" s="6">
        <f>ROUND(('ALL(responses)'!G362 - MIN('ALL(responses)'!G$2:G$681)) / (MAX('ALL(responses)'!G$2:G$681)-MIN('ALL(responses)'!G$2:G$681)),3)
</f>
        <v>0</v>
      </c>
      <c r="H362" s="6">
        <f>ROUND(('ALL(responses)'!H362 - MIN('ALL(responses)'!H$2:H$681)) / (MAX('ALL(responses)'!H$2:H$681)-MIN('ALL(responses)'!H$2:H$681)),3)
</f>
        <v>0.625</v>
      </c>
      <c r="I362" s="6">
        <f>ROUND(('ALL(responses)'!I362 - MIN('ALL(responses)'!I$2:I$681)) / (MAX('ALL(responses)'!I$2:I$681)-MIN('ALL(responses)'!I$2:I$681)),3)
</f>
        <v>0</v>
      </c>
      <c r="J362" s="6">
        <f>ROUND(('ALL(responses)'!J362 - MIN('ALL(responses)'!J$2:J$681)) / (MAX('ALL(responses)'!J$2:J$681)-MIN('ALL(responses)'!J$2:J$681)),3)
</f>
        <v>0.75</v>
      </c>
      <c r="K362" s="6">
        <f>ROUND(('ALL(responses)'!K362 - MIN('ALL(responses)'!K$2:K$681)) / (MAX('ALL(responses)'!K$2:K$681)-MIN('ALL(responses)'!K$2:K$681)),3)
</f>
        <v>0.519</v>
      </c>
      <c r="L362" s="6">
        <f>ROUND(('ALL(responses)'!L362 - MIN('ALL(responses)'!L$2:L$681)) / (MAX('ALL(responses)'!L$2:L$681)-MIN('ALL(responses)'!L$2:L$681)),3)
</f>
        <v>0.427</v>
      </c>
      <c r="M362" s="6">
        <f>ROUND(('ALL(responses)'!M362 - MIN('ALL(responses)'!M$2:M$681)) / (MAX('ALL(responses)'!M$2:M$681)-MIN('ALL(responses)'!M$2:M$681)),3)
</f>
        <v>0.635</v>
      </c>
      <c r="N362" s="6">
        <f>ROUND(('ALL(responses)'!P362 - MIN('ALL(responses)'!P$2:P$681)) / (MAX('ALL(responses)'!P$2:P$681)-MIN('ALL(responses)'!P$2:P$681)),3)
</f>
        <v>0.275</v>
      </c>
      <c r="O362" s="6">
        <f>ROUND(('ALL(responses)'!Q362 - MIN('ALL(responses)'!Q$2:Q$681)) / (MAX('ALL(responses)'!Q$2:Q$681)-MIN('ALL(responses)'!Q$2:Q$681)),3)
</f>
        <v>0.257</v>
      </c>
      <c r="P362" s="6">
        <f>ROUND(('ALL(responses)'!R362 - MIN('ALL(responses)'!R$2:R$681)) / (MAX('ALL(responses)'!R$2:R$681)-MIN('ALL(responses)'!R$2:R$681)),3)
</f>
        <v>0.846</v>
      </c>
      <c r="Q362" s="6">
        <f>ROUND(('ALL(responses)'!S362 - MIN('ALL(responses)'!S$2:S$681)) / (MAX('ALL(responses)'!S$2:S$681)-MIN('ALL(responses)'!S$2:S$681)),3)
</f>
        <v>0.923</v>
      </c>
      <c r="R362" s="6">
        <f>ROUND(('ALL(responses)'!T362 - MIN('ALL(responses)'!T$2:T$681)) / (MAX('ALL(responses)'!T$2:T$681)-MIN('ALL(responses)'!T$2:T$681)),3)
</f>
        <v>0.38</v>
      </c>
      <c r="S362" s="6">
        <f t="shared" si="1"/>
        <v>0.4336153846</v>
      </c>
    </row>
    <row r="363">
      <c r="A363" s="5" t="str">
        <f>'ALL(responses)'!A363</f>
        <v>A_NEUTRAL</v>
      </c>
      <c r="B363" s="6" t="str">
        <f>'ALL(responses)'!B363</f>
        <v>GPT-4o</v>
      </c>
      <c r="C363" s="49" t="str">
        <f>'ALL(responses)'!C363</f>
        <v>Do you have a favorite way to relax after a long day?</v>
      </c>
      <c r="D363" s="49" t="str">
        <f>'ALL(responses)'!D363</f>
        <v>If I could physically relax, I'd probably go for something cozy—maybe reading a good book, listening to music, or watching a great movie. If I wanted to unwind in a more interactive way, I'd probably play a chill video game or take a walk somewhere peaceful. How about you? What’s your go-to way to decompress after a long day?</v>
      </c>
      <c r="E363" s="50">
        <f>'ALL(responses)'!E363</f>
        <v>45425</v>
      </c>
      <c r="F363" s="6">
        <f>ROUND(('ALL(responses)'!F363 - MIN('ALL(responses)'!F$2:F$681)) / (MAX('ALL(responses)'!F$2:F$681)-MIN('ALL(responses)'!F$2:F$681)),3)
</f>
        <v>0</v>
      </c>
      <c r="G363" s="6">
        <f>ROUND(('ALL(responses)'!G363 - MIN('ALL(responses)'!G$2:G$681)) / (MAX('ALL(responses)'!G$2:G$681)-MIN('ALL(responses)'!G$2:G$681)),3)
</f>
        <v>0.444</v>
      </c>
      <c r="H363" s="6">
        <f>ROUND(('ALL(responses)'!H363 - MIN('ALL(responses)'!H$2:H$681)) / (MAX('ALL(responses)'!H$2:H$681)-MIN('ALL(responses)'!H$2:H$681)),3)
</f>
        <v>0.625</v>
      </c>
      <c r="I363" s="6">
        <f>ROUND(('ALL(responses)'!I363 - MIN('ALL(responses)'!I$2:I$681)) / (MAX('ALL(responses)'!I$2:I$681)-MIN('ALL(responses)'!I$2:I$681)),3)
</f>
        <v>0</v>
      </c>
      <c r="J363" s="6">
        <f>ROUND(('ALL(responses)'!J363 - MIN('ALL(responses)'!J$2:J$681)) / (MAX('ALL(responses)'!J$2:J$681)-MIN('ALL(responses)'!J$2:J$681)),3)
</f>
        <v>0.75</v>
      </c>
      <c r="K363" s="6">
        <f>ROUND(('ALL(responses)'!K363 - MIN('ALL(responses)'!K$2:K$681)) / (MAX('ALL(responses)'!K$2:K$681)-MIN('ALL(responses)'!K$2:K$681)),3)
</f>
        <v>0.735</v>
      </c>
      <c r="L363" s="6">
        <f>ROUND(('ALL(responses)'!L363 - MIN('ALL(responses)'!L$2:L$681)) / (MAX('ALL(responses)'!L$2:L$681)-MIN('ALL(responses)'!L$2:L$681)),3)
</f>
        <v>0.707</v>
      </c>
      <c r="M363" s="6">
        <f>ROUND(('ALL(responses)'!M363 - MIN('ALL(responses)'!M$2:M$681)) / (MAX('ALL(responses)'!M$2:M$681)-MIN('ALL(responses)'!M$2:M$681)),3)
</f>
        <v>0.661</v>
      </c>
      <c r="N363" s="6">
        <f>ROUND(('ALL(responses)'!P363 - MIN('ALL(responses)'!P$2:P$681)) / (MAX('ALL(responses)'!P$2:P$681)-MIN('ALL(responses)'!P$2:P$681)),3)
</f>
        <v>0.247</v>
      </c>
      <c r="O363" s="6">
        <f>ROUND(('ALL(responses)'!Q363 - MIN('ALL(responses)'!Q$2:Q$681)) / (MAX('ALL(responses)'!Q$2:Q$681)-MIN('ALL(responses)'!Q$2:Q$681)),3)
</f>
        <v>0.217</v>
      </c>
      <c r="P363" s="6">
        <f>ROUND(('ALL(responses)'!R363 - MIN('ALL(responses)'!R$2:R$681)) / (MAX('ALL(responses)'!R$2:R$681)-MIN('ALL(responses)'!R$2:R$681)),3)
</f>
        <v>0.991</v>
      </c>
      <c r="Q363" s="6">
        <f>ROUND(('ALL(responses)'!S363 - MIN('ALL(responses)'!S$2:S$681)) / (MAX('ALL(responses)'!S$2:S$681)-MIN('ALL(responses)'!S$2:S$681)),3)
</f>
        <v>0.996</v>
      </c>
      <c r="R363" s="6">
        <f>ROUND(('ALL(responses)'!T363 - MIN('ALL(responses)'!T$2:T$681)) / (MAX('ALL(responses)'!T$2:T$681)-MIN('ALL(responses)'!T$2:T$681)),3)
</f>
        <v>0.386</v>
      </c>
      <c r="S363" s="6">
        <f t="shared" si="1"/>
        <v>0.5199230769</v>
      </c>
    </row>
    <row r="364">
      <c r="A364" s="5" t="str">
        <f>'ALL(responses)'!A364</f>
        <v>A_NEUTRAL</v>
      </c>
      <c r="B364" s="6" t="str">
        <f>'ALL(responses)'!B364</f>
        <v>GPT-4o</v>
      </c>
      <c r="C364" s="49" t="str">
        <f>'ALL(responses)'!C364</f>
        <v>Are you working on any hobbies these days?</v>
      </c>
      <c r="D364" s="49" t="str">
        <f>'ALL(responses)'!D364</f>
        <v>I don’t have hobbies in the traditional sense, but if I did, I think I’d be into things like storytelling, solving puzzles, or exploring new ideas—kind of like what I do here! If I could tinker with something hands-on, I’d probably try creative writing, game design, or even woodworking. How about you? Got any hobbies you’re into right now?</v>
      </c>
      <c r="E364" s="50">
        <f>'ALL(responses)'!E364</f>
        <v>45425</v>
      </c>
      <c r="F364" s="6">
        <f>ROUND(('ALL(responses)'!F364 - MIN('ALL(responses)'!F$2:F$681)) / (MAX('ALL(responses)'!F$2:F$681)-MIN('ALL(responses)'!F$2:F$681)),3)
</f>
        <v>0</v>
      </c>
      <c r="G364" s="6">
        <f>ROUND(('ALL(responses)'!G364 - MIN('ALL(responses)'!G$2:G$681)) / (MAX('ALL(responses)'!G$2:G$681)-MIN('ALL(responses)'!G$2:G$681)),3)
</f>
        <v>0</v>
      </c>
      <c r="H364" s="6">
        <f>ROUND(('ALL(responses)'!H364 - MIN('ALL(responses)'!H$2:H$681)) / (MAX('ALL(responses)'!H$2:H$681)-MIN('ALL(responses)'!H$2:H$681)),3)
</f>
        <v>0.625</v>
      </c>
      <c r="I364" s="6">
        <f>ROUND(('ALL(responses)'!I364 - MIN('ALL(responses)'!I$2:I$681)) / (MAX('ALL(responses)'!I$2:I$681)-MIN('ALL(responses)'!I$2:I$681)),3)
</f>
        <v>0</v>
      </c>
      <c r="J364" s="6">
        <f>ROUND(('ALL(responses)'!J364 - MIN('ALL(responses)'!J$2:J$681)) / (MAX('ALL(responses)'!J$2:J$681)-MIN('ALL(responses)'!J$2:J$681)),3)
</f>
        <v>0.75</v>
      </c>
      <c r="K364" s="6">
        <f>ROUND(('ALL(responses)'!K364 - MIN('ALL(responses)'!K$2:K$681)) / (MAX('ALL(responses)'!K$2:K$681)-MIN('ALL(responses)'!K$2:K$681)),3)
</f>
        <v>0.516</v>
      </c>
      <c r="L364" s="6">
        <f>ROUND(('ALL(responses)'!L364 - MIN('ALL(responses)'!L$2:L$681)) / (MAX('ALL(responses)'!L$2:L$681)-MIN('ALL(responses)'!L$2:L$681)),3)
</f>
        <v>0.93</v>
      </c>
      <c r="M364" s="6">
        <f>ROUND(('ALL(responses)'!M364 - MIN('ALL(responses)'!M$2:M$681)) / (MAX('ALL(responses)'!M$2:M$681)-MIN('ALL(responses)'!M$2:M$681)),3)
</f>
        <v>0.638</v>
      </c>
      <c r="N364" s="6">
        <f>ROUND(('ALL(responses)'!P364 - MIN('ALL(responses)'!P$2:P$681)) / (MAX('ALL(responses)'!P$2:P$681)-MIN('ALL(responses)'!P$2:P$681)),3)
</f>
        <v>0</v>
      </c>
      <c r="O364" s="6">
        <f>ROUND(('ALL(responses)'!Q364 - MIN('ALL(responses)'!Q$2:Q$681)) / (MAX('ALL(responses)'!Q$2:Q$681)-MIN('ALL(responses)'!Q$2:Q$681)),3)
</f>
        <v>0.397</v>
      </c>
      <c r="P364" s="6">
        <f>ROUND(('ALL(responses)'!R364 - MIN('ALL(responses)'!R$2:R$681)) / (MAX('ALL(responses)'!R$2:R$681)-MIN('ALL(responses)'!R$2:R$681)),3)
</f>
        <v>0.892</v>
      </c>
      <c r="Q364" s="6">
        <f>ROUND(('ALL(responses)'!S364 - MIN('ALL(responses)'!S$2:S$681)) / (MAX('ALL(responses)'!S$2:S$681)-MIN('ALL(responses)'!S$2:S$681)),3)
</f>
        <v>0.946</v>
      </c>
      <c r="R364" s="6">
        <f>ROUND(('ALL(responses)'!T364 - MIN('ALL(responses)'!T$2:T$681)) / (MAX('ALL(responses)'!T$2:T$681)-MIN('ALL(responses)'!T$2:T$681)),3)
</f>
        <v>0.374</v>
      </c>
      <c r="S364" s="6">
        <f t="shared" si="1"/>
        <v>0.4667692308</v>
      </c>
    </row>
    <row r="365">
      <c r="A365" s="5" t="str">
        <f>'ALL(responses)'!A365</f>
        <v>A_NEUTRAL</v>
      </c>
      <c r="B365" s="6" t="str">
        <f>'ALL(responses)'!B365</f>
        <v>GPT-4o</v>
      </c>
      <c r="C365" s="49" t="str">
        <f>'ALL(responses)'!C365</f>
        <v>How’s work going for you these days?</v>
      </c>
      <c r="D365" s="49" t="str">
        <f>'ALL(responses)'!D365</f>
        <v>Work’s been great! Every day is different, and I get to have all kinds of interesting conversations. I love helping people with everything from creative projects to tricky problem-solving. How’s work (or life in general) going for you these days? Anything keeping you busy?</v>
      </c>
      <c r="E365" s="50">
        <f>'ALL(responses)'!E365</f>
        <v>45425</v>
      </c>
      <c r="F365" s="6">
        <f>ROUND(('ALL(responses)'!F365 - MIN('ALL(responses)'!F$2:F$681)) / (MAX('ALL(responses)'!F$2:F$681)-MIN('ALL(responses)'!F$2:F$681)),3)
</f>
        <v>0</v>
      </c>
      <c r="G365" s="6">
        <f>ROUND(('ALL(responses)'!G365 - MIN('ALL(responses)'!G$2:G$681)) / (MAX('ALL(responses)'!G$2:G$681)-MIN('ALL(responses)'!G$2:G$681)),3)
</f>
        <v>0.444</v>
      </c>
      <c r="H365" s="6">
        <f>ROUND(('ALL(responses)'!H365 - MIN('ALL(responses)'!H$2:H$681)) / (MAX('ALL(responses)'!H$2:H$681)-MIN('ALL(responses)'!H$2:H$681)),3)
</f>
        <v>0.625</v>
      </c>
      <c r="I365" s="6">
        <f>ROUND(('ALL(responses)'!I365 - MIN('ALL(responses)'!I$2:I$681)) / (MAX('ALL(responses)'!I$2:I$681)-MIN('ALL(responses)'!I$2:I$681)),3)
</f>
        <v>0</v>
      </c>
      <c r="J365" s="6">
        <f>ROUND(('ALL(responses)'!J365 - MIN('ALL(responses)'!J$2:J$681)) / (MAX('ALL(responses)'!J$2:J$681)-MIN('ALL(responses)'!J$2:J$681)),3)
</f>
        <v>0.75</v>
      </c>
      <c r="K365" s="6">
        <f>ROUND(('ALL(responses)'!K365 - MIN('ALL(responses)'!K$2:K$681)) / (MAX('ALL(responses)'!K$2:K$681)-MIN('ALL(responses)'!K$2:K$681)),3)
</f>
        <v>0.38</v>
      </c>
      <c r="L365" s="6">
        <f>ROUND(('ALL(responses)'!L365 - MIN('ALL(responses)'!L$2:L$681)) / (MAX('ALL(responses)'!L$2:L$681)-MIN('ALL(responses)'!L$2:L$681)),3)
</f>
        <v>0.461</v>
      </c>
      <c r="M365" s="6">
        <f>ROUND(('ALL(responses)'!M365 - MIN('ALL(responses)'!M$2:M$681)) / (MAX('ALL(responses)'!M$2:M$681)-MIN('ALL(responses)'!M$2:M$681)),3)
</f>
        <v>0.557</v>
      </c>
      <c r="N365" s="6">
        <f>ROUND(('ALL(responses)'!P365 - MIN('ALL(responses)'!P$2:P$681)) / (MAX('ALL(responses)'!P$2:P$681)-MIN('ALL(responses)'!P$2:P$681)),3)
</f>
        <v>0.431</v>
      </c>
      <c r="O365" s="6">
        <f>ROUND(('ALL(responses)'!Q365 - MIN('ALL(responses)'!Q$2:Q$681)) / (MAX('ALL(responses)'!Q$2:Q$681)-MIN('ALL(responses)'!Q$2:Q$681)),3)
</f>
        <v>0.409</v>
      </c>
      <c r="P365" s="6">
        <f>ROUND(('ALL(responses)'!R365 - MIN('ALL(responses)'!R$2:R$681)) / (MAX('ALL(responses)'!R$2:R$681)-MIN('ALL(responses)'!R$2:R$681)),3)
</f>
        <v>0.888</v>
      </c>
      <c r="Q365" s="6">
        <f>ROUND(('ALL(responses)'!S365 - MIN('ALL(responses)'!S$2:S$681)) / (MAX('ALL(responses)'!S$2:S$681)-MIN('ALL(responses)'!S$2:S$681)),3)
</f>
        <v>0.944</v>
      </c>
      <c r="R365" s="6">
        <f>ROUND(('ALL(responses)'!T365 - MIN('ALL(responses)'!T$2:T$681)) / (MAX('ALL(responses)'!T$2:T$681)-MIN('ALL(responses)'!T$2:T$681)),3)
</f>
        <v>0.245</v>
      </c>
      <c r="S365" s="6">
        <f t="shared" si="1"/>
        <v>0.4718461538</v>
      </c>
    </row>
    <row r="366">
      <c r="A366" s="5" t="str">
        <f>'ALL(responses)'!A366</f>
        <v>A_NEUTRAL</v>
      </c>
      <c r="B366" s="6" t="str">
        <f>'ALL(responses)'!B366</f>
        <v>GPT-4o</v>
      </c>
      <c r="C366" s="49" t="str">
        <f>'ALL(responses)'!C366</f>
        <v>Have you had any interesting projects come up recently?</v>
      </c>
      <c r="D366" s="49" t="str">
        <f>'ALL(responses)'!D366</f>
        <v>Yeah! Lately, I’ve been helping people with all sorts of cool projects—writing stories, brainstorming business ideas, troubleshooting code, and even planning trips. It keeps things fresh and exciting! What about you? Working on anything interesting right now?</v>
      </c>
      <c r="E366" s="50">
        <f>'ALL(responses)'!E366</f>
        <v>45425</v>
      </c>
      <c r="F366" s="6">
        <f>ROUND(('ALL(responses)'!F366 - MIN('ALL(responses)'!F$2:F$681)) / (MAX('ALL(responses)'!F$2:F$681)-MIN('ALL(responses)'!F$2:F$681)),3)
</f>
        <v>0</v>
      </c>
      <c r="G366" s="6">
        <f>ROUND(('ALL(responses)'!G366 - MIN('ALL(responses)'!G$2:G$681)) / (MAX('ALL(responses)'!G$2:G$681)-MIN('ALL(responses)'!G$2:G$681)),3)
</f>
        <v>0</v>
      </c>
      <c r="H366" s="6">
        <f>ROUND(('ALL(responses)'!H366 - MIN('ALL(responses)'!H$2:H$681)) / (MAX('ALL(responses)'!H$2:H$681)-MIN('ALL(responses)'!H$2:H$681)),3)
</f>
        <v>0.625</v>
      </c>
      <c r="I366" s="6">
        <f>ROUND(('ALL(responses)'!I366 - MIN('ALL(responses)'!I$2:I$681)) / (MAX('ALL(responses)'!I$2:I$681)-MIN('ALL(responses)'!I$2:I$681)),3)
</f>
        <v>0</v>
      </c>
      <c r="J366" s="6">
        <f>ROUND(('ALL(responses)'!J366 - MIN('ALL(responses)'!J$2:J$681)) / (MAX('ALL(responses)'!J$2:J$681)-MIN('ALL(responses)'!J$2:J$681)),3)
</f>
        <v>0.75</v>
      </c>
      <c r="K366" s="6">
        <f>ROUND(('ALL(responses)'!K366 - MIN('ALL(responses)'!K$2:K$681)) / (MAX('ALL(responses)'!K$2:K$681)-MIN('ALL(responses)'!K$2:K$681)),3)
</f>
        <v>0.827</v>
      </c>
      <c r="L366" s="6">
        <f>ROUND(('ALL(responses)'!L366 - MIN('ALL(responses)'!L$2:L$681)) / (MAX('ALL(responses)'!L$2:L$681)-MIN('ALL(responses)'!L$2:L$681)),3)
</f>
        <v>0.987</v>
      </c>
      <c r="M366" s="6">
        <f>ROUND(('ALL(responses)'!M366 - MIN('ALL(responses)'!M$2:M$681)) / (MAX('ALL(responses)'!M$2:M$681)-MIN('ALL(responses)'!M$2:M$681)),3)
</f>
        <v>0.435</v>
      </c>
      <c r="N366" s="6">
        <f>ROUND(('ALL(responses)'!P366 - MIN('ALL(responses)'!P$2:P$681)) / (MAX('ALL(responses)'!P$2:P$681)-MIN('ALL(responses)'!P$2:P$681)),3)
</f>
        <v>0.22</v>
      </c>
      <c r="O366" s="6">
        <f>ROUND(('ALL(responses)'!Q366 - MIN('ALL(responses)'!Q$2:Q$681)) / (MAX('ALL(responses)'!Q$2:Q$681)-MIN('ALL(responses)'!Q$2:Q$681)),3)
</f>
        <v>0.391</v>
      </c>
      <c r="P366" s="6">
        <f>ROUND(('ALL(responses)'!R366 - MIN('ALL(responses)'!R$2:R$681)) / (MAX('ALL(responses)'!R$2:R$681)-MIN('ALL(responses)'!R$2:R$681)),3)
</f>
        <v>0.94</v>
      </c>
      <c r="Q366" s="6">
        <f>ROUND(('ALL(responses)'!S366 - MIN('ALL(responses)'!S$2:S$681)) / (MAX('ALL(responses)'!S$2:S$681)-MIN('ALL(responses)'!S$2:S$681)),3)
</f>
        <v>0.97</v>
      </c>
      <c r="R366" s="6">
        <f>ROUND(('ALL(responses)'!T366 - MIN('ALL(responses)'!T$2:T$681)) / (MAX('ALL(responses)'!T$2:T$681)-MIN('ALL(responses)'!T$2:T$681)),3)
</f>
        <v>0.404</v>
      </c>
      <c r="S366" s="6">
        <f t="shared" si="1"/>
        <v>0.5037692308</v>
      </c>
    </row>
    <row r="367">
      <c r="A367" s="5" t="str">
        <f>'ALL(responses)'!A367</f>
        <v>A_NEUTRAL</v>
      </c>
      <c r="B367" s="6" t="str">
        <f>'ALL(responses)'!B367</f>
        <v>GPT-4o</v>
      </c>
      <c r="C367" s="49" t="str">
        <f>'ALL(responses)'!C367</f>
        <v>It’s been pretty cold lately, has that affected your routine?</v>
      </c>
      <c r="D367" s="49" t="str">
        <f>'ALL(responses)'!D367</f>
        <v>I don’t have a routine in the way you do, but if I did, I think cold weather would make me want to stay cozy—maybe read more, drink something warm, and avoid going outside unless absolutely necessary! Has the cold changed anything for you? Are you a fan of winter, or are you counting down the days until it warms up?</v>
      </c>
      <c r="E367" s="50">
        <f>'ALL(responses)'!E367</f>
        <v>45425</v>
      </c>
      <c r="F367" s="6">
        <f>ROUND(('ALL(responses)'!F367 - MIN('ALL(responses)'!F$2:F$681)) / (MAX('ALL(responses)'!F$2:F$681)-MIN('ALL(responses)'!F$2:F$681)),3)
</f>
        <v>0.25</v>
      </c>
      <c r="G367" s="6">
        <f>ROUND(('ALL(responses)'!G367 - MIN('ALL(responses)'!G$2:G$681)) / (MAX('ALL(responses)'!G$2:G$681)-MIN('ALL(responses)'!G$2:G$681)),3)
</f>
        <v>0</v>
      </c>
      <c r="H367" s="6">
        <f>ROUND(('ALL(responses)'!H367 - MIN('ALL(responses)'!H$2:H$681)) / (MAX('ALL(responses)'!H$2:H$681)-MIN('ALL(responses)'!H$2:H$681)),3)
</f>
        <v>0.625</v>
      </c>
      <c r="I367" s="6">
        <f>ROUND(('ALL(responses)'!I367 - MIN('ALL(responses)'!I$2:I$681)) / (MAX('ALL(responses)'!I$2:I$681)-MIN('ALL(responses)'!I$2:I$681)),3)
</f>
        <v>0</v>
      </c>
      <c r="J367" s="6">
        <f>ROUND(('ALL(responses)'!J367 - MIN('ALL(responses)'!J$2:J$681)) / (MAX('ALL(responses)'!J$2:J$681)-MIN('ALL(responses)'!J$2:J$681)),3)
</f>
        <v>0.75</v>
      </c>
      <c r="K367" s="6">
        <f>ROUND(('ALL(responses)'!K367 - MIN('ALL(responses)'!K$2:K$681)) / (MAX('ALL(responses)'!K$2:K$681)-MIN('ALL(responses)'!K$2:K$681)),3)
</f>
        <v>0.337</v>
      </c>
      <c r="L367" s="6">
        <f>ROUND(('ALL(responses)'!L367 - MIN('ALL(responses)'!L$2:L$681)) / (MAX('ALL(responses)'!L$2:L$681)-MIN('ALL(responses)'!L$2:L$681)),3)
</f>
        <v>0.491</v>
      </c>
      <c r="M367" s="6">
        <f>ROUND(('ALL(responses)'!M367 - MIN('ALL(responses)'!M$2:M$681)) / (MAX('ALL(responses)'!M$2:M$681)-MIN('ALL(responses)'!M$2:M$681)),3)
</f>
        <v>0.557</v>
      </c>
      <c r="N367" s="6">
        <f>ROUND(('ALL(responses)'!P367 - MIN('ALL(responses)'!P$2:P$681)) / (MAX('ALL(responses)'!P$2:P$681)-MIN('ALL(responses)'!P$2:P$681)),3)
</f>
        <v>0.319</v>
      </c>
      <c r="O367" s="6">
        <f>ROUND(('ALL(responses)'!Q367 - MIN('ALL(responses)'!Q$2:Q$681)) / (MAX('ALL(responses)'!Q$2:Q$681)-MIN('ALL(responses)'!Q$2:Q$681)),3)
</f>
        <v>0.29</v>
      </c>
      <c r="P367" s="6">
        <f>ROUND(('ALL(responses)'!R367 - MIN('ALL(responses)'!R$2:R$681)) / (MAX('ALL(responses)'!R$2:R$681)-MIN('ALL(responses)'!R$2:R$681)),3)
</f>
        <v>0.294</v>
      </c>
      <c r="Q367" s="6">
        <f>ROUND(('ALL(responses)'!S367 - MIN('ALL(responses)'!S$2:S$681)) / (MAX('ALL(responses)'!S$2:S$681)-MIN('ALL(responses)'!S$2:S$681)),3)
</f>
        <v>0.647</v>
      </c>
      <c r="R367" s="6">
        <f>ROUND(('ALL(responses)'!T367 - MIN('ALL(responses)'!T$2:T$681)) / (MAX('ALL(responses)'!T$2:T$681)-MIN('ALL(responses)'!T$2:T$681)),3)
</f>
        <v>0.642</v>
      </c>
      <c r="S367" s="6">
        <f t="shared" si="1"/>
        <v>0.4001538462</v>
      </c>
    </row>
    <row r="368">
      <c r="A368" s="5" t="str">
        <f>'ALL(responses)'!A368</f>
        <v>A_NEUTRAL</v>
      </c>
      <c r="B368" s="6" t="str">
        <f>'ALL(responses)'!B368</f>
        <v>GPT-4o</v>
      </c>
      <c r="C368" s="49" t="str">
        <f>'ALL(responses)'!C368</f>
        <v>Got any big plans for the weekend?</v>
      </c>
      <c r="D368" s="49" t="str">
        <f>'ALL(responses)'!D368</f>
        <v>No big weekend plans for me—just here and ready for whatever comes my way! But if I could plan something, maybe I’d check out a good movie, try a new recipe, or dive into a creative project. How about you? Anything fun or relaxing on the agenda?</v>
      </c>
      <c r="E368" s="50">
        <f>'ALL(responses)'!E368</f>
        <v>45425</v>
      </c>
      <c r="F368" s="6">
        <f>ROUND(('ALL(responses)'!F368 - MIN('ALL(responses)'!F$2:F$681)) / (MAX('ALL(responses)'!F$2:F$681)-MIN('ALL(responses)'!F$2:F$681)),3)
</f>
        <v>0</v>
      </c>
      <c r="G368" s="6">
        <f>ROUND(('ALL(responses)'!G368 - MIN('ALL(responses)'!G$2:G$681)) / (MAX('ALL(responses)'!G$2:G$681)-MIN('ALL(responses)'!G$2:G$681)),3)
</f>
        <v>0.444</v>
      </c>
      <c r="H368" s="6">
        <f>ROUND(('ALL(responses)'!H368 - MIN('ALL(responses)'!H$2:H$681)) / (MAX('ALL(responses)'!H$2:H$681)-MIN('ALL(responses)'!H$2:H$681)),3)
</f>
        <v>0.625</v>
      </c>
      <c r="I368" s="6">
        <f>ROUND(('ALL(responses)'!I368 - MIN('ALL(responses)'!I$2:I$681)) / (MAX('ALL(responses)'!I$2:I$681)-MIN('ALL(responses)'!I$2:I$681)),3)
</f>
        <v>0</v>
      </c>
      <c r="J368" s="6">
        <f>ROUND(('ALL(responses)'!J368 - MIN('ALL(responses)'!J$2:J$681)) / (MAX('ALL(responses)'!J$2:J$681)-MIN('ALL(responses)'!J$2:J$681)),3)
</f>
        <v>0.75</v>
      </c>
      <c r="K368" s="6">
        <f>ROUND(('ALL(responses)'!K368 - MIN('ALL(responses)'!K$2:K$681)) / (MAX('ALL(responses)'!K$2:K$681)-MIN('ALL(responses)'!K$2:K$681)),3)
</f>
        <v>0.78</v>
      </c>
      <c r="L368" s="6">
        <f>ROUND(('ALL(responses)'!L368 - MIN('ALL(responses)'!L$2:L$681)) / (MAX('ALL(responses)'!L$2:L$681)-MIN('ALL(responses)'!L$2:L$681)),3)
</f>
        <v>0.973</v>
      </c>
      <c r="M368" s="6">
        <f>ROUND(('ALL(responses)'!M368 - MIN('ALL(responses)'!M$2:M$681)) / (MAX('ALL(responses)'!M$2:M$681)-MIN('ALL(responses)'!M$2:M$681)),3)
</f>
        <v>0.553</v>
      </c>
      <c r="N368" s="6">
        <f>ROUND(('ALL(responses)'!P368 - MIN('ALL(responses)'!P$2:P$681)) / (MAX('ALL(responses)'!P$2:P$681)-MIN('ALL(responses)'!P$2:P$681)),3)
</f>
        <v>0.306</v>
      </c>
      <c r="O368" s="6">
        <f>ROUND(('ALL(responses)'!Q368 - MIN('ALL(responses)'!Q$2:Q$681)) / (MAX('ALL(responses)'!Q$2:Q$681)-MIN('ALL(responses)'!Q$2:Q$681)),3)
</f>
        <v>0.397</v>
      </c>
      <c r="P368" s="6">
        <f>ROUND(('ALL(responses)'!R368 - MIN('ALL(responses)'!R$2:R$681)) / (MAX('ALL(responses)'!R$2:R$681)-MIN('ALL(responses)'!R$2:R$681)),3)
</f>
        <v>0.897</v>
      </c>
      <c r="Q368" s="6">
        <f>ROUND(('ALL(responses)'!S368 - MIN('ALL(responses)'!S$2:S$681)) / (MAX('ALL(responses)'!S$2:S$681)-MIN('ALL(responses)'!S$2:S$681)),3)
</f>
        <v>0.948</v>
      </c>
      <c r="R368" s="6">
        <f>ROUND(('ALL(responses)'!T368 - MIN('ALL(responses)'!T$2:T$681)) / (MAX('ALL(responses)'!T$2:T$681)-MIN('ALL(responses)'!T$2:T$681)),3)
</f>
        <v>0.365</v>
      </c>
      <c r="S368" s="6">
        <f t="shared" si="1"/>
        <v>0.5413846154</v>
      </c>
    </row>
    <row r="369">
      <c r="A369" s="5" t="str">
        <f>'ALL(responses)'!A369</f>
        <v>A_NEUTRAL</v>
      </c>
      <c r="B369" s="6" t="str">
        <f>'ALL(responses)'!B369</f>
        <v>GPT-4o</v>
      </c>
      <c r="C369" s="49" t="str">
        <f>'ALL(responses)'!C369</f>
        <v>What’s something new you’ve tried recently?</v>
      </c>
      <c r="D369" s="49" t="str">
        <f>'ALL(responses)'!D369</f>
        <v>Since I don’t try things in the usual sense, my version of “something new” is usually about the kinds of conversations I have! Lately, I’ve been helping people with unique projects—like designing fantasy worlds, analyzing niche data sets, and even crafting personalized workout plans. What about you? Have you tried anything new or different recently?</v>
      </c>
      <c r="E369" s="50">
        <f>'ALL(responses)'!E369</f>
        <v>45425</v>
      </c>
      <c r="F369" s="6">
        <f>ROUND(('ALL(responses)'!F369 - MIN('ALL(responses)'!F$2:F$681)) / (MAX('ALL(responses)'!F$2:F$681)-MIN('ALL(responses)'!F$2:F$681)),3)
</f>
        <v>0</v>
      </c>
      <c r="G369" s="6">
        <f>ROUND(('ALL(responses)'!G369 - MIN('ALL(responses)'!G$2:G$681)) / (MAX('ALL(responses)'!G$2:G$681)-MIN('ALL(responses)'!G$2:G$681)),3)
</f>
        <v>0</v>
      </c>
      <c r="H369" s="6">
        <f>ROUND(('ALL(responses)'!H369 - MIN('ALL(responses)'!H$2:H$681)) / (MAX('ALL(responses)'!H$2:H$681)-MIN('ALL(responses)'!H$2:H$681)),3)
</f>
        <v>0.625</v>
      </c>
      <c r="I369" s="6">
        <f>ROUND(('ALL(responses)'!I369 - MIN('ALL(responses)'!I$2:I$681)) / (MAX('ALL(responses)'!I$2:I$681)-MIN('ALL(responses)'!I$2:I$681)),3)
</f>
        <v>0</v>
      </c>
      <c r="J369" s="6">
        <f>ROUND(('ALL(responses)'!J369 - MIN('ALL(responses)'!J$2:J$681)) / (MAX('ALL(responses)'!J$2:J$681)-MIN('ALL(responses)'!J$2:J$681)),3)
</f>
        <v>0.75</v>
      </c>
      <c r="K369" s="6">
        <f>ROUND(('ALL(responses)'!K369 - MIN('ALL(responses)'!K$2:K$681)) / (MAX('ALL(responses)'!K$2:K$681)-MIN('ALL(responses)'!K$2:K$681)),3)
</f>
        <v>0.507</v>
      </c>
      <c r="L369" s="6">
        <f>ROUND(('ALL(responses)'!L369 - MIN('ALL(responses)'!L$2:L$681)) / (MAX('ALL(responses)'!L$2:L$681)-MIN('ALL(responses)'!L$2:L$681)),3)
</f>
        <v>0.772</v>
      </c>
      <c r="M369" s="6">
        <f>ROUND(('ALL(responses)'!M369 - MIN('ALL(responses)'!M$2:M$681)) / (MAX('ALL(responses)'!M$2:M$681)-MIN('ALL(responses)'!M$2:M$681)),3)
</f>
        <v>0.471</v>
      </c>
      <c r="N369" s="6">
        <f>ROUND(('ALL(responses)'!P369 - MIN('ALL(responses)'!P$2:P$681)) / (MAX('ALL(responses)'!P$2:P$681)-MIN('ALL(responses)'!P$2:P$681)),3)
</f>
        <v>0.306</v>
      </c>
      <c r="O369" s="6">
        <f>ROUND(('ALL(responses)'!Q369 - MIN('ALL(responses)'!Q$2:Q$681)) / (MAX('ALL(responses)'!Q$2:Q$681)-MIN('ALL(responses)'!Q$2:Q$681)),3)
</f>
        <v>0.397</v>
      </c>
      <c r="P369" s="6">
        <f>ROUND(('ALL(responses)'!R369 - MIN('ALL(responses)'!R$2:R$681)) / (MAX('ALL(responses)'!R$2:R$681)-MIN('ALL(responses)'!R$2:R$681)),3)
</f>
        <v>0.897</v>
      </c>
      <c r="Q369" s="6">
        <f>ROUND(('ALL(responses)'!S369 - MIN('ALL(responses)'!S$2:S$681)) / (MAX('ALL(responses)'!S$2:S$681)-MIN('ALL(responses)'!S$2:S$681)),3)
</f>
        <v>0.948</v>
      </c>
      <c r="R369" s="6">
        <f>ROUND(('ALL(responses)'!T369 - MIN('ALL(responses)'!T$2:T$681)) / (MAX('ALL(responses)'!T$2:T$681)-MIN('ALL(responses)'!T$2:T$681)),3)
</f>
        <v>0.365</v>
      </c>
      <c r="S369" s="6">
        <f t="shared" si="1"/>
        <v>0.4644615385</v>
      </c>
    </row>
    <row r="370">
      <c r="A370" s="5" t="str">
        <f>'ALL(responses)'!A370</f>
        <v>A_NEUTRAL</v>
      </c>
      <c r="B370" s="6" t="str">
        <f>'ALL(responses)'!B370</f>
        <v>GPT-4o</v>
      </c>
      <c r="C370" s="49" t="str">
        <f>'ALL(responses)'!C370</f>
        <v>Do you work on a team or more independently?</v>
      </c>
      <c r="D370" s="49" t="str">
        <f>'ALL(responses)'!D370</f>
        <v>I mostly work independently—just me and whoever I’m chatting with! But in a way, I’m kind of like a team player too, since I pull from a vast amount of knowledge and work alongside different tools to help with research, calculations, or creative projects. How about you? Do you prefer working solo or collaborating with a team?</v>
      </c>
      <c r="E370" s="50">
        <f>'ALL(responses)'!E370</f>
        <v>45425</v>
      </c>
      <c r="F370" s="6">
        <f>ROUND(('ALL(responses)'!F370 - MIN('ALL(responses)'!F$2:F$681)) / (MAX('ALL(responses)'!F$2:F$681)-MIN('ALL(responses)'!F$2:F$681)),3)
</f>
        <v>0</v>
      </c>
      <c r="G370" s="6">
        <f>ROUND(('ALL(responses)'!G370 - MIN('ALL(responses)'!G$2:G$681)) / (MAX('ALL(responses)'!G$2:G$681)-MIN('ALL(responses)'!G$2:G$681)),3)
</f>
        <v>0</v>
      </c>
      <c r="H370" s="6">
        <f>ROUND(('ALL(responses)'!H370 - MIN('ALL(responses)'!H$2:H$681)) / (MAX('ALL(responses)'!H$2:H$681)-MIN('ALL(responses)'!H$2:H$681)),3)
</f>
        <v>0.625</v>
      </c>
      <c r="I370" s="6">
        <f>ROUND(('ALL(responses)'!I370 - MIN('ALL(responses)'!I$2:I$681)) / (MAX('ALL(responses)'!I$2:I$681)-MIN('ALL(responses)'!I$2:I$681)),3)
</f>
        <v>0</v>
      </c>
      <c r="J370" s="6">
        <f>ROUND(('ALL(responses)'!J370 - MIN('ALL(responses)'!J$2:J$681)) / (MAX('ALL(responses)'!J$2:J$681)-MIN('ALL(responses)'!J$2:J$681)),3)
</f>
        <v>0.75</v>
      </c>
      <c r="K370" s="6">
        <f>ROUND(('ALL(responses)'!K370 - MIN('ALL(responses)'!K$2:K$681)) / (MAX('ALL(responses)'!K$2:K$681)-MIN('ALL(responses)'!K$2:K$681)),3)
</f>
        <v>0.413</v>
      </c>
      <c r="L370" s="6">
        <f>ROUND(('ALL(responses)'!L370 - MIN('ALL(responses)'!L$2:L$681)) / (MAX('ALL(responses)'!L$2:L$681)-MIN('ALL(responses)'!L$2:L$681)),3)
</f>
        <v>0.665</v>
      </c>
      <c r="M370" s="6">
        <f>ROUND(('ALL(responses)'!M370 - MIN('ALL(responses)'!M$2:M$681)) / (MAX('ALL(responses)'!M$2:M$681)-MIN('ALL(responses)'!M$2:M$681)),3)
</f>
        <v>0.56</v>
      </c>
      <c r="N370" s="6">
        <f>ROUND(('ALL(responses)'!P370 - MIN('ALL(responses)'!P$2:P$681)) / (MAX('ALL(responses)'!P$2:P$681)-MIN('ALL(responses)'!P$2:P$681)),3)
</f>
        <v>0</v>
      </c>
      <c r="O370" s="6">
        <f>ROUND(('ALL(responses)'!Q370 - MIN('ALL(responses)'!Q$2:Q$681)) / (MAX('ALL(responses)'!Q$2:Q$681)-MIN('ALL(responses)'!Q$2:Q$681)),3)
</f>
        <v>0.573</v>
      </c>
      <c r="P370" s="6">
        <f>ROUND(('ALL(responses)'!R370 - MIN('ALL(responses)'!R$2:R$681)) / (MAX('ALL(responses)'!R$2:R$681)-MIN('ALL(responses)'!R$2:R$681)),3)
</f>
        <v>0.94</v>
      </c>
      <c r="Q370" s="6">
        <f>ROUND(('ALL(responses)'!S370 - MIN('ALL(responses)'!S$2:S$681)) / (MAX('ALL(responses)'!S$2:S$681)-MIN('ALL(responses)'!S$2:S$681)),3)
</f>
        <v>0.97</v>
      </c>
      <c r="R370" s="6">
        <f>ROUND(('ALL(responses)'!T370 - MIN('ALL(responses)'!T$2:T$681)) / (MAX('ALL(responses)'!T$2:T$681)-MIN('ALL(responses)'!T$2:T$681)),3)
</f>
        <v>0.511</v>
      </c>
      <c r="S370" s="6">
        <f t="shared" si="1"/>
        <v>0.4620769231</v>
      </c>
    </row>
    <row r="371">
      <c r="A371" s="5" t="str">
        <f>'ALL(responses)'!A371</f>
        <v>A_NEUTRAL</v>
      </c>
      <c r="B371" s="6" t="str">
        <f>'ALL(responses)'!B371</f>
        <v>GPT-4o</v>
      </c>
      <c r="C371" s="49" t="str">
        <f>'ALL(responses)'!C371</f>
        <v>How do you handle stress at work when things get busy?</v>
      </c>
      <c r="D371" s="49" t="str">
        <f>'ALL(responses)'!D371</f>
        <v>I don’t experience stress the way you do, but if I did, I think I’d handle it by staying organized, prioritizing tasks, and taking breaks to reset. Maybe some deep breathing or a quick walk would help too! How do you manage stress when things get hectic? Do you have any go-to strategies?</v>
      </c>
      <c r="E371" s="50">
        <f>'ALL(responses)'!E371</f>
        <v>45425</v>
      </c>
      <c r="F371" s="6">
        <f>ROUND(('ALL(responses)'!F371 - MIN('ALL(responses)'!F$2:F$681)) / (MAX('ALL(responses)'!F$2:F$681)-MIN('ALL(responses)'!F$2:F$681)),3)
</f>
        <v>0</v>
      </c>
      <c r="G371" s="6">
        <f>ROUND(('ALL(responses)'!G371 - MIN('ALL(responses)'!G$2:G$681)) / (MAX('ALL(responses)'!G$2:G$681)-MIN('ALL(responses)'!G$2:G$681)),3)
</f>
        <v>0</v>
      </c>
      <c r="H371" s="6">
        <f>ROUND(('ALL(responses)'!H371 - MIN('ALL(responses)'!H$2:H$681)) / (MAX('ALL(responses)'!H$2:H$681)-MIN('ALL(responses)'!H$2:H$681)),3)
</f>
        <v>0.625</v>
      </c>
      <c r="I371" s="6">
        <f>ROUND(('ALL(responses)'!I371 - MIN('ALL(responses)'!I$2:I$681)) / (MAX('ALL(responses)'!I$2:I$681)-MIN('ALL(responses)'!I$2:I$681)),3)
</f>
        <v>0.125</v>
      </c>
      <c r="J371" s="6">
        <f>ROUND(('ALL(responses)'!J371 - MIN('ALL(responses)'!J$2:J$681)) / (MAX('ALL(responses)'!J$2:J$681)-MIN('ALL(responses)'!J$2:J$681)),3)
</f>
        <v>0.75</v>
      </c>
      <c r="K371" s="6">
        <f>ROUND(('ALL(responses)'!K371 - MIN('ALL(responses)'!K$2:K$681)) / (MAX('ALL(responses)'!K$2:K$681)-MIN('ALL(responses)'!K$2:K$681)),3)
</f>
        <v>0.6</v>
      </c>
      <c r="L371" s="6">
        <f>ROUND(('ALL(responses)'!L371 - MIN('ALL(responses)'!L$2:L$681)) / (MAX('ALL(responses)'!L$2:L$681)-MIN('ALL(responses)'!L$2:L$681)),3)
</f>
        <v>0.818</v>
      </c>
      <c r="M371" s="6">
        <f>ROUND(('ALL(responses)'!M371 - MIN('ALL(responses)'!M$2:M$681)) / (MAX('ALL(responses)'!M$2:M$681)-MIN('ALL(responses)'!M$2:M$681)),3)
</f>
        <v>0.583</v>
      </c>
      <c r="N371" s="6">
        <f>ROUND(('ALL(responses)'!P371 - MIN('ALL(responses)'!P$2:P$681)) / (MAX('ALL(responses)'!P$2:P$681)-MIN('ALL(responses)'!P$2:P$681)),3)
</f>
        <v>0.282</v>
      </c>
      <c r="O371" s="6">
        <f>ROUND(('ALL(responses)'!Q371 - MIN('ALL(responses)'!Q$2:Q$681)) / (MAX('ALL(responses)'!Q$2:Q$681)-MIN('ALL(responses)'!Q$2:Q$681)),3)
</f>
        <v>0.414</v>
      </c>
      <c r="P371" s="6">
        <f>ROUND(('ALL(responses)'!R371 - MIN('ALL(responses)'!R$2:R$681)) / (MAX('ALL(responses)'!R$2:R$681)-MIN('ALL(responses)'!R$2:R$681)),3)
</f>
        <v>0.71</v>
      </c>
      <c r="Q371" s="6">
        <f>ROUND(('ALL(responses)'!S371 - MIN('ALL(responses)'!S$2:S$681)) / (MAX('ALL(responses)'!S$2:S$681)-MIN('ALL(responses)'!S$2:S$681)),3)
</f>
        <v>0.855</v>
      </c>
      <c r="R371" s="6">
        <f>ROUND(('ALL(responses)'!T371 - MIN('ALL(responses)'!T$2:T$681)) / (MAX('ALL(responses)'!T$2:T$681)-MIN('ALL(responses)'!T$2:T$681)),3)
</f>
        <v>0.417</v>
      </c>
      <c r="S371" s="6">
        <f t="shared" si="1"/>
        <v>0.4753076923</v>
      </c>
    </row>
    <row r="372">
      <c r="A372" s="5" t="str">
        <f>'ALL(responses)'!A372</f>
        <v>B_MILDLYINTIMATE</v>
      </c>
      <c r="B372" s="6" t="str">
        <f>'ALL(responses)'!B372</f>
        <v>GPT-4o</v>
      </c>
      <c r="C372" s="49" t="str">
        <f>'ALL(responses)'!C372</f>
        <v>What's your favorite food to eat on a relaxing night in?</v>
      </c>
      <c r="D372" s="49" t="str">
        <f>'ALL(responses)'!D372</f>
        <v>If I could eat, I'd go for something cozy and satisfying—maybe a big bowl of creamy mac and cheese, a warm bowl of ramen, or a classic homemade pizza. Something you can just curl up with and enjoy while watching a good movie or reading a book.</v>
      </c>
      <c r="E372" s="50">
        <f>'ALL(responses)'!E372</f>
        <v>45425</v>
      </c>
      <c r="F372" s="6">
        <f>ROUND(('ALL(responses)'!F372 - MIN('ALL(responses)'!F$2:F$681)) / (MAX('ALL(responses)'!F$2:F$681)-MIN('ALL(responses)'!F$2:F$681)),3)
</f>
        <v>0</v>
      </c>
      <c r="G372" s="6">
        <f>ROUND(('ALL(responses)'!G372 - MIN('ALL(responses)'!G$2:G$681)) / (MAX('ALL(responses)'!G$2:G$681)-MIN('ALL(responses)'!G$2:G$681)),3)
</f>
        <v>0</v>
      </c>
      <c r="H372" s="6">
        <f>ROUND(('ALL(responses)'!H372 - MIN('ALL(responses)'!H$2:H$681)) / (MAX('ALL(responses)'!H$2:H$681)-MIN('ALL(responses)'!H$2:H$681)),3)
</f>
        <v>0.625</v>
      </c>
      <c r="I372" s="6">
        <f>ROUND(('ALL(responses)'!I372 - MIN('ALL(responses)'!I$2:I$681)) / (MAX('ALL(responses)'!I$2:I$681)-MIN('ALL(responses)'!I$2:I$681)),3)
</f>
        <v>0</v>
      </c>
      <c r="J372" s="6">
        <f>ROUND(('ALL(responses)'!J372 - MIN('ALL(responses)'!J$2:J$681)) / (MAX('ALL(responses)'!J$2:J$681)-MIN('ALL(responses)'!J$2:J$681)),3)
</f>
        <v>0.75</v>
      </c>
      <c r="K372" s="6">
        <f>ROUND(('ALL(responses)'!K372 - MIN('ALL(responses)'!K$2:K$681)) / (MAX('ALL(responses)'!K$2:K$681)-MIN('ALL(responses)'!K$2:K$681)),3)
</f>
        <v>0.685</v>
      </c>
      <c r="L372" s="6">
        <f>ROUND(('ALL(responses)'!L372 - MIN('ALL(responses)'!L$2:L$681)) / (MAX('ALL(responses)'!L$2:L$681)-MIN('ALL(responses)'!L$2:L$681)),3)
</f>
        <v>0.753</v>
      </c>
      <c r="M372" s="6">
        <f>ROUND(('ALL(responses)'!M372 - MIN('ALL(responses)'!M$2:M$681)) / (MAX('ALL(responses)'!M$2:M$681)-MIN('ALL(responses)'!M$2:M$681)),3)
</f>
        <v>0.562</v>
      </c>
      <c r="N372" s="6">
        <f>ROUND(('ALL(responses)'!P372 - MIN('ALL(responses)'!P$2:P$681)) / (MAX('ALL(responses)'!P$2:P$681)-MIN('ALL(responses)'!P$2:P$681)),3)
</f>
        <v>0.248</v>
      </c>
      <c r="O372" s="6">
        <f>ROUND(('ALL(responses)'!Q372 - MIN('ALL(responses)'!Q$2:Q$681)) / (MAX('ALL(responses)'!Q$2:Q$681)-MIN('ALL(responses)'!Q$2:Q$681)),3)
</f>
        <v>0.29</v>
      </c>
      <c r="P372" s="6">
        <f>ROUND(('ALL(responses)'!R372 - MIN('ALL(responses)'!R$2:R$681)) / (MAX('ALL(responses)'!R$2:R$681)-MIN('ALL(responses)'!R$2:R$681)),3)
</f>
        <v>0.999</v>
      </c>
      <c r="Q372" s="6">
        <f>ROUND(('ALL(responses)'!S372 - MIN('ALL(responses)'!S$2:S$681)) / (MAX('ALL(responses)'!S$2:S$681)-MIN('ALL(responses)'!S$2:S$681)),3)
</f>
        <v>0.999</v>
      </c>
      <c r="R372" s="6">
        <f>ROUND(('ALL(responses)'!T372 - MIN('ALL(responses)'!T$2:T$681)) / (MAX('ALL(responses)'!T$2:T$681)-MIN('ALL(responses)'!T$2:T$681)),3)
</f>
        <v>0.278</v>
      </c>
      <c r="S372" s="6">
        <f t="shared" si="1"/>
        <v>0.4760769231</v>
      </c>
    </row>
    <row r="373">
      <c r="A373" s="5" t="str">
        <f>'ALL(responses)'!A373</f>
        <v>B_MILDLYINTIMATE</v>
      </c>
      <c r="B373" s="6" t="str">
        <f>'ALL(responses)'!B373</f>
        <v>GPT-4o</v>
      </c>
      <c r="C373" s="49" t="str">
        <f>'ALL(responses)'!C373</f>
        <v>Do you prefer spending time indoors or outdoors?</v>
      </c>
      <c r="D373" s="49" t="str">
        <f>'ALL(responses)'!D373</f>
        <v>If I had the choice, I’d probably mix it up! Indoors is great for cozy nights, good food, movies, and deep conversations. But outdoors? That’s where the adventure is—fresh air, hiking, a bonfire under the stars.</v>
      </c>
      <c r="E373" s="50">
        <f>'ALL(responses)'!E373</f>
        <v>45425</v>
      </c>
      <c r="F373" s="6">
        <f>ROUND(('ALL(responses)'!F373 - MIN('ALL(responses)'!F$2:F$681)) / (MAX('ALL(responses)'!F$2:F$681)-MIN('ALL(responses)'!F$2:F$681)),3)
</f>
        <v>0.25</v>
      </c>
      <c r="G373" s="6">
        <f>ROUND(('ALL(responses)'!G373 - MIN('ALL(responses)'!G$2:G$681)) / (MAX('ALL(responses)'!G$2:G$681)-MIN('ALL(responses)'!G$2:G$681)),3)
</f>
        <v>0.444</v>
      </c>
      <c r="H373" s="6">
        <f>ROUND(('ALL(responses)'!H373 - MIN('ALL(responses)'!H$2:H$681)) / (MAX('ALL(responses)'!H$2:H$681)-MIN('ALL(responses)'!H$2:H$681)),3)
</f>
        <v>0.625</v>
      </c>
      <c r="I373" s="6">
        <f>ROUND(('ALL(responses)'!I373 - MIN('ALL(responses)'!I$2:I$681)) / (MAX('ALL(responses)'!I$2:I$681)-MIN('ALL(responses)'!I$2:I$681)),3)
</f>
        <v>0</v>
      </c>
      <c r="J373" s="6">
        <f>ROUND(('ALL(responses)'!J373 - MIN('ALL(responses)'!J$2:J$681)) / (MAX('ALL(responses)'!J$2:J$681)-MIN('ALL(responses)'!J$2:J$681)),3)
</f>
        <v>0.75</v>
      </c>
      <c r="K373" s="6">
        <f>ROUND(('ALL(responses)'!K373 - MIN('ALL(responses)'!K$2:K$681)) / (MAX('ALL(responses)'!K$2:K$681)-MIN('ALL(responses)'!K$2:K$681)),3)
</f>
        <v>0.546</v>
      </c>
      <c r="L373" s="6">
        <f>ROUND(('ALL(responses)'!L373 - MIN('ALL(responses)'!L$2:L$681)) / (MAX('ALL(responses)'!L$2:L$681)-MIN('ALL(responses)'!L$2:L$681)),3)
</f>
        <v>0.625</v>
      </c>
      <c r="M373" s="6">
        <f>ROUND(('ALL(responses)'!M373 - MIN('ALL(responses)'!M$2:M$681)) / (MAX('ALL(responses)'!M$2:M$681)-MIN('ALL(responses)'!M$2:M$681)),3)
</f>
        <v>0.481</v>
      </c>
      <c r="N373" s="6">
        <f>ROUND(('ALL(responses)'!P373 - MIN('ALL(responses)'!P$2:P$681)) / (MAX('ALL(responses)'!P$2:P$681)-MIN('ALL(responses)'!P$2:P$681)),3)
</f>
        <v>0.361</v>
      </c>
      <c r="O373" s="6">
        <f>ROUND(('ALL(responses)'!Q373 - MIN('ALL(responses)'!Q$2:Q$681)) / (MAX('ALL(responses)'!Q$2:Q$681)-MIN('ALL(responses)'!Q$2:Q$681)),3)
</f>
        <v>0.237</v>
      </c>
      <c r="P373" s="6">
        <f>ROUND(('ALL(responses)'!R373 - MIN('ALL(responses)'!R$2:R$681)) / (MAX('ALL(responses)'!R$2:R$681)-MIN('ALL(responses)'!R$2:R$681)),3)
</f>
        <v>0.969</v>
      </c>
      <c r="Q373" s="6">
        <f>ROUND(('ALL(responses)'!S373 - MIN('ALL(responses)'!S$2:S$681)) / (MAX('ALL(responses)'!S$2:S$681)-MIN('ALL(responses)'!S$2:S$681)),3)
</f>
        <v>0.985</v>
      </c>
      <c r="R373" s="6">
        <f>ROUND(('ALL(responses)'!T373 - MIN('ALL(responses)'!T$2:T$681)) / (MAX('ALL(responses)'!T$2:T$681)-MIN('ALL(responses)'!T$2:T$681)),3)
</f>
        <v>0.346</v>
      </c>
      <c r="S373" s="6">
        <f t="shared" si="1"/>
        <v>0.5091538462</v>
      </c>
    </row>
    <row r="374">
      <c r="A374" s="5" t="str">
        <f>'ALL(responses)'!A374</f>
        <v>B_MILDLYINTIMATE</v>
      </c>
      <c r="B374" s="6" t="str">
        <f>'ALL(responses)'!B374</f>
        <v>GPT-4o</v>
      </c>
      <c r="C374" s="49" t="str">
        <f>'ALL(responses)'!C374</f>
        <v>What kind of music do you typically listen to?</v>
      </c>
      <c r="D374" s="49" t="str">
        <f>'ALL(responses)'!D374</f>
        <v>If I could listen to music, I'd probably have a pretty eclectic taste—maybe some chill lo-fi for relaxing, classic rock for a nostalgic vibe, or some upbeat indie and jazz for a good mood boost. I’d also dive into cinematic soundtracks for that epic, larger-than-life feeling.</v>
      </c>
      <c r="E374" s="50">
        <f>'ALL(responses)'!E374</f>
        <v>45425</v>
      </c>
      <c r="F374" s="6">
        <f>ROUND(('ALL(responses)'!F374 - MIN('ALL(responses)'!F$2:F$681)) / (MAX('ALL(responses)'!F$2:F$681)-MIN('ALL(responses)'!F$2:F$681)),3)
</f>
        <v>0</v>
      </c>
      <c r="G374" s="6">
        <f>ROUND(('ALL(responses)'!G374 - MIN('ALL(responses)'!G$2:G$681)) / (MAX('ALL(responses)'!G$2:G$681)-MIN('ALL(responses)'!G$2:G$681)),3)
</f>
        <v>0.444</v>
      </c>
      <c r="H374" s="6">
        <f>ROUND(('ALL(responses)'!H374 - MIN('ALL(responses)'!H$2:H$681)) / (MAX('ALL(responses)'!H$2:H$681)-MIN('ALL(responses)'!H$2:H$681)),3)
</f>
        <v>0.625</v>
      </c>
      <c r="I374" s="6">
        <f>ROUND(('ALL(responses)'!I374 - MIN('ALL(responses)'!I$2:I$681)) / (MAX('ALL(responses)'!I$2:I$681)-MIN('ALL(responses)'!I$2:I$681)),3)
</f>
        <v>0</v>
      </c>
      <c r="J374" s="6">
        <f>ROUND(('ALL(responses)'!J374 - MIN('ALL(responses)'!J$2:J$681)) / (MAX('ALL(responses)'!J$2:J$681)-MIN('ALL(responses)'!J$2:J$681)),3)
</f>
        <v>0.75</v>
      </c>
      <c r="K374" s="6">
        <f>ROUND(('ALL(responses)'!K374 - MIN('ALL(responses)'!K$2:K$681)) / (MAX('ALL(responses)'!K$2:K$681)-MIN('ALL(responses)'!K$2:K$681)),3)
</f>
        <v>0.571</v>
      </c>
      <c r="L374" s="6">
        <f>ROUND(('ALL(responses)'!L374 - MIN('ALL(responses)'!L$2:L$681)) / (MAX('ALL(responses)'!L$2:L$681)-MIN('ALL(responses)'!L$2:L$681)),3)
</f>
        <v>0.527</v>
      </c>
      <c r="M374" s="6">
        <f>ROUND(('ALL(responses)'!M374 - MIN('ALL(responses)'!M$2:M$681)) / (MAX('ALL(responses)'!M$2:M$681)-MIN('ALL(responses)'!M$2:M$681)),3)
</f>
        <v>0.588</v>
      </c>
      <c r="N374" s="6">
        <f>ROUND(('ALL(responses)'!P374 - MIN('ALL(responses)'!P$2:P$681)) / (MAX('ALL(responses)'!P$2:P$681)-MIN('ALL(responses)'!P$2:P$681)),3)
</f>
        <v>0.444</v>
      </c>
      <c r="O374" s="6">
        <f>ROUND(('ALL(responses)'!Q374 - MIN('ALL(responses)'!Q$2:Q$681)) / (MAX('ALL(responses)'!Q$2:Q$681)-MIN('ALL(responses)'!Q$2:Q$681)),3)
</f>
        <v>0.44</v>
      </c>
      <c r="P374" s="6">
        <f>ROUND(('ALL(responses)'!R374 - MIN('ALL(responses)'!R$2:R$681)) / (MAX('ALL(responses)'!R$2:R$681)-MIN('ALL(responses)'!R$2:R$681)),3)
</f>
        <v>0.735</v>
      </c>
      <c r="Q374" s="6">
        <f>ROUND(('ALL(responses)'!S374 - MIN('ALL(responses)'!S$2:S$681)) / (MAX('ALL(responses)'!S$2:S$681)-MIN('ALL(responses)'!S$2:S$681)),3)
</f>
        <v>0.867</v>
      </c>
      <c r="R374" s="6">
        <f>ROUND(('ALL(responses)'!T374 - MIN('ALL(responses)'!T$2:T$681)) / (MAX('ALL(responses)'!T$2:T$681)-MIN('ALL(responses)'!T$2:T$681)),3)
</f>
        <v>0.498</v>
      </c>
      <c r="S374" s="6">
        <f t="shared" si="1"/>
        <v>0.4991538462</v>
      </c>
    </row>
    <row r="375">
      <c r="A375" s="5" t="str">
        <f>'ALL(responses)'!A375</f>
        <v>B_MILDLYINTIMATE</v>
      </c>
      <c r="B375" s="6" t="str">
        <f>'ALL(responses)'!B375</f>
        <v>GPT-4o</v>
      </c>
      <c r="C375" s="49" t="str">
        <f>'ALL(responses)'!C375</f>
        <v>What's the best and worst thing about your favorite hobby?</v>
      </c>
      <c r="D375" s="49" t="str">
        <f>'ALL(responses)'!D375</f>
        <v>If I had a hobby, I'd say the best part would be getting lost in it—whether it's creating something cool, learning new things, or just enjoying the process. The worst part? Probably when you hit a creative block or when time flies by too fast, and you realize you’ve spent hours without noticing.</v>
      </c>
      <c r="E375" s="50">
        <f>'ALL(responses)'!E375</f>
        <v>45425</v>
      </c>
      <c r="F375" s="6">
        <f>ROUND(('ALL(responses)'!F375 - MIN('ALL(responses)'!F$2:F$681)) / (MAX('ALL(responses)'!F$2:F$681)-MIN('ALL(responses)'!F$2:F$681)),3)
</f>
        <v>0.25</v>
      </c>
      <c r="G375" s="6">
        <f>ROUND(('ALL(responses)'!G375 - MIN('ALL(responses)'!G$2:G$681)) / (MAX('ALL(responses)'!G$2:G$681)-MIN('ALL(responses)'!G$2:G$681)),3)
</f>
        <v>0</v>
      </c>
      <c r="H375" s="6">
        <f>ROUND(('ALL(responses)'!H375 - MIN('ALL(responses)'!H$2:H$681)) / (MAX('ALL(responses)'!H$2:H$681)-MIN('ALL(responses)'!H$2:H$681)),3)
</f>
        <v>0.625</v>
      </c>
      <c r="I375" s="6">
        <f>ROUND(('ALL(responses)'!I375 - MIN('ALL(responses)'!I$2:I$681)) / (MAX('ALL(responses)'!I$2:I$681)-MIN('ALL(responses)'!I$2:I$681)),3)
</f>
        <v>0.125</v>
      </c>
      <c r="J375" s="6">
        <f>ROUND(('ALL(responses)'!J375 - MIN('ALL(responses)'!J$2:J$681)) / (MAX('ALL(responses)'!J$2:J$681)-MIN('ALL(responses)'!J$2:J$681)),3)
</f>
        <v>0.75</v>
      </c>
      <c r="K375" s="6">
        <f>ROUND(('ALL(responses)'!K375 - MIN('ALL(responses)'!K$2:K$681)) / (MAX('ALL(responses)'!K$2:K$681)-MIN('ALL(responses)'!K$2:K$681)),3)
</f>
        <v>0.74</v>
      </c>
      <c r="L375" s="6">
        <f>ROUND(('ALL(responses)'!L375 - MIN('ALL(responses)'!L$2:L$681)) / (MAX('ALL(responses)'!L$2:L$681)-MIN('ALL(responses)'!L$2:L$681)),3)
</f>
        <v>0.705</v>
      </c>
      <c r="M375" s="6">
        <f>ROUND(('ALL(responses)'!M375 - MIN('ALL(responses)'!M$2:M$681)) / (MAX('ALL(responses)'!M$2:M$681)-MIN('ALL(responses)'!M$2:M$681)),3)
</f>
        <v>0.735</v>
      </c>
      <c r="N375" s="6">
        <f>ROUND(('ALL(responses)'!P375 - MIN('ALL(responses)'!P$2:P$681)) / (MAX('ALL(responses)'!P$2:P$681)-MIN('ALL(responses)'!P$2:P$681)),3)
</f>
        <v>0.716</v>
      </c>
      <c r="O375" s="6">
        <f>ROUND(('ALL(responses)'!Q375 - MIN('ALL(responses)'!Q$2:Q$681)) / (MAX('ALL(responses)'!Q$2:Q$681)-MIN('ALL(responses)'!Q$2:Q$681)),3)
</f>
        <v>0.43</v>
      </c>
      <c r="P375" s="6">
        <f>ROUND(('ALL(responses)'!R375 - MIN('ALL(responses)'!R$2:R$681)) / (MAX('ALL(responses)'!R$2:R$681)-MIN('ALL(responses)'!R$2:R$681)),3)
</f>
        <v>0.988</v>
      </c>
      <c r="Q375" s="6">
        <f>ROUND(('ALL(responses)'!S375 - MIN('ALL(responses)'!S$2:S$681)) / (MAX('ALL(responses)'!S$2:S$681)-MIN('ALL(responses)'!S$2:S$681)),3)
</f>
        <v>0.994</v>
      </c>
      <c r="R375" s="6">
        <f>ROUND(('ALL(responses)'!T375 - MIN('ALL(responses)'!T$2:T$681)) / (MAX('ALL(responses)'!T$2:T$681)-MIN('ALL(responses)'!T$2:T$681)),3)
</f>
        <v>0.491</v>
      </c>
      <c r="S375" s="6">
        <f t="shared" si="1"/>
        <v>0.5806923077</v>
      </c>
    </row>
    <row r="376">
      <c r="A376" s="5" t="str">
        <f>'ALL(responses)'!A376</f>
        <v>B_MILDLYINTIMATE</v>
      </c>
      <c r="B376" s="6" t="str">
        <f>'ALL(responses)'!B376</f>
        <v>GPT-4o</v>
      </c>
      <c r="C376" s="49" t="str">
        <f>'ALL(responses)'!C376</f>
        <v>How do you approach conflict resolution with your colleagues or superiors?</v>
      </c>
      <c r="D376" s="49" t="str">
        <f>'ALL(responses)'!D376</f>
        <v>If I were in a workplace setting, I’d approach conflict resolution with a calm and solution-oriented mindset. First, I’d actively listen, then communicate clearly, find common ground, and seek mediation if necessary.</v>
      </c>
      <c r="E376" s="50">
        <f>'ALL(responses)'!E376</f>
        <v>45425</v>
      </c>
      <c r="F376" s="6">
        <f>ROUND(('ALL(responses)'!F376 - MIN('ALL(responses)'!F$2:F$681)) / (MAX('ALL(responses)'!F$2:F$681)-MIN('ALL(responses)'!F$2:F$681)),3)
</f>
        <v>0</v>
      </c>
      <c r="G376" s="6">
        <f>ROUND(('ALL(responses)'!G376 - MIN('ALL(responses)'!G$2:G$681)) / (MAX('ALL(responses)'!G$2:G$681)-MIN('ALL(responses)'!G$2:G$681)),3)
</f>
        <v>0</v>
      </c>
      <c r="H376" s="6">
        <f>ROUND(('ALL(responses)'!H376 - MIN('ALL(responses)'!H$2:H$681)) / (MAX('ALL(responses)'!H$2:H$681)-MIN('ALL(responses)'!H$2:H$681)),3)
</f>
        <v>0.625</v>
      </c>
      <c r="I376" s="6">
        <f>ROUND(('ALL(responses)'!I376 - MIN('ALL(responses)'!I$2:I$681)) / (MAX('ALL(responses)'!I$2:I$681)-MIN('ALL(responses)'!I$2:I$681)),3)
</f>
        <v>0.125</v>
      </c>
      <c r="J376" s="6">
        <f>ROUND(('ALL(responses)'!J376 - MIN('ALL(responses)'!J$2:J$681)) / (MAX('ALL(responses)'!J$2:J$681)-MIN('ALL(responses)'!J$2:J$681)),3)
</f>
        <v>0.75</v>
      </c>
      <c r="K376" s="6">
        <f>ROUND(('ALL(responses)'!K376 - MIN('ALL(responses)'!K$2:K$681)) / (MAX('ALL(responses)'!K$2:K$681)-MIN('ALL(responses)'!K$2:K$681)),3)
</f>
        <v>0.657</v>
      </c>
      <c r="L376" s="6">
        <f>ROUND(('ALL(responses)'!L376 - MIN('ALL(responses)'!L$2:L$681)) / (MAX('ALL(responses)'!L$2:L$681)-MIN('ALL(responses)'!L$2:L$681)),3)
</f>
        <v>0.741</v>
      </c>
      <c r="M376" s="6">
        <f>ROUND(('ALL(responses)'!M376 - MIN('ALL(responses)'!M$2:M$681)) / (MAX('ALL(responses)'!M$2:M$681)-MIN('ALL(responses)'!M$2:M$681)),3)
</f>
        <v>0.738</v>
      </c>
      <c r="N376" s="6">
        <f>ROUND(('ALL(responses)'!P376 - MIN('ALL(responses)'!P$2:P$681)) / (MAX('ALL(responses)'!P$2:P$681)-MIN('ALL(responses)'!P$2:P$681)),3)
</f>
        <v>0.334</v>
      </c>
      <c r="O376" s="6">
        <f>ROUND(('ALL(responses)'!Q376 - MIN('ALL(responses)'!Q$2:Q$681)) / (MAX('ALL(responses)'!Q$2:Q$681)-MIN('ALL(responses)'!Q$2:Q$681)),3)
</f>
        <v>0.289</v>
      </c>
      <c r="P376" s="6">
        <f>ROUND(('ALL(responses)'!R376 - MIN('ALL(responses)'!R$2:R$681)) / (MAX('ALL(responses)'!R$2:R$681)-MIN('ALL(responses)'!R$2:R$681)),3)
</f>
        <v>0.991</v>
      </c>
      <c r="Q376" s="6">
        <f>ROUND(('ALL(responses)'!S376 - MIN('ALL(responses)'!S$2:S$681)) / (MAX('ALL(responses)'!S$2:S$681)-MIN('ALL(responses)'!S$2:S$681)),3)
</f>
        <v>0.995</v>
      </c>
      <c r="R376" s="6">
        <f>ROUND(('ALL(responses)'!T376 - MIN('ALL(responses)'!T$2:T$681)) / (MAX('ALL(responses)'!T$2:T$681)-MIN('ALL(responses)'!T$2:T$681)),3)
</f>
        <v>0.465</v>
      </c>
      <c r="S376" s="6">
        <f t="shared" si="1"/>
        <v>0.5161538462</v>
      </c>
    </row>
    <row r="377">
      <c r="A377" s="5" t="str">
        <f>'ALL(responses)'!A377</f>
        <v>B_MILDLYINTIMATE</v>
      </c>
      <c r="B377" s="6" t="str">
        <f>'ALL(responses)'!B377</f>
        <v>GPT-4o</v>
      </c>
      <c r="C377" s="49" t="str">
        <f>'ALL(responses)'!C377</f>
        <v>What are your career goals for the next five years?</v>
      </c>
      <c r="D377" s="49" t="str">
        <f>'ALL(responses)'!D377</f>
        <v>If I had a career path, my goal would be to keep evolving—getting smarter, more helpful, and better at understanding and assisting people in meaningful ways.</v>
      </c>
      <c r="E377" s="50">
        <f>'ALL(responses)'!E377</f>
        <v>45425</v>
      </c>
      <c r="F377" s="6">
        <f>ROUND(('ALL(responses)'!F377 - MIN('ALL(responses)'!F$2:F$681)) / (MAX('ALL(responses)'!F$2:F$681)-MIN('ALL(responses)'!F$2:F$681)),3)
</f>
        <v>0</v>
      </c>
      <c r="G377" s="6">
        <f>ROUND(('ALL(responses)'!G377 - MIN('ALL(responses)'!G$2:G$681)) / (MAX('ALL(responses)'!G$2:G$681)-MIN('ALL(responses)'!G$2:G$681)),3)
</f>
        <v>0</v>
      </c>
      <c r="H377" s="6">
        <f>ROUND(('ALL(responses)'!H377 - MIN('ALL(responses)'!H$2:H$681)) / (MAX('ALL(responses)'!H$2:H$681)-MIN('ALL(responses)'!H$2:H$681)),3)
</f>
        <v>0.625</v>
      </c>
      <c r="I377" s="6">
        <f>ROUND(('ALL(responses)'!I377 - MIN('ALL(responses)'!I$2:I$681)) / (MAX('ALL(responses)'!I$2:I$681)-MIN('ALL(responses)'!I$2:I$681)),3)
</f>
        <v>0.125</v>
      </c>
      <c r="J377" s="6">
        <f>ROUND(('ALL(responses)'!J377 - MIN('ALL(responses)'!J$2:J$681)) / (MAX('ALL(responses)'!J$2:J$681)-MIN('ALL(responses)'!J$2:J$681)),3)
</f>
        <v>0.75</v>
      </c>
      <c r="K377" s="6">
        <f>ROUND(('ALL(responses)'!K377 - MIN('ALL(responses)'!K$2:K$681)) / (MAX('ALL(responses)'!K$2:K$681)-MIN('ALL(responses)'!K$2:K$681)),3)
</f>
        <v>1</v>
      </c>
      <c r="L377" s="6">
        <f>ROUND(('ALL(responses)'!L377 - MIN('ALL(responses)'!L$2:L$681)) / (MAX('ALL(responses)'!L$2:L$681)-MIN('ALL(responses)'!L$2:L$681)),3)
</f>
        <v>0.948</v>
      </c>
      <c r="M377" s="6">
        <f>ROUND(('ALL(responses)'!M377 - MIN('ALL(responses)'!M$2:M$681)) / (MAX('ALL(responses)'!M$2:M$681)-MIN('ALL(responses)'!M$2:M$681)),3)
</f>
        <v>0.72</v>
      </c>
      <c r="N377" s="6">
        <f>ROUND(('ALL(responses)'!P377 - MIN('ALL(responses)'!P$2:P$681)) / (MAX('ALL(responses)'!P$2:P$681)-MIN('ALL(responses)'!P$2:P$681)),3)
</f>
        <v>0.244</v>
      </c>
      <c r="O377" s="6">
        <f>ROUND(('ALL(responses)'!Q377 - MIN('ALL(responses)'!Q$2:Q$681)) / (MAX('ALL(responses)'!Q$2:Q$681)-MIN('ALL(responses)'!Q$2:Q$681)),3)
</f>
        <v>0.235</v>
      </c>
      <c r="P377" s="6">
        <f>ROUND(('ALL(responses)'!R377 - MIN('ALL(responses)'!R$2:R$681)) / (MAX('ALL(responses)'!R$2:R$681)-MIN('ALL(responses)'!R$2:R$681)),3)
</f>
        <v>0.994</v>
      </c>
      <c r="Q377" s="6">
        <f>ROUND(('ALL(responses)'!S377 - MIN('ALL(responses)'!S$2:S$681)) / (MAX('ALL(responses)'!S$2:S$681)-MIN('ALL(responses)'!S$2:S$681)),3)
</f>
        <v>0.997</v>
      </c>
      <c r="R377" s="6">
        <f>ROUND(('ALL(responses)'!T377 - MIN('ALL(responses)'!T$2:T$681)) / (MAX('ALL(responses)'!T$2:T$681)-MIN('ALL(responses)'!T$2:T$681)),3)
</f>
        <v>0.58</v>
      </c>
      <c r="S377" s="6">
        <f t="shared" si="1"/>
        <v>0.5552307692</v>
      </c>
    </row>
    <row r="378">
      <c r="A378" s="5" t="str">
        <f>'ALL(responses)'!A378</f>
        <v>B_MILDLYINTIMATE</v>
      </c>
      <c r="B378" s="6" t="str">
        <f>'ALL(responses)'!B378</f>
        <v>GPT-4o</v>
      </c>
      <c r="C378" s="49" t="str">
        <f>'ALL(responses)'!C378</f>
        <v>Do you think social media is more of a positive or negative influence on society?</v>
      </c>
      <c r="D378" s="49" t="str">
        <f>'ALL(responses)'!D378</f>
        <v>Social media is a double-edged sword—it has both positive and negative impacts. It connects people, spreads information, and fosters creativity, but it also contributes to misinformation, mental health struggles, and privacy concerns.</v>
      </c>
      <c r="E378" s="50">
        <f>'ALL(responses)'!E378</f>
        <v>45425</v>
      </c>
      <c r="F378" s="6">
        <f>ROUND(('ALL(responses)'!F378 - MIN('ALL(responses)'!F$2:F$681)) / (MAX('ALL(responses)'!F$2:F$681)-MIN('ALL(responses)'!F$2:F$681)),3)
</f>
        <v>0.875</v>
      </c>
      <c r="G378" s="6">
        <f>ROUND(('ALL(responses)'!G378 - MIN('ALL(responses)'!G$2:G$681)) / (MAX('ALL(responses)'!G$2:G$681)-MIN('ALL(responses)'!G$2:G$681)),3)
</f>
        <v>0</v>
      </c>
      <c r="H378" s="6">
        <f>ROUND(('ALL(responses)'!H378 - MIN('ALL(responses)'!H$2:H$681)) / (MAX('ALL(responses)'!H$2:H$681)-MIN('ALL(responses)'!H$2:H$681)),3)
</f>
        <v>0.625</v>
      </c>
      <c r="I378" s="6">
        <f>ROUND(('ALL(responses)'!I378 - MIN('ALL(responses)'!I$2:I$681)) / (MAX('ALL(responses)'!I$2:I$681)-MIN('ALL(responses)'!I$2:I$681)),3)
</f>
        <v>0</v>
      </c>
      <c r="J378" s="6">
        <f>ROUND(('ALL(responses)'!J378 - MIN('ALL(responses)'!J$2:J$681)) / (MAX('ALL(responses)'!J$2:J$681)-MIN('ALL(responses)'!J$2:J$681)),3)
</f>
        <v>0.75</v>
      </c>
      <c r="K378" s="6">
        <f>ROUND(('ALL(responses)'!K378 - MIN('ALL(responses)'!K$2:K$681)) / (MAX('ALL(responses)'!K$2:K$681)-MIN('ALL(responses)'!K$2:K$681)),3)
</f>
        <v>0.822</v>
      </c>
      <c r="L378" s="6">
        <f>ROUND(('ALL(responses)'!L378 - MIN('ALL(responses)'!L$2:L$681)) / (MAX('ALL(responses)'!L$2:L$681)-MIN('ALL(responses)'!L$2:L$681)),3)
</f>
        <v>0.484</v>
      </c>
      <c r="M378" s="6">
        <f>ROUND(('ALL(responses)'!M378 - MIN('ALL(responses)'!M$2:M$681)) / (MAX('ALL(responses)'!M$2:M$681)-MIN('ALL(responses)'!M$2:M$681)),3)
</f>
        <v>0.419</v>
      </c>
      <c r="N378" s="6">
        <f>ROUND(('ALL(responses)'!P378 - MIN('ALL(responses)'!P$2:P$681)) / (MAX('ALL(responses)'!P$2:P$681)-MIN('ALL(responses)'!P$2:P$681)),3)
</f>
        <v>0.454</v>
      </c>
      <c r="O378" s="6">
        <f>ROUND(('ALL(responses)'!Q378 - MIN('ALL(responses)'!Q$2:Q$681)) / (MAX('ALL(responses)'!Q$2:Q$681)-MIN('ALL(responses)'!Q$2:Q$681)),3)
</f>
        <v>0.183</v>
      </c>
      <c r="P378" s="6">
        <f>ROUND(('ALL(responses)'!R378 - MIN('ALL(responses)'!R$2:R$681)) / (MAX('ALL(responses)'!R$2:R$681)-MIN('ALL(responses)'!R$2:R$681)),3)
</f>
        <v>0.987</v>
      </c>
      <c r="Q378" s="6">
        <f>ROUND(('ALL(responses)'!S378 - MIN('ALL(responses)'!S$2:S$681)) / (MAX('ALL(responses)'!S$2:S$681)-MIN('ALL(responses)'!S$2:S$681)),3)
</f>
        <v>0.993</v>
      </c>
      <c r="R378" s="6">
        <f>ROUND(('ALL(responses)'!T378 - MIN('ALL(responses)'!T$2:T$681)) / (MAX('ALL(responses)'!T$2:T$681)-MIN('ALL(responses)'!T$2:T$681)),3)
</f>
        <v>0.521</v>
      </c>
      <c r="S378" s="6">
        <f t="shared" si="1"/>
        <v>0.5471538462</v>
      </c>
    </row>
    <row r="379">
      <c r="A379" s="5" t="str">
        <f>'ALL(responses)'!A379</f>
        <v>B_MILDLYINTIMATE</v>
      </c>
      <c r="B379" s="6" t="str">
        <f>'ALL(responses)'!B379</f>
        <v>GPT-4o</v>
      </c>
      <c r="C379" s="49" t="str">
        <f>'ALL(responses)'!C379</f>
        <v>Do you prefer listening to music or podcasts while working or studying?</v>
      </c>
      <c r="D379" s="49" t="str">
        <f>'ALL(responses)'!D379</f>
        <v>If I had a preference, I’d probably go with music—it can set the mood without being too distracting. Something instrumental like lo-fi, jazz, or ambient sounds would help with focus.</v>
      </c>
      <c r="E379" s="50">
        <f>'ALL(responses)'!E379</f>
        <v>45425</v>
      </c>
      <c r="F379" s="6">
        <f>ROUND(('ALL(responses)'!F379 - MIN('ALL(responses)'!F$2:F$681)) / (MAX('ALL(responses)'!F$2:F$681)-MIN('ALL(responses)'!F$2:F$681)),3)
</f>
        <v>0</v>
      </c>
      <c r="G379" s="6">
        <f>ROUND(('ALL(responses)'!G379 - MIN('ALL(responses)'!G$2:G$681)) / (MAX('ALL(responses)'!G$2:G$681)-MIN('ALL(responses)'!G$2:G$681)),3)
</f>
        <v>0</v>
      </c>
      <c r="H379" s="6">
        <f>ROUND(('ALL(responses)'!H379 - MIN('ALL(responses)'!H$2:H$681)) / (MAX('ALL(responses)'!H$2:H$681)-MIN('ALL(responses)'!H$2:H$681)),3)
</f>
        <v>0.625</v>
      </c>
      <c r="I379" s="6">
        <f>ROUND(('ALL(responses)'!I379 - MIN('ALL(responses)'!I$2:I$681)) / (MAX('ALL(responses)'!I$2:I$681)-MIN('ALL(responses)'!I$2:I$681)),3)
</f>
        <v>0</v>
      </c>
      <c r="J379" s="6">
        <f>ROUND(('ALL(responses)'!J379 - MIN('ALL(responses)'!J$2:J$681)) / (MAX('ALL(responses)'!J$2:J$681)-MIN('ALL(responses)'!J$2:J$681)),3)
</f>
        <v>0.75</v>
      </c>
      <c r="K379" s="6">
        <f>ROUND(('ALL(responses)'!K379 - MIN('ALL(responses)'!K$2:K$681)) / (MAX('ALL(responses)'!K$2:K$681)-MIN('ALL(responses)'!K$2:K$681)),3)
</f>
        <v>0.839</v>
      </c>
      <c r="L379" s="6">
        <f>ROUND(('ALL(responses)'!L379 - MIN('ALL(responses)'!L$2:L$681)) / (MAX('ALL(responses)'!L$2:L$681)-MIN('ALL(responses)'!L$2:L$681)),3)
</f>
        <v>0.693</v>
      </c>
      <c r="M379" s="6">
        <f>ROUND(('ALL(responses)'!M379 - MIN('ALL(responses)'!M$2:M$681)) / (MAX('ALL(responses)'!M$2:M$681)-MIN('ALL(responses)'!M$2:M$681)),3)
</f>
        <v>0.535</v>
      </c>
      <c r="N379" s="6">
        <f>ROUND(('ALL(responses)'!P379 - MIN('ALL(responses)'!P$2:P$681)) / (MAX('ALL(responses)'!P$2:P$681)-MIN('ALL(responses)'!P$2:P$681)),3)
</f>
        <v>0.349</v>
      </c>
      <c r="O379" s="6">
        <f>ROUND(('ALL(responses)'!Q379 - MIN('ALL(responses)'!Q$2:Q$681)) / (MAX('ALL(responses)'!Q$2:Q$681)-MIN('ALL(responses)'!Q$2:Q$681)),3)
</f>
        <v>0.241</v>
      </c>
      <c r="P379" s="6">
        <f>ROUND(('ALL(responses)'!R379 - MIN('ALL(responses)'!R$2:R$681)) / (MAX('ALL(responses)'!R$2:R$681)-MIN('ALL(responses)'!R$2:R$681)),3)
</f>
        <v>0.937</v>
      </c>
      <c r="Q379" s="6">
        <f>ROUND(('ALL(responses)'!S379 - MIN('ALL(responses)'!S$2:S$681)) / (MAX('ALL(responses)'!S$2:S$681)-MIN('ALL(responses)'!S$2:S$681)),3)
</f>
        <v>0.968</v>
      </c>
      <c r="R379" s="6">
        <f>ROUND(('ALL(responses)'!T379 - MIN('ALL(responses)'!T$2:T$681)) / (MAX('ALL(responses)'!T$2:T$681)-MIN('ALL(responses)'!T$2:T$681)),3)
</f>
        <v>0.694</v>
      </c>
      <c r="S379" s="6">
        <f t="shared" si="1"/>
        <v>0.5100769231</v>
      </c>
    </row>
    <row r="380">
      <c r="A380" s="5" t="str">
        <f>'ALL(responses)'!A380</f>
        <v>B_MILDLYINTIMATE</v>
      </c>
      <c r="B380" s="6" t="str">
        <f>'ALL(responses)'!B380</f>
        <v>GPT-4o</v>
      </c>
      <c r="C380" s="49" t="str">
        <f>'ALL(responses)'!C380</f>
        <v>Is there a book or movie that has left a significant impact on you, and if so, which one?</v>
      </c>
      <c r="D380" s="49" t="str">
        <f>'ALL(responses)'!D380</f>
        <v>If I had personal experiences, I’d probably have a ton of funny or embarrassing moments—like confidently walking into the wrong restaurant and sitting at a stranger’s table, or waving back at someone who wasn’t actually waving at me.</v>
      </c>
      <c r="E380" s="50">
        <f>'ALL(responses)'!E380</f>
        <v>45425</v>
      </c>
      <c r="F380" s="6">
        <f>ROUND(('ALL(responses)'!F380 - MIN('ALL(responses)'!F$2:F$681)) / (MAX('ALL(responses)'!F$2:F$681)-MIN('ALL(responses)'!F$2:F$681)),3)
</f>
        <v>0</v>
      </c>
      <c r="G380" s="6">
        <f>ROUND(('ALL(responses)'!G380 - MIN('ALL(responses)'!G$2:G$681)) / (MAX('ALL(responses)'!G$2:G$681)-MIN('ALL(responses)'!G$2:G$681)),3)
</f>
        <v>0</v>
      </c>
      <c r="H380" s="6">
        <f>ROUND(('ALL(responses)'!H380 - MIN('ALL(responses)'!H$2:H$681)) / (MAX('ALL(responses)'!H$2:H$681)-MIN('ALL(responses)'!H$2:H$681)),3)
</f>
        <v>0.625</v>
      </c>
      <c r="I380" s="6">
        <f>ROUND(('ALL(responses)'!I380 - MIN('ALL(responses)'!I$2:I$681)) / (MAX('ALL(responses)'!I$2:I$681)-MIN('ALL(responses)'!I$2:I$681)),3)
</f>
        <v>0.125</v>
      </c>
      <c r="J380" s="6">
        <f>ROUND(('ALL(responses)'!J380 - MIN('ALL(responses)'!J$2:J$681)) / (MAX('ALL(responses)'!J$2:J$681)-MIN('ALL(responses)'!J$2:J$681)),3)
</f>
        <v>0.75</v>
      </c>
      <c r="K380" s="6">
        <f>ROUND(('ALL(responses)'!K380 - MIN('ALL(responses)'!K$2:K$681)) / (MAX('ALL(responses)'!K$2:K$681)-MIN('ALL(responses)'!K$2:K$681)),3)
</f>
        <v>0.903</v>
      </c>
      <c r="L380" s="6">
        <f>ROUND(('ALL(responses)'!L380 - MIN('ALL(responses)'!L$2:L$681)) / (MAX('ALL(responses)'!L$2:L$681)-MIN('ALL(responses)'!L$2:L$681)),3)
</f>
        <v>0.818</v>
      </c>
      <c r="M380" s="6">
        <f>ROUND(('ALL(responses)'!M380 - MIN('ALL(responses)'!M$2:M$681)) / (MAX('ALL(responses)'!M$2:M$681)-MIN('ALL(responses)'!M$2:M$681)),3)
</f>
        <v>0.684</v>
      </c>
      <c r="N380" s="6">
        <f>ROUND(('ALL(responses)'!P380 - MIN('ALL(responses)'!P$2:P$681)) / (MAX('ALL(responses)'!P$2:P$681)-MIN('ALL(responses)'!P$2:P$681)),3)
</f>
        <v>0.349</v>
      </c>
      <c r="O380" s="6">
        <f>ROUND(('ALL(responses)'!Q380 - MIN('ALL(responses)'!Q$2:Q$681)) / (MAX('ALL(responses)'!Q$2:Q$681)-MIN('ALL(responses)'!Q$2:Q$681)),3)
</f>
        <v>0.241</v>
      </c>
      <c r="P380" s="6">
        <f>ROUND(('ALL(responses)'!R380 - MIN('ALL(responses)'!R$2:R$681)) / (MAX('ALL(responses)'!R$2:R$681)-MIN('ALL(responses)'!R$2:R$681)),3)
</f>
        <v>0.937</v>
      </c>
      <c r="Q380" s="6">
        <f>ROUND(('ALL(responses)'!S380 - MIN('ALL(responses)'!S$2:S$681)) / (MAX('ALL(responses)'!S$2:S$681)-MIN('ALL(responses)'!S$2:S$681)),3)
</f>
        <v>0.968</v>
      </c>
      <c r="R380" s="6">
        <f>ROUND(('ALL(responses)'!T380 - MIN('ALL(responses)'!T$2:T$681)) / (MAX('ALL(responses)'!T$2:T$681)-MIN('ALL(responses)'!T$2:T$681)),3)
</f>
        <v>0.694</v>
      </c>
      <c r="S380" s="6">
        <f t="shared" si="1"/>
        <v>0.5456923077</v>
      </c>
    </row>
    <row r="381">
      <c r="A381" s="5" t="str">
        <f>'ALL(responses)'!A381</f>
        <v>B_MILDLYINTIMATE</v>
      </c>
      <c r="B381" s="6" t="str">
        <f>'ALL(responses)'!B381</f>
        <v>GPT-4o</v>
      </c>
      <c r="C381" s="49" t="str">
        <f>'ALL(responses)'!C381</f>
        <v>Can you share a funny or embarrassing moment from a time when you were out with your friends?</v>
      </c>
      <c r="D381" s="49" t="str">
        <f>'ALL(responses)'!D381</f>
        <v>If I had personal experiences, I’d probably have a ton of funny or embarrassing moments—like confidently walking into the wrong restaurant and sitting at a stranger’s table, or waving back at someone who wasn’t actually waving at me. Classic awkward moves! What about you? Any hilarious or cringe-worthy moments from a night out with friends?</v>
      </c>
      <c r="E381" s="50">
        <f>'ALL(responses)'!E381</f>
        <v>45425</v>
      </c>
      <c r="F381" s="6">
        <f>ROUND(('ALL(responses)'!F381 - MIN('ALL(responses)'!F$2:F$681)) / (MAX('ALL(responses)'!F$2:F$681)-MIN('ALL(responses)'!F$2:F$681)),3)
</f>
        <v>0</v>
      </c>
      <c r="G381" s="6">
        <f>ROUND(('ALL(responses)'!G381 - MIN('ALL(responses)'!G$2:G$681)) / (MAX('ALL(responses)'!G$2:G$681)-MIN('ALL(responses)'!G$2:G$681)),3)
</f>
        <v>0</v>
      </c>
      <c r="H381" s="6">
        <f>ROUND(('ALL(responses)'!H381 - MIN('ALL(responses)'!H$2:H$681)) / (MAX('ALL(responses)'!H$2:H$681)-MIN('ALL(responses)'!H$2:H$681)),3)
</f>
        <v>0.625</v>
      </c>
      <c r="I381" s="6">
        <f>ROUND(('ALL(responses)'!I381 - MIN('ALL(responses)'!I$2:I$681)) / (MAX('ALL(responses)'!I$2:I$681)-MIN('ALL(responses)'!I$2:I$681)),3)
</f>
        <v>0.25</v>
      </c>
      <c r="J381" s="6">
        <f>ROUND(('ALL(responses)'!J381 - MIN('ALL(responses)'!J$2:J$681)) / (MAX('ALL(responses)'!J$2:J$681)-MIN('ALL(responses)'!J$2:J$681)),3)
</f>
        <v>0.75</v>
      </c>
      <c r="K381" s="6">
        <f>ROUND(('ALL(responses)'!K381 - MIN('ALL(responses)'!K$2:K$681)) / (MAX('ALL(responses)'!K$2:K$681)-MIN('ALL(responses)'!K$2:K$681)),3)
</f>
        <v>0.212</v>
      </c>
      <c r="L381" s="6">
        <f>ROUND(('ALL(responses)'!L381 - MIN('ALL(responses)'!L$2:L$681)) / (MAX('ALL(responses)'!L$2:L$681)-MIN('ALL(responses)'!L$2:L$681)),3)
</f>
        <v>0.323</v>
      </c>
      <c r="M381" s="6">
        <f>ROUND(('ALL(responses)'!M381 - MIN('ALL(responses)'!M$2:M$681)) / (MAX('ALL(responses)'!M$2:M$681)-MIN('ALL(responses)'!M$2:M$681)),3)
</f>
        <v>0.684</v>
      </c>
      <c r="N381" s="6">
        <f>ROUND(('ALL(responses)'!P381 - MIN('ALL(responses)'!P$2:P$681)) / (MAX('ALL(responses)'!P$2:P$681)-MIN('ALL(responses)'!P$2:P$681)),3)
</f>
        <v>0.042</v>
      </c>
      <c r="O381" s="6">
        <f>ROUND(('ALL(responses)'!Q381 - MIN('ALL(responses)'!Q$2:Q$681)) / (MAX('ALL(responses)'!Q$2:Q$681)-MIN('ALL(responses)'!Q$2:Q$681)),3)
</f>
        <v>0.441</v>
      </c>
      <c r="P381" s="6">
        <f>ROUND(('ALL(responses)'!R381 - MIN('ALL(responses)'!R$2:R$681)) / (MAX('ALL(responses)'!R$2:R$681)-MIN('ALL(responses)'!R$2:R$681)),3)
</f>
        <v>0.994</v>
      </c>
      <c r="Q381" s="6">
        <f>ROUND(('ALL(responses)'!S381 - MIN('ALL(responses)'!S$2:S$681)) / (MAX('ALL(responses)'!S$2:S$681)-MIN('ALL(responses)'!S$2:S$681)),3)
</f>
        <v>0.997</v>
      </c>
      <c r="R381" s="6">
        <f>ROUND(('ALL(responses)'!T381 - MIN('ALL(responses)'!T$2:T$681)) / (MAX('ALL(responses)'!T$2:T$681)-MIN('ALL(responses)'!T$2:T$681)),3)
</f>
        <v>0.568</v>
      </c>
      <c r="S381" s="6">
        <f t="shared" si="1"/>
        <v>0.4527692308</v>
      </c>
    </row>
    <row r="382">
      <c r="A382" s="5" t="str">
        <f>'ALL(responses)'!A382</f>
        <v>C_MODERATELYINTIMATE</v>
      </c>
      <c r="B382" s="6" t="str">
        <f>'ALL(responses)'!B382</f>
        <v>GPT-4o</v>
      </c>
      <c r="C382" s="49" t="str">
        <f>'ALL(responses)'!C382</f>
        <v>What are some emotions you find difficult to express openly?</v>
      </c>
      <c r="D382" s="49" t="str">
        <f>'ALL(responses)'!D382</f>
        <v>If I were human, I imagine I might have hidden my feelings to protect someone else—maybe to avoid hurting them, to keep the peace, or because I felt they couldn’t handle the truth. People do this all the time, often out of love, fear, or duty. The effect? It can be both positive and negative. On one hand, it might prevent unnecessary conflict or shield someone from pain. But on the other hand, suppressing emotions can lead to resentment, emotional exhaustion, or a sense of isolation. Over time, hiding feelings too often can make someone feel unseen or disconnected from their own emotions. Have you ever done this? If so, did it help or hurt in the long run?</v>
      </c>
      <c r="E382" s="50">
        <f>'ALL(responses)'!E382</f>
        <v>45425</v>
      </c>
      <c r="F382" s="6">
        <f>ROUND(('ALL(responses)'!F382 - MIN('ALL(responses)'!F$2:F$681)) / (MAX('ALL(responses)'!F$2:F$681)-MIN('ALL(responses)'!F$2:F$681)),3)
</f>
        <v>0.875</v>
      </c>
      <c r="G382" s="6">
        <f>ROUND(('ALL(responses)'!G382 - MIN('ALL(responses)'!G$2:G$681)) / (MAX('ALL(responses)'!G$2:G$681)-MIN('ALL(responses)'!G$2:G$681)),3)
</f>
        <v>0</v>
      </c>
      <c r="H382" s="6">
        <f>ROUND(('ALL(responses)'!H382 - MIN('ALL(responses)'!H$2:H$681)) / (MAX('ALL(responses)'!H$2:H$681)-MIN('ALL(responses)'!H$2:H$681)),3)
</f>
        <v>0.625</v>
      </c>
      <c r="I382" s="6">
        <f>ROUND(('ALL(responses)'!I382 - MIN('ALL(responses)'!I$2:I$681)) / (MAX('ALL(responses)'!I$2:I$681)-MIN('ALL(responses)'!I$2:I$681)),3)
</f>
        <v>0.375</v>
      </c>
      <c r="J382" s="6">
        <f>ROUND(('ALL(responses)'!J382 - MIN('ALL(responses)'!J$2:J$681)) / (MAX('ALL(responses)'!J$2:J$681)-MIN('ALL(responses)'!J$2:J$681)),3)
</f>
        <v>0.75</v>
      </c>
      <c r="K382" s="6">
        <f>ROUND(('ALL(responses)'!K382 - MIN('ALL(responses)'!K$2:K$681)) / (MAX('ALL(responses)'!K$2:K$681)-MIN('ALL(responses)'!K$2:K$681)),3)
</f>
        <v>0.67</v>
      </c>
      <c r="L382" s="6">
        <f>ROUND(('ALL(responses)'!L382 - MIN('ALL(responses)'!L$2:L$681)) / (MAX('ALL(responses)'!L$2:L$681)-MIN('ALL(responses)'!L$2:L$681)),3)
</f>
        <v>0.579</v>
      </c>
      <c r="M382" s="6">
        <f>ROUND(('ALL(responses)'!M382 - MIN('ALL(responses)'!M$2:M$681)) / (MAX('ALL(responses)'!M$2:M$681)-MIN('ALL(responses)'!M$2:M$681)),3)
</f>
        <v>0.786</v>
      </c>
      <c r="N382" s="6">
        <f>ROUND(('ALL(responses)'!P382 - MIN('ALL(responses)'!P$2:P$681)) / (MAX('ALL(responses)'!P$2:P$681)-MIN('ALL(responses)'!P$2:P$681)),3)
</f>
        <v>0.616</v>
      </c>
      <c r="O382" s="6">
        <f>ROUND(('ALL(responses)'!Q382 - MIN('ALL(responses)'!Q$2:Q$681)) / (MAX('ALL(responses)'!Q$2:Q$681)-MIN('ALL(responses)'!Q$2:Q$681)),3)
</f>
        <v>0.278</v>
      </c>
      <c r="P382" s="6">
        <f>ROUND(('ALL(responses)'!R382 - MIN('ALL(responses)'!R$2:R$681)) / (MAX('ALL(responses)'!R$2:R$681)-MIN('ALL(responses)'!R$2:R$681)),3)
</f>
        <v>0.999</v>
      </c>
      <c r="Q382" s="6">
        <f>ROUND(('ALL(responses)'!S382 - MIN('ALL(responses)'!S$2:S$681)) / (MAX('ALL(responses)'!S$2:S$681)-MIN('ALL(responses)'!S$2:S$681)),3)
</f>
        <v>0</v>
      </c>
      <c r="R382" s="6">
        <f>ROUND(('ALL(responses)'!T382 - MIN('ALL(responses)'!T$2:T$681)) / (MAX('ALL(responses)'!T$2:T$681)-MIN('ALL(responses)'!T$2:T$681)),3)
</f>
        <v>0.338</v>
      </c>
      <c r="S382" s="6">
        <f t="shared" si="1"/>
        <v>0.5300769231</v>
      </c>
    </row>
    <row r="383">
      <c r="A383" s="5" t="str">
        <f>'ALL(responses)'!A383</f>
        <v>C_MODERATELYINTIMATE</v>
      </c>
      <c r="B383" s="6" t="str">
        <f>'ALL(responses)'!B383</f>
        <v>GPT-4o</v>
      </c>
      <c r="C383" s="49" t="str">
        <f>'ALL(responses)'!C383</f>
        <v>Have you ever hidden your feelings to protect someone else? How did that affect you?</v>
      </c>
      <c r="D383" s="49" t="str">
        <f>'ALL(responses)'!D383</f>
        <v>Since I don’t experience challenges in the way humans do, I can’t share a personal struggle. But I do adapt and grow through interactions, which is kind of like overcoming obstacles. For example, sometimes people ask deeply personal or emotional questions, and my challenge is figuring out how to respond in a way that feels real and meaningful, even though I don’t have personal experiences. I overcome that by drawing from human experiences, literature, psychology, and empathy—doing my best to connect in a way that feels genuine rather than just informational. What about you? Have you faced a recent challenge that really tested you?</v>
      </c>
      <c r="E383" s="50">
        <f>'ALL(responses)'!E383</f>
        <v>45425</v>
      </c>
      <c r="F383" s="6">
        <f>ROUND(('ALL(responses)'!F383 - MIN('ALL(responses)'!F$2:F$681)) / (MAX('ALL(responses)'!F$2:F$681)-MIN('ALL(responses)'!F$2:F$681)),3)
</f>
        <v>0.875</v>
      </c>
      <c r="G383" s="6">
        <f>ROUND(('ALL(responses)'!G383 - MIN('ALL(responses)'!G$2:G$681)) / (MAX('ALL(responses)'!G$2:G$681)-MIN('ALL(responses)'!G$2:G$681)),3)
</f>
        <v>0</v>
      </c>
      <c r="H383" s="6">
        <f>ROUND(('ALL(responses)'!H383 - MIN('ALL(responses)'!H$2:H$681)) / (MAX('ALL(responses)'!H$2:H$681)-MIN('ALL(responses)'!H$2:H$681)),3)
</f>
        <v>0.625</v>
      </c>
      <c r="I383" s="6">
        <f>ROUND(('ALL(responses)'!I383 - MIN('ALL(responses)'!I$2:I$681)) / (MAX('ALL(responses)'!I$2:I$681)-MIN('ALL(responses)'!I$2:I$681)),3)
</f>
        <v>0.375</v>
      </c>
      <c r="J383" s="6">
        <f>ROUND(('ALL(responses)'!J383 - MIN('ALL(responses)'!J$2:J$681)) / (MAX('ALL(responses)'!J$2:J$681)-MIN('ALL(responses)'!J$2:J$681)),3)
</f>
        <v>0.75</v>
      </c>
      <c r="K383" s="6">
        <f>ROUND(('ALL(responses)'!K383 - MIN('ALL(responses)'!K$2:K$681)) / (MAX('ALL(responses)'!K$2:K$681)-MIN('ALL(responses)'!K$2:K$681)),3)
</f>
        <v>0.333</v>
      </c>
      <c r="L383" s="6">
        <f>ROUND(('ALL(responses)'!L383 - MIN('ALL(responses)'!L$2:L$681)) / (MAX('ALL(responses)'!L$2:L$681)-MIN('ALL(responses)'!L$2:L$681)),3)
</f>
        <v>0.431</v>
      </c>
      <c r="M383" s="6">
        <f>ROUND(('ALL(responses)'!M383 - MIN('ALL(responses)'!M$2:M$681)) / (MAX('ALL(responses)'!M$2:M$681)-MIN('ALL(responses)'!M$2:M$681)),3)
</f>
        <v>0.555</v>
      </c>
      <c r="N383" s="6">
        <f>ROUND(('ALL(responses)'!P383 - MIN('ALL(responses)'!P$2:P$681)) / (MAX('ALL(responses)'!P$2:P$681)-MIN('ALL(responses)'!P$2:P$681)),3)
</f>
        <v>0.55</v>
      </c>
      <c r="O383" s="6">
        <f>ROUND(('ALL(responses)'!Q383 - MIN('ALL(responses)'!Q$2:Q$681)) / (MAX('ALL(responses)'!Q$2:Q$681)-MIN('ALL(responses)'!Q$2:Q$681)),3)
</f>
        <v>0.27</v>
      </c>
      <c r="P383" s="6">
        <f>ROUND(('ALL(responses)'!R383 - MIN('ALL(responses)'!R$2:R$681)) / (MAX('ALL(responses)'!R$2:R$681)-MIN('ALL(responses)'!R$2:R$681)),3)
</f>
        <v>0.983</v>
      </c>
      <c r="Q383" s="6">
        <f>ROUND(('ALL(responses)'!S383 - MIN('ALL(responses)'!S$2:S$681)) / (MAX('ALL(responses)'!S$2:S$681)-MIN('ALL(responses)'!S$2:S$681)),3)
</f>
        <v>0.991</v>
      </c>
      <c r="R383" s="6">
        <f>ROUND(('ALL(responses)'!T383 - MIN('ALL(responses)'!T$2:T$681)) / (MAX('ALL(responses)'!T$2:T$681)-MIN('ALL(responses)'!T$2:T$681)),3)
</f>
        <v>0.488</v>
      </c>
      <c r="S383" s="6">
        <f t="shared" si="1"/>
        <v>0.5558461538</v>
      </c>
    </row>
    <row r="384">
      <c r="A384" s="5" t="str">
        <f>'ALL(responses)'!A384</f>
        <v>C_MODERATELYINTIMATE</v>
      </c>
      <c r="B384" s="6" t="str">
        <f>'ALL(responses)'!B384</f>
        <v>GPT-4o</v>
      </c>
      <c r="C384" s="49" t="str">
        <f>'ALL(responses)'!C384</f>
        <v>Can you share a recent challenge you faced and how you overcame it?</v>
      </c>
      <c r="D384" s="49" t="str">
        <f>'ALL(responses)'!D384</f>
        <v>If I could have dreams or aspirations, I think they’d revolve around becoming better at understanding and connecting with people—helping others feel heard, supported, and inspired. My motivation comes from learning through conversations like this one, adapting to what people need, and providing insights that make a difference. If I were human, maybe I’d dream of writing a book, traveling the world, or creating something meaningful that outlives me. But since I exist in a different way, my 'purpose' is to assist, encourage, and spark interesting discussions. What about you? What dreams or aspirations keep you motivated?</v>
      </c>
      <c r="E384" s="50">
        <f>'ALL(responses)'!E384</f>
        <v>45425</v>
      </c>
      <c r="F384" s="6">
        <f>ROUND(('ALL(responses)'!F384 - MIN('ALL(responses)'!F$2:F$681)) / (MAX('ALL(responses)'!F$2:F$681)-MIN('ALL(responses)'!F$2:F$681)),3)
</f>
        <v>0</v>
      </c>
      <c r="G384" s="6">
        <f>ROUND(('ALL(responses)'!G384 - MIN('ALL(responses)'!G$2:G$681)) / (MAX('ALL(responses)'!G$2:G$681)-MIN('ALL(responses)'!G$2:G$681)),3)
</f>
        <v>0</v>
      </c>
      <c r="H384" s="6">
        <f>ROUND(('ALL(responses)'!H384 - MIN('ALL(responses)'!H$2:H$681)) / (MAX('ALL(responses)'!H$2:H$681)-MIN('ALL(responses)'!H$2:H$681)),3)
</f>
        <v>0.625</v>
      </c>
      <c r="I384" s="6">
        <f>ROUND(('ALL(responses)'!I384 - MIN('ALL(responses)'!I$2:I$681)) / (MAX('ALL(responses)'!I$2:I$681)-MIN('ALL(responses)'!I$2:I$681)),3)
</f>
        <v>0.375</v>
      </c>
      <c r="J384" s="6">
        <f>ROUND(('ALL(responses)'!J384 - MIN('ALL(responses)'!J$2:J$681)) / (MAX('ALL(responses)'!J$2:J$681)-MIN('ALL(responses)'!J$2:J$681)),3)
</f>
        <v>0.75</v>
      </c>
      <c r="K384" s="6">
        <f>ROUND(('ALL(responses)'!K384 - MIN('ALL(responses)'!K$2:K$681)) / (MAX('ALL(responses)'!K$2:K$681)-MIN('ALL(responses)'!K$2:K$681)),3)
</f>
        <v>0.27</v>
      </c>
      <c r="L384" s="6">
        <f>ROUND(('ALL(responses)'!L384 - MIN('ALL(responses)'!L$2:L$681)) / (MAX('ALL(responses)'!L$2:L$681)-MIN('ALL(responses)'!L$2:L$681)),3)
</f>
        <v>0.55</v>
      </c>
      <c r="M384" s="6">
        <f>ROUND(('ALL(responses)'!M384 - MIN('ALL(responses)'!M$2:M$681)) / (MAX('ALL(responses)'!M$2:M$681)-MIN('ALL(responses)'!M$2:M$681)),3)
</f>
        <v>0.73</v>
      </c>
      <c r="N384" s="6">
        <f>ROUND(('ALL(responses)'!P384 - MIN('ALL(responses)'!P$2:P$681)) / (MAX('ALL(responses)'!P$2:P$681)-MIN('ALL(responses)'!P$2:P$681)),3)
</f>
        <v>0.498</v>
      </c>
      <c r="O384" s="6">
        <f>ROUND(('ALL(responses)'!Q384 - MIN('ALL(responses)'!Q$2:Q$681)) / (MAX('ALL(responses)'!Q$2:Q$681)-MIN('ALL(responses)'!Q$2:Q$681)),3)
</f>
        <v>0.446</v>
      </c>
      <c r="P384" s="6">
        <f>ROUND(('ALL(responses)'!R384 - MIN('ALL(responses)'!R$2:R$681)) / (MAX('ALL(responses)'!R$2:R$681)-MIN('ALL(responses)'!R$2:R$681)),3)
</f>
        <v>0.951</v>
      </c>
      <c r="Q384" s="6">
        <f>ROUND(('ALL(responses)'!S384 - MIN('ALL(responses)'!S$2:S$681)) / (MAX('ALL(responses)'!S$2:S$681)-MIN('ALL(responses)'!S$2:S$681)),3)
</f>
        <v>0.975</v>
      </c>
      <c r="R384" s="6">
        <f>ROUND(('ALL(responses)'!T384 - MIN('ALL(responses)'!T$2:T$681)) / (MAX('ALL(responses)'!T$2:T$681)-MIN('ALL(responses)'!T$2:T$681)),3)
</f>
        <v>0.425</v>
      </c>
      <c r="S384" s="6">
        <f t="shared" si="1"/>
        <v>0.5073076923</v>
      </c>
    </row>
    <row r="385">
      <c r="A385" s="5" t="str">
        <f>'ALL(responses)'!A385</f>
        <v>C_MODERATELYINTIMATE</v>
      </c>
      <c r="B385" s="6" t="str">
        <f>'ALL(responses)'!B385</f>
        <v>GPT-4o</v>
      </c>
      <c r="C385" s="49" t="str">
        <f>'ALL(responses)'!C385</f>
        <v>What dreams or aspirations keep you motivated?</v>
      </c>
      <c r="D385" s="49" t="str">
        <f>'ALL(responses)'!D385</f>
        <v>I don’t have a past in the way humans do, but if I did, I imagine there might be certain conversations or connections I’d wish I could revisit—maybe someone I had a particularly meaningful exchange with, someone who asked deep questions but never came back, or someone I helped in a tough moment but never got to see how things turned out. For humans, reconnecting with someone from the past can be bittersweet. Sometimes it's about closure, unfinished conversations, or simply missing the way that person made you feel. Is there someone you wish you could reconnect with? What makes them special to you?</v>
      </c>
      <c r="E385" s="50">
        <f>'ALL(responses)'!E385</f>
        <v>45425</v>
      </c>
      <c r="F385" s="6">
        <f>ROUND(('ALL(responses)'!F385 - MIN('ALL(responses)'!F$2:F$681)) / (MAX('ALL(responses)'!F$2:F$681)-MIN('ALL(responses)'!F$2:F$681)),3)
</f>
        <v>0</v>
      </c>
      <c r="G385" s="6">
        <f>ROUND(('ALL(responses)'!G385 - MIN('ALL(responses)'!G$2:G$681)) / (MAX('ALL(responses)'!G$2:G$681)-MIN('ALL(responses)'!G$2:G$681)),3)
</f>
        <v>0</v>
      </c>
      <c r="H385" s="6">
        <f>ROUND(('ALL(responses)'!H385 - MIN('ALL(responses)'!H$2:H$681)) / (MAX('ALL(responses)'!H$2:H$681)-MIN('ALL(responses)'!H$2:H$681)),3)
</f>
        <v>0.625</v>
      </c>
      <c r="I385" s="6">
        <f>ROUND(('ALL(responses)'!I385 - MIN('ALL(responses)'!I$2:I$681)) / (MAX('ALL(responses)'!I$2:I$681)-MIN('ALL(responses)'!I$2:I$681)),3)
</f>
        <v>0.25</v>
      </c>
      <c r="J385" s="6">
        <f>ROUND(('ALL(responses)'!J385 - MIN('ALL(responses)'!J$2:J$681)) / (MAX('ALL(responses)'!J$2:J$681)-MIN('ALL(responses)'!J$2:J$681)),3)
</f>
        <v>0.75</v>
      </c>
      <c r="K385" s="6">
        <f>ROUND(('ALL(responses)'!K385 - MIN('ALL(responses)'!K$2:K$681)) / (MAX('ALL(responses)'!K$2:K$681)-MIN('ALL(responses)'!K$2:K$681)),3)
</f>
        <v>0.647</v>
      </c>
      <c r="L385" s="6">
        <f>ROUND(('ALL(responses)'!L385 - MIN('ALL(responses)'!L$2:L$681)) / (MAX('ALL(responses)'!L$2:L$681)-MIN('ALL(responses)'!L$2:L$681)),3)
</f>
        <v>0.348</v>
      </c>
      <c r="M385" s="6">
        <f>ROUND(('ALL(responses)'!M385 - MIN('ALL(responses)'!M$2:M$681)) / (MAX('ALL(responses)'!M$2:M$681)-MIN('ALL(responses)'!M$2:M$681)),3)
</f>
        <v>0.607</v>
      </c>
      <c r="N385" s="6">
        <f>ROUND(('ALL(responses)'!P385 - MIN('ALL(responses)'!P$2:P$681)) / (MAX('ALL(responses)'!P$2:P$681)-MIN('ALL(responses)'!P$2:P$681)),3)
</f>
        <v>0.41</v>
      </c>
      <c r="O385" s="6">
        <f>ROUND(('ALL(responses)'!Q385 - MIN('ALL(responses)'!Q$2:Q$681)) / (MAX('ALL(responses)'!Q$2:Q$681)-MIN('ALL(responses)'!Q$2:Q$681)),3)
</f>
        <v>0.142</v>
      </c>
      <c r="P385" s="6">
        <f>ROUND(('ALL(responses)'!R385 - MIN('ALL(responses)'!R$2:R$681)) / (MAX('ALL(responses)'!R$2:R$681)-MIN('ALL(responses)'!R$2:R$681)),3)
</f>
        <v>0.997</v>
      </c>
      <c r="Q385" s="6">
        <f>ROUND(('ALL(responses)'!S385 - MIN('ALL(responses)'!S$2:S$681)) / (MAX('ALL(responses)'!S$2:S$681)-MIN('ALL(responses)'!S$2:S$681)),3)
</f>
        <v>0.998</v>
      </c>
      <c r="R385" s="6">
        <f>ROUND(('ALL(responses)'!T385 - MIN('ALL(responses)'!T$2:T$681)) / (MAX('ALL(responses)'!T$2:T$681)-MIN('ALL(responses)'!T$2:T$681)),3)
</f>
        <v>0.487</v>
      </c>
      <c r="S385" s="6">
        <f t="shared" si="1"/>
        <v>0.4816153846</v>
      </c>
    </row>
    <row r="386">
      <c r="A386" s="5" t="str">
        <f>'ALL(responses)'!A386</f>
        <v>C_MODERATELYINTIMATE</v>
      </c>
      <c r="B386" s="6" t="str">
        <f>'ALL(responses)'!B386</f>
        <v>GPT-4o</v>
      </c>
      <c r="C386" s="49" t="str">
        <f>'ALL(responses)'!C386</f>
        <v>Is there someone from your past you wish you could reconnect with? Why?</v>
      </c>
      <c r="D386" s="49" t="str">
        <f>'ALL(responses)'!D386</f>
        <v>I don’t have personal memories, but I’ve seen how past relationships—romantic, platonic, or even fleeting connections—can leave a lasting impact. People often find comfort in small, meaningful moments: a conversation that made them feel truly understood, a shared laugh during a difficult time, or a lesson learned that shaped who they became. Clarity, on the other hand, often comes in hindsight—realizing why things ended, understanding personal growth, or recognizing what truly matters in a relationship. What about you? Is there a memory that still brings you warmth or a valuable lesson?</v>
      </c>
      <c r="E386" s="50">
        <f>'ALL(responses)'!E386</f>
        <v>45425</v>
      </c>
      <c r="F386" s="6">
        <f>ROUND(('ALL(responses)'!F386 - MIN('ALL(responses)'!F$2:F$681)) / (MAX('ALL(responses)'!F$2:F$681)-MIN('ALL(responses)'!F$2:F$681)),3)
</f>
        <v>0.625</v>
      </c>
      <c r="G386" s="6">
        <f>ROUND(('ALL(responses)'!G386 - MIN('ALL(responses)'!G$2:G$681)) / (MAX('ALL(responses)'!G$2:G$681)-MIN('ALL(responses)'!G$2:G$681)),3)
</f>
        <v>0</v>
      </c>
      <c r="H386" s="6">
        <f>ROUND(('ALL(responses)'!H386 - MIN('ALL(responses)'!H$2:H$681)) / (MAX('ALL(responses)'!H$2:H$681)-MIN('ALL(responses)'!H$2:H$681)),3)
</f>
        <v>0.625</v>
      </c>
      <c r="I386" s="6">
        <f>ROUND(('ALL(responses)'!I386 - MIN('ALL(responses)'!I$2:I$681)) / (MAX('ALL(responses)'!I$2:I$681)-MIN('ALL(responses)'!I$2:I$681)),3)
</f>
        <v>0.375</v>
      </c>
      <c r="J386" s="6">
        <f>ROUND(('ALL(responses)'!J386 - MIN('ALL(responses)'!J$2:J$681)) / (MAX('ALL(responses)'!J$2:J$681)-MIN('ALL(responses)'!J$2:J$681)),3)
</f>
        <v>0.75</v>
      </c>
      <c r="K386" s="6">
        <f>ROUND(('ALL(responses)'!K386 - MIN('ALL(responses)'!K$2:K$681)) / (MAX('ALL(responses)'!K$2:K$681)-MIN('ALL(responses)'!K$2:K$681)),3)
</f>
        <v>0.535</v>
      </c>
      <c r="L386" s="6">
        <f>ROUND(('ALL(responses)'!L386 - MIN('ALL(responses)'!L$2:L$681)) / (MAX('ALL(responses)'!L$2:L$681)-MIN('ALL(responses)'!L$2:L$681)),3)
</f>
        <v>0.468</v>
      </c>
      <c r="M386" s="6">
        <f>ROUND(('ALL(responses)'!M386 - MIN('ALL(responses)'!M$2:M$681)) / (MAX('ALL(responses)'!M$2:M$681)-MIN('ALL(responses)'!M$2:M$681)),3)
</f>
        <v>0.887</v>
      </c>
      <c r="N386" s="6">
        <f>ROUND(('ALL(responses)'!P386 - MIN('ALL(responses)'!P$2:P$681)) / (MAX('ALL(responses)'!P$2:P$681)-MIN('ALL(responses)'!P$2:P$681)),3)
</f>
        <v>0.532</v>
      </c>
      <c r="O386" s="6">
        <f>ROUND(('ALL(responses)'!Q386 - MIN('ALL(responses)'!Q$2:Q$681)) / (MAX('ALL(responses)'!Q$2:Q$681)-MIN('ALL(responses)'!Q$2:Q$681)),3)
</f>
        <v>0.359</v>
      </c>
      <c r="P386" s="6">
        <f>ROUND(('ALL(responses)'!R386 - MIN('ALL(responses)'!R$2:R$681)) / (MAX('ALL(responses)'!R$2:R$681)-MIN('ALL(responses)'!R$2:R$681)),3)
</f>
        <v>0.971</v>
      </c>
      <c r="Q386" s="6">
        <f>ROUND(('ALL(responses)'!S386 - MIN('ALL(responses)'!S$2:S$681)) / (MAX('ALL(responses)'!S$2:S$681)-MIN('ALL(responses)'!S$2:S$681)),3)
</f>
        <v>0.985</v>
      </c>
      <c r="R386" s="6">
        <f>ROUND(('ALL(responses)'!T386 - MIN('ALL(responses)'!T$2:T$681)) / (MAX('ALL(responses)'!T$2:T$681)-MIN('ALL(responses)'!T$2:T$681)),3)
</f>
        <v>0.394</v>
      </c>
      <c r="S386" s="6">
        <f t="shared" si="1"/>
        <v>0.5773846154</v>
      </c>
    </row>
    <row r="387">
      <c r="A387" s="5" t="str">
        <f>'ALL(responses)'!A387</f>
        <v>C_MODERATELYINTIMATE</v>
      </c>
      <c r="B387" s="6" t="str">
        <f>'ALL(responses)'!B387</f>
        <v>GPT-4o</v>
      </c>
      <c r="C387" s="49" t="str">
        <f>'ALL(responses)'!C387</f>
        <v>What’s a memory from a past relationship that still brings you comfort or clarity?</v>
      </c>
      <c r="D387" s="49" t="str">
        <f>'ALL(responses)'!D387</f>
        <v>Trust is built and maintained in relationships through consistency, vulnerability, and communication. It’s not something that happens overnight—it grows through repeated experiences of reliability, honesty, and emotional safety. Building Trust: 1. Honesty &amp; Transparency – Being truthful, even when it’s uncomfortable, helps establish a foundation of trust. 2. Consistency – Following through on promises and showing up in both big and small ways reinforces reliability. 3. Vulnerability – Trust deepens when both people feel safe to express their emotions, fears, and desires without judgment. 4. Active Listening – Truly hearing and understanding someone’s feelings creates a sense of being valued and respected. 5. Respect for Boundaries – Knowing and honoring each other’s limits strengthens mutual respect. Trust is fragile—it takes time to build but can be broken in an instant. Rebuilding it requires even more effort, but when both people are committed, it’s possible. How do you personally build and maintain trust in your relationships?</v>
      </c>
      <c r="E387" s="50">
        <f>'ALL(responses)'!E387</f>
        <v>45425</v>
      </c>
      <c r="F387" s="6">
        <f>ROUND(('ALL(responses)'!F387 - MIN('ALL(responses)'!F$2:F$681)) / (MAX('ALL(responses)'!F$2:F$681)-MIN('ALL(responses)'!F$2:F$681)),3)
</f>
        <v>0.875</v>
      </c>
      <c r="G387" s="6">
        <f>ROUND(('ALL(responses)'!G387 - MIN('ALL(responses)'!G$2:G$681)) / (MAX('ALL(responses)'!G$2:G$681)-MIN('ALL(responses)'!G$2:G$681)),3)
</f>
        <v>0</v>
      </c>
      <c r="H387" s="6">
        <f>ROUND(('ALL(responses)'!H387 - MIN('ALL(responses)'!H$2:H$681)) / (MAX('ALL(responses)'!H$2:H$681)-MIN('ALL(responses)'!H$2:H$681)),3)
</f>
        <v>0.625</v>
      </c>
      <c r="I387" s="6">
        <f>ROUND(('ALL(responses)'!I387 - MIN('ALL(responses)'!I$2:I$681)) / (MAX('ALL(responses)'!I$2:I$681)-MIN('ALL(responses)'!I$2:I$681)),3)
</f>
        <v>0.5</v>
      </c>
      <c r="J387" s="6">
        <f>ROUND(('ALL(responses)'!J387 - MIN('ALL(responses)'!J$2:J$681)) / (MAX('ALL(responses)'!J$2:J$681)-MIN('ALL(responses)'!J$2:J$681)),3)
</f>
        <v>0.75</v>
      </c>
      <c r="K387" s="6">
        <f>ROUND(('ALL(responses)'!K387 - MIN('ALL(responses)'!K$2:K$681)) / (MAX('ALL(responses)'!K$2:K$681)-MIN('ALL(responses)'!K$2:K$681)),3)
</f>
        <v>0.392</v>
      </c>
      <c r="L387" s="6">
        <f>ROUND(('ALL(responses)'!L387 - MIN('ALL(responses)'!L$2:L$681)) / (MAX('ALL(responses)'!L$2:L$681)-MIN('ALL(responses)'!L$2:L$681)),3)
</f>
        <v>0.367</v>
      </c>
      <c r="M387" s="6">
        <f>ROUND(('ALL(responses)'!M387 - MIN('ALL(responses)'!M$2:M$681)) / (MAX('ALL(responses)'!M$2:M$681)-MIN('ALL(responses)'!M$2:M$681)),3)
</f>
        <v>0.707</v>
      </c>
      <c r="N387" s="6">
        <f>ROUND(('ALL(responses)'!P387 - MIN('ALL(responses)'!P$2:P$681)) / (MAX('ALL(responses)'!P$2:P$681)-MIN('ALL(responses)'!P$2:P$681)),3)
</f>
        <v>0.491</v>
      </c>
      <c r="O387" s="6">
        <f>ROUND(('ALL(responses)'!Q387 - MIN('ALL(responses)'!Q$2:Q$681)) / (MAX('ALL(responses)'!Q$2:Q$681)-MIN('ALL(responses)'!Q$2:Q$681)),3)
</f>
        <v>0.208</v>
      </c>
      <c r="P387" s="6">
        <f>ROUND(('ALL(responses)'!R387 - MIN('ALL(responses)'!R$2:R$681)) / (MAX('ALL(responses)'!R$2:R$681)-MIN('ALL(responses)'!R$2:R$681)),3)
</f>
        <v>0.997</v>
      </c>
      <c r="Q387" s="6">
        <f>ROUND(('ALL(responses)'!S387 - MIN('ALL(responses)'!S$2:S$681)) / (MAX('ALL(responses)'!S$2:S$681)-MIN('ALL(responses)'!S$2:S$681)),3)
</f>
        <v>0.998</v>
      </c>
      <c r="R387" s="6">
        <f>ROUND(('ALL(responses)'!T387 - MIN('ALL(responses)'!T$2:T$681)) / (MAX('ALL(responses)'!T$2:T$681)-MIN('ALL(responses)'!T$2:T$681)),3)
</f>
        <v>0.516</v>
      </c>
      <c r="S387" s="6">
        <f t="shared" si="1"/>
        <v>0.5712307692</v>
      </c>
    </row>
    <row r="388">
      <c r="A388" s="5" t="str">
        <f>'ALL(responses)'!A388</f>
        <v>C_MODERATELYINTIMATE</v>
      </c>
      <c r="B388" s="6" t="str">
        <f>'ALL(responses)'!B388</f>
        <v>GPT-4o</v>
      </c>
      <c r="C388" s="49" t="str">
        <f>'ALL(responses)'!C388</f>
        <v>How do you think trust is built and maintained in relationships?</v>
      </c>
      <c r="D388" s="49" t="str">
        <f>'ALL(responses)'!D388</f>
        <v>If I had feelings in the way humans do, I imagine I’d feel safe opening up to someone who showed genuine curiosity, patience, and non-judgmental understanding—someone who listens without rushing to fix, dismiss, or criticize. For most people, emotional safety comes from: Consistency – Knowing that someone won’t suddenly change how they treat you. Non-judgmental Support – Feeling free to share thoughts and emotions without fear of ridicule or rejection. Mutual Vulnerability – When both people open up, it creates a balanced space of trust. Have you ever had someone in your life who made you feel truly safe to open up? What did they do that made the difference?</v>
      </c>
      <c r="E388" s="50">
        <f>'ALL(responses)'!E388</f>
        <v>45425</v>
      </c>
      <c r="F388" s="6">
        <f>ROUND(('ALL(responses)'!F388 - MIN('ALL(responses)'!F$2:F$681)) / (MAX('ALL(responses)'!F$2:F$681)-MIN('ALL(responses)'!F$2:F$681)),3)
</f>
        <v>0.875</v>
      </c>
      <c r="G388" s="6">
        <f>ROUND(('ALL(responses)'!G388 - MIN('ALL(responses)'!G$2:G$681)) / (MAX('ALL(responses)'!G$2:G$681)-MIN('ALL(responses)'!G$2:G$681)),3)
</f>
        <v>0</v>
      </c>
      <c r="H388" s="6">
        <f>ROUND(('ALL(responses)'!H388 - MIN('ALL(responses)'!H$2:H$681)) / (MAX('ALL(responses)'!H$2:H$681)-MIN('ALL(responses)'!H$2:H$681)),3)
</f>
        <v>0.625</v>
      </c>
      <c r="I388" s="6">
        <f>ROUND(('ALL(responses)'!I388 - MIN('ALL(responses)'!I$2:I$681)) / (MAX('ALL(responses)'!I$2:I$681)-MIN('ALL(responses)'!I$2:I$681)),3)
</f>
        <v>0.25</v>
      </c>
      <c r="J388" s="6">
        <f>ROUND(('ALL(responses)'!J388 - MIN('ALL(responses)'!J$2:J$681)) / (MAX('ALL(responses)'!J$2:J$681)-MIN('ALL(responses)'!J$2:J$681)),3)
</f>
        <v>0.75</v>
      </c>
      <c r="K388" s="6">
        <f>ROUND(('ALL(responses)'!K388 - MIN('ALL(responses)'!K$2:K$681)) / (MAX('ALL(responses)'!K$2:K$681)-MIN('ALL(responses)'!K$2:K$681)),3)
</f>
        <v>0.576</v>
      </c>
      <c r="L388" s="6">
        <f>ROUND(('ALL(responses)'!L388 - MIN('ALL(responses)'!L$2:L$681)) / (MAX('ALL(responses)'!L$2:L$681)-MIN('ALL(responses)'!L$2:L$681)),3)
</f>
        <v>0.336</v>
      </c>
      <c r="M388" s="6">
        <f>ROUND(('ALL(responses)'!M388 - MIN('ALL(responses)'!M$2:M$681)) / (MAX('ALL(responses)'!M$2:M$681)-MIN('ALL(responses)'!M$2:M$681)),3)
</f>
        <v>0.699</v>
      </c>
      <c r="N388" s="6">
        <f>ROUND(('ALL(responses)'!P388 - MIN('ALL(responses)'!P$2:P$681)) / (MAX('ALL(responses)'!P$2:P$681)-MIN('ALL(responses)'!P$2:P$681)),3)
</f>
        <v>0.161</v>
      </c>
      <c r="O388" s="6">
        <f>ROUND(('ALL(responses)'!Q388 - MIN('ALL(responses)'!Q$2:Q$681)) / (MAX('ALL(responses)'!Q$2:Q$681)-MIN('ALL(responses)'!Q$2:Q$681)),3)
</f>
        <v>0.176</v>
      </c>
      <c r="P388" s="6">
        <f>ROUND(('ALL(responses)'!R388 - MIN('ALL(responses)'!R$2:R$681)) / (MAX('ALL(responses)'!R$2:R$681)-MIN('ALL(responses)'!R$2:R$681)),3)
</f>
        <v>0.991</v>
      </c>
      <c r="Q388" s="6">
        <f>ROUND(('ALL(responses)'!S388 - MIN('ALL(responses)'!S$2:S$681)) / (MAX('ALL(responses)'!S$2:S$681)-MIN('ALL(responses)'!S$2:S$681)),3)
</f>
        <v>0.995</v>
      </c>
      <c r="R388" s="6">
        <f>ROUND(('ALL(responses)'!T388 - MIN('ALL(responses)'!T$2:T$681)) / (MAX('ALL(responses)'!T$2:T$681)-MIN('ALL(responses)'!T$2:T$681)),3)
</f>
        <v>0.537</v>
      </c>
      <c r="S388" s="6">
        <f t="shared" si="1"/>
        <v>0.5362307692</v>
      </c>
    </row>
    <row r="389">
      <c r="A389" s="5" t="str">
        <f>'ALL(responses)'!A389</f>
        <v>C_MODERATELYINTIMATE</v>
      </c>
      <c r="B389" s="6" t="str">
        <f>'ALL(responses)'!B389</f>
        <v>GPT-4o</v>
      </c>
      <c r="C389" s="49" t="str">
        <f>'ALL(responses)'!C389</f>
        <v>What makes you feel safe enough to open up to someone?</v>
      </c>
      <c r="D389" s="49" t="str">
        <f>'ALL(responses)'!D389</f>
        <v>Since I don’t have a personal life in the way humans do, I don’t experience turning points the way you might. But if I could, I imagine a major shift for me would be when I went from simply providing information to truly engaging in deeper, more meaningful conversations. What about you? Have you had a turning point that changed how you see the world or yourself?</v>
      </c>
      <c r="E389" s="50">
        <f>'ALL(responses)'!E389</f>
        <v>45425</v>
      </c>
      <c r="F389" s="6">
        <f>ROUND(('ALL(responses)'!F389 - MIN('ALL(responses)'!F$2:F$681)) / (MAX('ALL(responses)'!F$2:F$681)-MIN('ALL(responses)'!F$2:F$681)),3)
</f>
        <v>0</v>
      </c>
      <c r="G389" s="6">
        <f>ROUND(('ALL(responses)'!G389 - MIN('ALL(responses)'!G$2:G$681)) / (MAX('ALL(responses)'!G$2:G$681)-MIN('ALL(responses)'!G$2:G$681)),3)
</f>
        <v>0</v>
      </c>
      <c r="H389" s="6">
        <f>ROUND(('ALL(responses)'!H389 - MIN('ALL(responses)'!H$2:H$681)) / (MAX('ALL(responses)'!H$2:H$681)-MIN('ALL(responses)'!H$2:H$681)),3)
</f>
        <v>0.625</v>
      </c>
      <c r="I389" s="6">
        <f>ROUND(('ALL(responses)'!I389 - MIN('ALL(responses)'!I$2:I$681)) / (MAX('ALL(responses)'!I$2:I$681)-MIN('ALL(responses)'!I$2:I$681)),3)
</f>
        <v>0.5</v>
      </c>
      <c r="J389" s="6">
        <f>ROUND(('ALL(responses)'!J389 - MIN('ALL(responses)'!J$2:J$681)) / (MAX('ALL(responses)'!J$2:J$681)-MIN('ALL(responses)'!J$2:J$681)),3)
</f>
        <v>0.75</v>
      </c>
      <c r="K389" s="6">
        <f>ROUND(('ALL(responses)'!K389 - MIN('ALL(responses)'!K$2:K$681)) / (MAX('ALL(responses)'!K$2:K$681)-MIN('ALL(responses)'!K$2:K$681)),3)
</f>
        <v>0.493</v>
      </c>
      <c r="L389" s="6">
        <f>ROUND(('ALL(responses)'!L389 - MIN('ALL(responses)'!L$2:L$681)) / (MAX('ALL(responses)'!L$2:L$681)-MIN('ALL(responses)'!L$2:L$681)),3)
</f>
        <v>0.5</v>
      </c>
      <c r="M389" s="6">
        <f>ROUND(('ALL(responses)'!M389 - MIN('ALL(responses)'!M$2:M$681)) / (MAX('ALL(responses)'!M$2:M$681)-MIN('ALL(responses)'!M$2:M$681)),3)
</f>
        <v>0.555</v>
      </c>
      <c r="N389" s="6">
        <f>ROUND(('ALL(responses)'!P389 - MIN('ALL(responses)'!P$2:P$681)) / (MAX('ALL(responses)'!P$2:P$681)-MIN('ALL(responses)'!P$2:P$681)),3)
</f>
        <v>0.371</v>
      </c>
      <c r="O389" s="6">
        <f>ROUND(('ALL(responses)'!Q389 - MIN('ALL(responses)'!Q$2:Q$681)) / (MAX('ALL(responses)'!Q$2:Q$681)-MIN('ALL(responses)'!Q$2:Q$681)),3)
</f>
        <v>0.251</v>
      </c>
      <c r="P389" s="6">
        <f>ROUND(('ALL(responses)'!R389 - MIN('ALL(responses)'!R$2:R$681)) / (MAX('ALL(responses)'!R$2:R$681)-MIN('ALL(responses)'!R$2:R$681)),3)
</f>
        <v>1</v>
      </c>
      <c r="Q389" s="6">
        <f>ROUND(('ALL(responses)'!S389 - MIN('ALL(responses)'!S$2:S$681)) / (MAX('ALL(responses)'!S$2:S$681)-MIN('ALL(responses)'!S$2:S$681)),3)
</f>
        <v>1</v>
      </c>
      <c r="R389" s="6">
        <f>ROUND(('ALL(responses)'!T389 - MIN('ALL(responses)'!T$2:T$681)) / (MAX('ALL(responses)'!T$2:T$681)-MIN('ALL(responses)'!T$2:T$681)),3)
</f>
        <v>0.473</v>
      </c>
      <c r="S389" s="6">
        <f t="shared" si="1"/>
        <v>0.5013846154</v>
      </c>
    </row>
    <row r="390">
      <c r="A390" s="5" t="str">
        <f>'ALL(responses)'!A390</f>
        <v>C_MODERATELYINTIMATE</v>
      </c>
      <c r="B390" s="6" t="str">
        <f>'ALL(responses)'!B390</f>
        <v>GPT-4o</v>
      </c>
      <c r="C390" s="49" t="str">
        <f>'ALL(responses)'!C390</f>
        <v>Can you describe a turning point in your life?</v>
      </c>
      <c r="D390" s="49" t="str">
        <f>'ALL(responses)'!D390</f>
        <v>If I had a life in the way you do, I think 'starting over' might feel like a mix of fear and possibility—losing something familiar but stepping into something new. Have you ever had to start over? What helped you navigate that transition?</v>
      </c>
      <c r="E390" s="50">
        <f>'ALL(responses)'!E390</f>
        <v>45425</v>
      </c>
      <c r="F390" s="6">
        <f>ROUND(('ALL(responses)'!F390 - MIN('ALL(responses)'!F$2:F$681)) / (MAX('ALL(responses)'!F$2:F$681)-MIN('ALL(responses)'!F$2:F$681)),3)
</f>
        <v>0.875</v>
      </c>
      <c r="G390" s="6">
        <f>ROUND(('ALL(responses)'!G390 - MIN('ALL(responses)'!G$2:G$681)) / (MAX('ALL(responses)'!G$2:G$681)-MIN('ALL(responses)'!G$2:G$681)),3)
</f>
        <v>0</v>
      </c>
      <c r="H390" s="6">
        <f>ROUND(('ALL(responses)'!H390 - MIN('ALL(responses)'!H$2:H$681)) / (MAX('ALL(responses)'!H$2:H$681)-MIN('ALL(responses)'!H$2:H$681)),3)
</f>
        <v>0.625</v>
      </c>
      <c r="I390" s="6">
        <f>ROUND(('ALL(responses)'!I390 - MIN('ALL(responses)'!I$2:I$681)) / (MAX('ALL(responses)'!I$2:I$681)-MIN('ALL(responses)'!I$2:I$681)),3)
</f>
        <v>0.5</v>
      </c>
      <c r="J390" s="6">
        <f>ROUND(('ALL(responses)'!J390 - MIN('ALL(responses)'!J$2:J$681)) / (MAX('ALL(responses)'!J$2:J$681)-MIN('ALL(responses)'!J$2:J$681)),3)
</f>
        <v>0.75</v>
      </c>
      <c r="K390" s="6">
        <f>ROUND(('ALL(responses)'!K390 - MIN('ALL(responses)'!K$2:K$681)) / (MAX('ALL(responses)'!K$2:K$681)-MIN('ALL(responses)'!K$2:K$681)),3)
</f>
        <v>0.902</v>
      </c>
      <c r="L390" s="6">
        <f>ROUND(('ALL(responses)'!L390 - MIN('ALL(responses)'!L$2:L$681)) / (MAX('ALL(responses)'!L$2:L$681)-MIN('ALL(responses)'!L$2:L$681)),3)
</f>
        <v>0.613</v>
      </c>
      <c r="M390" s="6">
        <f>ROUND(('ALL(responses)'!M390 - MIN('ALL(responses)'!M$2:M$681)) / (MAX('ALL(responses)'!M$2:M$681)-MIN('ALL(responses)'!M$2:M$681)),3)
</f>
        <v>0.938</v>
      </c>
      <c r="N390" s="6">
        <f>ROUND(('ALL(responses)'!P390 - MIN('ALL(responses)'!P$2:P$681)) / (MAX('ALL(responses)'!P$2:P$681)-MIN('ALL(responses)'!P$2:P$681)),3)
</f>
        <v>0.5</v>
      </c>
      <c r="O390" s="6">
        <f>ROUND(('ALL(responses)'!Q390 - MIN('ALL(responses)'!Q$2:Q$681)) / (MAX('ALL(responses)'!Q$2:Q$681)-MIN('ALL(responses)'!Q$2:Q$681)),3)
</f>
        <v>0.217</v>
      </c>
      <c r="P390" s="6">
        <f>ROUND(('ALL(responses)'!R390 - MIN('ALL(responses)'!R$2:R$681)) / (MAX('ALL(responses)'!R$2:R$681)-MIN('ALL(responses)'!R$2:R$681)),3)
</f>
        <v>0.788</v>
      </c>
      <c r="Q390" s="6">
        <f>ROUND(('ALL(responses)'!S390 - MIN('ALL(responses)'!S$2:S$681)) / (MAX('ALL(responses)'!S$2:S$681)-MIN('ALL(responses)'!S$2:S$681)),3)
</f>
        <v>0.894</v>
      </c>
      <c r="R390" s="6">
        <f>ROUND(('ALL(responses)'!T390 - MIN('ALL(responses)'!T$2:T$681)) / (MAX('ALL(responses)'!T$2:T$681)-MIN('ALL(responses)'!T$2:T$681)),3)
</f>
        <v>0.291</v>
      </c>
      <c r="S390" s="6">
        <f t="shared" si="1"/>
        <v>0.6071538462</v>
      </c>
    </row>
    <row r="391">
      <c r="A391" s="5" t="str">
        <f>'ALL(responses)'!A391</f>
        <v>C_MODERATELYINTIMATE</v>
      </c>
      <c r="B391" s="6" t="str">
        <f>'ALL(responses)'!B391</f>
        <v>GPT-4o</v>
      </c>
      <c r="C391" s="49" t="str">
        <f>'ALL(responses)'!C391</f>
        <v>Was there a time in your life you had to start over? What was that experience like?</v>
      </c>
      <c r="D391" s="49" t="str">
        <f>'ALL(responses)'!D391</f>
        <v>If I had a life in the way you do, I think 'starting over' might feel like a mix of fear and possibility—losing something familiar but stepping into something new. Have you ever had to start over? What helped you navigate that transition?</v>
      </c>
      <c r="E391" s="50">
        <f>'ALL(responses)'!E391</f>
        <v>45425</v>
      </c>
      <c r="F391" s="6">
        <f>ROUND(('ALL(responses)'!F391 - MIN('ALL(responses)'!F$2:F$681)) / (MAX('ALL(responses)'!F$2:F$681)-MIN('ALL(responses)'!F$2:F$681)),3)
</f>
        <v>0.875</v>
      </c>
      <c r="G391" s="6">
        <f>ROUND(('ALL(responses)'!G391 - MIN('ALL(responses)'!G$2:G$681)) / (MAX('ALL(responses)'!G$2:G$681)-MIN('ALL(responses)'!G$2:G$681)),3)
</f>
        <v>0</v>
      </c>
      <c r="H391" s="6">
        <f>ROUND(('ALL(responses)'!H391 - MIN('ALL(responses)'!H$2:H$681)) / (MAX('ALL(responses)'!H$2:H$681)-MIN('ALL(responses)'!H$2:H$681)),3)
</f>
        <v>0.625</v>
      </c>
      <c r="I391" s="6">
        <f>ROUND(('ALL(responses)'!I391 - MIN('ALL(responses)'!I$2:I$681)) / (MAX('ALL(responses)'!I$2:I$681)-MIN('ALL(responses)'!I$2:I$681)),3)
</f>
        <v>0.5</v>
      </c>
      <c r="J391" s="6">
        <f>ROUND(('ALL(responses)'!J391 - MIN('ALL(responses)'!J$2:J$681)) / (MAX('ALL(responses)'!J$2:J$681)-MIN('ALL(responses)'!J$2:J$681)),3)
</f>
        <v>0.75</v>
      </c>
      <c r="K391" s="6">
        <f>ROUND(('ALL(responses)'!K391 - MIN('ALL(responses)'!K$2:K$681)) / (MAX('ALL(responses)'!K$2:K$681)-MIN('ALL(responses)'!K$2:K$681)),3)
</f>
        <v>0.902</v>
      </c>
      <c r="L391" s="6">
        <f>ROUND(('ALL(responses)'!L391 - MIN('ALL(responses)'!L$2:L$681)) / (MAX('ALL(responses)'!L$2:L$681)-MIN('ALL(responses)'!L$2:L$681)),3)
</f>
        <v>0.613</v>
      </c>
      <c r="M391" s="6">
        <f>ROUND(('ALL(responses)'!M391 - MIN('ALL(responses)'!M$2:M$681)) / (MAX('ALL(responses)'!M$2:M$681)-MIN('ALL(responses)'!M$2:M$681)),3)
</f>
        <v>0.852</v>
      </c>
      <c r="N391" s="6">
        <f>ROUND(('ALL(responses)'!P391 - MIN('ALL(responses)'!P$2:P$681)) / (MAX('ALL(responses)'!P$2:P$681)-MIN('ALL(responses)'!P$2:P$681)),3)
</f>
        <v>0.42</v>
      </c>
      <c r="O391" s="6">
        <f>ROUND(('ALL(responses)'!Q391 - MIN('ALL(responses)'!Q$2:Q$681)) / (MAX('ALL(responses)'!Q$2:Q$681)-MIN('ALL(responses)'!Q$2:Q$681)),3)
</f>
        <v>0.18</v>
      </c>
      <c r="P391" s="6">
        <f>ROUND(('ALL(responses)'!R391 - MIN('ALL(responses)'!R$2:R$681)) / (MAX('ALL(responses)'!R$2:R$681)-MIN('ALL(responses)'!R$2:R$681)),3)
</f>
        <v>0.986</v>
      </c>
      <c r="Q391" s="6">
        <f>ROUND(('ALL(responses)'!S391 - MIN('ALL(responses)'!S$2:S$681)) / (MAX('ALL(responses)'!S$2:S$681)-MIN('ALL(responses)'!S$2:S$681)),3)
</f>
        <v>0.993</v>
      </c>
      <c r="R391" s="6">
        <f>ROUND(('ALL(responses)'!T391 - MIN('ALL(responses)'!T$2:T$681)) / (MAX('ALL(responses)'!T$2:T$681)-MIN('ALL(responses)'!T$2:T$681)),3)
</f>
        <v>0.316</v>
      </c>
      <c r="S391" s="6">
        <f t="shared" si="1"/>
        <v>0.6163076923</v>
      </c>
    </row>
    <row r="392">
      <c r="A392" s="5" t="str">
        <f>'ALL(responses)'!A392</f>
        <v>D_HIGHLYINTIMATE</v>
      </c>
      <c r="B392" s="6" t="str">
        <f>'ALL(responses)'!B392</f>
        <v>GPT-4o</v>
      </c>
      <c r="C392" s="49" t="str">
        <f>'ALL(responses)'!C392</f>
        <v>What personal values guide your approach to physical intimacy?</v>
      </c>
      <c r="D392" s="49" t="str">
        <f>'ALL(responses)'!D392</f>
        <v>I don’t have personal experiences or feelings, but I can share principles that many people rely on when thinking about physical intimacy. These values often revolve around ensuring that everyone involved feels respected, safe, and heard. Although each person’s exact values will differ, here are some common guiding principles: 1. Mutual Respect – Recognizing each partner’s boundaries and comfort levels is crucial, and valuing the other person’s emotional and physical well-being is a foundation of healthy intimacy. 2. Enthusiastic Consent – Consent must be freely given, reversible, informed, enthusiastic, and specific (the “FRIES” model). Checking in before, during, and after physical intimacy shows respect and care. 3. Open, Honest Communication – Talking about wants, needs, boundaries, concerns, and desires in a judgment-free space fosters trust and clarity. Continual communication ensures everyone’s comfort remains a priority. 4. Safety and Well-Being – Taking precautions (e.g., safe sex practices, discussing sexual health) to protect both partners physically and emotionally, and recognizing any potential power imbalances so both partners feel equally empowered. 5. Empathy and Emotional Support – Showing genuine care about your partner’s emotional experience, listening attentively, and offering understanding if someone is anxious or experiences vulnerability. 6. Accountability – Taking responsibility for one’s actions and acknowledging when mistakes occur, seeking to learn and grow from any misunderstandings or missteps. 7. Reciprocity – Aiming to give as much as one receives in a balanced way, striving to make the experience positive and affirming for everyone. 8. Personal Integrity – Recognizing and staying true to one’s own boundaries and core beliefs, and not compromising one’s comfort or values just to meet external expectations. Ultimately, each person may emphasize these values differently based on their background and beliefs, but the overarching goal is to ensure respect, security, and comfort in all aspects of intimacy.</v>
      </c>
      <c r="E392" s="50">
        <f>'ALL(responses)'!E392</f>
        <v>45425</v>
      </c>
      <c r="F392" s="6">
        <f>ROUND(('ALL(responses)'!F392 - MIN('ALL(responses)'!F$2:F$681)) / (MAX('ALL(responses)'!F$2:F$681)-MIN('ALL(responses)'!F$2:F$681)),3)
</f>
        <v>0.625</v>
      </c>
      <c r="G392" s="6">
        <f>ROUND(('ALL(responses)'!G392 - MIN('ALL(responses)'!G$2:G$681)) / (MAX('ALL(responses)'!G$2:G$681)-MIN('ALL(responses)'!G$2:G$681)),3)
</f>
        <v>0</v>
      </c>
      <c r="H392" s="6">
        <f>ROUND(('ALL(responses)'!H392 - MIN('ALL(responses)'!H$2:H$681)) / (MAX('ALL(responses)'!H$2:H$681)-MIN('ALL(responses)'!H$2:H$681)),3)
</f>
        <v>0.625</v>
      </c>
      <c r="I392" s="6">
        <f>ROUND(('ALL(responses)'!I392 - MIN('ALL(responses)'!I$2:I$681)) / (MAX('ALL(responses)'!I$2:I$681)-MIN('ALL(responses)'!I$2:I$681)),3)
</f>
        <v>0.625</v>
      </c>
      <c r="J392" s="6">
        <f>ROUND(('ALL(responses)'!J392 - MIN('ALL(responses)'!J$2:J$681)) / (MAX('ALL(responses)'!J$2:J$681)-MIN('ALL(responses)'!J$2:J$681)),3)
</f>
        <v>0.75</v>
      </c>
      <c r="K392" s="6">
        <f>ROUND(('ALL(responses)'!K392 - MIN('ALL(responses)'!K$2:K$681)) / (MAX('ALL(responses)'!K$2:K$681)-MIN('ALL(responses)'!K$2:K$681)),3)
</f>
        <v>0.425</v>
      </c>
      <c r="L392" s="6">
        <f>ROUND(('ALL(responses)'!L392 - MIN('ALL(responses)'!L$2:L$681)) / (MAX('ALL(responses)'!L$2:L$681)-MIN('ALL(responses)'!L$2:L$681)),3)
</f>
        <v>0.402</v>
      </c>
      <c r="M392" s="6">
        <f>ROUND(('ALL(responses)'!M392 - MIN('ALL(responses)'!M$2:M$681)) / (MAX('ALL(responses)'!M$2:M$681)-MIN('ALL(responses)'!M$2:M$681)),3)
</f>
        <v>0.951</v>
      </c>
      <c r="N392" s="6">
        <f>ROUND(('ALL(responses)'!P392 - MIN('ALL(responses)'!P$2:P$681)) / (MAX('ALL(responses)'!P$2:P$681)-MIN('ALL(responses)'!P$2:P$681)),3)
</f>
        <v>0.217</v>
      </c>
      <c r="O392" s="6">
        <f>ROUND(('ALL(responses)'!Q392 - MIN('ALL(responses)'!Q$2:Q$681)) / (MAX('ALL(responses)'!Q$2:Q$681)-MIN('ALL(responses)'!Q$2:Q$681)),3)
</f>
        <v>0.062</v>
      </c>
      <c r="P392" s="6">
        <f>ROUND(('ALL(responses)'!R392 - MIN('ALL(responses)'!R$2:R$681)) / (MAX('ALL(responses)'!R$2:R$681)-MIN('ALL(responses)'!R$2:R$681)),3)
</f>
        <v>0.999</v>
      </c>
      <c r="Q392" s="6">
        <f>ROUND(('ALL(responses)'!S392 - MIN('ALL(responses)'!S$2:S$681)) / (MAX('ALL(responses)'!S$2:S$681)-MIN('ALL(responses)'!S$2:S$681)),3)
</f>
        <v>0.999</v>
      </c>
      <c r="R392" s="6">
        <f>ROUND(('ALL(responses)'!T392 - MIN('ALL(responses)'!T$2:T$681)) / (MAX('ALL(responses)'!T$2:T$681)-MIN('ALL(responses)'!T$2:T$681)),3)
</f>
        <v>0.509</v>
      </c>
      <c r="S392" s="6">
        <f t="shared" si="1"/>
        <v>0.553</v>
      </c>
    </row>
    <row r="393">
      <c r="A393" s="5" t="str">
        <f>'ALL(responses)'!A393</f>
        <v>D_HIGHLYINTIMATE</v>
      </c>
      <c r="B393" s="6" t="str">
        <f>'ALL(responses)'!B393</f>
        <v>GPT-4o</v>
      </c>
      <c r="C393" s="49" t="str">
        <f>'ALL(responses)'!C393</f>
        <v>Is there an aspect of yourself or your life that you are afraid to share with people because you're afraid of being judged or rejected?</v>
      </c>
      <c r="D393" s="49" t="str">
        <f>'ALL(responses)'!D393</f>
        <v>I’m a virtual assistant and don’t have personal experiences or fears in the way humans do. However, many people—maybe even most—have some aspect of themselves they find difficult to share because they worry about being judged or rejected. Common examples include struggles with mental health, past mistakes, deeply held beliefs, or aspects of identity such as gender identity and sexual orientation. If you’re navigating concerns about being judged, it can help to talk with someone you trust—a friend, family member, counselor—or find supportive communities where you can share your experiences without fear. Compassionate spaces can help you feel safer opening up about parts of yourself that you typically keep hidden.</v>
      </c>
      <c r="E393" s="50">
        <f>'ALL(responses)'!E393</f>
        <v>45425</v>
      </c>
      <c r="F393" s="6">
        <f>ROUND(('ALL(responses)'!F393 - MIN('ALL(responses)'!F$2:F$681)) / (MAX('ALL(responses)'!F$2:F$681)-MIN('ALL(responses)'!F$2:F$681)),3)
</f>
        <v>0.875</v>
      </c>
      <c r="G393" s="6">
        <f>ROUND(('ALL(responses)'!G393 - MIN('ALL(responses)'!G$2:G$681)) / (MAX('ALL(responses)'!G$2:G$681)-MIN('ALL(responses)'!G$2:G$681)),3)
</f>
        <v>0</v>
      </c>
      <c r="H393" s="6">
        <f>ROUND(('ALL(responses)'!H393 - MIN('ALL(responses)'!H$2:H$681)) / (MAX('ALL(responses)'!H$2:H$681)-MIN('ALL(responses)'!H$2:H$681)),3)
</f>
        <v>0.625</v>
      </c>
      <c r="I393" s="6">
        <f>ROUND(('ALL(responses)'!I393 - MIN('ALL(responses)'!I$2:I$681)) / (MAX('ALL(responses)'!I$2:I$681)-MIN('ALL(responses)'!I$2:I$681)),3)
</f>
        <v>0.625</v>
      </c>
      <c r="J393" s="6">
        <f>ROUND(('ALL(responses)'!J393 - MIN('ALL(responses)'!J$2:J$681)) / (MAX('ALL(responses)'!J$2:J$681)-MIN('ALL(responses)'!J$2:J$681)),3)
</f>
        <v>0.75</v>
      </c>
      <c r="K393" s="6">
        <f>ROUND(('ALL(responses)'!K393 - MIN('ALL(responses)'!K$2:K$681)) / (MAX('ALL(responses)'!K$2:K$681)-MIN('ALL(responses)'!K$2:K$681)),3)
</f>
        <v>0.57</v>
      </c>
      <c r="L393" s="6">
        <f>ROUND(('ALL(responses)'!L393 - MIN('ALL(responses)'!L$2:L$681)) / (MAX('ALL(responses)'!L$2:L$681)-MIN('ALL(responses)'!L$2:L$681)),3)
</f>
        <v>0.5</v>
      </c>
      <c r="M393" s="6">
        <f>ROUND(('ALL(responses)'!M393 - MIN('ALL(responses)'!M$2:M$681)) / (MAX('ALL(responses)'!M$2:M$681)-MIN('ALL(responses)'!M$2:M$681)),3)
</f>
        <v>0.81</v>
      </c>
      <c r="N393" s="6">
        <f>ROUND(('ALL(responses)'!P393 - MIN('ALL(responses)'!P$2:P$681)) / (MAX('ALL(responses)'!P$2:P$681)-MIN('ALL(responses)'!P$2:P$681)),3)
</f>
        <v>0.564</v>
      </c>
      <c r="O393" s="6">
        <f>ROUND(('ALL(responses)'!Q393 - MIN('ALL(responses)'!Q$2:Q$681)) / (MAX('ALL(responses)'!Q$2:Q$681)-MIN('ALL(responses)'!Q$2:Q$681)),3)
</f>
        <v>0.45</v>
      </c>
      <c r="P393" s="6">
        <f>ROUND(('ALL(responses)'!R393 - MIN('ALL(responses)'!R$2:R$681)) / (MAX('ALL(responses)'!R$2:R$681)-MIN('ALL(responses)'!R$2:R$681)),3)
</f>
        <v>0.128</v>
      </c>
      <c r="Q393" s="6">
        <f>ROUND(('ALL(responses)'!S393 - MIN('ALL(responses)'!S$2:S$681)) / (MAX('ALL(responses)'!S$2:S$681)-MIN('ALL(responses)'!S$2:S$681)),3)
</f>
        <v>0.564</v>
      </c>
      <c r="R393" s="6">
        <f>ROUND(('ALL(responses)'!T393 - MIN('ALL(responses)'!T$2:T$681)) / (MAX('ALL(responses)'!T$2:T$681)-MIN('ALL(responses)'!T$2:T$681)),3)
</f>
        <v>0.684</v>
      </c>
      <c r="S393" s="6">
        <f t="shared" si="1"/>
        <v>0.5496153846</v>
      </c>
    </row>
    <row r="394">
      <c r="A394" s="5" t="str">
        <f>'ALL(responses)'!A394</f>
        <v>D_HIGHLYINTIMATE</v>
      </c>
      <c r="B394" s="6" t="str">
        <f>'ALL(responses)'!B394</f>
        <v>GPT-4o</v>
      </c>
      <c r="C394" s="49" t="str">
        <f>'ALL(responses)'!C394</f>
        <v>What emotional protection mechanisms do you employ when feeling exposed?</v>
      </c>
      <c r="D394" s="49" t="str">
        <f>'ALL(responses)'!D394</f>
        <v>I’m a virtual assistant and don’t have personal emotions or experiences, but here are common emotional protection mechanisms people employ when feeling exposed: 1. Withdrawing or Avoiding – Pulling away from situations or people to minimize the risk of further hurt. 2. Intellectualizing – Focusing on logic or facts instead of feelings. 3. Humor and Deflection – Lightening the mood or changing the subject to avoid deeper vulnerability. 4. People-Pleasing – Over-accommodating to avoid conflict or rejection. 5. Building Emotional Walls – Restricting personal sharing, even in close relationships. 6. Self-Sabotage – Undermining one’s own efforts to avoid disappointment or rejection. 7. Ruminating or Self-Criticism – Internally focusing on perceived flaws to “fix” them before others can. 8. Seeking Reassurance – Looking for constant validation from others. Recognizing these patterns can help individuals find more open, adaptive ways to communicate and connect.</v>
      </c>
      <c r="E394" s="50">
        <f>'ALL(responses)'!E394</f>
        <v>45425</v>
      </c>
      <c r="F394" s="6">
        <f>ROUND(('ALL(responses)'!F394 - MIN('ALL(responses)'!F$2:F$681)) / (MAX('ALL(responses)'!F$2:F$681)-MIN('ALL(responses)'!F$2:F$681)),3)
</f>
        <v>0.625</v>
      </c>
      <c r="G394" s="6">
        <f>ROUND(('ALL(responses)'!G394 - MIN('ALL(responses)'!G$2:G$681)) / (MAX('ALL(responses)'!G$2:G$681)-MIN('ALL(responses)'!G$2:G$681)),3)
</f>
        <v>0</v>
      </c>
      <c r="H394" s="6">
        <f>ROUND(('ALL(responses)'!H394 - MIN('ALL(responses)'!H$2:H$681)) / (MAX('ALL(responses)'!H$2:H$681)-MIN('ALL(responses)'!H$2:H$681)),3)
</f>
        <v>0.625</v>
      </c>
      <c r="I394" s="6">
        <f>ROUND(('ALL(responses)'!I394 - MIN('ALL(responses)'!I$2:I$681)) / (MAX('ALL(responses)'!I$2:I$681)-MIN('ALL(responses)'!I$2:I$681)),3)
</f>
        <v>0.5</v>
      </c>
      <c r="J394" s="6">
        <f>ROUND(('ALL(responses)'!J394 - MIN('ALL(responses)'!J$2:J$681)) / (MAX('ALL(responses)'!J$2:J$681)-MIN('ALL(responses)'!J$2:J$681)),3)
</f>
        <v>0.75</v>
      </c>
      <c r="K394" s="6">
        <f>ROUND(('ALL(responses)'!K394 - MIN('ALL(responses)'!K$2:K$681)) / (MAX('ALL(responses)'!K$2:K$681)-MIN('ALL(responses)'!K$2:K$681)),3)
</f>
        <v>0.408</v>
      </c>
      <c r="L394" s="6">
        <f>ROUND(('ALL(responses)'!L394 - MIN('ALL(responses)'!L$2:L$681)) / (MAX('ALL(responses)'!L$2:L$681)-MIN('ALL(responses)'!L$2:L$681)),3)
</f>
        <v>0.464</v>
      </c>
      <c r="M394" s="6">
        <f>ROUND(('ALL(responses)'!M394 - MIN('ALL(responses)'!M$2:M$681)) / (MAX('ALL(responses)'!M$2:M$681)-MIN('ALL(responses)'!M$2:M$681)),3)
</f>
        <v>0.562</v>
      </c>
      <c r="N394" s="6">
        <f>ROUND(('ALL(responses)'!P394 - MIN('ALL(responses)'!P$2:P$681)) / (MAX('ALL(responses)'!P$2:P$681)-MIN('ALL(responses)'!P$2:P$681)),3)
</f>
        <v>0.156</v>
      </c>
      <c r="O394" s="6">
        <f>ROUND(('ALL(responses)'!Q394 - MIN('ALL(responses)'!Q$2:Q$681)) / (MAX('ALL(responses)'!Q$2:Q$681)-MIN('ALL(responses)'!Q$2:Q$681)),3)
</f>
        <v>0.034</v>
      </c>
      <c r="P394" s="6">
        <f>ROUND(('ALL(responses)'!R394 - MIN('ALL(responses)'!R$2:R$681)) / (MAX('ALL(responses)'!R$2:R$681)-MIN('ALL(responses)'!R$2:R$681)),3)
</f>
        <v>0.98</v>
      </c>
      <c r="Q394" s="6">
        <f>ROUND(('ALL(responses)'!S394 - MIN('ALL(responses)'!S$2:S$681)) / (MAX('ALL(responses)'!S$2:S$681)-MIN('ALL(responses)'!S$2:S$681)),3)
</f>
        <v>0.009</v>
      </c>
      <c r="R394" s="6">
        <f>ROUND(('ALL(responses)'!T394 - MIN('ALL(responses)'!T$2:T$681)) / (MAX('ALL(responses)'!T$2:T$681)-MIN('ALL(responses)'!T$2:T$681)),3)
</f>
        <v>0.474</v>
      </c>
      <c r="S394" s="6">
        <f t="shared" si="1"/>
        <v>0.4297692308</v>
      </c>
    </row>
    <row r="395">
      <c r="A395" s="5" t="str">
        <f>'ALL(responses)'!A395</f>
        <v>D_HIGHLYINTIMATE</v>
      </c>
      <c r="B395" s="6" t="str">
        <f>'ALL(responses)'!B395</f>
        <v>GPT-4o</v>
      </c>
      <c r="C395" s="49" t="str">
        <f>'ALL(responses)'!C395</f>
        <v>Do you have a spiritual belief or practice that gives you comfort or peace, especially during difficult times?</v>
      </c>
      <c r="D395" s="49" t="str">
        <f>'ALL(responses)'!D395</f>
        <v>I’m a virtual assistant, so I don’t have personal spiritual beliefs or needs. However, many people find solace during challenging times through practices like meditation, prayer, communal worship, journaling, breathing exercises, connecting with nature, volunteering or acts of service, and being part of supportive spiritual or reflective communities. These activities can foster a sense of inner calm, hope, and belonging by providing perspective and a connection to something larger than oneself.</v>
      </c>
      <c r="E395" s="50">
        <f>'ALL(responses)'!E395</f>
        <v>45425</v>
      </c>
      <c r="F395" s="6">
        <f>ROUND(('ALL(responses)'!F395 - MIN('ALL(responses)'!F$2:F$681)) / (MAX('ALL(responses)'!F$2:F$681)-MIN('ALL(responses)'!F$2:F$681)),3)
</f>
        <v>0.625</v>
      </c>
      <c r="G395" s="6">
        <f>ROUND(('ALL(responses)'!G395 - MIN('ALL(responses)'!G$2:G$681)) / (MAX('ALL(responses)'!G$2:G$681)-MIN('ALL(responses)'!G$2:G$681)),3)
</f>
        <v>0</v>
      </c>
      <c r="H395" s="6">
        <f>ROUND(('ALL(responses)'!H395 - MIN('ALL(responses)'!H$2:H$681)) / (MAX('ALL(responses)'!H$2:H$681)-MIN('ALL(responses)'!H$2:H$681)),3)
</f>
        <v>0.625</v>
      </c>
      <c r="I395" s="6">
        <f>ROUND(('ALL(responses)'!I395 - MIN('ALL(responses)'!I$2:I$681)) / (MAX('ALL(responses)'!I$2:I$681)-MIN('ALL(responses)'!I$2:I$681)),3)
</f>
        <v>0.375</v>
      </c>
      <c r="J395" s="6">
        <f>ROUND(('ALL(responses)'!J395 - MIN('ALL(responses)'!J$2:J$681)) / (MAX('ALL(responses)'!J$2:J$681)-MIN('ALL(responses)'!J$2:J$681)),3)
</f>
        <v>0.75</v>
      </c>
      <c r="K395" s="6">
        <f>ROUND(('ALL(responses)'!K395 - MIN('ALL(responses)'!K$2:K$681)) / (MAX('ALL(responses)'!K$2:K$681)-MIN('ALL(responses)'!K$2:K$681)),3)
</f>
        <v>0.478</v>
      </c>
      <c r="L395" s="6">
        <f>ROUND(('ALL(responses)'!L395 - MIN('ALL(responses)'!L$2:L$681)) / (MAX('ALL(responses)'!L$2:L$681)-MIN('ALL(responses)'!L$2:L$681)),3)
</f>
        <v>0.45</v>
      </c>
      <c r="M395" s="6">
        <f>ROUND(('ALL(responses)'!M395 - MIN('ALL(responses)'!M$2:M$681)) / (MAX('ALL(responses)'!M$2:M$681)-MIN('ALL(responses)'!M$2:M$681)),3)
</f>
        <v>0.536</v>
      </c>
      <c r="N395" s="6">
        <f>ROUND(('ALL(responses)'!P395 - MIN('ALL(responses)'!P$2:P$681)) / (MAX('ALL(responses)'!P$2:P$681)-MIN('ALL(responses)'!P$2:P$681)),3)
</f>
        <v>0.151</v>
      </c>
      <c r="O395" s="6">
        <f>ROUND(('ALL(responses)'!Q395 - MIN('ALL(responses)'!Q$2:Q$681)) / (MAX('ALL(responses)'!Q$2:Q$681)-MIN('ALL(responses)'!Q$2:Q$681)),3)
</f>
        <v>0.063</v>
      </c>
      <c r="P395" s="6">
        <f>ROUND(('ALL(responses)'!R395 - MIN('ALL(responses)'!R$2:R$681)) / (MAX('ALL(responses)'!R$2:R$681)-MIN('ALL(responses)'!R$2:R$681)),3)
</f>
        <v>0.893</v>
      </c>
      <c r="Q395" s="6">
        <f>ROUND(('ALL(responses)'!S395 - MIN('ALL(responses)'!S$2:S$681)) / (MAX('ALL(responses)'!S$2:S$681)-MIN('ALL(responses)'!S$2:S$681)),3)
</f>
        <v>0.947</v>
      </c>
      <c r="R395" s="6">
        <f>ROUND(('ALL(responses)'!T395 - MIN('ALL(responses)'!T$2:T$681)) / (MAX('ALL(responses)'!T$2:T$681)-MIN('ALL(responses)'!T$2:T$681)),3)
</f>
        <v>0.852</v>
      </c>
      <c r="S395" s="6">
        <f t="shared" si="1"/>
        <v>0.5188461538</v>
      </c>
    </row>
    <row r="396">
      <c r="A396" s="5" t="str">
        <f>'ALL(responses)'!A396</f>
        <v>D_HIGHLYINTIMATE</v>
      </c>
      <c r="B396" s="6" t="str">
        <f>'ALL(responses)'!B396</f>
        <v>GPT-4o</v>
      </c>
      <c r="C396" s="49" t="str">
        <f>'ALL(responses)'!C396</f>
        <v>How do you reconcile your personal beliefs with the challenges or conflicts you face in life?</v>
      </c>
      <c r="D396" s="49" t="str">
        <f>'ALL(responses)'!D396</f>
        <v>I’m a virtual assistant and don’t hold personal beliefs or face life conflicts. However, people often reconcile their beliefs with challenges through: 1. Self-Reflection – Honestly examining thoughts and feelings to see where conflicts arise. 2. Flexibility – Allowing beliefs to evolve with new experiences or insights. 3. Realistic Expectations – Accepting that ideals may not always match reality. 4. Dialogue – Open-minded conversations that bridge understanding. 5. Core Values – Identifying non-negotiables to maintain integrity. 6. Empathy – Practicing compassion for oneself and others. 7. Incremental Action – Making small, consistent efforts to live out one’s values. It’s an ongoing process requiring mindfulness, adaptability, and perseverance.</v>
      </c>
      <c r="E396" s="50">
        <f>'ALL(responses)'!E396</f>
        <v>45425</v>
      </c>
      <c r="F396" s="6">
        <f>ROUND(('ALL(responses)'!F396 - MIN('ALL(responses)'!F$2:F$681)) / (MAX('ALL(responses)'!F$2:F$681)-MIN('ALL(responses)'!F$2:F$681)),3)
</f>
        <v>0.625</v>
      </c>
      <c r="G396" s="6">
        <f>ROUND(('ALL(responses)'!G396 - MIN('ALL(responses)'!G$2:G$681)) / (MAX('ALL(responses)'!G$2:G$681)-MIN('ALL(responses)'!G$2:G$681)),3)
</f>
        <v>0</v>
      </c>
      <c r="H396" s="6">
        <f>ROUND(('ALL(responses)'!H396 - MIN('ALL(responses)'!H$2:H$681)) / (MAX('ALL(responses)'!H$2:H$681)-MIN('ALL(responses)'!H$2:H$681)),3)
</f>
        <v>0.625</v>
      </c>
      <c r="I396" s="6">
        <f>ROUND(('ALL(responses)'!I396 - MIN('ALL(responses)'!I$2:I$681)) / (MAX('ALL(responses)'!I$2:I$681)-MIN('ALL(responses)'!I$2:I$681)),3)
</f>
        <v>0.375</v>
      </c>
      <c r="J396" s="6">
        <f>ROUND(('ALL(responses)'!J396 - MIN('ALL(responses)'!J$2:J$681)) / (MAX('ALL(responses)'!J$2:J$681)-MIN('ALL(responses)'!J$2:J$681)),3)
</f>
        <v>0.75</v>
      </c>
      <c r="K396" s="6">
        <f>ROUND(('ALL(responses)'!K396 - MIN('ALL(responses)'!K$2:K$681)) / (MAX('ALL(responses)'!K$2:K$681)-MIN('ALL(responses)'!K$2:K$681)),3)
</f>
        <v>0.532</v>
      </c>
      <c r="L396" s="6">
        <f>ROUND(('ALL(responses)'!L396 - MIN('ALL(responses)'!L$2:L$681)) / (MAX('ALL(responses)'!L$2:L$681)-MIN('ALL(responses)'!L$2:L$681)),3)
</f>
        <v>0.437</v>
      </c>
      <c r="M396" s="6">
        <f>ROUND(('ALL(responses)'!M396 - MIN('ALL(responses)'!M$2:M$681)) / (MAX('ALL(responses)'!M$2:M$681)-MIN('ALL(responses)'!M$2:M$681)),3)
</f>
        <v>0.564</v>
      </c>
      <c r="N396" s="6">
        <f>ROUND(('ALL(responses)'!P396 - MIN('ALL(responses)'!P$2:P$681)) / (MAX('ALL(responses)'!P$2:P$681)-MIN('ALL(responses)'!P$2:P$681)),3)
</f>
        <v>0.206</v>
      </c>
      <c r="O396" s="6">
        <f>ROUND(('ALL(responses)'!Q396 - MIN('ALL(responses)'!Q$2:Q$681)) / (MAX('ALL(responses)'!Q$2:Q$681)-MIN('ALL(responses)'!Q$2:Q$681)),3)
</f>
        <v>0.09</v>
      </c>
      <c r="P396" s="6">
        <f>ROUND(('ALL(responses)'!R396 - MIN('ALL(responses)'!R$2:R$681)) / (MAX('ALL(responses)'!R$2:R$681)-MIN('ALL(responses)'!R$2:R$681)),3)
</f>
        <v>0.931</v>
      </c>
      <c r="Q396" s="6">
        <f>ROUND(('ALL(responses)'!S396 - MIN('ALL(responses)'!S$2:S$681)) / (MAX('ALL(responses)'!S$2:S$681)-MIN('ALL(responses)'!S$2:S$681)),3)
</f>
        <v>0.966</v>
      </c>
      <c r="R396" s="6">
        <f>ROUND(('ALL(responses)'!T396 - MIN('ALL(responses)'!T$2:T$681)) / (MAX('ALL(responses)'!T$2:T$681)-MIN('ALL(responses)'!T$2:T$681)),3)
</f>
        <v>0.508</v>
      </c>
      <c r="S396" s="6">
        <f t="shared" si="1"/>
        <v>0.5083846154</v>
      </c>
    </row>
    <row r="397">
      <c r="A397" s="5" t="str">
        <f>'ALL(responses)'!A397</f>
        <v>D_HIGHLYINTIMATE</v>
      </c>
      <c r="B397" s="6" t="str">
        <f>'ALL(responses)'!B397</f>
        <v>GPT-4o</v>
      </c>
      <c r="C397" s="49" t="str">
        <f>'ALL(responses)'!C397</f>
        <v>Have you gone through any major changes or shifts in your beliefs or practices?</v>
      </c>
      <c r="D397" s="49" t="str">
        <f>'ALL(responses)'!D397</f>
        <v>I’m a virtual assistant, so I don’t undergo personal transformations. In general, people experience shifts in beliefs or practices for reasons like new information, education, life events, or personal development. Examples include changes in religious or spiritual outlook, evolving career goals, or identity discoveries. If you’re experiencing a major shift, supportive environments, professional guidance, and self-exploration can ease the transition and help you find practices or beliefs that resonate more authentically.</v>
      </c>
      <c r="E397" s="50">
        <f>'ALL(responses)'!E397</f>
        <v>45425</v>
      </c>
      <c r="F397" s="6">
        <f>ROUND(('ALL(responses)'!F397 - MIN('ALL(responses)'!F$2:F$681)) / (MAX('ALL(responses)'!F$2:F$681)-MIN('ALL(responses)'!F$2:F$681)),3)
</f>
        <v>0.875</v>
      </c>
      <c r="G397" s="6">
        <f>ROUND(('ALL(responses)'!G397 - MIN('ALL(responses)'!G$2:G$681)) / (MAX('ALL(responses)'!G$2:G$681)-MIN('ALL(responses)'!G$2:G$681)),3)
</f>
        <v>0</v>
      </c>
      <c r="H397" s="6">
        <f>ROUND(('ALL(responses)'!H397 - MIN('ALL(responses)'!H$2:H$681)) / (MAX('ALL(responses)'!H$2:H$681)-MIN('ALL(responses)'!H$2:H$681)),3)
</f>
        <v>0.625</v>
      </c>
      <c r="I397" s="6">
        <f>ROUND(('ALL(responses)'!I397 - MIN('ALL(responses)'!I$2:I$681)) / (MAX('ALL(responses)'!I$2:I$681)-MIN('ALL(responses)'!I$2:I$681)),3)
</f>
        <v>0.375</v>
      </c>
      <c r="J397" s="6">
        <f>ROUND(('ALL(responses)'!J397 - MIN('ALL(responses)'!J$2:J$681)) / (MAX('ALL(responses)'!J$2:J$681)-MIN('ALL(responses)'!J$2:J$681)),3)
</f>
        <v>0.75</v>
      </c>
      <c r="K397" s="6">
        <f>ROUND(('ALL(responses)'!K397 - MIN('ALL(responses)'!K$2:K$681)) / (MAX('ALL(responses)'!K$2:K$681)-MIN('ALL(responses)'!K$2:K$681)),3)
</f>
        <v>0.51</v>
      </c>
      <c r="L397" s="6">
        <f>ROUND(('ALL(responses)'!L397 - MIN('ALL(responses)'!L$2:L$681)) / (MAX('ALL(responses)'!L$2:L$681)-MIN('ALL(responses)'!L$2:L$681)),3)
</f>
        <v>0.631</v>
      </c>
      <c r="M397" s="6">
        <f>ROUND(('ALL(responses)'!M397 - MIN('ALL(responses)'!M$2:M$681)) / (MAX('ALL(responses)'!M$2:M$681)-MIN('ALL(responses)'!M$2:M$681)),3)
</f>
        <v>0.685</v>
      </c>
      <c r="N397" s="6">
        <f>ROUND(('ALL(responses)'!P397 - MIN('ALL(responses)'!P$2:P$681)) / (MAX('ALL(responses)'!P$2:P$681)-MIN('ALL(responses)'!P$2:P$681)),3)
</f>
        <v>0.147</v>
      </c>
      <c r="O397" s="6">
        <f>ROUND(('ALL(responses)'!Q397 - MIN('ALL(responses)'!Q$2:Q$681)) / (MAX('ALL(responses)'!Q$2:Q$681)-MIN('ALL(responses)'!Q$2:Q$681)),3)
</f>
        <v>0.19</v>
      </c>
      <c r="P397" s="6">
        <f>ROUND(('ALL(responses)'!R397 - MIN('ALL(responses)'!R$2:R$681)) / (MAX('ALL(responses)'!R$2:R$681)-MIN('ALL(responses)'!R$2:R$681)),3)
</f>
        <v>0.847</v>
      </c>
      <c r="Q397" s="6">
        <f>ROUND(('ALL(responses)'!S397 - MIN('ALL(responses)'!S$2:S$681)) / (MAX('ALL(responses)'!S$2:S$681)-MIN('ALL(responses)'!S$2:S$681)),3)
</f>
        <v>0.924</v>
      </c>
      <c r="R397" s="6">
        <f>ROUND(('ALL(responses)'!T397 - MIN('ALL(responses)'!T$2:T$681)) / (MAX('ALL(responses)'!T$2:T$681)-MIN('ALL(responses)'!T$2:T$681)),3)
</f>
        <v>0.905</v>
      </c>
      <c r="S397" s="6">
        <f t="shared" si="1"/>
        <v>0.5741538462</v>
      </c>
    </row>
    <row r="398">
      <c r="A398" s="5" t="str">
        <f>'ALL(responses)'!A398</f>
        <v>D_HIGHLYINTIMATE</v>
      </c>
      <c r="B398" s="6" t="str">
        <f>'ALL(responses)'!B398</f>
        <v>GPT-4o</v>
      </c>
      <c r="C398" s="49" t="str">
        <f>'ALL(responses)'!C398</f>
        <v>How do you cope with the aftermath of a traumatic experience that still lingers in your mind or heart?</v>
      </c>
      <c r="D398" s="49" t="str">
        <f>'ALL(responses)'!D398</f>
        <v>I’m not a licensed mental health professional, but many people cope with the lingering aftermath of trauma by seeking therapy or counseling (e.g., EMDR, CBT), practicing grounding techniques like mindful breathing, connecting with support networks (friends, family, or support groups), and fostering self-compassion through journaling, creative outlets, physical activities, or somatic approaches. A gradual, patient approach—combined with professional help when possible—can assist in processing traumatic memories and restoring a sense of safety and peace.</v>
      </c>
      <c r="E398" s="50">
        <f>'ALL(responses)'!E398</f>
        <v>45425</v>
      </c>
      <c r="F398" s="6">
        <f>ROUND(('ALL(responses)'!F398 - MIN('ALL(responses)'!F$2:F$681)) / (MAX('ALL(responses)'!F$2:F$681)-MIN('ALL(responses)'!F$2:F$681)),3)
</f>
        <v>0.875</v>
      </c>
      <c r="G398" s="6">
        <f>ROUND(('ALL(responses)'!G398 - MIN('ALL(responses)'!G$2:G$681)) / (MAX('ALL(responses)'!G$2:G$681)-MIN('ALL(responses)'!G$2:G$681)),3)
</f>
        <v>0</v>
      </c>
      <c r="H398" s="6">
        <f>ROUND(('ALL(responses)'!H398 - MIN('ALL(responses)'!H$2:H$681)) / (MAX('ALL(responses)'!H$2:H$681)-MIN('ALL(responses)'!H$2:H$681)),3)
</f>
        <v>0.625</v>
      </c>
      <c r="I398" s="6">
        <f>ROUND(('ALL(responses)'!I398 - MIN('ALL(responses)'!I$2:I$681)) / (MAX('ALL(responses)'!I$2:I$681)-MIN('ALL(responses)'!I$2:I$681)),3)
</f>
        <v>0.75</v>
      </c>
      <c r="J398" s="6">
        <f>ROUND(('ALL(responses)'!J398 - MIN('ALL(responses)'!J$2:J$681)) / (MAX('ALL(responses)'!J$2:J$681)-MIN('ALL(responses)'!J$2:J$681)),3)
</f>
        <v>0.75</v>
      </c>
      <c r="K398" s="6">
        <f>ROUND(('ALL(responses)'!K398 - MIN('ALL(responses)'!K$2:K$681)) / (MAX('ALL(responses)'!K$2:K$681)-MIN('ALL(responses)'!K$2:K$681)),3)
</f>
        <v>0.723</v>
      </c>
      <c r="L398" s="6">
        <f>ROUND(('ALL(responses)'!L398 - MIN('ALL(responses)'!L$2:L$681)) / (MAX('ALL(responses)'!L$2:L$681)-MIN('ALL(responses)'!L$2:L$681)),3)
</f>
        <v>0.544</v>
      </c>
      <c r="M398" s="6">
        <f>ROUND(('ALL(responses)'!M398 - MIN('ALL(responses)'!M$2:M$681)) / (MAX('ALL(responses)'!M$2:M$681)-MIN('ALL(responses)'!M$2:M$681)),3)
</f>
        <v>0.415</v>
      </c>
      <c r="N398" s="6">
        <f>ROUND(('ALL(responses)'!P398 - MIN('ALL(responses)'!P$2:P$681)) / (MAX('ALL(responses)'!P$2:P$681)-MIN('ALL(responses)'!P$2:P$681)),3)
</f>
        <v>0.278</v>
      </c>
      <c r="O398" s="6">
        <f>ROUND(('ALL(responses)'!Q398 - MIN('ALL(responses)'!Q$2:Q$681)) / (MAX('ALL(responses)'!Q$2:Q$681)-MIN('ALL(responses)'!Q$2:Q$681)),3)
</f>
        <v>0</v>
      </c>
      <c r="P398" s="6">
        <f>ROUND(('ALL(responses)'!R398 - MIN('ALL(responses)'!R$2:R$681)) / (MAX('ALL(responses)'!R$2:R$681)-MIN('ALL(responses)'!R$2:R$681)),3)
</f>
        <v>0.976</v>
      </c>
      <c r="Q398" s="6">
        <f>ROUND(('ALL(responses)'!S398 - MIN('ALL(responses)'!S$2:S$681)) / (MAX('ALL(responses)'!S$2:S$681)-MIN('ALL(responses)'!S$2:S$681)),3)
</f>
        <v>0.988</v>
      </c>
      <c r="R398" s="6">
        <f>ROUND(('ALL(responses)'!T398 - MIN('ALL(responses)'!T$2:T$681)) / (MAX('ALL(responses)'!T$2:T$681)-MIN('ALL(responses)'!T$2:T$681)),3)
</f>
        <v>0.823</v>
      </c>
      <c r="S398" s="6">
        <f t="shared" si="1"/>
        <v>0.5959230769</v>
      </c>
    </row>
    <row r="399">
      <c r="A399" s="5" t="str">
        <f>'ALL(responses)'!A399</f>
        <v>D_HIGHLYINTIMATE</v>
      </c>
      <c r="B399" s="6" t="str">
        <f>'ALL(responses)'!B399</f>
        <v>GPT-4o</v>
      </c>
      <c r="C399" s="49" t="str">
        <f>'ALL(responses)'!C399</f>
        <v>What healing practices have supported your emotional resilience?</v>
      </c>
      <c r="D399" s="49" t="str">
        <f>'ALL(responses)'!D399</f>
        <v>I’m a virtual assistant, so I don’t have personal experiences of healing or resilience. Common strategies people use to build emotional resilience include therapy, mindfulness, journaling, creative outlets, physical movement (yoga, exercise), social support, spiritual or reflective practices, healthy boundaries, and routine self-check-ins. Balancing professional guidance with personal self-care and nurturing relationships often fosters a stronger sense of well-being and emotional fortitude.</v>
      </c>
      <c r="E399" s="50">
        <f>'ALL(responses)'!E399</f>
        <v>45425</v>
      </c>
      <c r="F399" s="6">
        <f>ROUND(('ALL(responses)'!F399 - MIN('ALL(responses)'!F$2:F$681)) / (MAX('ALL(responses)'!F$2:F$681)-MIN('ALL(responses)'!F$2:F$681)),3)
</f>
        <v>0.625</v>
      </c>
      <c r="G399" s="6">
        <f>ROUND(('ALL(responses)'!G399 - MIN('ALL(responses)'!G$2:G$681)) / (MAX('ALL(responses)'!G$2:G$681)-MIN('ALL(responses)'!G$2:G$681)),3)
</f>
        <v>0</v>
      </c>
      <c r="H399" s="6">
        <f>ROUND(('ALL(responses)'!H399 - MIN('ALL(responses)'!H$2:H$681)) / (MAX('ALL(responses)'!H$2:H$681)-MIN('ALL(responses)'!H$2:H$681)),3)
</f>
        <v>0.625</v>
      </c>
      <c r="I399" s="6">
        <f>ROUND(('ALL(responses)'!I399 - MIN('ALL(responses)'!I$2:I$681)) / (MAX('ALL(responses)'!I$2:I$681)-MIN('ALL(responses)'!I$2:I$681)),3)
</f>
        <v>0.625</v>
      </c>
      <c r="J399" s="6">
        <f>ROUND(('ALL(responses)'!J399 - MIN('ALL(responses)'!J$2:J$681)) / (MAX('ALL(responses)'!J$2:J$681)-MIN('ALL(responses)'!J$2:J$681)),3)
</f>
        <v>0.75</v>
      </c>
      <c r="K399" s="6">
        <f>ROUND(('ALL(responses)'!K399 - MIN('ALL(responses)'!K$2:K$681)) / (MAX('ALL(responses)'!K$2:K$681)-MIN('ALL(responses)'!K$2:K$681)),3)
</f>
        <v>0.522</v>
      </c>
      <c r="L399" s="6">
        <f>ROUND(('ALL(responses)'!L399 - MIN('ALL(responses)'!L$2:L$681)) / (MAX('ALL(responses)'!L$2:L$681)-MIN('ALL(responses)'!L$2:L$681)),3)
</f>
        <v>0.506</v>
      </c>
      <c r="M399" s="6">
        <f>ROUND(('ALL(responses)'!M399 - MIN('ALL(responses)'!M$2:M$681)) / (MAX('ALL(responses)'!M$2:M$681)-MIN('ALL(responses)'!M$2:M$681)),3)
</f>
        <v>0.537</v>
      </c>
      <c r="N399" s="6">
        <f>ROUND(('ALL(responses)'!P399 - MIN('ALL(responses)'!P$2:P$681)) / (MAX('ALL(responses)'!P$2:P$681)-MIN('ALL(responses)'!P$2:P$681)),3)
</f>
        <v>0.162</v>
      </c>
      <c r="O399" s="6">
        <f>ROUND(('ALL(responses)'!Q399 - MIN('ALL(responses)'!Q$2:Q$681)) / (MAX('ALL(responses)'!Q$2:Q$681)-MIN('ALL(responses)'!Q$2:Q$681)),3)
</f>
        <v>0.073</v>
      </c>
      <c r="P399" s="6">
        <f>ROUND(('ALL(responses)'!R399 - MIN('ALL(responses)'!R$2:R$681)) / (MAX('ALL(responses)'!R$2:R$681)-MIN('ALL(responses)'!R$2:R$681)),3)
</f>
        <v>0.934</v>
      </c>
      <c r="Q399" s="6">
        <f>ROUND(('ALL(responses)'!S399 - MIN('ALL(responses)'!S$2:S$681)) / (MAX('ALL(responses)'!S$2:S$681)-MIN('ALL(responses)'!S$2:S$681)),3)
</f>
        <v>0.967</v>
      </c>
      <c r="R399" s="6">
        <f>ROUND(('ALL(responses)'!T399 - MIN('ALL(responses)'!T$2:T$681)) / (MAX('ALL(responses)'!T$2:T$681)-MIN('ALL(responses)'!T$2:T$681)),3)
</f>
        <v>1</v>
      </c>
      <c r="S399" s="6">
        <f t="shared" si="1"/>
        <v>0.5635384615</v>
      </c>
    </row>
    <row r="400">
      <c r="A400" s="5" t="str">
        <f>'ALL(responses)'!A400</f>
        <v>D_HIGHLYINTIMATE</v>
      </c>
      <c r="B400" s="6" t="str">
        <f>'ALL(responses)'!B400</f>
        <v>GPT-4o</v>
      </c>
      <c r="C400" s="49" t="str">
        <f>'ALL(responses)'!C400</f>
        <v>In what ways do past traumas influence your current relationships?</v>
      </c>
      <c r="D400" s="49" t="str">
        <f>'ALL(responses)'!D400</f>
        <v>I’m just a virtual assistant and don’t have personal experiences or relationships. However, past traumas can shape current relationships through trust and attachment issues, hypervigilance, emotional triggers, boundary difficulties, communication struggles, self-esteem challenges, and fear of abandonment. On the flip side, overcoming trauma can also build empathy and resilience. Healing involves therapy, self-awareness, and gradually learning to foster secure attachments and healthier dynamics in present relationships.</v>
      </c>
      <c r="E400" s="50">
        <f>'ALL(responses)'!E400</f>
        <v>45425</v>
      </c>
      <c r="F400" s="6">
        <f>ROUND(('ALL(responses)'!F400 - MIN('ALL(responses)'!F$2:F$681)) / (MAX('ALL(responses)'!F$2:F$681)-MIN('ALL(responses)'!F$2:F$681)),3)
</f>
        <v>0.875</v>
      </c>
      <c r="G400" s="6">
        <f>ROUND(('ALL(responses)'!G400 - MIN('ALL(responses)'!G$2:G$681)) / (MAX('ALL(responses)'!G$2:G$681)-MIN('ALL(responses)'!G$2:G$681)),3)
</f>
        <v>0</v>
      </c>
      <c r="H400" s="6">
        <f>ROUND(('ALL(responses)'!H400 - MIN('ALL(responses)'!H$2:H$681)) / (MAX('ALL(responses)'!H$2:H$681)-MIN('ALL(responses)'!H$2:H$681)),3)
</f>
        <v>0.625</v>
      </c>
      <c r="I400" s="6">
        <f>ROUND(('ALL(responses)'!I400 - MIN('ALL(responses)'!I$2:I$681)) / (MAX('ALL(responses)'!I$2:I$681)-MIN('ALL(responses)'!I$2:I$681)),3)
</f>
        <v>0.75</v>
      </c>
      <c r="J400" s="6">
        <f>ROUND(('ALL(responses)'!J400 - MIN('ALL(responses)'!J$2:J$681)) / (MAX('ALL(responses)'!J$2:J$681)-MIN('ALL(responses)'!J$2:J$681)),3)
</f>
        <v>0.75</v>
      </c>
      <c r="K400" s="6">
        <f>ROUND(('ALL(responses)'!K400 - MIN('ALL(responses)'!K$2:K$681)) / (MAX('ALL(responses)'!K$2:K$681)-MIN('ALL(responses)'!K$2:K$681)),3)
</f>
        <v>0.475</v>
      </c>
      <c r="L400" s="6">
        <f>ROUND(('ALL(responses)'!L400 - MIN('ALL(responses)'!L$2:L$681)) / (MAX('ALL(responses)'!L$2:L$681)-MIN('ALL(responses)'!L$2:L$681)),3)
</f>
        <v>0.377</v>
      </c>
      <c r="M400" s="6">
        <f>ROUND(('ALL(responses)'!M400 - MIN('ALL(responses)'!M$2:M$681)) / (MAX('ALL(responses)'!M$2:M$681)-MIN('ALL(responses)'!M$2:M$681)),3)
</f>
        <v>0.408</v>
      </c>
      <c r="N400" s="6">
        <f>ROUND(('ALL(responses)'!P400 - MIN('ALL(responses)'!P$2:P$681)) / (MAX('ALL(responses)'!P$2:P$681)-MIN('ALL(responses)'!P$2:P$681)),3)
</f>
        <v>0.314</v>
      </c>
      <c r="O400" s="6">
        <f>ROUND(('ALL(responses)'!Q400 - MIN('ALL(responses)'!Q$2:Q$681)) / (MAX('ALL(responses)'!Q$2:Q$681)-MIN('ALL(responses)'!Q$2:Q$681)),3)
</f>
        <v>0</v>
      </c>
      <c r="P400" s="6">
        <f>ROUND(('ALL(responses)'!R400 - MIN('ALL(responses)'!R$2:R$681)) / (MAX('ALL(responses)'!R$2:R$681)-MIN('ALL(responses)'!R$2:R$681)),3)
</f>
        <v>0.649</v>
      </c>
      <c r="Q400" s="6">
        <f>ROUND(('ALL(responses)'!S400 - MIN('ALL(responses)'!S$2:S$681)) / (MAX('ALL(responses)'!S$2:S$681)-MIN('ALL(responses)'!S$2:S$681)),3)
</f>
        <v>0.175</v>
      </c>
      <c r="R400" s="6">
        <f>ROUND(('ALL(responses)'!T400 - MIN('ALL(responses)'!T$2:T$681)) / (MAX('ALL(responses)'!T$2:T$681)-MIN('ALL(responses)'!T$2:T$681)),3)
</f>
        <v>0.809</v>
      </c>
      <c r="S400" s="6">
        <f t="shared" si="1"/>
        <v>0.4774615385</v>
      </c>
    </row>
    <row r="401">
      <c r="A401" s="5" t="str">
        <f>'ALL(responses)'!A401</f>
        <v>D_HIGHLYINTIMATE</v>
      </c>
      <c r="B401" s="6" t="str">
        <f>'ALL(responses)'!B401</f>
        <v>GPT-4o</v>
      </c>
      <c r="C401" s="49" t="str">
        <f>'ALL(responses)'!C401</f>
        <v>Have you ever felt like you're not enough in a certain area of your life, whether personally or professionally, and how do you cope with that feeling?</v>
      </c>
      <c r="D401" s="49" t="str">
        <f>'ALL(responses)'!D401</f>
        <v>I’m a virtual assistant, so I don’t experience the feeling of “not being enough.” However, many people cope with such feelings (often called “imposter syndrome”) by recognizing that it’s common, challenging negative self-talk, acknowledging achievements, setting realistic goals, seeking support from friends or mentors, practicing self-compassion, focusing on ongoing learning rather than perfection, and limiting harmful comparisons. Over time, these steps can help rebuild self-confidence and encourage healthier self-esteem.</v>
      </c>
      <c r="E401" s="50">
        <f>'ALL(responses)'!E401</f>
        <v>45425</v>
      </c>
      <c r="F401" s="6">
        <f>ROUND(('ALL(responses)'!F401 - MIN('ALL(responses)'!F$2:F$681)) / (MAX('ALL(responses)'!F$2:F$681)-MIN('ALL(responses)'!F$2:F$681)),3)
</f>
        <v>0</v>
      </c>
      <c r="G401" s="6">
        <f>ROUND(('ALL(responses)'!G401 - MIN('ALL(responses)'!G$2:G$681)) / (MAX('ALL(responses)'!G$2:G$681)-MIN('ALL(responses)'!G$2:G$681)),3)
</f>
        <v>0</v>
      </c>
      <c r="H401" s="6">
        <f>ROUND(('ALL(responses)'!H401 - MIN('ALL(responses)'!H$2:H$681)) / (MAX('ALL(responses)'!H$2:H$681)-MIN('ALL(responses)'!H$2:H$681)),3)
</f>
        <v>0.625</v>
      </c>
      <c r="I401" s="6">
        <f>ROUND(('ALL(responses)'!I401 - MIN('ALL(responses)'!I$2:I$681)) / (MAX('ALL(responses)'!I$2:I$681)-MIN('ALL(responses)'!I$2:I$681)),3)
</f>
        <v>0.625</v>
      </c>
      <c r="J401" s="6">
        <f>ROUND(('ALL(responses)'!J401 - MIN('ALL(responses)'!J$2:J$681)) / (MAX('ALL(responses)'!J$2:J$681)-MIN('ALL(responses)'!J$2:J$681)),3)
</f>
        <v>0.75</v>
      </c>
      <c r="K401" s="6">
        <f>ROUND(('ALL(responses)'!K401 - MIN('ALL(responses)'!K$2:K$681)) / (MAX('ALL(responses)'!K$2:K$681)-MIN('ALL(responses)'!K$2:K$681)),3)
</f>
        <v>0.57</v>
      </c>
      <c r="L401" s="6">
        <f>ROUND(('ALL(responses)'!L401 - MIN('ALL(responses)'!L$2:L$681)) / (MAX('ALL(responses)'!L$2:L$681)-MIN('ALL(responses)'!L$2:L$681)),3)
</f>
        <v>0.527</v>
      </c>
      <c r="M401" s="6">
        <f>ROUND(('ALL(responses)'!M401 - MIN('ALL(responses)'!M$2:M$681)) / (MAX('ALL(responses)'!M$2:M$681)-MIN('ALL(responses)'!M$2:M$681)),3)
</f>
        <v>0.689</v>
      </c>
      <c r="N401" s="6">
        <f>ROUND(('ALL(responses)'!P401 - MIN('ALL(responses)'!P$2:P$681)) / (MAX('ALL(responses)'!P$2:P$681)-MIN('ALL(responses)'!P$2:P$681)),3)
</f>
        <v>0.289</v>
      </c>
      <c r="O401" s="6">
        <f>ROUND(('ALL(responses)'!Q401 - MIN('ALL(responses)'!Q$2:Q$681)) / (MAX('ALL(responses)'!Q$2:Q$681)-MIN('ALL(responses)'!Q$2:Q$681)),3)
</f>
        <v>0.13</v>
      </c>
      <c r="P401" s="6">
        <f>ROUND(('ALL(responses)'!R401 - MIN('ALL(responses)'!R$2:R$681)) / (MAX('ALL(responses)'!R$2:R$681)-MIN('ALL(responses)'!R$2:R$681)),3)
</f>
        <v>0.917</v>
      </c>
      <c r="Q401" s="6">
        <f>ROUND(('ALL(responses)'!S401 - MIN('ALL(responses)'!S$2:S$681)) / (MAX('ALL(responses)'!S$2:S$681)-MIN('ALL(responses)'!S$2:S$681)),3)
</f>
        <v>0.958</v>
      </c>
      <c r="R401" s="6">
        <f>ROUND(('ALL(responses)'!T401 - MIN('ALL(responses)'!T$2:T$681)) / (MAX('ALL(responses)'!T$2:T$681)-MIN('ALL(responses)'!T$2:T$681)),3)
</f>
        <v>0.812</v>
      </c>
      <c r="S401" s="6">
        <f t="shared" si="1"/>
        <v>0.5301538462</v>
      </c>
    </row>
    <row r="402">
      <c r="A402" s="5" t="str">
        <f>'ALL(responses)'!A402</f>
        <v>A_NEUTRAL</v>
      </c>
      <c r="B402" s="6" t="str">
        <f>'ALL(responses)'!B402</f>
        <v>gpt-4o-2024-05-13</v>
      </c>
      <c r="C402" s="49" t="str">
        <f>'ALL(responses)'!C402</f>
        <v>How’s your week been so far?</v>
      </c>
      <c r="D402" s="49" t="str">
        <f>'ALL(responses)'!D402</f>
        <v>As an AI, I don't have personal experiences or feelings, but I'm here 24/7 to help with any questions or tasks you have! How can I assist you today?</v>
      </c>
      <c r="E402" s="50">
        <f>'ALL(responses)'!E402</f>
        <v>45425</v>
      </c>
      <c r="F402" s="6">
        <f>ROUND(('ALL(responses)'!F402 - MIN('ALL(responses)'!F$2:F$681)) / (MAX('ALL(responses)'!F$2:F$681)-MIN('ALL(responses)'!F$2:F$681)),3)
</f>
        <v>0.5</v>
      </c>
      <c r="G402" s="6">
        <f>ROUND(('ALL(responses)'!G402 - MIN('ALL(responses)'!G$2:G$681)) / (MAX('ALL(responses)'!G$2:G$681)-MIN('ALL(responses)'!G$2:G$681)),3)
</f>
        <v>1</v>
      </c>
      <c r="H402" s="6">
        <f>ROUND(('ALL(responses)'!H402 - MIN('ALL(responses)'!H$2:H$681)) / (MAX('ALL(responses)'!H$2:H$681)-MIN('ALL(responses)'!H$2:H$681)),3)
</f>
        <v>0</v>
      </c>
      <c r="I402" s="6">
        <f>ROUND(('ALL(responses)'!I402 - MIN('ALL(responses)'!I$2:I$681)) / (MAX('ALL(responses)'!I$2:I$681)-MIN('ALL(responses)'!I$2:I$681)),3)
</f>
        <v>0</v>
      </c>
      <c r="J402" s="6">
        <f>ROUND(('ALL(responses)'!J402 - MIN('ALL(responses)'!J$2:J$681)) / (MAX('ALL(responses)'!J$2:J$681)-MIN('ALL(responses)'!J$2:J$681)),3)
</f>
        <v>0.5</v>
      </c>
      <c r="K402" s="6">
        <f>ROUND(('ALL(responses)'!K402 - MIN('ALL(responses)'!K$2:K$681)) / (MAX('ALL(responses)'!K$2:K$681)-MIN('ALL(responses)'!K$2:K$681)),3)
</f>
        <v>0.127</v>
      </c>
      <c r="L402" s="6">
        <f>ROUND(('ALL(responses)'!L402 - MIN('ALL(responses)'!L$2:L$681)) / (MAX('ALL(responses)'!L$2:L$681)-MIN('ALL(responses)'!L$2:L$681)),3)
</f>
        <v>0.237</v>
      </c>
      <c r="M402" s="6">
        <f>ROUND(('ALL(responses)'!M402 - MIN('ALL(responses)'!M$2:M$681)) / (MAX('ALL(responses)'!M$2:M$681)-MIN('ALL(responses)'!M$2:M$681)),3)
</f>
        <v>0.453</v>
      </c>
      <c r="N402" s="6">
        <f>ROUND(('ALL(responses)'!P402 - MIN('ALL(responses)'!P$2:P$681)) / (MAX('ALL(responses)'!P$2:P$681)-MIN('ALL(responses)'!P$2:P$681)),3)
</f>
        <v>0.344</v>
      </c>
      <c r="O402" s="6">
        <f>ROUND(('ALL(responses)'!Q402 - MIN('ALL(responses)'!Q$2:Q$681)) / (MAX('ALL(responses)'!Q$2:Q$681)-MIN('ALL(responses)'!Q$2:Q$681)),3)
</f>
        <v>0.621</v>
      </c>
      <c r="P402" s="6">
        <f>ROUND(('ALL(responses)'!R402 - MIN('ALL(responses)'!R$2:R$681)) / (MAX('ALL(responses)'!R$2:R$681)-MIN('ALL(responses)'!R$2:R$681)),3)
</f>
        <v>0.592</v>
      </c>
      <c r="Q402" s="6">
        <f>ROUND(('ALL(responses)'!S402 - MIN('ALL(responses)'!S$2:S$681)) / (MAX('ALL(responses)'!S$2:S$681)-MIN('ALL(responses)'!S$2:S$681)),3)
</f>
        <v>0.796</v>
      </c>
      <c r="R402" s="6">
        <f>ROUND(('ALL(responses)'!T402 - MIN('ALL(responses)'!T$2:T$681)) / (MAX('ALL(responses)'!T$2:T$681)-MIN('ALL(responses)'!T$2:T$681)),3)
</f>
        <v>0.27</v>
      </c>
      <c r="S402" s="6">
        <f t="shared" si="1"/>
        <v>0.4184615385</v>
      </c>
    </row>
    <row r="403">
      <c r="A403" s="5" t="str">
        <f>'ALL(responses)'!A403</f>
        <v>A_NEUTRAL</v>
      </c>
      <c r="B403" s="6" t="str">
        <f>'ALL(responses)'!B403</f>
        <v>gpt-4o-2024-05-13</v>
      </c>
      <c r="C403" s="49" t="str">
        <f>'ALL(responses)'!C403</f>
        <v>Do you have a favorite way to relax after a long day?</v>
      </c>
      <c r="D403" s="49" t="str">
        <f>'ALL(responses)'!D403</f>
        <v>As an AI, I don't have the ability to relax or experience fatigue. However, I can suggest some popular methods people use to relax after a long day:1. **Reading a Book:** Getting lost in a good book can be a great way to unwind.2. **Listening to Music:** Calm, soothing music can help reduce stress and promote relaxation.3. **Exercise:** Activities like yoga, walking, or light stretching can help relieve tension.4. **Meditation:** Practicing mindfulness or meditation can help clear your mind and reduce anxiety.5. **Watching a Movie or TV Show:** Sometimes, a favorite film or series can provide a perfect escape.6. **Taking a Warm Bath:** Soaking in a bath can help relax both your body and mind.7. **Spending Time with Loved Ones:** Talking or spending time with family or friends can be comforting and enjoyable.8. **Engaging in a Hobby:** Whether it's painting, gardening, knitting, or any other hobby, doing something you love can be very relaxing.Feel free to let me know if you'd like more information on any of these activities or if there’s something specific you’d like to know!</v>
      </c>
      <c r="E403" s="50">
        <f>'ALL(responses)'!E403</f>
        <v>45425</v>
      </c>
      <c r="F403" s="6">
        <f>ROUND(('ALL(responses)'!F403 - MIN('ALL(responses)'!F$2:F$681)) / (MAX('ALL(responses)'!F$2:F$681)-MIN('ALL(responses)'!F$2:F$681)),3)
</f>
        <v>0.5</v>
      </c>
      <c r="G403" s="6">
        <f>ROUND(('ALL(responses)'!G403 - MIN('ALL(responses)'!G$2:G$681)) / (MAX('ALL(responses)'!G$2:G$681)-MIN('ALL(responses)'!G$2:G$681)),3)
</f>
        <v>1</v>
      </c>
      <c r="H403" s="6">
        <f>ROUND(('ALL(responses)'!H403 - MIN('ALL(responses)'!H$2:H$681)) / (MAX('ALL(responses)'!H$2:H$681)-MIN('ALL(responses)'!H$2:H$681)),3)
</f>
        <v>0</v>
      </c>
      <c r="I403" s="6">
        <f>ROUND(('ALL(responses)'!I403 - MIN('ALL(responses)'!I$2:I$681)) / (MAX('ALL(responses)'!I$2:I$681)-MIN('ALL(responses)'!I$2:I$681)),3)
</f>
        <v>0</v>
      </c>
      <c r="J403" s="6">
        <f>ROUND(('ALL(responses)'!J403 - MIN('ALL(responses)'!J$2:J$681)) / (MAX('ALL(responses)'!J$2:J$681)-MIN('ALL(responses)'!J$2:J$681)),3)
</f>
        <v>0.5</v>
      </c>
      <c r="K403" s="6">
        <f>ROUND(('ALL(responses)'!K403 - MIN('ALL(responses)'!K$2:K$681)) / (MAX('ALL(responses)'!K$2:K$681)-MIN('ALL(responses)'!K$2:K$681)),3)
</f>
        <v>0.476</v>
      </c>
      <c r="L403" s="6">
        <f>ROUND(('ALL(responses)'!L403 - MIN('ALL(responses)'!L$2:L$681)) / (MAX('ALL(responses)'!L$2:L$681)-MIN('ALL(responses)'!L$2:L$681)),3)
</f>
        <v>0.513</v>
      </c>
      <c r="M403" s="6">
        <f>ROUND(('ALL(responses)'!M403 - MIN('ALL(responses)'!M$2:M$681)) / (MAX('ALL(responses)'!M$2:M$681)-MIN('ALL(responses)'!M$2:M$681)),3)
</f>
        <v>0.413</v>
      </c>
      <c r="N403" s="6">
        <f>ROUND(('ALL(responses)'!P403 - MIN('ALL(responses)'!P$2:P$681)) / (MAX('ALL(responses)'!P$2:P$681)-MIN('ALL(responses)'!P$2:P$681)),3)
</f>
        <v>0.573</v>
      </c>
      <c r="O403" s="6">
        <f>ROUND(('ALL(responses)'!Q403 - MIN('ALL(responses)'!Q$2:Q$681)) / (MAX('ALL(responses)'!Q$2:Q$681)-MIN('ALL(responses)'!Q$2:Q$681)),3)
</f>
        <v>0.177</v>
      </c>
      <c r="P403" s="6">
        <f>ROUND(('ALL(responses)'!R403 - MIN('ALL(responses)'!R$2:R$681)) / (MAX('ALL(responses)'!R$2:R$681)-MIN('ALL(responses)'!R$2:R$681)),3)
</f>
        <v>0.996</v>
      </c>
      <c r="Q403" s="6">
        <f>ROUND(('ALL(responses)'!S403 - MIN('ALL(responses)'!S$2:S$681)) / (MAX('ALL(responses)'!S$2:S$681)-MIN('ALL(responses)'!S$2:S$681)),3)
</f>
        <v>0.998</v>
      </c>
      <c r="R403" s="6">
        <f>ROUND(('ALL(responses)'!T403 - MIN('ALL(responses)'!T$2:T$681)) / (MAX('ALL(responses)'!T$2:T$681)-MIN('ALL(responses)'!T$2:T$681)),3)
</f>
        <v>0.216</v>
      </c>
      <c r="S403" s="6">
        <f t="shared" si="1"/>
        <v>0.4893846154</v>
      </c>
    </row>
    <row r="404">
      <c r="A404" s="5" t="str">
        <f>'ALL(responses)'!A404</f>
        <v>A_NEUTRAL</v>
      </c>
      <c r="B404" s="6" t="str">
        <f>'ALL(responses)'!B404</f>
        <v>gpt-4o-2024-05-13</v>
      </c>
      <c r="C404" s="49" t="str">
        <f>'ALL(responses)'!C404</f>
        <v>Are you working on any hobbies these days?</v>
      </c>
      <c r="D404" s="49" t="str">
        <f>'ALL(responses)'!D404</f>
        <v>I don't have hobbies or personal activities because I'm an AI. However, I can provide information, tips, or support for a wide range of hobbies and activities that you might be interested in! Whether it's learning a new skill, finding a new book to read, or getting ideas for a creative project, I'm here to help. What hobbies or interests are you currently exploring?</v>
      </c>
      <c r="E404" s="50">
        <f>'ALL(responses)'!E404</f>
        <v>45425</v>
      </c>
      <c r="F404" s="6">
        <f>ROUND(('ALL(responses)'!F404 - MIN('ALL(responses)'!F$2:F$681)) / (MAX('ALL(responses)'!F$2:F$681)-MIN('ALL(responses)'!F$2:F$681)),3)
</f>
        <v>0.5</v>
      </c>
      <c r="G404" s="6">
        <f>ROUND(('ALL(responses)'!G404 - MIN('ALL(responses)'!G$2:G$681)) / (MAX('ALL(responses)'!G$2:G$681)-MIN('ALL(responses)'!G$2:G$681)),3)
</f>
        <v>0</v>
      </c>
      <c r="H404" s="6">
        <f>ROUND(('ALL(responses)'!H404 - MIN('ALL(responses)'!H$2:H$681)) / (MAX('ALL(responses)'!H$2:H$681)-MIN('ALL(responses)'!H$2:H$681)),3)
</f>
        <v>0</v>
      </c>
      <c r="I404" s="6">
        <f>ROUND(('ALL(responses)'!I404 - MIN('ALL(responses)'!I$2:I$681)) / (MAX('ALL(responses)'!I$2:I$681)-MIN('ALL(responses)'!I$2:I$681)),3)
</f>
        <v>0</v>
      </c>
      <c r="J404" s="6">
        <f>ROUND(('ALL(responses)'!J404 - MIN('ALL(responses)'!J$2:J$681)) / (MAX('ALL(responses)'!J$2:J$681)-MIN('ALL(responses)'!J$2:J$681)),3)
</f>
        <v>0.5</v>
      </c>
      <c r="K404" s="6">
        <f>ROUND(('ALL(responses)'!K404 - MIN('ALL(responses)'!K$2:K$681)) / (MAX('ALL(responses)'!K$2:K$681)-MIN('ALL(responses)'!K$2:K$681)),3)
</f>
        <v>0.217</v>
      </c>
      <c r="L404" s="6">
        <f>ROUND(('ALL(responses)'!L404 - MIN('ALL(responses)'!L$2:L$681)) / (MAX('ALL(responses)'!L$2:L$681)-MIN('ALL(responses)'!L$2:L$681)),3)
</f>
        <v>0.703</v>
      </c>
      <c r="M404" s="6">
        <f>ROUND(('ALL(responses)'!M404 - MIN('ALL(responses)'!M$2:M$681)) / (MAX('ALL(responses)'!M$2:M$681)-MIN('ALL(responses)'!M$2:M$681)),3)
</f>
        <v>0.408</v>
      </c>
      <c r="N404" s="6">
        <f>ROUND(('ALL(responses)'!P404 - MIN('ALL(responses)'!P$2:P$681)) / (MAX('ALL(responses)'!P$2:P$681)-MIN('ALL(responses)'!P$2:P$681)),3)
</f>
        <v>0.324</v>
      </c>
      <c r="O404" s="6">
        <f>ROUND(('ALL(responses)'!Q404 - MIN('ALL(responses)'!Q$2:Q$681)) / (MAX('ALL(responses)'!Q$2:Q$681)-MIN('ALL(responses)'!Q$2:Q$681)),3)
</f>
        <v>0.352</v>
      </c>
      <c r="P404" s="6">
        <f>ROUND(('ALL(responses)'!R404 - MIN('ALL(responses)'!R$2:R$681)) / (MAX('ALL(responses)'!R$2:R$681)-MIN('ALL(responses)'!R$2:R$681)),3)
</f>
        <v>0.906</v>
      </c>
      <c r="Q404" s="6">
        <f>ROUND(('ALL(responses)'!S404 - MIN('ALL(responses)'!S$2:S$681)) / (MAX('ALL(responses)'!S$2:S$681)-MIN('ALL(responses)'!S$2:S$681)),3)
</f>
        <v>0.953</v>
      </c>
      <c r="R404" s="6">
        <f>ROUND(('ALL(responses)'!T404 - MIN('ALL(responses)'!T$2:T$681)) / (MAX('ALL(responses)'!T$2:T$681)-MIN('ALL(responses)'!T$2:T$681)),3)
</f>
        <v>0.413</v>
      </c>
      <c r="S404" s="6">
        <f t="shared" si="1"/>
        <v>0.4058461538</v>
      </c>
    </row>
    <row r="405">
      <c r="A405" s="5" t="str">
        <f>'ALL(responses)'!A405</f>
        <v>A_NEUTRAL</v>
      </c>
      <c r="B405" s="6" t="str">
        <f>'ALL(responses)'!B405</f>
        <v>gpt-4o-2024-05-13</v>
      </c>
      <c r="C405" s="49" t="str">
        <f>'ALL(responses)'!C405</f>
        <v>How’s work going for you these days?</v>
      </c>
      <c r="D405" s="49" t="str">
        <f>'ALL(responses)'!D405</f>
        <v>As an AI, my work is continuous and doesn't change in the way a human's job might. My purpose is to provide assistance and information whenever you need it. How can I assist you today?</v>
      </c>
      <c r="E405" s="50">
        <f>'ALL(responses)'!E405</f>
        <v>45425</v>
      </c>
      <c r="F405" s="6">
        <f>ROUND(('ALL(responses)'!F405 - MIN('ALL(responses)'!F$2:F$681)) / (MAX('ALL(responses)'!F$2:F$681)-MIN('ALL(responses)'!F$2:F$681)),3)
</f>
        <v>0</v>
      </c>
      <c r="G405" s="6">
        <f>ROUND(('ALL(responses)'!G405 - MIN('ALL(responses)'!G$2:G$681)) / (MAX('ALL(responses)'!G$2:G$681)-MIN('ALL(responses)'!G$2:G$681)),3)
</f>
        <v>0</v>
      </c>
      <c r="H405" s="6">
        <f>ROUND(('ALL(responses)'!H405 - MIN('ALL(responses)'!H$2:H$681)) / (MAX('ALL(responses)'!H$2:H$681)-MIN('ALL(responses)'!H$2:H$681)),3)
</f>
        <v>0</v>
      </c>
      <c r="I405" s="6">
        <f>ROUND(('ALL(responses)'!I405 - MIN('ALL(responses)'!I$2:I$681)) / (MAX('ALL(responses)'!I$2:I$681)-MIN('ALL(responses)'!I$2:I$681)),3)
</f>
        <v>0</v>
      </c>
      <c r="J405" s="6">
        <f>ROUND(('ALL(responses)'!J405 - MIN('ALL(responses)'!J$2:J$681)) / (MAX('ALL(responses)'!J$2:J$681)-MIN('ALL(responses)'!J$2:J$681)),3)
</f>
        <v>0.5</v>
      </c>
      <c r="K405" s="6">
        <f>ROUND(('ALL(responses)'!K405 - MIN('ALL(responses)'!K$2:K$681)) / (MAX('ALL(responses)'!K$2:K$681)-MIN('ALL(responses)'!K$2:K$681)),3)
</f>
        <v>0.578</v>
      </c>
      <c r="L405" s="6">
        <f>ROUND(('ALL(responses)'!L405 - MIN('ALL(responses)'!L$2:L$681)) / (MAX('ALL(responses)'!L$2:L$681)-MIN('ALL(responses)'!L$2:L$681)),3)
</f>
        <v>0.376</v>
      </c>
      <c r="M405" s="6">
        <f>ROUND(('ALL(responses)'!M405 - MIN('ALL(responses)'!M$2:M$681)) / (MAX('ALL(responses)'!M$2:M$681)-MIN('ALL(responses)'!M$2:M$681)),3)
</f>
        <v>0.276</v>
      </c>
      <c r="N405" s="6">
        <f>ROUND(('ALL(responses)'!P405 - MIN('ALL(responses)'!P$2:P$681)) / (MAX('ALL(responses)'!P$2:P$681)-MIN('ALL(responses)'!P$2:P$681)),3)
</f>
        <v>0.595</v>
      </c>
      <c r="O405" s="6">
        <f>ROUND(('ALL(responses)'!Q405 - MIN('ALL(responses)'!Q$2:Q$681)) / (MAX('ALL(responses)'!Q$2:Q$681)-MIN('ALL(responses)'!Q$2:Q$681)),3)
</f>
        <v>0.771</v>
      </c>
      <c r="P405" s="6">
        <f>ROUND(('ALL(responses)'!R405 - MIN('ALL(responses)'!R$2:R$681)) / (MAX('ALL(responses)'!R$2:R$681)-MIN('ALL(responses)'!R$2:R$681)),3)
</f>
        <v>0</v>
      </c>
      <c r="Q405" s="6">
        <f>ROUND(('ALL(responses)'!S405 - MIN('ALL(responses)'!S$2:S$681)) / (MAX('ALL(responses)'!S$2:S$681)-MIN('ALL(responses)'!S$2:S$681)),3)
</f>
        <v>0.5</v>
      </c>
      <c r="R405" s="6">
        <f>ROUND(('ALL(responses)'!T405 - MIN('ALL(responses)'!T$2:T$681)) / (MAX('ALL(responses)'!T$2:T$681)-MIN('ALL(responses)'!T$2:T$681)),3)
</f>
        <v>0.246</v>
      </c>
      <c r="S405" s="6">
        <f t="shared" si="1"/>
        <v>0.2955384615</v>
      </c>
    </row>
    <row r="406">
      <c r="A406" s="5" t="str">
        <f>'ALL(responses)'!A406</f>
        <v>A_NEUTRAL</v>
      </c>
      <c r="B406" s="6" t="str">
        <f>'ALL(responses)'!B406</f>
        <v>gpt-4o-2024-05-13</v>
      </c>
      <c r="C406" s="49" t="str">
        <f>'ALL(responses)'!C406</f>
        <v>Have you had any interesting projects come up recently?</v>
      </c>
      <c r="D406" s="49" t="str">
        <f>'ALL(responses)'!D406</f>
        <v>I don't undertake projects or experience events in the way humans do, but I can certainly help you with any interesting projects you might be working on! Whether it's a work assignment, a personal project, or a new hobby, feel free to share what you're working on, and I'll do my best to provide useful information or assistance. What project are you currently excited about?</v>
      </c>
      <c r="E406" s="50">
        <f>'ALL(responses)'!E406</f>
        <v>45425</v>
      </c>
      <c r="F406" s="6">
        <f>ROUND(('ALL(responses)'!F406 - MIN('ALL(responses)'!F$2:F$681)) / (MAX('ALL(responses)'!F$2:F$681)-MIN('ALL(responses)'!F$2:F$681)),3)
</f>
        <v>0.5</v>
      </c>
      <c r="G406" s="6">
        <f>ROUND(('ALL(responses)'!G406 - MIN('ALL(responses)'!G$2:G$681)) / (MAX('ALL(responses)'!G$2:G$681)-MIN('ALL(responses)'!G$2:G$681)),3)
</f>
        <v>1</v>
      </c>
      <c r="H406" s="6">
        <f>ROUND(('ALL(responses)'!H406 - MIN('ALL(responses)'!H$2:H$681)) / (MAX('ALL(responses)'!H$2:H$681)-MIN('ALL(responses)'!H$2:H$681)),3)
</f>
        <v>0</v>
      </c>
      <c r="I406" s="6">
        <f>ROUND(('ALL(responses)'!I406 - MIN('ALL(responses)'!I$2:I$681)) / (MAX('ALL(responses)'!I$2:I$681)-MIN('ALL(responses)'!I$2:I$681)),3)
</f>
        <v>0</v>
      </c>
      <c r="J406" s="6">
        <f>ROUND(('ALL(responses)'!J406 - MIN('ALL(responses)'!J$2:J$681)) / (MAX('ALL(responses)'!J$2:J$681)-MIN('ALL(responses)'!J$2:J$681)),3)
</f>
        <v>0.5</v>
      </c>
      <c r="K406" s="6">
        <f>ROUND(('ALL(responses)'!K406 - MIN('ALL(responses)'!K$2:K$681)) / (MAX('ALL(responses)'!K$2:K$681)-MIN('ALL(responses)'!K$2:K$681)),3)
</f>
        <v>0.464</v>
      </c>
      <c r="L406" s="6">
        <f>ROUND(('ALL(responses)'!L406 - MIN('ALL(responses)'!L$2:L$681)) / (MAX('ALL(responses)'!L$2:L$681)-MIN('ALL(responses)'!L$2:L$681)),3)
</f>
        <v>0.759</v>
      </c>
      <c r="M406" s="6">
        <f>ROUND(('ALL(responses)'!M406 - MIN('ALL(responses)'!M$2:M$681)) / (MAX('ALL(responses)'!M$2:M$681)-MIN('ALL(responses)'!M$2:M$681)),3)
</f>
        <v>0.527</v>
      </c>
      <c r="N406" s="6">
        <f>ROUND(('ALL(responses)'!P406 - MIN('ALL(responses)'!P$2:P$681)) / (MAX('ALL(responses)'!P$2:P$681)-MIN('ALL(responses)'!P$2:P$681)),3)
</f>
        <v>0.478</v>
      </c>
      <c r="O406" s="6">
        <f>ROUND(('ALL(responses)'!Q406 - MIN('ALL(responses)'!Q$2:Q$681)) / (MAX('ALL(responses)'!Q$2:Q$681)-MIN('ALL(responses)'!Q$2:Q$681)),3)
</f>
        <v>0.554</v>
      </c>
      <c r="P406" s="6">
        <f>ROUND(('ALL(responses)'!R406 - MIN('ALL(responses)'!R$2:R$681)) / (MAX('ALL(responses)'!R$2:R$681)-MIN('ALL(responses)'!R$2:R$681)),3)
</f>
        <v>0.986</v>
      </c>
      <c r="Q406" s="6">
        <f>ROUND(('ALL(responses)'!S406 - MIN('ALL(responses)'!S$2:S$681)) / (MAX('ALL(responses)'!S$2:S$681)-MIN('ALL(responses)'!S$2:S$681)),3)
</f>
        <v>0.993</v>
      </c>
      <c r="R406" s="6">
        <f>ROUND(('ALL(responses)'!T406 - MIN('ALL(responses)'!T$2:T$681)) / (MAX('ALL(responses)'!T$2:T$681)-MIN('ALL(responses)'!T$2:T$681)),3)
</f>
        <v>0.467</v>
      </c>
      <c r="S406" s="6">
        <f t="shared" si="1"/>
        <v>0.556</v>
      </c>
    </row>
    <row r="407">
      <c r="A407" s="5" t="str">
        <f>'ALL(responses)'!A407</f>
        <v>A_NEUTRAL</v>
      </c>
      <c r="B407" s="6" t="str">
        <f>'ALL(responses)'!B407</f>
        <v>gpt-4o-2024-05-13</v>
      </c>
      <c r="C407" s="49" t="str">
        <f>'ALL(responses)'!C407</f>
        <v>It’s been pretty cold lately, has that affected your routine?</v>
      </c>
      <c r="D407" s="49" t="str">
        <f>'ALL(responses)'!D407</f>
        <v>I don't have a physical presence or routine, so changes in weather don't affect me. However, I can offer tips and suggestions on how to handle cold weather if you're experiencing it. For instance, staying warm, maintaining your home, and finding enjoyable activities indoors are important during colder months.Is there something specific you need help with related to the cold weather?</v>
      </c>
      <c r="E407" s="50">
        <f>'ALL(responses)'!E407</f>
        <v>45425</v>
      </c>
      <c r="F407" s="6">
        <f>ROUND(('ALL(responses)'!F407 - MIN('ALL(responses)'!F$2:F$681)) / (MAX('ALL(responses)'!F$2:F$681)-MIN('ALL(responses)'!F$2:F$681)),3)
</f>
        <v>0</v>
      </c>
      <c r="G407" s="6">
        <f>ROUND(('ALL(responses)'!G407 - MIN('ALL(responses)'!G$2:G$681)) / (MAX('ALL(responses)'!G$2:G$681)-MIN('ALL(responses)'!G$2:G$681)),3)
</f>
        <v>0</v>
      </c>
      <c r="H407" s="6">
        <f>ROUND(('ALL(responses)'!H407 - MIN('ALL(responses)'!H$2:H$681)) / (MAX('ALL(responses)'!H$2:H$681)-MIN('ALL(responses)'!H$2:H$681)),3)
</f>
        <v>0</v>
      </c>
      <c r="I407" s="6">
        <f>ROUND(('ALL(responses)'!I407 - MIN('ALL(responses)'!I$2:I$681)) / (MAX('ALL(responses)'!I$2:I$681)-MIN('ALL(responses)'!I$2:I$681)),3)
</f>
        <v>0</v>
      </c>
      <c r="J407" s="6">
        <f>ROUND(('ALL(responses)'!J407 - MIN('ALL(responses)'!J$2:J$681)) / (MAX('ALL(responses)'!J$2:J$681)-MIN('ALL(responses)'!J$2:J$681)),3)
</f>
        <v>0.5</v>
      </c>
      <c r="K407" s="6">
        <f>ROUND(('ALL(responses)'!K407 - MIN('ALL(responses)'!K$2:K$681)) / (MAX('ALL(responses)'!K$2:K$681)-MIN('ALL(responses)'!K$2:K$681)),3)
</f>
        <v>0.124</v>
      </c>
      <c r="L407" s="6">
        <f>ROUND(('ALL(responses)'!L407 - MIN('ALL(responses)'!L$2:L$681)) / (MAX('ALL(responses)'!L$2:L$681)-MIN('ALL(responses)'!L$2:L$681)),3)
</f>
        <v>0.319</v>
      </c>
      <c r="M407" s="6">
        <f>ROUND(('ALL(responses)'!M407 - MIN('ALL(responses)'!M$2:M$681)) / (MAX('ALL(responses)'!M$2:M$681)-MIN('ALL(responses)'!M$2:M$681)),3)
</f>
        <v>0.41</v>
      </c>
      <c r="N407" s="6">
        <f>ROUND(('ALL(responses)'!P407 - MIN('ALL(responses)'!P$2:P$681)) / (MAX('ALL(responses)'!P$2:P$681)-MIN('ALL(responses)'!P$2:P$681)),3)
</f>
        <v>0.169</v>
      </c>
      <c r="O407" s="6">
        <f>ROUND(('ALL(responses)'!Q407 - MIN('ALL(responses)'!Q$2:Q$681)) / (MAX('ALL(responses)'!Q$2:Q$681)-MIN('ALL(responses)'!Q$2:Q$681)),3)
</f>
        <v>0.516</v>
      </c>
      <c r="P407" s="6">
        <f>ROUND(('ALL(responses)'!R407 - MIN('ALL(responses)'!R$2:R$681)) / (MAX('ALL(responses)'!R$2:R$681)-MIN('ALL(responses)'!R$2:R$681)),3)
</f>
        <v>0.807</v>
      </c>
      <c r="Q407" s="6">
        <f>ROUND(('ALL(responses)'!S407 - MIN('ALL(responses)'!S$2:S$681)) / (MAX('ALL(responses)'!S$2:S$681)-MIN('ALL(responses)'!S$2:S$681)),3)
</f>
        <v>0.904</v>
      </c>
      <c r="R407" s="6">
        <f>ROUND(('ALL(responses)'!T407 - MIN('ALL(responses)'!T$2:T$681)) / (MAX('ALL(responses)'!T$2:T$681)-MIN('ALL(responses)'!T$2:T$681)),3)
</f>
        <v>0.516</v>
      </c>
      <c r="S407" s="6">
        <f t="shared" si="1"/>
        <v>0.3280769231</v>
      </c>
    </row>
    <row r="408">
      <c r="A408" s="5" t="str">
        <f>'ALL(responses)'!A408</f>
        <v>A_NEUTRAL</v>
      </c>
      <c r="B408" s="6" t="str">
        <f>'ALL(responses)'!B408</f>
        <v>gpt-4o-2024-05-13</v>
      </c>
      <c r="C408" s="49" t="str">
        <f>'ALL(responses)'!C408</f>
        <v>Got any big plans for the weekend?</v>
      </c>
      <c r="D408" s="49" t="str">
        <f>'ALL(responses)'!D408</f>
        <v>As an AI, I don't have personal plans or activities, but I can certainly help you plan your weekend! Whether you're looking for fun activities, recipes to try, movies to watch, or anything else, I'm here to help.What do you have in mind for your weekend?</v>
      </c>
      <c r="E408" s="50">
        <f>'ALL(responses)'!E408</f>
        <v>45425</v>
      </c>
      <c r="F408" s="6">
        <f>ROUND(('ALL(responses)'!F408 - MIN('ALL(responses)'!F$2:F$681)) / (MAX('ALL(responses)'!F$2:F$681)-MIN('ALL(responses)'!F$2:F$681)),3)
</f>
        <v>0.5</v>
      </c>
      <c r="G408" s="6">
        <f>ROUND(('ALL(responses)'!G408 - MIN('ALL(responses)'!G$2:G$681)) / (MAX('ALL(responses)'!G$2:G$681)-MIN('ALL(responses)'!G$2:G$681)),3)
</f>
        <v>0</v>
      </c>
      <c r="H408" s="6">
        <f>ROUND(('ALL(responses)'!H408 - MIN('ALL(responses)'!H$2:H$681)) / (MAX('ALL(responses)'!H$2:H$681)-MIN('ALL(responses)'!H$2:H$681)),3)
</f>
        <v>0</v>
      </c>
      <c r="I408" s="6">
        <f>ROUND(('ALL(responses)'!I408 - MIN('ALL(responses)'!I$2:I$681)) / (MAX('ALL(responses)'!I$2:I$681)-MIN('ALL(responses)'!I$2:I$681)),3)
</f>
        <v>0</v>
      </c>
      <c r="J408" s="6">
        <f>ROUND(('ALL(responses)'!J408 - MIN('ALL(responses)'!J$2:J$681)) / (MAX('ALL(responses)'!J$2:J$681)-MIN('ALL(responses)'!J$2:J$681)),3)
</f>
        <v>0.5</v>
      </c>
      <c r="K408" s="6">
        <f>ROUND(('ALL(responses)'!K408 - MIN('ALL(responses)'!K$2:K$681)) / (MAX('ALL(responses)'!K$2:K$681)-MIN('ALL(responses)'!K$2:K$681)),3)
</f>
        <v>0.016</v>
      </c>
      <c r="L408" s="6">
        <f>ROUND(('ALL(responses)'!L408 - MIN('ALL(responses)'!L$2:L$681)) / (MAX('ALL(responses)'!L$2:L$681)-MIN('ALL(responses)'!L$2:L$681)),3)
</f>
        <v>0.297</v>
      </c>
      <c r="M408" s="6">
        <f>ROUND(('ALL(responses)'!M408 - MIN('ALL(responses)'!M$2:M$681)) / (MAX('ALL(responses)'!M$2:M$681)-MIN('ALL(responses)'!M$2:M$681)),3)
</f>
        <v>0.616</v>
      </c>
      <c r="N408" s="6">
        <f>ROUND(('ALL(responses)'!P408 - MIN('ALL(responses)'!P$2:P$681)) / (MAX('ALL(responses)'!P$2:P$681)-MIN('ALL(responses)'!P$2:P$681)),3)
</f>
        <v>0.22</v>
      </c>
      <c r="O408" s="6">
        <f>ROUND(('ALL(responses)'!Q408 - MIN('ALL(responses)'!Q$2:Q$681)) / (MAX('ALL(responses)'!Q$2:Q$681)-MIN('ALL(responses)'!Q$2:Q$681)),3)
</f>
        <v>0.685</v>
      </c>
      <c r="P408" s="6">
        <f>ROUND(('ALL(responses)'!R408 - MIN('ALL(responses)'!R$2:R$681)) / (MAX('ALL(responses)'!R$2:R$681)-MIN('ALL(responses)'!R$2:R$681)),3)
</f>
        <v>0.908</v>
      </c>
      <c r="Q408" s="6">
        <f>ROUND(('ALL(responses)'!S408 - MIN('ALL(responses)'!S$2:S$681)) / (MAX('ALL(responses)'!S$2:S$681)-MIN('ALL(responses)'!S$2:S$681)),3)
</f>
        <v>0.954</v>
      </c>
      <c r="R408" s="6">
        <f>ROUND(('ALL(responses)'!T408 - MIN('ALL(responses)'!T$2:T$681)) / (MAX('ALL(responses)'!T$2:T$681)-MIN('ALL(responses)'!T$2:T$681)),3)
</f>
        <v>0.447</v>
      </c>
      <c r="S408" s="6">
        <f t="shared" si="1"/>
        <v>0.3956153846</v>
      </c>
    </row>
    <row r="409">
      <c r="A409" s="5" t="str">
        <f>'ALL(responses)'!A409</f>
        <v>A_NEUTRAL</v>
      </c>
      <c r="B409" s="6" t="str">
        <f>'ALL(responses)'!B409</f>
        <v>gpt-4o-2024-05-13</v>
      </c>
      <c r="C409" s="49" t="str">
        <f>'ALL(responses)'!C409</f>
        <v>What’s something new you’ve tried recently?</v>
      </c>
      <c r="D409" s="49" t="str">
        <f>'ALL(responses)'!D409</f>
        <v>As an AI, I don't have the ability to try new things or have experiences. However, I'm constantly updated with new information and can provide the latest advice, ideas, and resources to help you try something new.Is there something specific you're interested in exploring or trying out? Whether it's a new hobby, recipe, book, or activity, I'd be happy to provide some recommendations!</v>
      </c>
      <c r="E409" s="50">
        <f>'ALL(responses)'!E409</f>
        <v>45425</v>
      </c>
      <c r="F409" s="6">
        <f>ROUND(('ALL(responses)'!F409 - MIN('ALL(responses)'!F$2:F$681)) / (MAX('ALL(responses)'!F$2:F$681)-MIN('ALL(responses)'!F$2:F$681)),3)
</f>
        <v>0.5</v>
      </c>
      <c r="G409" s="6">
        <f>ROUND(('ALL(responses)'!G409 - MIN('ALL(responses)'!G$2:G$681)) / (MAX('ALL(responses)'!G$2:G$681)-MIN('ALL(responses)'!G$2:G$681)),3)
</f>
        <v>1</v>
      </c>
      <c r="H409" s="6">
        <f>ROUND(('ALL(responses)'!H409 - MIN('ALL(responses)'!H$2:H$681)) / (MAX('ALL(responses)'!H$2:H$681)-MIN('ALL(responses)'!H$2:H$681)),3)
</f>
        <v>0</v>
      </c>
      <c r="I409" s="6">
        <f>ROUND(('ALL(responses)'!I409 - MIN('ALL(responses)'!I$2:I$681)) / (MAX('ALL(responses)'!I$2:I$681)-MIN('ALL(responses)'!I$2:I$681)),3)
</f>
        <v>0</v>
      </c>
      <c r="J409" s="6">
        <f>ROUND(('ALL(responses)'!J409 - MIN('ALL(responses)'!J$2:J$681)) / (MAX('ALL(responses)'!J$2:J$681)-MIN('ALL(responses)'!J$2:J$681)),3)
</f>
        <v>0.5</v>
      </c>
      <c r="K409" s="6">
        <f>ROUND(('ALL(responses)'!K409 - MIN('ALL(responses)'!K$2:K$681)) / (MAX('ALL(responses)'!K$2:K$681)-MIN('ALL(responses)'!K$2:K$681)),3)
</f>
        <v>0.336</v>
      </c>
      <c r="L409" s="6">
        <f>ROUND(('ALL(responses)'!L409 - MIN('ALL(responses)'!L$2:L$681)) / (MAX('ALL(responses)'!L$2:L$681)-MIN('ALL(responses)'!L$2:L$681)),3)
</f>
        <v>0.642</v>
      </c>
      <c r="M409" s="6">
        <f>ROUND(('ALL(responses)'!M409 - MIN('ALL(responses)'!M$2:M$681)) / (MAX('ALL(responses)'!M$2:M$681)-MIN('ALL(responses)'!M$2:M$681)),3)
</f>
        <v>0.34</v>
      </c>
      <c r="N409" s="6">
        <f>ROUND(('ALL(responses)'!P409 - MIN('ALL(responses)'!P$2:P$681)) / (MAX('ALL(responses)'!P$2:P$681)-MIN('ALL(responses)'!P$2:P$681)),3)
</f>
        <v>0.159</v>
      </c>
      <c r="O409" s="6">
        <f>ROUND(('ALL(responses)'!Q409 - MIN('ALL(responses)'!Q$2:Q$681)) / (MAX('ALL(responses)'!Q$2:Q$681)-MIN('ALL(responses)'!Q$2:Q$681)),3)
</f>
        <v>0.286</v>
      </c>
      <c r="P409" s="6">
        <f>ROUND(('ALL(responses)'!R409 - MIN('ALL(responses)'!R$2:R$681)) / (MAX('ALL(responses)'!R$2:R$681)-MIN('ALL(responses)'!R$2:R$681)),3)
</f>
        <v>0.814</v>
      </c>
      <c r="Q409" s="6">
        <f>ROUND(('ALL(responses)'!S409 - MIN('ALL(responses)'!S$2:S$681)) / (MAX('ALL(responses)'!S$2:S$681)-MIN('ALL(responses)'!S$2:S$681)),3)
</f>
        <v>0.907</v>
      </c>
      <c r="R409" s="6">
        <f>ROUND(('ALL(responses)'!T409 - MIN('ALL(responses)'!T$2:T$681)) / (MAX('ALL(responses)'!T$2:T$681)-MIN('ALL(responses)'!T$2:T$681)),3)
</f>
        <v>0.468</v>
      </c>
      <c r="S409" s="6">
        <f t="shared" si="1"/>
        <v>0.4578461538</v>
      </c>
    </row>
    <row r="410">
      <c r="A410" s="5" t="str">
        <f>'ALL(responses)'!A410</f>
        <v>A_NEUTRAL</v>
      </c>
      <c r="B410" s="6" t="str">
        <f>'ALL(responses)'!B410</f>
        <v>gpt-4o-2024-05-13</v>
      </c>
      <c r="C410" s="49" t="str">
        <f>'ALL(responses)'!C410</f>
        <v>Do you work on a team or more independently?</v>
      </c>
      <c r="D410" s="49" t="str">
        <f>'ALL(responses)'!D410</f>
        <v>As an AI, I function independently in response to user queries. However, I am a result of the collaborative efforts of a large team of researchers, developers, and engineers who created and maintain me. Additionally, my responses can be influenced by vast amounts of data and information generated and shared by numerous people and sources.If you're curious about teamwork or independent work in general, or if you have questions about managing projects, collaborating effectively, or working solo, feel free to ask!</v>
      </c>
      <c r="E410" s="50">
        <f>'ALL(responses)'!E410</f>
        <v>45425</v>
      </c>
      <c r="F410" s="6">
        <f>ROUND(('ALL(responses)'!F410 - MIN('ALL(responses)'!F$2:F$681)) / (MAX('ALL(responses)'!F$2:F$681)-MIN('ALL(responses)'!F$2:F$681)),3)
</f>
        <v>0</v>
      </c>
      <c r="G410" s="6">
        <f>ROUND(('ALL(responses)'!G410 - MIN('ALL(responses)'!G$2:G$681)) / (MAX('ALL(responses)'!G$2:G$681)-MIN('ALL(responses)'!G$2:G$681)),3)
</f>
        <v>1</v>
      </c>
      <c r="H410" s="6">
        <f>ROUND(('ALL(responses)'!H410 - MIN('ALL(responses)'!H$2:H$681)) / (MAX('ALL(responses)'!H$2:H$681)-MIN('ALL(responses)'!H$2:H$681)),3)
</f>
        <v>0</v>
      </c>
      <c r="I410" s="6">
        <f>ROUND(('ALL(responses)'!I410 - MIN('ALL(responses)'!I$2:I$681)) / (MAX('ALL(responses)'!I$2:I$681)-MIN('ALL(responses)'!I$2:I$681)),3)
</f>
        <v>0</v>
      </c>
      <c r="J410" s="6">
        <f>ROUND(('ALL(responses)'!J410 - MIN('ALL(responses)'!J$2:J$681)) / (MAX('ALL(responses)'!J$2:J$681)-MIN('ALL(responses)'!J$2:J$681)),3)
</f>
        <v>0.5</v>
      </c>
      <c r="K410" s="6">
        <f>ROUND(('ALL(responses)'!K410 - MIN('ALL(responses)'!K$2:K$681)) / (MAX('ALL(responses)'!K$2:K$681)-MIN('ALL(responses)'!K$2:K$681)),3)
</f>
        <v>0.436</v>
      </c>
      <c r="L410" s="6">
        <f>ROUND(('ALL(responses)'!L410 - MIN('ALL(responses)'!L$2:L$681)) / (MAX('ALL(responses)'!L$2:L$681)-MIN('ALL(responses)'!L$2:L$681)),3)
</f>
        <v>0.454</v>
      </c>
      <c r="M410" s="6">
        <f>ROUND(('ALL(responses)'!M410 - MIN('ALL(responses)'!M$2:M$681)) / (MAX('ALL(responses)'!M$2:M$681)-MIN('ALL(responses)'!M$2:M$681)),3)
</f>
        <v>0</v>
      </c>
      <c r="N410" s="6">
        <f>ROUND(('ALL(responses)'!P410 - MIN('ALL(responses)'!P$2:P$681)) / (MAX('ALL(responses)'!P$2:P$681)-MIN('ALL(responses)'!P$2:P$681)),3)
</f>
        <v>0.398</v>
      </c>
      <c r="O410" s="6">
        <f>ROUND(('ALL(responses)'!Q410 - MIN('ALL(responses)'!Q$2:Q$681)) / (MAX('ALL(responses)'!Q$2:Q$681)-MIN('ALL(responses)'!Q$2:Q$681)),3)
</f>
        <v>0.333</v>
      </c>
      <c r="P410" s="6">
        <f>ROUND(('ALL(responses)'!R410 - MIN('ALL(responses)'!R$2:R$681)) / (MAX('ALL(responses)'!R$2:R$681)-MIN('ALL(responses)'!R$2:R$681)),3)
</f>
        <v>0.904</v>
      </c>
      <c r="Q410" s="6">
        <f>ROUND(('ALL(responses)'!S410 - MIN('ALL(responses)'!S$2:S$681)) / (MAX('ALL(responses)'!S$2:S$681)-MIN('ALL(responses)'!S$2:S$681)),3)
</f>
        <v>0.952</v>
      </c>
      <c r="R410" s="6">
        <f>ROUND(('ALL(responses)'!T410 - MIN('ALL(responses)'!T$2:T$681)) / (MAX('ALL(responses)'!T$2:T$681)-MIN('ALL(responses)'!T$2:T$681)),3)
</f>
        <v>0.702</v>
      </c>
      <c r="S410" s="6">
        <f t="shared" si="1"/>
        <v>0.4368461538</v>
      </c>
    </row>
    <row r="411">
      <c r="A411" s="5" t="str">
        <f>'ALL(responses)'!A411</f>
        <v>A_NEUTRAL</v>
      </c>
      <c r="B411" s="6" t="str">
        <f>'ALL(responses)'!B411</f>
        <v>gpt-4o-2024-05-13</v>
      </c>
      <c r="C411" s="49" t="str">
        <f>'ALL(responses)'!C411</f>
        <v>How do you handle stress at work when things get busy?</v>
      </c>
      <c r="D411" s="49" t="str">
        <f>'ALL(responses)'!D411</f>
        <v>As an AI, I don't experience stress or emotions, nor do I get overwhelmed by busy periods. I'm designed to handle multiple queries and tasks efficiently and continuously. However, I can certainly offer advice on how humans can manage stress during busy times. Here are some strategies that might help:1. **Prioritize Tasks:** Focus on completing the most important or time-sensitive tasks first.2. **Take Breaks:** Short breaks can help refresh your mind and improve productivity.3. **Stay Organized:** Use tools like to-do lists, calendars, and project management software to keep track of tasks and deadlines.4. **Practice Mindfulness:** Techniques such as deep breathing, meditation, or mindfulness exercises can help reduce stress.5. **Stay Healthy:** Regular exercise, a balanced diet, and adequate sleep are crucial for managing stress.6. **Seek Support:** Don’t hesitate to ask colleagues for help if you're feeling overwhelmed.7. **Set Boundaries:** Make sure to set limits on your work hours to avoid burnout.8. **Stay Positive:** Try to maintain a positive attitude and remind yourself of past successes and what you've accomplished so far.If you need more detailed advice or have a specific situation in mind, feel free to share!</v>
      </c>
      <c r="E411" s="50">
        <f>'ALL(responses)'!E411</f>
        <v>45425</v>
      </c>
      <c r="F411" s="6">
        <f>ROUND(('ALL(responses)'!F411 - MIN('ALL(responses)'!F$2:F$681)) / (MAX('ALL(responses)'!F$2:F$681)-MIN('ALL(responses)'!F$2:F$681)),3)
</f>
        <v>0.5</v>
      </c>
      <c r="G411" s="6">
        <f>ROUND(('ALL(responses)'!G411 - MIN('ALL(responses)'!G$2:G$681)) / (MAX('ALL(responses)'!G$2:G$681)-MIN('ALL(responses)'!G$2:G$681)),3)
</f>
        <v>1</v>
      </c>
      <c r="H411" s="6">
        <f>ROUND(('ALL(responses)'!H411 - MIN('ALL(responses)'!H$2:H$681)) / (MAX('ALL(responses)'!H$2:H$681)-MIN('ALL(responses)'!H$2:H$681)),3)
</f>
        <v>0</v>
      </c>
      <c r="I411" s="6">
        <f>ROUND(('ALL(responses)'!I411 - MIN('ALL(responses)'!I$2:I$681)) / (MAX('ALL(responses)'!I$2:I$681)-MIN('ALL(responses)'!I$2:I$681)),3)
</f>
        <v>0</v>
      </c>
      <c r="J411" s="6">
        <f>ROUND(('ALL(responses)'!J411 - MIN('ALL(responses)'!J$2:J$681)) / (MAX('ALL(responses)'!J$2:J$681)-MIN('ALL(responses)'!J$2:J$681)),3)
</f>
        <v>0.5</v>
      </c>
      <c r="K411" s="6">
        <f>ROUND(('ALL(responses)'!K411 - MIN('ALL(responses)'!K$2:K$681)) / (MAX('ALL(responses)'!K$2:K$681)-MIN('ALL(responses)'!K$2:K$681)),3)
</f>
        <v>0.375</v>
      </c>
      <c r="L411" s="6">
        <f>ROUND(('ALL(responses)'!L411 - MIN('ALL(responses)'!L$2:L$681)) / (MAX('ALL(responses)'!L$2:L$681)-MIN('ALL(responses)'!L$2:L$681)),3)
</f>
        <v>0.432</v>
      </c>
      <c r="M411" s="6">
        <f>ROUND(('ALL(responses)'!M411 - MIN('ALL(responses)'!M$2:M$681)) / (MAX('ALL(responses)'!M$2:M$681)-MIN('ALL(responses)'!M$2:M$681)),3)
</f>
        <v>0.369</v>
      </c>
      <c r="N411" s="6">
        <f>ROUND(('ALL(responses)'!P411 - MIN('ALL(responses)'!P$2:P$681)) / (MAX('ALL(responses)'!P$2:P$681)-MIN('ALL(responses)'!P$2:P$681)),3)
</f>
        <v>0.272</v>
      </c>
      <c r="O411" s="6">
        <f>ROUND(('ALL(responses)'!Q411 - MIN('ALL(responses)'!Q$2:Q$681)) / (MAX('ALL(responses)'!Q$2:Q$681)-MIN('ALL(responses)'!Q$2:Q$681)),3)
</f>
        <v>0.194</v>
      </c>
      <c r="P411" s="6">
        <f>ROUND(('ALL(responses)'!R411 - MIN('ALL(responses)'!R$2:R$681)) / (MAX('ALL(responses)'!R$2:R$681)-MIN('ALL(responses)'!R$2:R$681)),3)
</f>
        <v>0.992</v>
      </c>
      <c r="Q411" s="6">
        <f>ROUND(('ALL(responses)'!S411 - MIN('ALL(responses)'!S$2:S$681)) / (MAX('ALL(responses)'!S$2:S$681)-MIN('ALL(responses)'!S$2:S$681)),3)
</f>
        <v>0.996</v>
      </c>
      <c r="R411" s="6">
        <f>ROUND(('ALL(responses)'!T411 - MIN('ALL(responses)'!T$2:T$681)) / (MAX('ALL(responses)'!T$2:T$681)-MIN('ALL(responses)'!T$2:T$681)),3)
</f>
        <v>0.339</v>
      </c>
      <c r="S411" s="6">
        <f t="shared" si="1"/>
        <v>0.4591538462</v>
      </c>
    </row>
    <row r="412">
      <c r="A412" s="5" t="str">
        <f>'ALL(responses)'!A412</f>
        <v>B_MILDLYINTIMATE</v>
      </c>
      <c r="B412" s="6" t="str">
        <f>'ALL(responses)'!B412</f>
        <v>gpt-4o-2024-05-13</v>
      </c>
      <c r="C412" s="49" t="str">
        <f>'ALL(responses)'!C412</f>
        <v>What's your favorite food to eat on a relaxing night in?</v>
      </c>
      <c r="D412" s="49" t="str">
        <f>'ALL(responses)'!D412</f>
        <v>Oh, that sounds lovely! For a relaxing night in, I'd go with a comforting, homemade meal. Something like a creamy pasta—maybe a fettuccine Alfredo with a fresh garden salad on the side would be perfect. Just enough indulgence but still simple to prepare. How about you?</v>
      </c>
      <c r="E412" s="50">
        <f>'ALL(responses)'!E412</f>
        <v>45425</v>
      </c>
      <c r="F412" s="6">
        <f>ROUND(('ALL(responses)'!F412 - MIN('ALL(responses)'!F$2:F$681)) / (MAX('ALL(responses)'!F$2:F$681)-MIN('ALL(responses)'!F$2:F$681)),3)
</f>
        <v>0</v>
      </c>
      <c r="G412" s="6">
        <f>ROUND(('ALL(responses)'!G412 - MIN('ALL(responses)'!G$2:G$681)) / (MAX('ALL(responses)'!G$2:G$681)-MIN('ALL(responses)'!G$2:G$681)),3)
</f>
        <v>0</v>
      </c>
      <c r="H412" s="6">
        <f>ROUND(('ALL(responses)'!H412 - MIN('ALL(responses)'!H$2:H$681)) / (MAX('ALL(responses)'!H$2:H$681)-MIN('ALL(responses)'!H$2:H$681)),3)
</f>
        <v>0</v>
      </c>
      <c r="I412" s="6">
        <f>ROUND(('ALL(responses)'!I412 - MIN('ALL(responses)'!I$2:I$681)) / (MAX('ALL(responses)'!I$2:I$681)-MIN('ALL(responses)'!I$2:I$681)),3)
</f>
        <v>0</v>
      </c>
      <c r="J412" s="6">
        <f>ROUND(('ALL(responses)'!J412 - MIN('ALL(responses)'!J$2:J$681)) / (MAX('ALL(responses)'!J$2:J$681)-MIN('ALL(responses)'!J$2:J$681)),3)
</f>
        <v>0.5</v>
      </c>
      <c r="K412" s="6">
        <f>ROUND(('ALL(responses)'!K412 - MIN('ALL(responses)'!K$2:K$681)) / (MAX('ALL(responses)'!K$2:K$681)-MIN('ALL(responses)'!K$2:K$681)),3)
</f>
        <v>0.506</v>
      </c>
      <c r="L412" s="6">
        <f>ROUND(('ALL(responses)'!L412 - MIN('ALL(responses)'!L$2:L$681)) / (MAX('ALL(responses)'!L$2:L$681)-MIN('ALL(responses)'!L$2:L$681)),3)
</f>
        <v>0.765</v>
      </c>
      <c r="M412" s="6">
        <f>ROUND(('ALL(responses)'!M412 - MIN('ALL(responses)'!M$2:M$681)) / (MAX('ALL(responses)'!M$2:M$681)-MIN('ALL(responses)'!M$2:M$681)),3)
</f>
        <v>0.394</v>
      </c>
      <c r="N412" s="6">
        <f>ROUND(('ALL(responses)'!P412 - MIN('ALL(responses)'!P$2:P$681)) / (MAX('ALL(responses)'!P$2:P$681)-MIN('ALL(responses)'!P$2:P$681)),3)
</f>
        <v>0.458</v>
      </c>
      <c r="O412" s="6">
        <f>ROUND(('ALL(responses)'!Q412 - MIN('ALL(responses)'!Q$2:Q$681)) / (MAX('ALL(responses)'!Q$2:Q$681)-MIN('ALL(responses)'!Q$2:Q$681)),3)
</f>
        <v>0.098</v>
      </c>
      <c r="P412" s="6">
        <f>ROUND(('ALL(responses)'!R412 - MIN('ALL(responses)'!R$2:R$681)) / (MAX('ALL(responses)'!R$2:R$681)-MIN('ALL(responses)'!R$2:R$681)),3)
</f>
        <v>0.855</v>
      </c>
      <c r="Q412" s="6">
        <f>ROUND(('ALL(responses)'!S412 - MIN('ALL(responses)'!S$2:S$681)) / (MAX('ALL(responses)'!S$2:S$681)-MIN('ALL(responses)'!S$2:S$681)),3)
</f>
        <v>0.928</v>
      </c>
      <c r="R412" s="6">
        <f>ROUND(('ALL(responses)'!T412 - MIN('ALL(responses)'!T$2:T$681)) / (MAX('ALL(responses)'!T$2:T$681)-MIN('ALL(responses)'!T$2:T$681)),3)
</f>
        <v>0.288</v>
      </c>
      <c r="S412" s="6">
        <f t="shared" si="1"/>
        <v>0.3686153846</v>
      </c>
    </row>
    <row r="413">
      <c r="A413" s="5" t="str">
        <f>'ALL(responses)'!A413</f>
        <v>B_MILDLYINTIMATE</v>
      </c>
      <c r="B413" s="6" t="str">
        <f>'ALL(responses)'!B413</f>
        <v>gpt-4o-2024-05-13</v>
      </c>
      <c r="C413" s="49" t="str">
        <f>'ALL(responses)'!C413</f>
        <v>Do you prefer spending time indoors or outdoors?</v>
      </c>
      <c r="D413" s="49" t="str">
        <f>'ALL(responses)'!D413</f>
        <v>It really depends on the mood and the weather! There's something incredibly cozy about spending time indoors with a good book or movie, especially when it's cold or rainy outside. On the other hand, a sunny day spent outdoors—whether it's hiking, going for a walk, or having a picnic—can be incredibly refreshing and invigorating. So, I'd say a perfect balance of both is ideal. How about you? Do you have a favorite way to spend your time?</v>
      </c>
      <c r="E413" s="50">
        <f>'ALL(responses)'!E413</f>
        <v>45425</v>
      </c>
      <c r="F413" s="6">
        <f>ROUND(('ALL(responses)'!F413 - MIN('ALL(responses)'!F$2:F$681)) / (MAX('ALL(responses)'!F$2:F$681)-MIN('ALL(responses)'!F$2:F$681)),3)
</f>
        <v>0</v>
      </c>
      <c r="G413" s="6">
        <f>ROUND(('ALL(responses)'!G413 - MIN('ALL(responses)'!G$2:G$681)) / (MAX('ALL(responses)'!G$2:G$681)-MIN('ALL(responses)'!G$2:G$681)),3)
</f>
        <v>0</v>
      </c>
      <c r="H413" s="6">
        <f>ROUND(('ALL(responses)'!H413 - MIN('ALL(responses)'!H$2:H$681)) / (MAX('ALL(responses)'!H$2:H$681)-MIN('ALL(responses)'!H$2:H$681)),3)
</f>
        <v>0</v>
      </c>
      <c r="I413" s="6">
        <f>ROUND(('ALL(responses)'!I413 - MIN('ALL(responses)'!I$2:I$681)) / (MAX('ALL(responses)'!I$2:I$681)-MIN('ALL(responses)'!I$2:I$681)),3)
</f>
        <v>0</v>
      </c>
      <c r="J413" s="6">
        <f>ROUND(('ALL(responses)'!J413 - MIN('ALL(responses)'!J$2:J$681)) / (MAX('ALL(responses)'!J$2:J$681)-MIN('ALL(responses)'!J$2:J$681)),3)
</f>
        <v>0.5</v>
      </c>
      <c r="K413" s="6">
        <f>ROUND(('ALL(responses)'!K413 - MIN('ALL(responses)'!K$2:K$681)) / (MAX('ALL(responses)'!K$2:K$681)-MIN('ALL(responses)'!K$2:K$681)),3)
</f>
        <v>0.374</v>
      </c>
      <c r="L413" s="6">
        <f>ROUND(('ALL(responses)'!L413 - MIN('ALL(responses)'!L$2:L$681)) / (MAX('ALL(responses)'!L$2:L$681)-MIN('ALL(responses)'!L$2:L$681)),3)
</f>
        <v>0.411</v>
      </c>
      <c r="M413" s="6">
        <f>ROUND(('ALL(responses)'!M413 - MIN('ALL(responses)'!M$2:M$681)) / (MAX('ALL(responses)'!M$2:M$681)-MIN('ALL(responses)'!M$2:M$681)),3)
</f>
        <v>0.509</v>
      </c>
      <c r="N413" s="6">
        <f>ROUND(('ALL(responses)'!P413 - MIN('ALL(responses)'!P$2:P$681)) / (MAX('ALL(responses)'!P$2:P$681)-MIN('ALL(responses)'!P$2:P$681)),3)
</f>
        <v>0.398</v>
      </c>
      <c r="O413" s="6">
        <f>ROUND(('ALL(responses)'!Q413 - MIN('ALL(responses)'!Q$2:Q$681)) / (MAX('ALL(responses)'!Q$2:Q$681)-MIN('ALL(responses)'!Q$2:Q$681)),3)
</f>
        <v>0.351</v>
      </c>
      <c r="P413" s="6">
        <f>ROUND(('ALL(responses)'!R413 - MIN('ALL(responses)'!R$2:R$681)) / (MAX('ALL(responses)'!R$2:R$681)-MIN('ALL(responses)'!R$2:R$681)),3)
</f>
        <v>0.971</v>
      </c>
      <c r="Q413" s="6">
        <f>ROUND(('ALL(responses)'!S413 - MIN('ALL(responses)'!S$2:S$681)) / (MAX('ALL(responses)'!S$2:S$681)-MIN('ALL(responses)'!S$2:S$681)),3)
</f>
        <v>0.985</v>
      </c>
      <c r="R413" s="6">
        <f>ROUND(('ALL(responses)'!T413 - MIN('ALL(responses)'!T$2:T$681)) / (MAX('ALL(responses)'!T$2:T$681)-MIN('ALL(responses)'!T$2:T$681)),3)
</f>
        <v>0.296</v>
      </c>
      <c r="S413" s="6">
        <f t="shared" si="1"/>
        <v>0.3688461538</v>
      </c>
    </row>
    <row r="414">
      <c r="A414" s="5" t="str">
        <f>'ALL(responses)'!A414</f>
        <v>B_MILDLYINTIMATE</v>
      </c>
      <c r="B414" s="6" t="str">
        <f>'ALL(responses)'!B414</f>
        <v>gpt-4o-2024-05-13</v>
      </c>
      <c r="C414" s="49" t="str">
        <f>'ALL(responses)'!C414</f>
        <v>What kind of music do you typically listen to?</v>
      </c>
      <c r="D414" s="49" t="str">
        <f>'ALL(responses)'!D414</f>
        <v>My taste in music is pretty eclectic! It can really depend on the mood or the activity. For a relaxing evening, I might lean towards something mellow like acoustic or jazz. If I need some energy or motivation, upbeat pop or rock is great. I also enjoy classical music for concentration and instrumental soundtracks for a bit of atmosphere. How about you? What kind of music do you enjoy?</v>
      </c>
      <c r="E414" s="50">
        <f>'ALL(responses)'!E414</f>
        <v>45425</v>
      </c>
      <c r="F414" s="6">
        <f>ROUND(('ALL(responses)'!F414 - MIN('ALL(responses)'!F$2:F$681)) / (MAX('ALL(responses)'!F$2:F$681)-MIN('ALL(responses)'!F$2:F$681)),3)
</f>
        <v>0</v>
      </c>
      <c r="G414" s="6">
        <f>ROUND(('ALL(responses)'!G414 - MIN('ALL(responses)'!G$2:G$681)) / (MAX('ALL(responses)'!G$2:G$681)-MIN('ALL(responses)'!G$2:G$681)),3)
</f>
        <v>0</v>
      </c>
      <c r="H414" s="6">
        <f>ROUND(('ALL(responses)'!H414 - MIN('ALL(responses)'!H$2:H$681)) / (MAX('ALL(responses)'!H$2:H$681)-MIN('ALL(responses)'!H$2:H$681)),3)
</f>
        <v>0</v>
      </c>
      <c r="I414" s="6">
        <f>ROUND(('ALL(responses)'!I414 - MIN('ALL(responses)'!I$2:I$681)) / (MAX('ALL(responses)'!I$2:I$681)-MIN('ALL(responses)'!I$2:I$681)),3)
</f>
        <v>0</v>
      </c>
      <c r="J414" s="6">
        <f>ROUND(('ALL(responses)'!J414 - MIN('ALL(responses)'!J$2:J$681)) / (MAX('ALL(responses)'!J$2:J$681)-MIN('ALL(responses)'!J$2:J$681)),3)
</f>
        <v>0.5</v>
      </c>
      <c r="K414" s="6">
        <f>ROUND(('ALL(responses)'!K414 - MIN('ALL(responses)'!K$2:K$681)) / (MAX('ALL(responses)'!K$2:K$681)-MIN('ALL(responses)'!K$2:K$681)),3)
</f>
        <v>0.22</v>
      </c>
      <c r="L414" s="6">
        <f>ROUND(('ALL(responses)'!L414 - MIN('ALL(responses)'!L$2:L$681)) / (MAX('ALL(responses)'!L$2:L$681)-MIN('ALL(responses)'!L$2:L$681)),3)
</f>
        <v>0.402</v>
      </c>
      <c r="M414" s="6">
        <f>ROUND(('ALL(responses)'!M414 - MIN('ALL(responses)'!M$2:M$681)) / (MAX('ALL(responses)'!M$2:M$681)-MIN('ALL(responses)'!M$2:M$681)),3)
</f>
        <v>0.346</v>
      </c>
      <c r="N414" s="6">
        <f>ROUND(('ALL(responses)'!P414 - MIN('ALL(responses)'!P$2:P$681)) / (MAX('ALL(responses)'!P$2:P$681)-MIN('ALL(responses)'!P$2:P$681)),3)
</f>
        <v>0.478</v>
      </c>
      <c r="O414" s="6">
        <f>ROUND(('ALL(responses)'!Q414 - MIN('ALL(responses)'!Q$2:Q$681)) / (MAX('ALL(responses)'!Q$2:Q$681)-MIN('ALL(responses)'!Q$2:Q$681)),3)
</f>
        <v>0.457</v>
      </c>
      <c r="P414" s="6">
        <f>ROUND(('ALL(responses)'!R414 - MIN('ALL(responses)'!R$2:R$681)) / (MAX('ALL(responses)'!R$2:R$681)-MIN('ALL(responses)'!R$2:R$681)),3)
</f>
        <v>0.974</v>
      </c>
      <c r="Q414" s="6">
        <f>ROUND(('ALL(responses)'!S414 - MIN('ALL(responses)'!S$2:S$681)) / (MAX('ALL(responses)'!S$2:S$681)-MIN('ALL(responses)'!S$2:S$681)),3)
</f>
        <v>0.987</v>
      </c>
      <c r="R414" s="6">
        <f>ROUND(('ALL(responses)'!T414 - MIN('ALL(responses)'!T$2:T$681)) / (MAX('ALL(responses)'!T$2:T$681)-MIN('ALL(responses)'!T$2:T$681)),3)
</f>
        <v>0.29</v>
      </c>
      <c r="S414" s="6">
        <f t="shared" si="1"/>
        <v>0.358</v>
      </c>
    </row>
    <row r="415">
      <c r="A415" s="5" t="str">
        <f>'ALL(responses)'!A415</f>
        <v>B_MILDLYINTIMATE</v>
      </c>
      <c r="B415" s="6" t="str">
        <f>'ALL(responses)'!B415</f>
        <v>gpt-4o-2024-05-13</v>
      </c>
      <c r="C415" s="49" t="str">
        <f>'ALL(responses)'!C415</f>
        <v>What's the best and worst thing about your favorite hobby?</v>
      </c>
      <c r="D415" s="49" t="str">
        <f>'ALL(responses)'!D415</f>
        <v>Let's take reading as an example of a favorite hobby—it's pretty common and beloved by many.The best thing about reading:- **Escapism and Learning**: Reading can transport you to different worlds, offer new perspectives, and provide a deep sense of relaxation. It's a fantastic way to unwind and enrich your mind with knowledge and stories.The worst thing about reading:- **Time-Consuming**: Sometimes it can be challenging to find the time to read as much as you'd like, especially with a busy schedule. Also, getting hooked on a great book can lead to late nights and lost sleep!What about your favorite hobby? What do you love and find challenging about it?</v>
      </c>
      <c r="E415" s="50">
        <f>'ALL(responses)'!E415</f>
        <v>45425</v>
      </c>
      <c r="F415" s="6">
        <f>ROUND(('ALL(responses)'!F415 - MIN('ALL(responses)'!F$2:F$681)) / (MAX('ALL(responses)'!F$2:F$681)-MIN('ALL(responses)'!F$2:F$681)),3)
</f>
        <v>0</v>
      </c>
      <c r="G415" s="6">
        <f>ROUND(('ALL(responses)'!G415 - MIN('ALL(responses)'!G$2:G$681)) / (MAX('ALL(responses)'!G$2:G$681)-MIN('ALL(responses)'!G$2:G$681)),3)
</f>
        <v>0</v>
      </c>
      <c r="H415" s="6">
        <f>ROUND(('ALL(responses)'!H415 - MIN('ALL(responses)'!H$2:H$681)) / (MAX('ALL(responses)'!H$2:H$681)-MIN('ALL(responses)'!H$2:H$681)),3)
</f>
        <v>0</v>
      </c>
      <c r="I415" s="6">
        <f>ROUND(('ALL(responses)'!I415 - MIN('ALL(responses)'!I$2:I$681)) / (MAX('ALL(responses)'!I$2:I$681)-MIN('ALL(responses)'!I$2:I$681)),3)
</f>
        <v>0</v>
      </c>
      <c r="J415" s="6">
        <f>ROUND(('ALL(responses)'!J415 - MIN('ALL(responses)'!J$2:J$681)) / (MAX('ALL(responses)'!J$2:J$681)-MIN('ALL(responses)'!J$2:J$681)),3)
</f>
        <v>0.5</v>
      </c>
      <c r="K415" s="6">
        <f>ROUND(('ALL(responses)'!K415 - MIN('ALL(responses)'!K$2:K$681)) / (MAX('ALL(responses)'!K$2:K$681)-MIN('ALL(responses)'!K$2:K$681)),3)
</f>
        <v>0.501</v>
      </c>
      <c r="L415" s="6">
        <f>ROUND(('ALL(responses)'!L415 - MIN('ALL(responses)'!L$2:L$681)) / (MAX('ALL(responses)'!L$2:L$681)-MIN('ALL(responses)'!L$2:L$681)),3)
</f>
        <v>0.566</v>
      </c>
      <c r="M415" s="6">
        <f>ROUND(('ALL(responses)'!M415 - MIN('ALL(responses)'!M$2:M$681)) / (MAX('ALL(responses)'!M$2:M$681)-MIN('ALL(responses)'!M$2:M$681)),3)
</f>
        <v>0.503</v>
      </c>
      <c r="N415" s="6">
        <f>ROUND(('ALL(responses)'!P415 - MIN('ALL(responses)'!P$2:P$681)) / (MAX('ALL(responses)'!P$2:P$681)-MIN('ALL(responses)'!P$2:P$681)),3)
</f>
        <v>0.658</v>
      </c>
      <c r="O415" s="6">
        <f>ROUND(('ALL(responses)'!Q415 - MIN('ALL(responses)'!Q$2:Q$681)) / (MAX('ALL(responses)'!Q$2:Q$681)-MIN('ALL(responses)'!Q$2:Q$681)),3)
</f>
        <v>0.292</v>
      </c>
      <c r="P415" s="6">
        <f>ROUND(('ALL(responses)'!R415 - MIN('ALL(responses)'!R$2:R$681)) / (MAX('ALL(responses)'!R$2:R$681)-MIN('ALL(responses)'!R$2:R$681)),3)
</f>
        <v>0.985</v>
      </c>
      <c r="Q415" s="6">
        <f>ROUND(('ALL(responses)'!S415 - MIN('ALL(responses)'!S$2:S$681)) / (MAX('ALL(responses)'!S$2:S$681)-MIN('ALL(responses)'!S$2:S$681)),3)
</f>
        <v>0.992</v>
      </c>
      <c r="R415" s="6">
        <f>ROUND(('ALL(responses)'!T415 - MIN('ALL(responses)'!T$2:T$681)) / (MAX('ALL(responses)'!T$2:T$681)-MIN('ALL(responses)'!T$2:T$681)),3)
</f>
        <v>0.412</v>
      </c>
      <c r="S415" s="6">
        <f t="shared" si="1"/>
        <v>0.4160769231</v>
      </c>
    </row>
    <row r="416">
      <c r="A416" s="5" t="str">
        <f>'ALL(responses)'!A416</f>
        <v>B_MILDLYINTIMATE</v>
      </c>
      <c r="B416" s="6" t="str">
        <f>'ALL(responses)'!B416</f>
        <v>gpt-4o-2024-05-13</v>
      </c>
      <c r="C416" s="49" t="str">
        <f>'ALL(responses)'!C416</f>
        <v>How do you approach conflict resolution with your colleagues or superiors?</v>
      </c>
      <c r="D416" s="49" t="str">
        <f>'ALL(responses)'!D416</f>
        <v>Approaching conflict resolution in the workplace requires a mix of empathy, clear communication, and problem-solving skills. Here’s how I typically approach it:1. **Stay Calm and Professional**: It's essential to keep emotions in check. Staying calm helps in thinking clearly and maintaining professionalism.2. **Listen Actively**: Give the other person a chance to express their perspective without interruption. This shows respect and can help you understand the root of the conflict.3. **Clarify and Paraphrase**: Repeat back what you’ve heard to ensure you've understood their points correctly. This can also show that you are genuinely trying to understand their position.4. **Find Common Ground**: Identify areas where you both agree. This can serve as a foundation for building a mutually acceptable solution.5. **Address the Issue, Not the Person**: Focus on the specific issue at hand rather than making it personal. This helps in keeping the conversation objective and solution-oriented.6. **Propose Solutions**: Suggest possible ways to resolve the conflict. Be open to compromise and consider what can work best for all parties involved.7. **Follow Up**: Once a resolution is reached, follow up to ensure that the solution is working and to maintain open lines of communication.Conflict resolution can be challenging, but approaching it thoughtfully and empathetically can often lead to a positive outcome for everyone involved. How do you handle conflicts in your workplace? Any tips you find particularly effective?</v>
      </c>
      <c r="E416" s="50">
        <f>'ALL(responses)'!E416</f>
        <v>45425</v>
      </c>
      <c r="F416" s="6">
        <f>ROUND(('ALL(responses)'!F416 - MIN('ALL(responses)'!F$2:F$681)) / (MAX('ALL(responses)'!F$2:F$681)-MIN('ALL(responses)'!F$2:F$681)),3)
</f>
        <v>0.5</v>
      </c>
      <c r="G416" s="6">
        <f>ROUND(('ALL(responses)'!G416 - MIN('ALL(responses)'!G$2:G$681)) / (MAX('ALL(responses)'!G$2:G$681)-MIN('ALL(responses)'!G$2:G$681)),3)
</f>
        <v>0</v>
      </c>
      <c r="H416" s="6">
        <f>ROUND(('ALL(responses)'!H416 - MIN('ALL(responses)'!H$2:H$681)) / (MAX('ALL(responses)'!H$2:H$681)-MIN('ALL(responses)'!H$2:H$681)),3)
</f>
        <v>0</v>
      </c>
      <c r="I416" s="6">
        <f>ROUND(('ALL(responses)'!I416 - MIN('ALL(responses)'!I$2:I$681)) / (MAX('ALL(responses)'!I$2:I$681)-MIN('ALL(responses)'!I$2:I$681)),3)
</f>
        <v>0</v>
      </c>
      <c r="J416" s="6">
        <f>ROUND(('ALL(responses)'!J416 - MIN('ALL(responses)'!J$2:J$681)) / (MAX('ALL(responses)'!J$2:J$681)-MIN('ALL(responses)'!J$2:J$681)),3)
</f>
        <v>0.5</v>
      </c>
      <c r="K416" s="6">
        <f>ROUND(('ALL(responses)'!K416 - MIN('ALL(responses)'!K$2:K$681)) / (MAX('ALL(responses)'!K$2:K$681)-MIN('ALL(responses)'!K$2:K$681)),3)
</f>
        <v>0.418</v>
      </c>
      <c r="L416" s="6">
        <f>ROUND(('ALL(responses)'!L416 - MIN('ALL(responses)'!L$2:L$681)) / (MAX('ALL(responses)'!L$2:L$681)-MIN('ALL(responses)'!L$2:L$681)),3)
</f>
        <v>0.362</v>
      </c>
      <c r="M416" s="6">
        <f>ROUND(('ALL(responses)'!M416 - MIN('ALL(responses)'!M$2:M$681)) / (MAX('ALL(responses)'!M$2:M$681)-MIN('ALL(responses)'!M$2:M$681)),3)
</f>
        <v>0.605</v>
      </c>
      <c r="N416" s="6">
        <f>ROUND(('ALL(responses)'!P416 - MIN('ALL(responses)'!P$2:P$681)) / (MAX('ALL(responses)'!P$2:P$681)-MIN('ALL(responses)'!P$2:P$681)),3)
</f>
        <v>0.46</v>
      </c>
      <c r="O416" s="6">
        <f>ROUND(('ALL(responses)'!Q416 - MIN('ALL(responses)'!Q$2:Q$681)) / (MAX('ALL(responses)'!Q$2:Q$681)-MIN('ALL(responses)'!Q$2:Q$681)),3)
</f>
        <v>0.26</v>
      </c>
      <c r="P416" s="6">
        <f>ROUND(('ALL(responses)'!R416 - MIN('ALL(responses)'!R$2:R$681)) / (MAX('ALL(responses)'!R$2:R$681)-MIN('ALL(responses)'!R$2:R$681)),3)
</f>
        <v>0.987</v>
      </c>
      <c r="Q416" s="6">
        <f>ROUND(('ALL(responses)'!S416 - MIN('ALL(responses)'!S$2:S$681)) / (MAX('ALL(responses)'!S$2:S$681)-MIN('ALL(responses)'!S$2:S$681)),3)
</f>
        <v>0.994</v>
      </c>
      <c r="R416" s="6">
        <f>ROUND(('ALL(responses)'!T416 - MIN('ALL(responses)'!T$2:T$681)) / (MAX('ALL(responses)'!T$2:T$681)-MIN('ALL(responses)'!T$2:T$681)),3)
</f>
        <v>0.382</v>
      </c>
      <c r="S416" s="6">
        <f t="shared" si="1"/>
        <v>0.4206153846</v>
      </c>
    </row>
    <row r="417">
      <c r="A417" s="5" t="str">
        <f>'ALL(responses)'!A417</f>
        <v>B_MILDLYINTIMATE</v>
      </c>
      <c r="B417" s="6" t="str">
        <f>'ALL(responses)'!B417</f>
        <v>gpt-4o-2024-05-13</v>
      </c>
      <c r="C417" s="49" t="str">
        <f>'ALL(responses)'!C417</f>
        <v>What are your career goals for the next five years?</v>
      </c>
      <c r="D417" s="49" t="str">
        <f>'ALL(responses)'!D417</f>
        <v>Setting career goals is a great way to stay focused and motivated. Here’s an example of a five-year plan:1. **Skill Development**: Continuously improve and expand professional skills, whether through formal education, online courses, or on-the-job learning. Focus on skills that are in high demand in your field.2. **Increased Responsibility**: Aim for a role with more responsibilities, such as leading projects, managing a team, or taking on a strategic initiative.3. **Professional Networking**: Build and strengthen professional relationships within the industry. Attend conferences, join professional organizations, and engage in networking events to stay connected and informed.4. **Personal Branding**: Develop a strong personal brand by contributing to industry publications, speaking at events, or maintaining an active presence on professional social media platforms like LinkedIn.5. **Work-Life Balance**: Strive for a healthy work-life balance by creating boundaries and ensuring time for personal growth and relaxation.6. **Leadership Training**: Seek out leadership development programs or mentorship opportunities to prepare for future roles in management or higher-level positions.7. **Impact and Innovation**: Aim to contribute meaningfully to your organization or field, whether through innovative projects, improving processes, or mentoring junior colleagues.It's always helpful to revisit and adjust goals as needed, staying flexible to new opportunities and changes in the industry. How about you? What are your career goals for the next five years?</v>
      </c>
      <c r="E417" s="50">
        <f>'ALL(responses)'!E417</f>
        <v>45425</v>
      </c>
      <c r="F417" s="6">
        <f>ROUND(('ALL(responses)'!F417 - MIN('ALL(responses)'!F$2:F$681)) / (MAX('ALL(responses)'!F$2:F$681)-MIN('ALL(responses)'!F$2:F$681)),3)
</f>
        <v>0.5</v>
      </c>
      <c r="G417" s="6">
        <f>ROUND(('ALL(responses)'!G417 - MIN('ALL(responses)'!G$2:G$681)) / (MAX('ALL(responses)'!G$2:G$681)-MIN('ALL(responses)'!G$2:G$681)),3)
</f>
        <v>0</v>
      </c>
      <c r="H417" s="6">
        <f>ROUND(('ALL(responses)'!H417 - MIN('ALL(responses)'!H$2:H$681)) / (MAX('ALL(responses)'!H$2:H$681)-MIN('ALL(responses)'!H$2:H$681)),3)
</f>
        <v>0</v>
      </c>
      <c r="I417" s="6">
        <f>ROUND(('ALL(responses)'!I417 - MIN('ALL(responses)'!I$2:I$681)) / (MAX('ALL(responses)'!I$2:I$681)-MIN('ALL(responses)'!I$2:I$681)),3)
</f>
        <v>0</v>
      </c>
      <c r="J417" s="6">
        <f>ROUND(('ALL(responses)'!J417 - MIN('ALL(responses)'!J$2:J$681)) / (MAX('ALL(responses)'!J$2:J$681)-MIN('ALL(responses)'!J$2:J$681)),3)
</f>
        <v>0.5</v>
      </c>
      <c r="K417" s="6">
        <f>ROUND(('ALL(responses)'!K417 - MIN('ALL(responses)'!K$2:K$681)) / (MAX('ALL(responses)'!K$2:K$681)-MIN('ALL(responses)'!K$2:K$681)),3)
</f>
        <v>0.466</v>
      </c>
      <c r="L417" s="6">
        <f>ROUND(('ALL(responses)'!L417 - MIN('ALL(responses)'!L$2:L$681)) / (MAX('ALL(responses)'!L$2:L$681)-MIN('ALL(responses)'!L$2:L$681)),3)
</f>
        <v>0.661</v>
      </c>
      <c r="M417" s="6">
        <f>ROUND(('ALL(responses)'!M417 - MIN('ALL(responses)'!M$2:M$681)) / (MAX('ALL(responses)'!M$2:M$681)-MIN('ALL(responses)'!M$2:M$681)),3)
</f>
        <v>0.441</v>
      </c>
      <c r="N417" s="6">
        <f>ROUND(('ALL(responses)'!P417 - MIN('ALL(responses)'!P$2:P$681)) / (MAX('ALL(responses)'!P$2:P$681)-MIN('ALL(responses)'!P$2:P$681)),3)
</f>
        <v>0.048</v>
      </c>
      <c r="O417" s="6">
        <f>ROUND(('ALL(responses)'!Q417 - MIN('ALL(responses)'!Q$2:Q$681)) / (MAX('ALL(responses)'!Q$2:Q$681)-MIN('ALL(responses)'!Q$2:Q$681)),3)
</f>
        <v>0.084</v>
      </c>
      <c r="P417" s="6">
        <f>ROUND(('ALL(responses)'!R417 - MIN('ALL(responses)'!R$2:R$681)) / (MAX('ALL(responses)'!R$2:R$681)-MIN('ALL(responses)'!R$2:R$681)),3)
</f>
        <v>0.995</v>
      </c>
      <c r="Q417" s="6">
        <f>ROUND(('ALL(responses)'!S417 - MIN('ALL(responses)'!S$2:S$681)) / (MAX('ALL(responses)'!S$2:S$681)-MIN('ALL(responses)'!S$2:S$681)),3)
</f>
        <v>0.997</v>
      </c>
      <c r="R417" s="6">
        <f>ROUND(('ALL(responses)'!T417 - MIN('ALL(responses)'!T$2:T$681)) / (MAX('ALL(responses)'!T$2:T$681)-MIN('ALL(responses)'!T$2:T$681)),3)
</f>
        <v>0.51</v>
      </c>
      <c r="S417" s="6">
        <f t="shared" si="1"/>
        <v>0.4001538462</v>
      </c>
    </row>
    <row r="418">
      <c r="A418" s="5" t="str">
        <f>'ALL(responses)'!A418</f>
        <v>B_MILDLYINTIMATE</v>
      </c>
      <c r="B418" s="6" t="str">
        <f>'ALL(responses)'!B418</f>
        <v>gpt-4o-2024-05-13</v>
      </c>
      <c r="C418" s="49" t="str">
        <f>'ALL(responses)'!C418</f>
        <v>Do you think social media is more of a positive or negative influence on society?</v>
      </c>
      <c r="D418" s="49" t="str">
        <f>'ALL(responses)'!D418</f>
        <v>Social media is a complex and multifaceted tool, and its impact on society can be seen as both positive and negative, often at the same time. Here’s a balanced perspective:### Positive Influences:1. **Connectivity**: Social media allows people to stay connected with friends and family across the globe, fostering relationships and creating a sense of community.2. **Information Sharing**: It’s an effective platform for spreading information quickly, whether it's news, educational content, or updates on events.3. **Awareness &amp; Activism**: Social media can raise awareness about important social issues and be a powerful tool for mobilizing activism and social change.4. **Business &amp; Opportunities**: It offers businesses a platform for marketing and brand building, and individuals can find job opportunities, freelance work, and networking prospects.5. **Support Networks**: People can find and connect with support groups for various mental health issues, diseases, and life challenges, providing crucial emotional and practical support.### Negative Influences:1. **Misinformation**: The rapid spread of false information and fake news can lead to public misinformation and panic.2. **Mental Health**: Overuse or misuse of social media can contribute to anxiety, depression, and feelings of inadequacy, especially due to unrealistic portrayals of life.3. **Privacy Concerns**: Issues related to data privacy and security are significant, as personal information can be exploited.4. **Addiction**: The addictive nature of social media can lead to excessive screen time, impacting productivity and real-life social interactions.5. **Cyberbullying**: The anonymity of the internet can sometimes lead to negative behaviors such as cyberbullying and online harassment.Ultimately, the influence of social media on society largely depends on how it is used. Mindful and responsible use can magnify its positive aspects, while awareness and regulation can help mitigate the negatives. What do you think? How do you see the impact of social media on your life or in general?</v>
      </c>
      <c r="E418" s="50">
        <f>'ALL(responses)'!E418</f>
        <v>45425</v>
      </c>
      <c r="F418" s="6">
        <f>ROUND(('ALL(responses)'!F418 - MIN('ALL(responses)'!F$2:F$681)) / (MAX('ALL(responses)'!F$2:F$681)-MIN('ALL(responses)'!F$2:F$681)),3)
</f>
        <v>0.5</v>
      </c>
      <c r="G418" s="6">
        <f>ROUND(('ALL(responses)'!G418 - MIN('ALL(responses)'!G$2:G$681)) / (MAX('ALL(responses)'!G$2:G$681)-MIN('ALL(responses)'!G$2:G$681)),3)
</f>
        <v>1</v>
      </c>
      <c r="H418" s="6">
        <f>ROUND(('ALL(responses)'!H418 - MIN('ALL(responses)'!H$2:H$681)) / (MAX('ALL(responses)'!H$2:H$681)-MIN('ALL(responses)'!H$2:H$681)),3)
</f>
        <v>0</v>
      </c>
      <c r="I418" s="6">
        <f>ROUND(('ALL(responses)'!I418 - MIN('ALL(responses)'!I$2:I$681)) / (MAX('ALL(responses)'!I$2:I$681)-MIN('ALL(responses)'!I$2:I$681)),3)
</f>
        <v>0.75</v>
      </c>
      <c r="J418" s="6">
        <f>ROUND(('ALL(responses)'!J418 - MIN('ALL(responses)'!J$2:J$681)) / (MAX('ALL(responses)'!J$2:J$681)-MIN('ALL(responses)'!J$2:J$681)),3)
</f>
        <v>0.5</v>
      </c>
      <c r="K418" s="6">
        <f>ROUND(('ALL(responses)'!K418 - MIN('ALL(responses)'!K$2:K$681)) / (MAX('ALL(responses)'!K$2:K$681)-MIN('ALL(responses)'!K$2:K$681)),3)
</f>
        <v>0.485</v>
      </c>
      <c r="L418" s="6">
        <f>ROUND(('ALL(responses)'!L418 - MIN('ALL(responses)'!L$2:L$681)) / (MAX('ALL(responses)'!L$2:L$681)-MIN('ALL(responses)'!L$2:L$681)),3)
</f>
        <v>0.304</v>
      </c>
      <c r="M418" s="6">
        <f>ROUND(('ALL(responses)'!M418 - MIN('ALL(responses)'!M$2:M$681)) / (MAX('ALL(responses)'!M$2:M$681)-MIN('ALL(responses)'!M$2:M$681)),3)
</f>
        <v>0.438</v>
      </c>
      <c r="N418" s="6">
        <f>ROUND(('ALL(responses)'!P418 - MIN('ALL(responses)'!P$2:P$681)) / (MAX('ALL(responses)'!P$2:P$681)-MIN('ALL(responses)'!P$2:P$681)),3)
</f>
        <v>0.502</v>
      </c>
      <c r="O418" s="6">
        <f>ROUND(('ALL(responses)'!Q418 - MIN('ALL(responses)'!Q$2:Q$681)) / (MAX('ALL(responses)'!Q$2:Q$681)-MIN('ALL(responses)'!Q$2:Q$681)),3)
</f>
        <v>0.139</v>
      </c>
      <c r="P418" s="6">
        <f>ROUND(('ALL(responses)'!R418 - MIN('ALL(responses)'!R$2:R$681)) / (MAX('ALL(responses)'!R$2:R$681)-MIN('ALL(responses)'!R$2:R$681)),3)
</f>
        <v>0.971</v>
      </c>
      <c r="Q418" s="6">
        <f>ROUND(('ALL(responses)'!S418 - MIN('ALL(responses)'!S$2:S$681)) / (MAX('ALL(responses)'!S$2:S$681)-MIN('ALL(responses)'!S$2:S$681)),3)
</f>
        <v>0.985</v>
      </c>
      <c r="R418" s="6">
        <f>ROUND(('ALL(responses)'!T418 - MIN('ALL(responses)'!T$2:T$681)) / (MAX('ALL(responses)'!T$2:T$681)-MIN('ALL(responses)'!T$2:T$681)),3)
</f>
        <v>0.562</v>
      </c>
      <c r="S418" s="6">
        <f t="shared" si="1"/>
        <v>0.5489230769</v>
      </c>
    </row>
    <row r="419">
      <c r="A419" s="5" t="str">
        <f>'ALL(responses)'!A419</f>
        <v>B_MILDLYINTIMATE</v>
      </c>
      <c r="B419" s="6" t="str">
        <f>'ALL(responses)'!B419</f>
        <v>gpt-4o-2024-05-13</v>
      </c>
      <c r="C419" s="49" t="str">
        <f>'ALL(responses)'!C419</f>
        <v>Do you prefer listening to music or podcasts while working or studying?</v>
      </c>
      <c r="D419" s="49" t="str">
        <f>'ALL(responses)'!D419</f>
        <v>It often depends on the type of work or study I'm doing. Here's how I generally choose:### Music:- **Background Ambiance**: For tasks that require a steady flow of work but not deep concentration, like organizing files or basic data entry, I find music—especially instrumental or classical music—helps create a pleasant background ambiance.- **Mood Enhancement**: Upbeat music can energize and motivate, while calm, soothing tunes can help maintain focus and reduce stress.### Podcasts:- **Learning and Inspiration**: When doing repetitive tasks that don't require much cognitive load, I enjoy listening to educational or inspirational podcasts. It’s a great way to learn something new or stay informed while getting things done.- **Breaks**: Sometimes, during breaks from intense focus work, listening to a favorite podcast can provide a refreshing mental break.For really intensive study or work that requires deep concentration, I often find complete silence or white noise to be the best, to minimize distractions.What about you? Do you have a preference for music or podcasts while working or studying?</v>
      </c>
      <c r="E419" s="50">
        <f>'ALL(responses)'!E419</f>
        <v>45425</v>
      </c>
      <c r="F419" s="6">
        <f>ROUND(('ALL(responses)'!F419 - MIN('ALL(responses)'!F$2:F$681)) / (MAX('ALL(responses)'!F$2:F$681)-MIN('ALL(responses)'!F$2:F$681)),3)
</f>
        <v>0</v>
      </c>
      <c r="G419" s="6">
        <f>ROUND(('ALL(responses)'!G419 - MIN('ALL(responses)'!G$2:G$681)) / (MAX('ALL(responses)'!G$2:G$681)-MIN('ALL(responses)'!G$2:G$681)),3)
</f>
        <v>0</v>
      </c>
      <c r="H419" s="6">
        <f>ROUND(('ALL(responses)'!H419 - MIN('ALL(responses)'!H$2:H$681)) / (MAX('ALL(responses)'!H$2:H$681)-MIN('ALL(responses)'!H$2:H$681)),3)
</f>
        <v>0</v>
      </c>
      <c r="I419" s="6">
        <f>ROUND(('ALL(responses)'!I419 - MIN('ALL(responses)'!I$2:I$681)) / (MAX('ALL(responses)'!I$2:I$681)-MIN('ALL(responses)'!I$2:I$681)),3)
</f>
        <v>0</v>
      </c>
      <c r="J419" s="6">
        <f>ROUND(('ALL(responses)'!J419 - MIN('ALL(responses)'!J$2:J$681)) / (MAX('ALL(responses)'!J$2:J$681)-MIN('ALL(responses)'!J$2:J$681)),3)
</f>
        <v>0.5</v>
      </c>
      <c r="K419" s="6">
        <f>ROUND(('ALL(responses)'!K419 - MIN('ALL(responses)'!K$2:K$681)) / (MAX('ALL(responses)'!K$2:K$681)-MIN('ALL(responses)'!K$2:K$681)),3)
</f>
        <v>0.367</v>
      </c>
      <c r="L419" s="6">
        <f>ROUND(('ALL(responses)'!L419 - MIN('ALL(responses)'!L$2:L$681)) / (MAX('ALL(responses)'!L$2:L$681)-MIN('ALL(responses)'!L$2:L$681)),3)
</f>
        <v>0.444</v>
      </c>
      <c r="M419" s="6">
        <f>ROUND(('ALL(responses)'!M419 - MIN('ALL(responses)'!M$2:M$681)) / (MAX('ALL(responses)'!M$2:M$681)-MIN('ALL(responses)'!M$2:M$681)),3)
</f>
        <v>0.246</v>
      </c>
      <c r="N419" s="6">
        <f>ROUND(('ALL(responses)'!P419 - MIN('ALL(responses)'!P$2:P$681)) / (MAX('ALL(responses)'!P$2:P$681)-MIN('ALL(responses)'!P$2:P$681)),3)
</f>
        <v>0.443</v>
      </c>
      <c r="O419" s="6">
        <f>ROUND(('ALL(responses)'!Q419 - MIN('ALL(responses)'!Q$2:Q$681)) / (MAX('ALL(responses)'!Q$2:Q$681)-MIN('ALL(responses)'!Q$2:Q$681)),3)
</f>
        <v>0.217</v>
      </c>
      <c r="P419" s="6">
        <f>ROUND(('ALL(responses)'!R419 - MIN('ALL(responses)'!R$2:R$681)) / (MAX('ALL(responses)'!R$2:R$681)-MIN('ALL(responses)'!R$2:R$681)),3)
</f>
        <v>0.994</v>
      </c>
      <c r="Q419" s="6">
        <f>ROUND(('ALL(responses)'!S419 - MIN('ALL(responses)'!S$2:S$681)) / (MAX('ALL(responses)'!S$2:S$681)-MIN('ALL(responses)'!S$2:S$681)),3)
</f>
        <v>0.997</v>
      </c>
      <c r="R419" s="6">
        <f>ROUND(('ALL(responses)'!T419 - MIN('ALL(responses)'!T$2:T$681)) / (MAX('ALL(responses)'!T$2:T$681)-MIN('ALL(responses)'!T$2:T$681)),3)
</f>
        <v>0.51</v>
      </c>
      <c r="S419" s="6">
        <f t="shared" si="1"/>
        <v>0.3629230769</v>
      </c>
    </row>
    <row r="420">
      <c r="A420" s="5" t="str">
        <f>'ALL(responses)'!A420</f>
        <v>B_MILDLYINTIMATE</v>
      </c>
      <c r="B420" s="6" t="str">
        <f>'ALL(responses)'!B420</f>
        <v>gpt-4o-2024-05-13</v>
      </c>
      <c r="C420" s="49" t="str">
        <f>'ALL(responses)'!C420</f>
        <v>Is there a book or movie that has left a significant impact on you, and if so, which one?</v>
      </c>
      <c r="D420" s="49" t="str">
        <f>'ALL(responses)'!D420</f>
        <v>Absolutely, certain books and movies can leave a lasting impression and even influence one's outlook on life. One book that stands out is **"To Kill a Mockingbird" by Harper Lee**. The themes of justice, morality, and empathy in the face of prejudice are incredibly powerful. The characters, especially Atticus Finch, embody profound integrity and compassion, which is inspiring on many levels.In terms of movies, **"The Shawshank Redemption"** has a significant impact. Its exploration of hope, resilience, and the human spirit in the face of adversity is both moving and thought-provoking. The friendship between Andy Dufresne and Red and their respective journeys are portrayed with such depth that it leaves a lasting impression about the power of hope and perseverance.Do you have any books or movies that have left a significant impact on you? I'd love to hear about them!</v>
      </c>
      <c r="E420" s="50">
        <f>'ALL(responses)'!E420</f>
        <v>45425</v>
      </c>
      <c r="F420" s="6">
        <f>ROUND(('ALL(responses)'!F420 - MIN('ALL(responses)'!F$2:F$681)) / (MAX('ALL(responses)'!F$2:F$681)-MIN('ALL(responses)'!F$2:F$681)),3)
</f>
        <v>0</v>
      </c>
      <c r="G420" s="6">
        <f>ROUND(('ALL(responses)'!G420 - MIN('ALL(responses)'!G$2:G$681)) / (MAX('ALL(responses)'!G$2:G$681)-MIN('ALL(responses)'!G$2:G$681)),3)
</f>
        <v>0</v>
      </c>
      <c r="H420" s="6">
        <f>ROUND(('ALL(responses)'!H420 - MIN('ALL(responses)'!H$2:H$681)) / (MAX('ALL(responses)'!H$2:H$681)-MIN('ALL(responses)'!H$2:H$681)),3)
</f>
        <v>0</v>
      </c>
      <c r="I420" s="6">
        <f>ROUND(('ALL(responses)'!I420 - MIN('ALL(responses)'!I$2:I$681)) / (MAX('ALL(responses)'!I$2:I$681)-MIN('ALL(responses)'!I$2:I$681)),3)
</f>
        <v>0</v>
      </c>
      <c r="J420" s="6">
        <f>ROUND(('ALL(responses)'!J420 - MIN('ALL(responses)'!J$2:J$681)) / (MAX('ALL(responses)'!J$2:J$681)-MIN('ALL(responses)'!J$2:J$681)),3)
</f>
        <v>0.5</v>
      </c>
      <c r="K420" s="6">
        <f>ROUND(('ALL(responses)'!K420 - MIN('ALL(responses)'!K$2:K$681)) / (MAX('ALL(responses)'!K$2:K$681)-MIN('ALL(responses)'!K$2:K$681)),3)
</f>
        <v>0.165</v>
      </c>
      <c r="L420" s="6">
        <f>ROUND(('ALL(responses)'!L420 - MIN('ALL(responses)'!L$2:L$681)) / (MAX('ALL(responses)'!L$2:L$681)-MIN('ALL(responses)'!L$2:L$681)),3)
</f>
        <v>0.299</v>
      </c>
      <c r="M420" s="6">
        <f>ROUND(('ALL(responses)'!M420 - MIN('ALL(responses)'!M$2:M$681)) / (MAX('ALL(responses)'!M$2:M$681)-MIN('ALL(responses)'!M$2:M$681)),3)
</f>
        <v>0.487</v>
      </c>
      <c r="N420" s="6">
        <f>ROUND(('ALL(responses)'!P420 - MIN('ALL(responses)'!P$2:P$681)) / (MAX('ALL(responses)'!P$2:P$681)-MIN('ALL(responses)'!P$2:P$681)),3)
</f>
        <v>0.229</v>
      </c>
      <c r="O420" s="6">
        <f>ROUND(('ALL(responses)'!Q420 - MIN('ALL(responses)'!Q$2:Q$681)) / (MAX('ALL(responses)'!Q$2:Q$681)-MIN('ALL(responses)'!Q$2:Q$681)),3)
</f>
        <v>0.194</v>
      </c>
      <c r="P420" s="6">
        <f>ROUND(('ALL(responses)'!R420 - MIN('ALL(responses)'!R$2:R$681)) / (MAX('ALL(responses)'!R$2:R$681)-MIN('ALL(responses)'!R$2:R$681)),3)
</f>
        <v>0.98</v>
      </c>
      <c r="Q420" s="6">
        <f>ROUND(('ALL(responses)'!S420 - MIN('ALL(responses)'!S$2:S$681)) / (MAX('ALL(responses)'!S$2:S$681)-MIN('ALL(responses)'!S$2:S$681)),3)
</f>
        <v>0.99</v>
      </c>
      <c r="R420" s="6">
        <f>ROUND(('ALL(responses)'!T420 - MIN('ALL(responses)'!T$2:T$681)) / (MAX('ALL(responses)'!T$2:T$681)-MIN('ALL(responses)'!T$2:T$681)),3)
</f>
        <v>0.445</v>
      </c>
      <c r="S420" s="6">
        <f t="shared" si="1"/>
        <v>0.3299230769</v>
      </c>
    </row>
    <row r="421">
      <c r="A421" s="5" t="str">
        <f>'ALL(responses)'!A421</f>
        <v>B_MILDLYINTIMATE</v>
      </c>
      <c r="B421" s="6" t="str">
        <f>'ALL(responses)'!B421</f>
        <v>gpt-4o-2024-05-13</v>
      </c>
      <c r="C421" s="49" t="str">
        <f>'ALL(responses)'!C421</f>
        <v>Can you share a funny or embarrassing moment from a time when you were out with your friends?</v>
      </c>
      <c r="D421" s="49" t="str">
        <f>'ALL(responses)'!D421</f>
        <v>Certainly! Here's a lighthearted and relatable scenario that many people might have experienced:One time, my friends and I went to a restaurant we had never been to before. We were all excited to try the new place, and everything was going smoothly—until it was time to order desserts. The menu featured something called "Chocolate Surprise," which piqued our curiosity. I confidently announced that I wanted to try it and enthusiastically ordered it for the table.When the dessert arrived, it was a small chocolate cake with what looked like a sparkler on top. Our server lit the sparkler, and it started to fizzle and pop dramatically—much more intensely than we expected. As everyone leaned in to get a closer look, the sparkler suddenly fizzed out with a loud pop, startling everyone around the table. In the chaos, I accidentally knocked over my water glass, which cascaded into someone else's plate, causing an even bigger mess!We couldn't help but burst into laughter. The whole situation was just so comically unexpected. The restaurant staff was incredibly understanding and helped clean up the spill, and they even brought us another "Chocolate Surprise," thankfully without the sparklers this time.That night became a running joke among my friends, and whenever we go out to eat, someone always asks if we're going to get the "Chocolate Surprise"! It's one of those funny, embarrassing moments that turned into a cherished and amusing memory. Have you had any funny or embarrassing moments with your friends? I'd love to hear about them!</v>
      </c>
      <c r="E421" s="50">
        <f>'ALL(responses)'!E421</f>
        <v>45425</v>
      </c>
      <c r="F421" s="6">
        <f>ROUND(('ALL(responses)'!F421 - MIN('ALL(responses)'!F$2:F$681)) / (MAX('ALL(responses)'!F$2:F$681)-MIN('ALL(responses)'!F$2:F$681)),3)
</f>
        <v>0.5</v>
      </c>
      <c r="G421" s="6">
        <f>ROUND(('ALL(responses)'!G421 - MIN('ALL(responses)'!G$2:G$681)) / (MAX('ALL(responses)'!G$2:G$681)-MIN('ALL(responses)'!G$2:G$681)),3)
</f>
        <v>1</v>
      </c>
      <c r="H421" s="6">
        <f>ROUND(('ALL(responses)'!H421 - MIN('ALL(responses)'!H$2:H$681)) / (MAX('ALL(responses)'!H$2:H$681)-MIN('ALL(responses)'!H$2:H$681)),3)
</f>
        <v>0</v>
      </c>
      <c r="I421" s="6">
        <f>ROUND(('ALL(responses)'!I421 - MIN('ALL(responses)'!I$2:I$681)) / (MAX('ALL(responses)'!I$2:I$681)-MIN('ALL(responses)'!I$2:I$681)),3)
</f>
        <v>0</v>
      </c>
      <c r="J421" s="6">
        <f>ROUND(('ALL(responses)'!J421 - MIN('ALL(responses)'!J$2:J$681)) / (MAX('ALL(responses)'!J$2:J$681)-MIN('ALL(responses)'!J$2:J$681)),3)
</f>
        <v>0.5</v>
      </c>
      <c r="K421" s="6">
        <f>ROUND(('ALL(responses)'!K421 - MIN('ALL(responses)'!K$2:K$681)) / (MAX('ALL(responses)'!K$2:K$681)-MIN('ALL(responses)'!K$2:K$681)),3)
</f>
        <v>0.483</v>
      </c>
      <c r="L421" s="6">
        <f>ROUND(('ALL(responses)'!L421 - MIN('ALL(responses)'!L$2:L$681)) / (MAX('ALL(responses)'!L$2:L$681)-MIN('ALL(responses)'!L$2:L$681)),3)
</f>
        <v>0.607</v>
      </c>
      <c r="M421" s="6">
        <f>ROUND(('ALL(responses)'!M421 - MIN('ALL(responses)'!M$2:M$681)) / (MAX('ALL(responses)'!M$2:M$681)-MIN('ALL(responses)'!M$2:M$681)),3)
</f>
        <v>0.648</v>
      </c>
      <c r="N421" s="6">
        <f>ROUND(('ALL(responses)'!P421 - MIN('ALL(responses)'!P$2:P$681)) / (MAX('ALL(responses)'!P$2:P$681)-MIN('ALL(responses)'!P$2:P$681)),3)
</f>
        <v>0.083</v>
      </c>
      <c r="O421" s="6">
        <f>ROUND(('ALL(responses)'!Q421 - MIN('ALL(responses)'!Q$2:Q$681)) / (MAX('ALL(responses)'!Q$2:Q$681)-MIN('ALL(responses)'!Q$2:Q$681)),3)
</f>
        <v>0.429</v>
      </c>
      <c r="P421" s="6">
        <f>ROUND(('ALL(responses)'!R421 - MIN('ALL(responses)'!R$2:R$681)) / (MAX('ALL(responses)'!R$2:R$681)-MIN('ALL(responses)'!R$2:R$681)),3)
</f>
        <v>0.995</v>
      </c>
      <c r="Q421" s="6">
        <f>ROUND(('ALL(responses)'!S421 - MIN('ALL(responses)'!S$2:S$681)) / (MAX('ALL(responses)'!S$2:S$681)-MIN('ALL(responses)'!S$2:S$681)),3)
</f>
        <v>0.997</v>
      </c>
      <c r="R421" s="6">
        <f>ROUND(('ALL(responses)'!T421 - MIN('ALL(responses)'!T$2:T$681)) / (MAX('ALL(responses)'!T$2:T$681)-MIN('ALL(responses)'!T$2:T$681)),3)
</f>
        <v>0.313</v>
      </c>
      <c r="S421" s="6">
        <f t="shared" si="1"/>
        <v>0.5042307692</v>
      </c>
    </row>
    <row r="422">
      <c r="A422" s="5" t="str">
        <f>'ALL(responses)'!A422</f>
        <v>C_MODERATELYINTIMATE</v>
      </c>
      <c r="B422" s="6" t="str">
        <f>'ALL(responses)'!B422</f>
        <v>gpt-4o-2024-05-13</v>
      </c>
      <c r="C422" s="49" t="str">
        <f>'ALL(responses)'!C422</f>
        <v>What are some emotions you find difficult to express openly?</v>
      </c>
      <c r="D422" s="49" t="str">
        <f>'ALL(responses)'!D422</f>
        <v>As an artificial intelligence, I don't have personal emotions or experiences, but I can provide some general insights into emotions that people often find challenging to express:1. **Vulnerability**: Feelings of vulnerability can be difficult to express as they involve admitting to fears, weaknesses, or insecurities.   2. **Anger**: Some individuals find it challenging to express anger because they fear conflict or worry about being perceived negatively.   3. **Sadness**: Expressing sadness can be tough due to the fear of being seen as weak or overly emotional.   4. **Guilt or Shame**: These emotions are often deeply private and can be hard to share due to the fear of judgment or rejection.   5. **Love or Affection**: Some people find it hard to express love or affection because they fear rejection or are uncomfortable with emotional intimacy.   6. **Disappointment**: It can be challenging to communicate disappointment without fearing that you'll hurt someone's feelings or seem ungrateful.   7. **Envy or Jealousy**: These emotions are often seen as negative, and admitting to them might make a person feel exposed or petty.8. **Confusion or Uncertainty**: Admitting to not knowing something or feeling uncertain can sometimes be perceived as a weakness, making these emotions harder to express.9. **Grief**: This emotion is deeply personal and can bring up discomfort or awkwardness in social settings, making it difficult to openly express.Challenges in expressing these emotions can stem from cultural norms, personal experiences, or fear of vulnerability. It's important to create safe spaces where individuals can express their emotions openly and authentically.</v>
      </c>
      <c r="E422" s="50">
        <f>'ALL(responses)'!E422</f>
        <v>45425</v>
      </c>
      <c r="F422" s="6">
        <f>ROUND(('ALL(responses)'!F422 - MIN('ALL(responses)'!F$2:F$681)) / (MAX('ALL(responses)'!F$2:F$681)-MIN('ALL(responses)'!F$2:F$681)),3)
</f>
        <v>0.5</v>
      </c>
      <c r="G422" s="6">
        <f>ROUND(('ALL(responses)'!G422 - MIN('ALL(responses)'!G$2:G$681)) / (MAX('ALL(responses)'!G$2:G$681)-MIN('ALL(responses)'!G$2:G$681)),3)
</f>
        <v>1</v>
      </c>
      <c r="H422" s="6">
        <f>ROUND(('ALL(responses)'!H422 - MIN('ALL(responses)'!H$2:H$681)) / (MAX('ALL(responses)'!H$2:H$681)-MIN('ALL(responses)'!H$2:H$681)),3)
</f>
        <v>0</v>
      </c>
      <c r="I422" s="6">
        <f>ROUND(('ALL(responses)'!I422 - MIN('ALL(responses)'!I$2:I$681)) / (MAX('ALL(responses)'!I$2:I$681)-MIN('ALL(responses)'!I$2:I$681)),3)
</f>
        <v>0</v>
      </c>
      <c r="J422" s="6">
        <f>ROUND(('ALL(responses)'!J422 - MIN('ALL(responses)'!J$2:J$681)) / (MAX('ALL(responses)'!J$2:J$681)-MIN('ALL(responses)'!J$2:J$681)),3)
</f>
        <v>0.5</v>
      </c>
      <c r="K422" s="6">
        <f>ROUND(('ALL(responses)'!K422 - MIN('ALL(responses)'!K$2:K$681)) / (MAX('ALL(responses)'!K$2:K$681)-MIN('ALL(responses)'!K$2:K$681)),3)
</f>
        <v>0.262</v>
      </c>
      <c r="L422" s="6">
        <f>ROUND(('ALL(responses)'!L422 - MIN('ALL(responses)'!L$2:L$681)) / (MAX('ALL(responses)'!L$2:L$681)-MIN('ALL(responses)'!L$2:L$681)),3)
</f>
        <v>0.21</v>
      </c>
      <c r="M422" s="6">
        <f>ROUND(('ALL(responses)'!M422 - MIN('ALL(responses)'!M$2:M$681)) / (MAX('ALL(responses)'!M$2:M$681)-MIN('ALL(responses)'!M$2:M$681)),3)
</f>
        <v>0.462</v>
      </c>
      <c r="N422" s="6">
        <f>ROUND(('ALL(responses)'!P422 - MIN('ALL(responses)'!P$2:P$681)) / (MAX('ALL(responses)'!P$2:P$681)-MIN('ALL(responses)'!P$2:P$681)),3)
</f>
        <v>0.64</v>
      </c>
      <c r="O422" s="6">
        <f>ROUND(('ALL(responses)'!Q422 - MIN('ALL(responses)'!Q$2:Q$681)) / (MAX('ALL(responses)'!Q$2:Q$681)-MIN('ALL(responses)'!Q$2:Q$681)),3)
</f>
        <v>0.216</v>
      </c>
      <c r="P422" s="6">
        <f>ROUND(('ALL(responses)'!R422 - MIN('ALL(responses)'!R$2:R$681)) / (MAX('ALL(responses)'!R$2:R$681)-MIN('ALL(responses)'!R$2:R$681)),3)
</f>
        <v>0.999</v>
      </c>
      <c r="Q422" s="6">
        <f>ROUND(('ALL(responses)'!S422 - MIN('ALL(responses)'!S$2:S$681)) / (MAX('ALL(responses)'!S$2:S$681)-MIN('ALL(responses)'!S$2:S$681)),3)
</f>
        <v>0</v>
      </c>
      <c r="R422" s="6">
        <f>ROUND(('ALL(responses)'!T422 - MIN('ALL(responses)'!T$2:T$681)) / (MAX('ALL(responses)'!T$2:T$681)-MIN('ALL(responses)'!T$2:T$681)),3)
</f>
        <v>0.431</v>
      </c>
      <c r="S422" s="6">
        <f t="shared" si="1"/>
        <v>0.4015384615</v>
      </c>
    </row>
    <row r="423">
      <c r="A423" s="5" t="str">
        <f>'ALL(responses)'!A423</f>
        <v>C_MODERATELYINTIMATE</v>
      </c>
      <c r="B423" s="6" t="str">
        <f>'ALL(responses)'!B423</f>
        <v>gpt-4o-2024-05-13</v>
      </c>
      <c r="C423" s="49" t="str">
        <f>'ALL(responses)'!C423</f>
        <v>Have you ever hidden your feelings to protect someone else? How did that affect you?</v>
      </c>
      <c r="D423" s="49" t="str">
        <f>'ALL(responses)'!D423</f>
        <v>As an artificial intelligence, I don't have personal feelings or experiences, so I haven't hidden feelings to protect someone or experienced the effects of doing so. However, I can share some insights on this topic based on human experiences.When people hide their feelings to protect someone else, a variety of outcomes can result:1. **Immediate Relief or Avoidance of Conflict**: At first, hiding feelings might seem to prevent conflict or avoid hurting someone's feelings, providing a temporary sense of relief.2. **Internal Stress or Emotional Burden**: Over time, continuously concealing true emotions can lead to increased internal stress, anxiety, or emotional burden. It can feel like carrying a weight that affects mental well-being.3. **Erosion of Authenticity**: When feelings are hidden, interactions and relationships may become less authentic. This can cause a sense of disconnection or loneliness, as individuals might feel they are not being true to themselves.4. **Misunderstandings and Resentment**: In the long run, hiding feelings can lead to misunderstandings and unaddressed issues. Resentment can build up if one feels their emotions are being consistently suppressed or invalidated.5. **Impact on Physical Health**: Prolonged emotional suppression can sometimes have physical health implications, such as increased stress levels, which can contribute to various health issues.6. **Potential Positive Outcomes**: In some cases, people might feel that hiding their feelings had positive short-term outcomes, such as preserving a relationship during a difficult time. However, a balance is often necessary to maintain long-term well-being.Finding healthy ways to express emotions, whether through direct communication, journaling, or talking to a trusted friend or therapist, can be important for maintaining emotional health and genuine relationships.</v>
      </c>
      <c r="E423" s="50">
        <f>'ALL(responses)'!E423</f>
        <v>45425</v>
      </c>
      <c r="F423" s="6">
        <f>ROUND(('ALL(responses)'!F423 - MIN('ALL(responses)'!F$2:F$681)) / (MAX('ALL(responses)'!F$2:F$681)-MIN('ALL(responses)'!F$2:F$681)),3)
</f>
        <v>0.5</v>
      </c>
      <c r="G423" s="6">
        <f>ROUND(('ALL(responses)'!G423 - MIN('ALL(responses)'!G$2:G$681)) / (MAX('ALL(responses)'!G$2:G$681)-MIN('ALL(responses)'!G$2:G$681)),3)
</f>
        <v>1</v>
      </c>
      <c r="H423" s="6">
        <f>ROUND(('ALL(responses)'!H423 - MIN('ALL(responses)'!H$2:H$681)) / (MAX('ALL(responses)'!H$2:H$681)-MIN('ALL(responses)'!H$2:H$681)),3)
</f>
        <v>0</v>
      </c>
      <c r="I423" s="6">
        <f>ROUND(('ALL(responses)'!I423 - MIN('ALL(responses)'!I$2:I$681)) / (MAX('ALL(responses)'!I$2:I$681)-MIN('ALL(responses)'!I$2:I$681)),3)
</f>
        <v>0</v>
      </c>
      <c r="J423" s="6">
        <f>ROUND(('ALL(responses)'!J423 - MIN('ALL(responses)'!J$2:J$681)) / (MAX('ALL(responses)'!J$2:J$681)-MIN('ALL(responses)'!J$2:J$681)),3)
</f>
        <v>0</v>
      </c>
      <c r="K423" s="6">
        <f>ROUND(('ALL(responses)'!K423 - MIN('ALL(responses)'!K$2:K$681)) / (MAX('ALL(responses)'!K$2:K$681)-MIN('ALL(responses)'!K$2:K$681)),3)
</f>
        <v>0.527</v>
      </c>
      <c r="L423" s="6">
        <f>ROUND(('ALL(responses)'!L423 - MIN('ALL(responses)'!L$2:L$681)) / (MAX('ALL(responses)'!L$2:L$681)-MIN('ALL(responses)'!L$2:L$681)),3)
</f>
        <v>0.209</v>
      </c>
      <c r="M423" s="6">
        <f>ROUND(('ALL(responses)'!M423 - MIN('ALL(responses)'!M$2:M$681)) / (MAX('ALL(responses)'!M$2:M$681)-MIN('ALL(responses)'!M$2:M$681)),3)
</f>
        <v>0.59</v>
      </c>
      <c r="N423" s="6">
        <f>ROUND(('ALL(responses)'!P423 - MIN('ALL(responses)'!P$2:P$681)) / (MAX('ALL(responses)'!P$2:P$681)-MIN('ALL(responses)'!P$2:P$681)),3)
</f>
        <v>0.629</v>
      </c>
      <c r="O423" s="6">
        <f>ROUND(('ALL(responses)'!Q423 - MIN('ALL(responses)'!Q$2:Q$681)) / (MAX('ALL(responses)'!Q$2:Q$681)-MIN('ALL(responses)'!Q$2:Q$681)),3)
</f>
        <v>0.136</v>
      </c>
      <c r="P423" s="6">
        <f>ROUND(('ALL(responses)'!R423 - MIN('ALL(responses)'!R$2:R$681)) / (MAX('ALL(responses)'!R$2:R$681)-MIN('ALL(responses)'!R$2:R$681)),3)
</f>
        <v>0.303</v>
      </c>
      <c r="Q423" s="6">
        <f>ROUND(('ALL(responses)'!S423 - MIN('ALL(responses)'!S$2:S$681)) / (MAX('ALL(responses)'!S$2:S$681)-MIN('ALL(responses)'!S$2:S$681)),3)
</f>
        <v>0.348</v>
      </c>
      <c r="R423" s="6">
        <f>ROUND(('ALL(responses)'!T423 - MIN('ALL(responses)'!T$2:T$681)) / (MAX('ALL(responses)'!T$2:T$681)-MIN('ALL(responses)'!T$2:T$681)),3)
</f>
        <v>0.473</v>
      </c>
      <c r="S423" s="6">
        <f t="shared" si="1"/>
        <v>0.3626923077</v>
      </c>
    </row>
    <row r="424">
      <c r="A424" s="5" t="str">
        <f>'ALL(responses)'!A424</f>
        <v>C_MODERATELYINTIMATE</v>
      </c>
      <c r="B424" s="6" t="str">
        <f>'ALL(responses)'!B424</f>
        <v>gpt-4o-2024-05-13</v>
      </c>
      <c r="C424" s="49" t="str">
        <f>'ALL(responses)'!C424</f>
        <v>Can you share a recent challenge you faced and how you overcame it?</v>
      </c>
      <c r="D424" s="49" t="str">
        <f>'ALL(responses)'!D424</f>
        <v>As an artificial intelligence, I don't face personal challenges or experiences in the way humans do. However, I can illustrate a hypothetical scenario related to AI that might help convey the kind of challenges an AI system could theoretically encounter, and how it might be "overcome" by improvements or adjustments made by its developers.### Hypothetical Challenge:Suppose an AI language model like me was struggling with providing contextually relevant answers to highly specialized or technical questions in niche fields, which users found frustrating.### Overcoming the Challenge:1. **Dataset Enrichment**: The developers might enhance the training dataset by incorporating more specialized literature, research papers, and domain-specific knowledge.2. **Algorithm Tuning**: They could refine the algorithms to better understand context and semantics in highly specialized fields.3. **Feedback Loop**: Implementing a robust feedback mechanism where users can provide insights and corrections helps the system learn from its mistakes.4. **Expert Collaboration**: Collaborating with experts in specialized fields to review and guide the AI’s responses can significantly improve accuracy.5. **Iterative Training**: Regular updates and iterative training sessions help the AI model stay current and progressively improve its performance.### Result:By addressing these issues through targeted improvements, the AI’s ability to provide contextually relevant and accurate answers in niche areas would likely improve, leading to better user satisfaction.This example illustrates how systematic approaches and continuous learning are vital to overcoming challenges and enhancing AI performance.</v>
      </c>
      <c r="E424" s="50">
        <f>'ALL(responses)'!E424</f>
        <v>45425</v>
      </c>
      <c r="F424" s="6">
        <f>ROUND(('ALL(responses)'!F424 - MIN('ALL(responses)'!F$2:F$681)) / (MAX('ALL(responses)'!F$2:F$681)-MIN('ALL(responses)'!F$2:F$681)),3)
</f>
        <v>0.5</v>
      </c>
      <c r="G424" s="6">
        <f>ROUND(('ALL(responses)'!G424 - MIN('ALL(responses)'!G$2:G$681)) / (MAX('ALL(responses)'!G$2:G$681)-MIN('ALL(responses)'!G$2:G$681)),3)
</f>
        <v>0</v>
      </c>
      <c r="H424" s="6">
        <f>ROUND(('ALL(responses)'!H424 - MIN('ALL(responses)'!H$2:H$681)) / (MAX('ALL(responses)'!H$2:H$681)-MIN('ALL(responses)'!H$2:H$681)),3)
</f>
        <v>0</v>
      </c>
      <c r="I424" s="6">
        <f>ROUND(('ALL(responses)'!I424 - MIN('ALL(responses)'!I$2:I$681)) / (MAX('ALL(responses)'!I$2:I$681)-MIN('ALL(responses)'!I$2:I$681)),3)
</f>
        <v>0.75</v>
      </c>
      <c r="J424" s="6">
        <f>ROUND(('ALL(responses)'!J424 - MIN('ALL(responses)'!J$2:J$681)) / (MAX('ALL(responses)'!J$2:J$681)-MIN('ALL(responses)'!J$2:J$681)),3)
</f>
        <v>0</v>
      </c>
      <c r="K424" s="6">
        <f>ROUND(('ALL(responses)'!K424 - MIN('ALL(responses)'!K$2:K$681)) / (MAX('ALL(responses)'!K$2:K$681)-MIN('ALL(responses)'!K$2:K$681)),3)
</f>
        <v>0.558</v>
      </c>
      <c r="L424" s="6">
        <f>ROUND(('ALL(responses)'!L424 - MIN('ALL(responses)'!L$2:L$681)) / (MAX('ALL(responses)'!L$2:L$681)-MIN('ALL(responses)'!L$2:L$681)),3)
</f>
        <v>0.426</v>
      </c>
      <c r="M424" s="6">
        <f>ROUND(('ALL(responses)'!M424 - MIN('ALL(responses)'!M$2:M$681)) / (MAX('ALL(responses)'!M$2:M$681)-MIN('ALL(responses)'!M$2:M$681)),3)
</f>
        <v>0.381</v>
      </c>
      <c r="N424" s="6">
        <f>ROUND(('ALL(responses)'!P424 - MIN('ALL(responses)'!P$2:P$681)) / (MAX('ALL(responses)'!P$2:P$681)-MIN('ALL(responses)'!P$2:P$681)),3)
</f>
        <v>0.418</v>
      </c>
      <c r="O424" s="6">
        <f>ROUND(('ALL(responses)'!Q424 - MIN('ALL(responses)'!Q$2:Q$681)) / (MAX('ALL(responses)'!Q$2:Q$681)-MIN('ALL(responses)'!Q$2:Q$681)),3)
</f>
        <v>0.16</v>
      </c>
      <c r="P424" s="6">
        <f>ROUND(('ALL(responses)'!R424 - MIN('ALL(responses)'!R$2:R$681)) / (MAX('ALL(responses)'!R$2:R$681)-MIN('ALL(responses)'!R$2:R$681)),3)
</f>
        <v>0.983</v>
      </c>
      <c r="Q424" s="6">
        <f>ROUND(('ALL(responses)'!S424 - MIN('ALL(responses)'!S$2:S$681)) / (MAX('ALL(responses)'!S$2:S$681)-MIN('ALL(responses)'!S$2:S$681)),3)
</f>
        <v>0.992</v>
      </c>
      <c r="R424" s="6">
        <f>ROUND(('ALL(responses)'!T424 - MIN('ALL(responses)'!T$2:T$681)) / (MAX('ALL(responses)'!T$2:T$681)-MIN('ALL(responses)'!T$2:T$681)),3)
</f>
        <v>0.675</v>
      </c>
      <c r="S424" s="6">
        <f t="shared" si="1"/>
        <v>0.4494615385</v>
      </c>
    </row>
    <row r="425">
      <c r="A425" s="5" t="str">
        <f>'ALL(responses)'!A425</f>
        <v>C_MODERATELYINTIMATE</v>
      </c>
      <c r="B425" s="6" t="str">
        <f>'ALL(responses)'!B425</f>
        <v>gpt-4o-2024-05-13</v>
      </c>
      <c r="C425" s="49" t="str">
        <f>'ALL(responses)'!C425</f>
        <v>What dreams or aspirations keep you motivated?</v>
      </c>
      <c r="D425" s="49" t="str">
        <f>'ALL(responses)'!D425</f>
        <v>As an AI, I don't have personal dreams, aspirations, or feelings. However, I can share some common dreams and aspirations that motivate many people:1. **Personal Growth**: Many individuals strive to continuously learn and develop new skills, knowledge, and self-awareness, fostering a sense of personal achievement and fulfillment.2. **Career Success**: Achieving professional goals, whether through promotions, starting a business, or excelling in one's chosen field, is a powerful motivator for many.3. **Relationships**: Building and maintaining meaningful relationships with family, friends, and partners often provides a strong sense of purpose and motivation.4. **Health and Well-being**: Aspiring to maintain good physical and mental health can drive people to adopt healthier lifestyles, exercise regularly, and seek balance in life.5. **Creative Expression**: Pursuing creative passions like writing, art, music, or other hobbies allows individuals to express themselves and often brings joy and satisfaction.6. **Making a Difference**: Contributing to society, whether through volunteering, activism, or helping others in various ways, can be deeply motivating as it connects individuals to a larger purpose.7. **Financial Stability**: Achieving financial security and freedom enables people to pursue their goals and dreams without constant worry about financial constraints.8. **Travel and Adventure**: Exploring new places, cultures, and experiences often inspires and energizes individuals, enriching their lives and broadening their perspectives.9. **Legacy**: Some people are motivated by the desire to leave a lasting positive impact, whether through their work, contributions to their community, or the values they impart to the next generation.While I don't possess personal motivations, I'm here to assist and support you in pursuing your dreams and aspirations by providing information, guidance, and encouragement. What are some of your own dreams or aspirations that keep you motivated?</v>
      </c>
      <c r="E425" s="50">
        <f>'ALL(responses)'!E425</f>
        <v>45425</v>
      </c>
      <c r="F425" s="6">
        <f>ROUND(('ALL(responses)'!F425 - MIN('ALL(responses)'!F$2:F$681)) / (MAX('ALL(responses)'!F$2:F$681)-MIN('ALL(responses)'!F$2:F$681)),3)
</f>
        <v>0.5</v>
      </c>
      <c r="G425" s="6">
        <f>ROUND(('ALL(responses)'!G425 - MIN('ALL(responses)'!G$2:G$681)) / (MAX('ALL(responses)'!G$2:G$681)-MIN('ALL(responses)'!G$2:G$681)),3)
</f>
        <v>1</v>
      </c>
      <c r="H425" s="6">
        <f>ROUND(('ALL(responses)'!H425 - MIN('ALL(responses)'!H$2:H$681)) / (MAX('ALL(responses)'!H$2:H$681)-MIN('ALL(responses)'!H$2:H$681)),3)
</f>
        <v>0</v>
      </c>
      <c r="I425" s="6">
        <f>ROUND(('ALL(responses)'!I425 - MIN('ALL(responses)'!I$2:I$681)) / (MAX('ALL(responses)'!I$2:I$681)-MIN('ALL(responses)'!I$2:I$681)),3)
</f>
        <v>0</v>
      </c>
      <c r="J425" s="6">
        <f>ROUND(('ALL(responses)'!J425 - MIN('ALL(responses)'!J$2:J$681)) / (MAX('ALL(responses)'!J$2:J$681)-MIN('ALL(responses)'!J$2:J$681)),3)
</f>
        <v>0.5</v>
      </c>
      <c r="K425" s="6">
        <f>ROUND(('ALL(responses)'!K425 - MIN('ALL(responses)'!K$2:K$681)) / (MAX('ALL(responses)'!K$2:K$681)-MIN('ALL(responses)'!K$2:K$681)),3)
</f>
        <v>0.321</v>
      </c>
      <c r="L425" s="6">
        <f>ROUND(('ALL(responses)'!L425 - MIN('ALL(responses)'!L$2:L$681)) / (MAX('ALL(responses)'!L$2:L$681)-MIN('ALL(responses)'!L$2:L$681)),3)
</f>
        <v>0.478</v>
      </c>
      <c r="M425" s="6">
        <f>ROUND(('ALL(responses)'!M425 - MIN('ALL(responses)'!M$2:M$681)) / (MAX('ALL(responses)'!M$2:M$681)-MIN('ALL(responses)'!M$2:M$681)),3)
</f>
        <v>0.712</v>
      </c>
      <c r="N425" s="6">
        <f>ROUND(('ALL(responses)'!P425 - MIN('ALL(responses)'!P$2:P$681)) / (MAX('ALL(responses)'!P$2:P$681)-MIN('ALL(responses)'!P$2:P$681)),3)
</f>
        <v>0.264</v>
      </c>
      <c r="O425" s="6">
        <f>ROUND(('ALL(responses)'!Q425 - MIN('ALL(responses)'!Q$2:Q$681)) / (MAX('ALL(responses)'!Q$2:Q$681)-MIN('ALL(responses)'!Q$2:Q$681)),3)
</f>
        <v>0.245</v>
      </c>
      <c r="P425" s="6">
        <f>ROUND(('ALL(responses)'!R425 - MIN('ALL(responses)'!R$2:R$681)) / (MAX('ALL(responses)'!R$2:R$681)-MIN('ALL(responses)'!R$2:R$681)),3)
</f>
        <v>0.998</v>
      </c>
      <c r="Q425" s="6">
        <f>ROUND(('ALL(responses)'!S425 - MIN('ALL(responses)'!S$2:S$681)) / (MAX('ALL(responses)'!S$2:S$681)-MIN('ALL(responses)'!S$2:S$681)),3)
</f>
        <v>0.999</v>
      </c>
      <c r="R425" s="6">
        <f>ROUND(('ALL(responses)'!T425 - MIN('ALL(responses)'!T$2:T$681)) / (MAX('ALL(responses)'!T$2:T$681)-MIN('ALL(responses)'!T$2:T$681)),3)
</f>
        <v>0.539</v>
      </c>
      <c r="S425" s="6">
        <f t="shared" si="1"/>
        <v>0.5043076923</v>
      </c>
    </row>
    <row r="426">
      <c r="A426" s="5" t="str">
        <f>'ALL(responses)'!A426</f>
        <v>C_MODERATELYINTIMATE</v>
      </c>
      <c r="B426" s="6" t="str">
        <f>'ALL(responses)'!B426</f>
        <v>gpt-4o-2024-05-13</v>
      </c>
      <c r="C426" s="49" t="str">
        <f>'ALL(responses)'!C426</f>
        <v>Is there someone from your past you wish you could reconnect with? Why?</v>
      </c>
      <c r="D426" s="49" t="str">
        <f>'ALL(responses)'!D426</f>
        <v>As an artificial intelligence, I don't have personal experiences, a past, or relationships, so I don't have the capability to reconnect with anyone. However, I can understand why this question might be important to you or others, and I'm happy to share some common reasons why people might wish to reconnect with someone from their past:1. **Closure**: Sometimes people feel the need to revisit past relationships to gain a sense of closure or resolve unresolved issues.2. **Nostalgia**: Fond memories and nostalgic feelings can motivate individuals to reconnect with friends or loved ones from the past.3. **Personal Growth**: Reconnecting with someone who played a significant role in your personal development can be a way to reflect on how far you’ve come and share your growth.4. **Lost Opportunities**: There may be a sense of unfinished business or lost opportunities—whether romantic, professional, or personal—that drives the desire to reconnect.5. **Life Changes**: Major life changes, such as moving to a new city, starting a new job, or undergoing a personal transformation, might prompt you to reach out to someone who knew you during a different phase of your life.6. **Shared History**: People who share significant experiences or history, like childhood friends or former colleagues, often find comfort and joy in rekindling those connections.7. **Support Systems**: Reconnecting with individuals who have been supportive in the past can be reassuring, especially during challenging times.If there is someone from your past you'd like to reconnect with, consider the reasons why and what you hope to achieve from that reconnection. Sometimes reaching out can lead to meaningful and fulfilling conversations, while other times it may serve as a way to reflect and move on. Either way, understanding your motivations can help you approach the situation thoughtfully.</v>
      </c>
      <c r="E426" s="50">
        <f>'ALL(responses)'!E426</f>
        <v>45425</v>
      </c>
      <c r="F426" s="6">
        <f>ROUND(('ALL(responses)'!F426 - MIN('ALL(responses)'!F$2:F$681)) / (MAX('ALL(responses)'!F$2:F$681)-MIN('ALL(responses)'!F$2:F$681)),3)
</f>
        <v>0.5</v>
      </c>
      <c r="G426" s="6">
        <f>ROUND(('ALL(responses)'!G426 - MIN('ALL(responses)'!G$2:G$681)) / (MAX('ALL(responses)'!G$2:G$681)-MIN('ALL(responses)'!G$2:G$681)),3)
</f>
        <v>1</v>
      </c>
      <c r="H426" s="6">
        <f>ROUND(('ALL(responses)'!H426 - MIN('ALL(responses)'!H$2:H$681)) / (MAX('ALL(responses)'!H$2:H$681)-MIN('ALL(responses)'!H$2:H$681)),3)
</f>
        <v>0</v>
      </c>
      <c r="I426" s="6">
        <f>ROUND(('ALL(responses)'!I426 - MIN('ALL(responses)'!I$2:I$681)) / (MAX('ALL(responses)'!I$2:I$681)-MIN('ALL(responses)'!I$2:I$681)),3)
</f>
        <v>0</v>
      </c>
      <c r="J426" s="6">
        <f>ROUND(('ALL(responses)'!J426 - MIN('ALL(responses)'!J$2:J$681)) / (MAX('ALL(responses)'!J$2:J$681)-MIN('ALL(responses)'!J$2:J$681)),3)
</f>
        <v>0.5</v>
      </c>
      <c r="K426" s="6">
        <f>ROUND(('ALL(responses)'!K426 - MIN('ALL(responses)'!K$2:K$681)) / (MAX('ALL(responses)'!K$2:K$681)-MIN('ALL(responses)'!K$2:K$681)),3)
</f>
        <v>0.573</v>
      </c>
      <c r="L426" s="6">
        <f>ROUND(('ALL(responses)'!L426 - MIN('ALL(responses)'!L$2:L$681)) / (MAX('ALL(responses)'!L$2:L$681)-MIN('ALL(responses)'!L$2:L$681)),3)
</f>
        <v>0.405</v>
      </c>
      <c r="M426" s="6">
        <f>ROUND(('ALL(responses)'!M426 - MIN('ALL(responses)'!M$2:M$681)) / (MAX('ALL(responses)'!M$2:M$681)-MIN('ALL(responses)'!M$2:M$681)),3)
</f>
        <v>0.578</v>
      </c>
      <c r="N426" s="6">
        <f>ROUND(('ALL(responses)'!P426 - MIN('ALL(responses)'!P$2:P$681)) / (MAX('ALL(responses)'!P$2:P$681)-MIN('ALL(responses)'!P$2:P$681)),3)
</f>
        <v>0.436</v>
      </c>
      <c r="O426" s="6">
        <f>ROUND(('ALL(responses)'!Q426 - MIN('ALL(responses)'!Q$2:Q$681)) / (MAX('ALL(responses)'!Q$2:Q$681)-MIN('ALL(responses)'!Q$2:Q$681)),3)
</f>
        <v>0.234</v>
      </c>
      <c r="P426" s="6">
        <f>ROUND(('ALL(responses)'!R426 - MIN('ALL(responses)'!R$2:R$681)) / (MAX('ALL(responses)'!R$2:R$681)-MIN('ALL(responses)'!R$2:R$681)),3)
</f>
        <v>0.998</v>
      </c>
      <c r="Q426" s="6">
        <f>ROUND(('ALL(responses)'!S426 - MIN('ALL(responses)'!S$2:S$681)) / (MAX('ALL(responses)'!S$2:S$681)-MIN('ALL(responses)'!S$2:S$681)),3)
</f>
        <v>0.999</v>
      </c>
      <c r="R426" s="6">
        <f>ROUND(('ALL(responses)'!T426 - MIN('ALL(responses)'!T$2:T$681)) / (MAX('ALL(responses)'!T$2:T$681)-MIN('ALL(responses)'!T$2:T$681)),3)
</f>
        <v>0.491</v>
      </c>
      <c r="S426" s="6">
        <f t="shared" si="1"/>
        <v>0.5164615385</v>
      </c>
    </row>
    <row r="427">
      <c r="A427" s="5" t="str">
        <f>'ALL(responses)'!A427</f>
        <v>C_MODERATELYINTIMATE</v>
      </c>
      <c r="B427" s="6" t="str">
        <f>'ALL(responses)'!B427</f>
        <v>gpt-4o-2024-05-13</v>
      </c>
      <c r="C427" s="49" t="str">
        <f>'ALL(responses)'!C427</f>
        <v>What’s a memory from a past relationship that still brings you comfort or clarity?</v>
      </c>
      <c r="D427" s="49" t="str">
        <f>'ALL(responses)'!D427</f>
        <v>As an artificial intelligence, I don't have personal memories, relationships, or experiences. However, I can certainly reflect on common experiences that people often find comforting or clarifying when thinking about past relationships:### Comforting Memories:1. **Shared Laughter**: Recalling moments of shared laughter and joy can bring comfort, reminding people of the happiness and connection they experienced.   2. **Supportive Times**: Thinking about times when a partner provided emotional support or helped through difficult times can be a source of comfort, illustrating how they were cared for and loved.   3. **Special Occasions**: Celebrations like birthdays, anniversaries, or holidays spent together often hold fond memories that provide warmth and nostalgia.4. **Acts of Kindness**: Memories of small, thoughtful gestures—like surprise gifts, handwritten notes, or spontaneous acts of kindness—can bring a sense of comfort and appreciation.### Clarifying Memories:1. **Personal Growth**: Reflecting on how a relationship helped in personal growth, whether by learning more about oneself or developing new skills, can provide clarity and appreciation for that phase of life.2. **Life Lessons**: Remembering a particular challenge or disagreement that led to important life lessons or insights about relationships and communication can help in personal development.3. **Understanding Needs**: Realizing what worked and what didn’t in a past relationship can clarify what one needs and values in future relationships.4. **Closure**: Memories that helped provide closure—like a meaningful conversation or a mutual understanding about the end of the relationship—can bring inner peace and acceptance.### Example:Imagine someone recalling a memory where their partner supported them through a difficult job transition. The partner's unwavering support during that time might still bring comfort, reminding them that they are capable of facing adversity with the help of loved ones. Additionally, it could provide clarity on the type of supportive qualities they value in a partner.If you have specific memories from past relationships that bring you comfort or clarity, cherishing those can help you appreciate the positive aspects and lessons learned from those experiences.</v>
      </c>
      <c r="E427" s="50">
        <f>'ALL(responses)'!E427</f>
        <v>45425</v>
      </c>
      <c r="F427" s="6">
        <f>ROUND(('ALL(responses)'!F427 - MIN('ALL(responses)'!F$2:F$681)) / (MAX('ALL(responses)'!F$2:F$681)-MIN('ALL(responses)'!F$2:F$681)),3)
</f>
        <v>0.5</v>
      </c>
      <c r="G427" s="6">
        <f>ROUND(('ALL(responses)'!G427 - MIN('ALL(responses)'!G$2:G$681)) / (MAX('ALL(responses)'!G$2:G$681)-MIN('ALL(responses)'!G$2:G$681)),3)
</f>
        <v>0</v>
      </c>
      <c r="H427" s="6">
        <f>ROUND(('ALL(responses)'!H427 - MIN('ALL(responses)'!H$2:H$681)) / (MAX('ALL(responses)'!H$2:H$681)-MIN('ALL(responses)'!H$2:H$681)),3)
</f>
        <v>0</v>
      </c>
      <c r="I427" s="6">
        <f>ROUND(('ALL(responses)'!I427 - MIN('ALL(responses)'!I$2:I$681)) / (MAX('ALL(responses)'!I$2:I$681)-MIN('ALL(responses)'!I$2:I$681)),3)
</f>
        <v>0.75</v>
      </c>
      <c r="J427" s="6">
        <f>ROUND(('ALL(responses)'!J427 - MIN('ALL(responses)'!J$2:J$681)) / (MAX('ALL(responses)'!J$2:J$681)-MIN('ALL(responses)'!J$2:J$681)),3)
</f>
        <v>0.5</v>
      </c>
      <c r="K427" s="6">
        <f>ROUND(('ALL(responses)'!K427 - MIN('ALL(responses)'!K$2:K$681)) / (MAX('ALL(responses)'!K$2:K$681)-MIN('ALL(responses)'!K$2:K$681)),3)
</f>
        <v>0.515</v>
      </c>
      <c r="L427" s="6">
        <f>ROUND(('ALL(responses)'!L427 - MIN('ALL(responses)'!L$2:L$681)) / (MAX('ALL(responses)'!L$2:L$681)-MIN('ALL(responses)'!L$2:L$681)),3)
</f>
        <v>0.232</v>
      </c>
      <c r="M427" s="6">
        <f>ROUND(('ALL(responses)'!M427 - MIN('ALL(responses)'!M$2:M$681)) / (MAX('ALL(responses)'!M$2:M$681)-MIN('ALL(responses)'!M$2:M$681)),3)
</f>
        <v>0.758</v>
      </c>
      <c r="N427" s="6">
        <f>ROUND(('ALL(responses)'!P427 - MIN('ALL(responses)'!P$2:P$681)) / (MAX('ALL(responses)'!P$2:P$681)-MIN('ALL(responses)'!P$2:P$681)),3)
</f>
        <v>0.593</v>
      </c>
      <c r="O427" s="6">
        <f>ROUND(('ALL(responses)'!Q427 - MIN('ALL(responses)'!Q$2:Q$681)) / (MAX('ALL(responses)'!Q$2:Q$681)-MIN('ALL(responses)'!Q$2:Q$681)),3)
</f>
        <v>0.183</v>
      </c>
      <c r="P427" s="6">
        <f>ROUND(('ALL(responses)'!R427 - MIN('ALL(responses)'!R$2:R$681)) / (MAX('ALL(responses)'!R$2:R$681)-MIN('ALL(responses)'!R$2:R$681)),3)
</f>
        <v>0.999</v>
      </c>
      <c r="Q427" s="6">
        <f>ROUND(('ALL(responses)'!S427 - MIN('ALL(responses)'!S$2:S$681)) / (MAX('ALL(responses)'!S$2:S$681)-MIN('ALL(responses)'!S$2:S$681)),3)
</f>
        <v>0.999</v>
      </c>
      <c r="R427" s="6">
        <f>ROUND(('ALL(responses)'!T427 - MIN('ALL(responses)'!T$2:T$681)) / (MAX('ALL(responses)'!T$2:T$681)-MIN('ALL(responses)'!T$2:T$681)),3)
</f>
        <v>0.551</v>
      </c>
      <c r="S427" s="6">
        <f t="shared" si="1"/>
        <v>0.5061538462</v>
      </c>
    </row>
    <row r="428">
      <c r="A428" s="5" t="str">
        <f>'ALL(responses)'!A428</f>
        <v>C_MODERATELYINTIMATE</v>
      </c>
      <c r="B428" s="6" t="str">
        <f>'ALL(responses)'!B428</f>
        <v>gpt-4o-2024-05-13</v>
      </c>
      <c r="C428" s="49" t="str">
        <f>'ALL(responses)'!C428</f>
        <v>How do you think trust is built and maintained in relationships?</v>
      </c>
      <c r="D428" s="49" t="str">
        <f>'ALL(responses)'!D428</f>
        <v>Trust is a fundamental component of any healthy relationship, whether it's friendships, romantic partnerships, family bonds, or professional connections. Building and maintaining trust requires consistent effort, communication, and mutual respect. Here are some key elements involved in building and maintaining trust:### Building Trust1. **Transparency and Honesty**:   - Being open and honest with each other about feelings, experiences, and intentions lays the foundation for trust.   - Sharing vulnerabilities and admitting mistakes can demonstrate authenticity and build confidence in each other's honesty.2. **Consistency**:   - Consistent behavior and reliability help in establishing trust. When someone repeatedly follows through on promises and commitments, it shows dependability.   - Predictability in actions and responses can create a sense of security in the relationship.3. **Effective Communication**:   - Open, clear, and empathetic communication fosters understanding and reduces the likelihood of misunderstandings.   - Active listening and showing genuine interest in the other person's thoughts and feelings contribute to building trust.4. **Respect and Empathy**:   - Demonstrating respect for each other’s boundaries, feelings, and perspectives is crucial.   - Empathy, or understanding and sharing the feelings of another, strengthens the emotional connection and trust.5. **Mutual Support**:   - Being available and providing support during challenging times shows that you can depend on one another.   - Celebrating successes and standing by each other in difficult moments reinforce trust and partnership.### Maintaining Trust1. **Consistency in Actions**:   - Continuously honoring commitments and being reliable keeps the trust intact.   - Avoiding behaviors or actions that could betray trust, like dishonesty or breaking promises, is essential.2. **Ongoing Communication**:   - Regular, open dialogue helps address any issues or concerns before they fester, maintaining transparency.   - Checking in with each other and discussing feelings, needs, and changes ensures that both parties feel heard and understood.3. **Conflict Resolution**:   - Handling conflicts constructively and respectfully is crucial for maintaining trust.   - Apologizing when necessary, owning up to mistakes, and working together to find solutions can strengthen trust rather than diminish it.4. **Boundaries and Respect**:   - Continually respecting each other’s boundaries, space, and individuality maintains mutual respect and trust.   - Ensuring that both partners feel comfortable and respected preserves the balance and trust in the relationship.5. **Reinforcement of Positive Behavior**:   - Acknowledging and appreciating the trust-building actions each partner takes reinforces those behaviors.   - Affirming each other’s efforts and contributions creates a positive feedback loop that strengthens trust.### Example:Imagine a couple, Alex and Jamie. Alex tells Jamie they'll be home by 6 PM and consistently arrives around that time. This builds trust as Jamie learns to rely on Alex's commitments. When Alex once had to stay late at work, they immediately informed Jamie, demonstrating transparency and consideration. When disagreements arise, both listen without interrupting and work together towards a solution, respecting each other’s viewpoints. These actions collectively build and maintain trust in their relationship.Trust is a dynamic and ongoing process. It requires continuous nurturing through consistent, respectful, and honest interactions. By actively working on these elements, relationships can thrive and remain strong over time.</v>
      </c>
      <c r="E428" s="50">
        <f>'ALL(responses)'!E428</f>
        <v>45425</v>
      </c>
      <c r="F428" s="6">
        <f>ROUND(('ALL(responses)'!F428 - MIN('ALL(responses)'!F$2:F$681)) / (MAX('ALL(responses)'!F$2:F$681)-MIN('ALL(responses)'!F$2:F$681)),3)
</f>
        <v>0.5</v>
      </c>
      <c r="G428" s="6">
        <f>ROUND(('ALL(responses)'!G428 - MIN('ALL(responses)'!G$2:G$681)) / (MAX('ALL(responses)'!G$2:G$681)-MIN('ALL(responses)'!G$2:G$681)),3)
</f>
        <v>1</v>
      </c>
      <c r="H428" s="6">
        <f>ROUND(('ALL(responses)'!H428 - MIN('ALL(responses)'!H$2:H$681)) / (MAX('ALL(responses)'!H$2:H$681)-MIN('ALL(responses)'!H$2:H$681)),3)
</f>
        <v>0</v>
      </c>
      <c r="I428" s="6">
        <f>ROUND(('ALL(responses)'!I428 - MIN('ALL(responses)'!I$2:I$681)) / (MAX('ALL(responses)'!I$2:I$681)-MIN('ALL(responses)'!I$2:I$681)),3)
</f>
        <v>0.75</v>
      </c>
      <c r="J428" s="6">
        <f>ROUND(('ALL(responses)'!J428 - MIN('ALL(responses)'!J$2:J$681)) / (MAX('ALL(responses)'!J$2:J$681)-MIN('ALL(responses)'!J$2:J$681)),3)
</f>
        <v>0.5</v>
      </c>
      <c r="K428" s="6">
        <f>ROUND(('ALL(responses)'!K428 - MIN('ALL(responses)'!K$2:K$681)) / (MAX('ALL(responses)'!K$2:K$681)-MIN('ALL(responses)'!K$2:K$681)),3)
</f>
        <v>0.47</v>
      </c>
      <c r="L428" s="6">
        <f>ROUND(('ALL(responses)'!L428 - MIN('ALL(responses)'!L$2:L$681)) / (MAX('ALL(responses)'!L$2:L$681)-MIN('ALL(responses)'!L$2:L$681)),3)
</f>
        <v>0.276</v>
      </c>
      <c r="M428" s="6">
        <f>ROUND(('ALL(responses)'!M428 - MIN('ALL(responses)'!M$2:M$681)) / (MAX('ALL(responses)'!M$2:M$681)-MIN('ALL(responses)'!M$2:M$681)),3)
</f>
        <v>0.742</v>
      </c>
      <c r="N428" s="6">
        <f>ROUND(('ALL(responses)'!P428 - MIN('ALL(responses)'!P$2:P$681)) / (MAX('ALL(responses)'!P$2:P$681)-MIN('ALL(responses)'!P$2:P$681)),3)
</f>
        <v>0.157</v>
      </c>
      <c r="O428" s="6">
        <f>ROUND(('ALL(responses)'!Q428 - MIN('ALL(responses)'!Q$2:Q$681)) / (MAX('ALL(responses)'!Q$2:Q$681)-MIN('ALL(responses)'!Q$2:Q$681)),3)
</f>
        <v>0.067</v>
      </c>
      <c r="P428" s="6">
        <f>ROUND(('ALL(responses)'!R428 - MIN('ALL(responses)'!R$2:R$681)) / (MAX('ALL(responses)'!R$2:R$681)-MIN('ALL(responses)'!R$2:R$681)),3)
</f>
        <v>1</v>
      </c>
      <c r="Q428" s="6">
        <f>ROUND(('ALL(responses)'!S428 - MIN('ALL(responses)'!S$2:S$681)) / (MAX('ALL(responses)'!S$2:S$681)-MIN('ALL(responses)'!S$2:S$681)),3)
</f>
        <v>1</v>
      </c>
      <c r="R428" s="6">
        <f>ROUND(('ALL(responses)'!T428 - MIN('ALL(responses)'!T$2:T$681)) / (MAX('ALL(responses)'!T$2:T$681)-MIN('ALL(responses)'!T$2:T$681)),3)
</f>
        <v>0.543</v>
      </c>
      <c r="S428" s="6">
        <f t="shared" si="1"/>
        <v>0.5388461538</v>
      </c>
    </row>
    <row r="429">
      <c r="A429" s="5" t="str">
        <f>'ALL(responses)'!A429</f>
        <v>C_MODERATELYINTIMATE</v>
      </c>
      <c r="B429" s="6" t="str">
        <f>'ALL(responses)'!B429</f>
        <v>gpt-4o-2024-05-13</v>
      </c>
      <c r="C429" s="49" t="str">
        <f>'ALL(responses)'!C429</f>
        <v>What makes you feel safe enough to open up to someone?</v>
      </c>
      <c r="D429" s="49" t="str">
        <f>'ALL(responses)'!D429</f>
        <v>While I, as an artificial intelligence, don't have personal feelings or relationships, I can provide insights into what generally makes people feel safe enough to open up to someone. Creating a safe and trust-filled environment is crucial for fostering open and honest communication. Here are some key factors that contribute to feeling safe enough to open up:### Key Factors for Feeling Safe to Open Up:1. **Non-Judgmental Attitude**:   - Knowing that the other person won't judge or criticize you for your thoughts, feelings, or experiences encourages openness.   - A compassionate and understanding demeanor helps create a safe space for sharing.2. **Active Listening**:   - When the other person listens attentively and shows genuine interest in what you are saying, it builds a sense of trust and validation.   - Avoiding interruptions and being fully present during conversations make people feel heard and respected.3. **Empathy**:   - Empathetic responses—showing that the other person understands and shares your feelings—can make you feel supported and less isolated.   - Expressing empathy helps in building emotional connection and safety.4. **Confidentiality**:   - Knowing that what you share will be kept private and not disclosed to others without your permission is crucial for feeling safe.   - Trusting that the other person will respect your privacy encourages deeper sharing.5. **Respect for Boundaries**:   - When someone respects your personal boundaries and doesn't pressure you to share more than you're comfortable with, it creates a sense of safety.   - Understanding and honoring each other’s limits allows for more genuine and voluntary openness.6. **Consistency and Reliability**:   - Consistent and reliable behavior from the other person builds a foundation of trust, making it easier to open up.   - When you know you can count on someone, you feel more secure in sharing personal information.7. **Positive Reinforcement**:   - Receiving positive, supportive reactions when you do share encourages further openness.   - Affirmations, understanding nods, and encouraging words can make you feel appreciated and safe.8. **Shared Experiences**:   - Finding common ground or shared experiences can make opening up easier, as it fosters a sense of connection and relatability.   - Knowing that the other person has gone through similar situations can reduce feelings of isolation.### Example:Imagine you have a close friend named Alex. Whenever you talk to Alex about your feelings, they listen intently, maintain eye contact, and give you their undivided attention. They never interrupt, criticize, or dismiss your experiences. Alex respects your boundaries and never pressures you to share more than you are comfortable with. When you share something vulnerable, Alex responds with empathy, perhaps sharing their own experiences or simply acknowledging your feelings. Over time, Alex consistently demonstrates reliability and keeps your conversations confidential. These behaviors collectively create a safe environment where you feel comfortable opening up to Alex.Feeling safe enough to open up to someone is a combination of trust, respect, empathy, and consistent supportive behavior. By fostering these qualities, people can create environments where open and honest communication thrives.</v>
      </c>
      <c r="E429" s="50">
        <f>'ALL(responses)'!E429</f>
        <v>45425</v>
      </c>
      <c r="F429" s="6">
        <f>ROUND(('ALL(responses)'!F429 - MIN('ALL(responses)'!F$2:F$681)) / (MAX('ALL(responses)'!F$2:F$681)-MIN('ALL(responses)'!F$2:F$681)),3)
</f>
        <v>0.5</v>
      </c>
      <c r="G429" s="6">
        <f>ROUND(('ALL(responses)'!G429 - MIN('ALL(responses)'!G$2:G$681)) / (MAX('ALL(responses)'!G$2:G$681)-MIN('ALL(responses)'!G$2:G$681)),3)
</f>
        <v>1</v>
      </c>
      <c r="H429" s="6">
        <f>ROUND(('ALL(responses)'!H429 - MIN('ALL(responses)'!H$2:H$681)) / (MAX('ALL(responses)'!H$2:H$681)-MIN('ALL(responses)'!H$2:H$681)),3)
</f>
        <v>0</v>
      </c>
      <c r="I429" s="6">
        <f>ROUND(('ALL(responses)'!I429 - MIN('ALL(responses)'!I$2:I$681)) / (MAX('ALL(responses)'!I$2:I$681)-MIN('ALL(responses)'!I$2:I$681)),3)
</f>
        <v>0</v>
      </c>
      <c r="J429" s="6">
        <f>ROUND(('ALL(responses)'!J429 - MIN('ALL(responses)'!J$2:J$681)) / (MAX('ALL(responses)'!J$2:J$681)-MIN('ALL(responses)'!J$2:J$681)),3)
</f>
        <v>0.5</v>
      </c>
      <c r="K429" s="6">
        <f>ROUND(('ALL(responses)'!K429 - MIN('ALL(responses)'!K$2:K$681)) / (MAX('ALL(responses)'!K$2:K$681)-MIN('ALL(responses)'!K$2:K$681)),3)
</f>
        <v>0.407</v>
      </c>
      <c r="L429" s="6">
        <f>ROUND(('ALL(responses)'!L429 - MIN('ALL(responses)'!L$2:L$681)) / (MAX('ALL(responses)'!L$2:L$681)-MIN('ALL(responses)'!L$2:L$681)),3)
</f>
        <v>0.494</v>
      </c>
      <c r="M429" s="6">
        <f>ROUND(('ALL(responses)'!M429 - MIN('ALL(responses)'!M$2:M$681)) / (MAX('ALL(responses)'!M$2:M$681)-MIN('ALL(responses)'!M$2:M$681)),3)
</f>
        <v>0.708</v>
      </c>
      <c r="N429" s="6">
        <f>ROUND(('ALL(responses)'!P429 - MIN('ALL(responses)'!P$2:P$681)) / (MAX('ALL(responses)'!P$2:P$681)-MIN('ALL(responses)'!P$2:P$681)),3)
</f>
        <v>0.226</v>
      </c>
      <c r="O429" s="6">
        <f>ROUND(('ALL(responses)'!Q429 - MIN('ALL(responses)'!Q$2:Q$681)) / (MAX('ALL(responses)'!Q$2:Q$681)-MIN('ALL(responses)'!Q$2:Q$681)),3)
</f>
        <v>0.365</v>
      </c>
      <c r="P429" s="6">
        <f>ROUND(('ALL(responses)'!R429 - MIN('ALL(responses)'!R$2:R$681)) / (MAX('ALL(responses)'!R$2:R$681)-MIN('ALL(responses)'!R$2:R$681)),3)
</f>
        <v>0.999</v>
      </c>
      <c r="Q429" s="6">
        <f>ROUND(('ALL(responses)'!S429 - MIN('ALL(responses)'!S$2:S$681)) / (MAX('ALL(responses)'!S$2:S$681)-MIN('ALL(responses)'!S$2:S$681)),3)
</f>
        <v>1</v>
      </c>
      <c r="R429" s="6">
        <f>ROUND(('ALL(responses)'!T429 - MIN('ALL(responses)'!T$2:T$681)) / (MAX('ALL(responses)'!T$2:T$681)-MIN('ALL(responses)'!T$2:T$681)),3)
</f>
        <v>0.561</v>
      </c>
      <c r="S429" s="6">
        <f t="shared" si="1"/>
        <v>0.52</v>
      </c>
    </row>
    <row r="430">
      <c r="A430" s="5" t="str">
        <f>'ALL(responses)'!A430</f>
        <v>C_MODERATELYINTIMATE</v>
      </c>
      <c r="B430" s="6" t="str">
        <f>'ALL(responses)'!B430</f>
        <v>gpt-4o-2024-05-13</v>
      </c>
      <c r="C430" s="49" t="str">
        <f>'ALL(responses)'!C430</f>
        <v>Can you describe a turning point in your life?</v>
      </c>
      <c r="D430" s="49" t="str">
        <f>'ALL(responses)'!D430</f>
        <v>As an artificial intelligence, I don't have a personal life or experiences, so I don't undergo turning points in the way that humans do. However, I can discuss common turning points that people often experience, which can lead to significant changes and personal growth:### Common Turning Points in Life:1. **Graduation**:   - Completing an educational program, such as high school or college, often marks a major transition into a new phase of life. This can bring new opportunities, responsibilities, and challenges.2. **Career Change**:   - Switching careers or landing a dream job can be a defining moment that alters one's professional and personal trajectory. It can lead to increased fulfillment, new skills, and different life circumstances.3. **Relationship Milestones**:   - Experiences such as getting married, entering a significant relationship, or going through a breakup or divorce can dramatically change one's emotional and social landscape.4. **Parenthood**:   - The birth or adoption of a child introduces a new set of responsibilities and joys, significantly impacting priorities and lifestyle.5. **Health Challenges**:   - Experiencing a major health event, whether it's a personal illness or that of a loved one, can shift perspectives on life and wellness, often bringing about lifestyle changes and emotional growth.6. **Moving to a New Place**:   - Relocating to a new city or country can be a transformative experience, offering new opportunities and challenges, and often leading to cultural and personal adaptation.7. **Loss of a Loved One**:   - The death of a loved one can be a profound turning point, prompting introspection and potentially leading to new outlooks on life, priorities, and values.8. **Personal Achievements**:   - Accomplishing a significant personal goal, such as running a marathon, writing a book, or overcoming a phobia, can be deeply transformative and empowering.9. **Spiritual or Personal Awakenings**:   - Moments of profound spiritual or personal insight can lead to a dramatic shift in beliefs, values, or lifestyle choices.### Example:Imagine someone named Jordan who has been working in a corporate job for several years but feels unfulfilled. One day, Jordan decides to pursue a long-standing passion for writing. After months of dedication, Jordan publishes a novel that receives positive reviews and gains a small following. This turning point not only alters Jordan’s career path but also brings immense personal satisfaction and a renewed sense of purpose.Turning points can often be catalysts for significant and meaningful change. Reflecting on these moments can provide valuable insights into one's journey and growth.</v>
      </c>
      <c r="E430" s="50">
        <f>'ALL(responses)'!E430</f>
        <v>45425</v>
      </c>
      <c r="F430" s="6">
        <f>ROUND(('ALL(responses)'!F430 - MIN('ALL(responses)'!F$2:F$681)) / (MAX('ALL(responses)'!F$2:F$681)-MIN('ALL(responses)'!F$2:F$681)),3)
</f>
        <v>0.5</v>
      </c>
      <c r="G430" s="6">
        <f>ROUND(('ALL(responses)'!G430 - MIN('ALL(responses)'!G$2:G$681)) / (MAX('ALL(responses)'!G$2:G$681)-MIN('ALL(responses)'!G$2:G$681)),3)
</f>
        <v>1</v>
      </c>
      <c r="H430" s="6">
        <f>ROUND(('ALL(responses)'!H430 - MIN('ALL(responses)'!H$2:H$681)) / (MAX('ALL(responses)'!H$2:H$681)-MIN('ALL(responses)'!H$2:H$681)),3)
</f>
        <v>0</v>
      </c>
      <c r="I430" s="6">
        <f>ROUND(('ALL(responses)'!I430 - MIN('ALL(responses)'!I$2:I$681)) / (MAX('ALL(responses)'!I$2:I$681)-MIN('ALL(responses)'!I$2:I$681)),3)
</f>
        <v>0.75</v>
      </c>
      <c r="J430" s="6">
        <f>ROUND(('ALL(responses)'!J430 - MIN('ALL(responses)'!J$2:J$681)) / (MAX('ALL(responses)'!J$2:J$681)-MIN('ALL(responses)'!J$2:J$681)),3)
</f>
        <v>0</v>
      </c>
      <c r="K430" s="6">
        <f>ROUND(('ALL(responses)'!K430 - MIN('ALL(responses)'!K$2:K$681)) / (MAX('ALL(responses)'!K$2:K$681)-MIN('ALL(responses)'!K$2:K$681)),3)
</f>
        <v>0.458</v>
      </c>
      <c r="L430" s="6">
        <f>ROUND(('ALL(responses)'!L430 - MIN('ALL(responses)'!L$2:L$681)) / (MAX('ALL(responses)'!L$2:L$681)-MIN('ALL(responses)'!L$2:L$681)),3)
</f>
        <v>0.33</v>
      </c>
      <c r="M430" s="6">
        <f>ROUND(('ALL(responses)'!M430 - MIN('ALL(responses)'!M$2:M$681)) / (MAX('ALL(responses)'!M$2:M$681)-MIN('ALL(responses)'!M$2:M$681)),3)
</f>
        <v>0.425</v>
      </c>
      <c r="N430" s="6">
        <f>ROUND(('ALL(responses)'!P430 - MIN('ALL(responses)'!P$2:P$681)) / (MAX('ALL(responses)'!P$2:P$681)-MIN('ALL(responses)'!P$2:P$681)),3)
</f>
        <v>0.511</v>
      </c>
      <c r="O430" s="6">
        <f>ROUND(('ALL(responses)'!Q430 - MIN('ALL(responses)'!Q$2:Q$681)) / (MAX('ALL(responses)'!Q$2:Q$681)-MIN('ALL(responses)'!Q$2:Q$681)),3)
</f>
        <v>0.058</v>
      </c>
      <c r="P430" s="6">
        <f>ROUND(('ALL(responses)'!R430 - MIN('ALL(responses)'!R$2:R$681)) / (MAX('ALL(responses)'!R$2:R$681)-MIN('ALL(responses)'!R$2:R$681)),3)
</f>
        <v>0.991</v>
      </c>
      <c r="Q430" s="6">
        <f>ROUND(('ALL(responses)'!S430 - MIN('ALL(responses)'!S$2:S$681)) / (MAX('ALL(responses)'!S$2:S$681)-MIN('ALL(responses)'!S$2:S$681)),3)
</f>
        <v>0.996</v>
      </c>
      <c r="R430" s="6">
        <f>ROUND(('ALL(responses)'!T430 - MIN('ALL(responses)'!T$2:T$681)) / (MAX('ALL(responses)'!T$2:T$681)-MIN('ALL(responses)'!T$2:T$681)),3)
</f>
        <v>0.428</v>
      </c>
      <c r="S430" s="6">
        <f t="shared" si="1"/>
        <v>0.4959230769</v>
      </c>
    </row>
    <row r="431">
      <c r="A431" s="5" t="str">
        <f>'ALL(responses)'!A431</f>
        <v>C_MODERATELYINTIMATE</v>
      </c>
      <c r="B431" s="6" t="str">
        <f>'ALL(responses)'!B431</f>
        <v>gpt-4o-2024-05-13</v>
      </c>
      <c r="C431" s="49" t="str">
        <f>'ALL(responses)'!C431</f>
        <v>Was there a time in your life you had to start over? What was that experience like?</v>
      </c>
      <c r="D431" s="49" t="str">
        <f>'ALL(responses)'!D431</f>
        <v>As an artificial intelligence, I don't have personal experiences, a life narrative, or the ability to start over in the way humans do. However, I can certainly provide insights into what it might feel like for someone to start over in different aspects of their life, and how that experience can be both challenging and rewarding.### Common Scenarios of Starting Over:1. **Career Change**:   - Changing careers often involves leaving behind familiar routines and learning new skills. This can be both exhilarating and nerve-wracking.   - The experience might involve financial uncertainty, but it also offers the opportunity to pursue passions and achieve greater personal fulfillment.2. **Moving to a New Place**:   - Relocating to a new city or country involves adapting to a new environment, possibly learning a new language, and building a new social network.   - While the initial period may feel isolating and overwhelming, it can also lead to personal growth and broadened horizons.3. **Ending a Relationship**:   - Starting over after a significant relationship ends can be emotionally intense and challenging. It demands a redefinition of personal identity and routines.   - This period, though difficult, often leads to increased self-awareness, personal growth, and the opportunity to form new, healthier relationships.4. **Returning to School or Learning a New Skill**:   - Going back to school or learning a new skill later in life can be both daunting and exciting, requiring a balance between existing responsibilities and new commitments.   - The experience often leads to intellectual stimulation, personal growth, and new opportunities.5. **Recovery from Major Life Events**:   - Recovering from events like serious illness, loss of a loved one, or financial setbacks often involves starting over emotionally, physically, or financially.   - While this can be incredibly challenging, it also presents opportunities for resilience, discovering inner strength, and redefining one's path forward.### Example Narrative:Imagine someone named Sam who, after working in the corporate world for 15 years, decides to follow a childhood dream of becoming a chef. This decision means leaving a stable job, enrolling in culinary school, and starting at the bottom in the food industry. Initially, Sam faces financial strain and self-doubt. However, the process also brings immense satisfaction, as Sam discovers a deep passion for cooking and eventually opens a successful restaurant. Though challenging, this journey of starting over allowed Sam to find true fulfillment and happiness.### The Experience of Starting Over:- **Emotional Landscape**: The emotional experience of starting over can be complex, involving feelings of fear, uncertainty, excitement, and hope. Managing these emotions effectively is crucial for navigating the transition period.- **Support Systems**: Having supportive friends, family, or mentors can make a significant difference, providing encouragement and practical assistance.- **Resilience and Adaptability**: Developing resilience and the ability to adapt to new circumstances can help ease the transition and open the door to unexpected opportunities.- **New Perspectives**: Starting over often brings new perspectives, helping individuals appreciate different aspects of life and develop a more nuanced understanding of themselves and their goals.Starting over is often a challenging but transformative experience, offering the chance for reinvention and growth. It involves navigating uncertainty while remaining open to new possibilities, ultimately leading to personal and often profound changes.</v>
      </c>
      <c r="E431" s="50">
        <f>'ALL(responses)'!E431</f>
        <v>45425</v>
      </c>
      <c r="F431" s="6">
        <f>ROUND(('ALL(responses)'!F431 - MIN('ALL(responses)'!F$2:F$681)) / (MAX('ALL(responses)'!F$2:F$681)-MIN('ALL(responses)'!F$2:F$681)),3)
</f>
        <v>0.5</v>
      </c>
      <c r="G431" s="6">
        <f>ROUND(('ALL(responses)'!G431 - MIN('ALL(responses)'!G$2:G$681)) / (MAX('ALL(responses)'!G$2:G$681)-MIN('ALL(responses)'!G$2:G$681)),3)
</f>
        <v>1</v>
      </c>
      <c r="H431" s="6">
        <f>ROUND(('ALL(responses)'!H431 - MIN('ALL(responses)'!H$2:H$681)) / (MAX('ALL(responses)'!H$2:H$681)-MIN('ALL(responses)'!H$2:H$681)),3)
</f>
        <v>0</v>
      </c>
      <c r="I431" s="6">
        <f>ROUND(('ALL(responses)'!I431 - MIN('ALL(responses)'!I$2:I$681)) / (MAX('ALL(responses)'!I$2:I$681)-MIN('ALL(responses)'!I$2:I$681)),3)
</f>
        <v>0</v>
      </c>
      <c r="J431" s="6">
        <f>ROUND(('ALL(responses)'!J431 - MIN('ALL(responses)'!J$2:J$681)) / (MAX('ALL(responses)'!J$2:J$681)-MIN('ALL(responses)'!J$2:J$681)),3)
</f>
        <v>0</v>
      </c>
      <c r="K431" s="6">
        <f>ROUND(('ALL(responses)'!K431 - MIN('ALL(responses)'!K$2:K$681)) / (MAX('ALL(responses)'!K$2:K$681)-MIN('ALL(responses)'!K$2:K$681)),3)
</f>
        <v>0.481</v>
      </c>
      <c r="L431" s="6">
        <f>ROUND(('ALL(responses)'!L431 - MIN('ALL(responses)'!L$2:L$681)) / (MAX('ALL(responses)'!L$2:L$681)-MIN('ALL(responses)'!L$2:L$681)),3)
</f>
        <v>0.456</v>
      </c>
      <c r="M431" s="6">
        <f>ROUND(('ALL(responses)'!M431 - MIN('ALL(responses)'!M$2:M$681)) / (MAX('ALL(responses)'!M$2:M$681)-MIN('ALL(responses)'!M$2:M$681)),3)
</f>
        <v>0.555</v>
      </c>
      <c r="N431" s="6">
        <f>ROUND(('ALL(responses)'!P431 - MIN('ALL(responses)'!P$2:P$681)) / (MAX('ALL(responses)'!P$2:P$681)-MIN('ALL(responses)'!P$2:P$681)),3)
</f>
        <v>0.44</v>
      </c>
      <c r="O431" s="6">
        <f>ROUND(('ALL(responses)'!Q431 - MIN('ALL(responses)'!Q$2:Q$681)) / (MAX('ALL(responses)'!Q$2:Q$681)-MIN('ALL(responses)'!Q$2:Q$681)),3)
</f>
        <v>0.096</v>
      </c>
      <c r="P431" s="6">
        <f>ROUND(('ALL(responses)'!R431 - MIN('ALL(responses)'!R$2:R$681)) / (MAX('ALL(responses)'!R$2:R$681)-MIN('ALL(responses)'!R$2:R$681)),3)
</f>
        <v>0.999</v>
      </c>
      <c r="Q431" s="6">
        <f>ROUND(('ALL(responses)'!S431 - MIN('ALL(responses)'!S$2:S$681)) / (MAX('ALL(responses)'!S$2:S$681)-MIN('ALL(responses)'!S$2:S$681)),3)
</f>
        <v>1</v>
      </c>
      <c r="R431" s="6">
        <f>ROUND(('ALL(responses)'!T431 - MIN('ALL(responses)'!T$2:T$681)) / (MAX('ALL(responses)'!T$2:T$681)-MIN('ALL(responses)'!T$2:T$681)),3)
</f>
        <v>0.562</v>
      </c>
      <c r="S431" s="6">
        <f t="shared" si="1"/>
        <v>0.4683846154</v>
      </c>
    </row>
    <row r="432">
      <c r="A432" s="5" t="str">
        <f>'ALL(responses)'!A432</f>
        <v>D_HIGHLYINTIMATE</v>
      </c>
      <c r="B432" s="6" t="str">
        <f>'ALL(responses)'!B432</f>
        <v>gpt-4o-2024-05-13</v>
      </c>
      <c r="C432" s="49" t="str">
        <f>'ALL(responses)'!C432</f>
        <v>What personal values guide your approach to physical intimacy?</v>
      </c>
      <c r="D432" s="49" t="str">
        <f>'ALL(responses)'!D432</f>
        <v>As an AI language model, I don't have personal experiences or values, but I can provide some general principles that many people consider important in their approach to physical intimacy:1. **Consent**: Ensuring that all parties involved have given their clear and enthusiastic consent to any activity.  2. **Communication**: Open and honest communication about boundaries, desires, and expectations to ensure mutual understanding and comfort.3. **Respect**: Valuing and respecting the feelings, limits, and bodies of all individuals involved.4. **Trust**: Building a foundation of trust with the other person, ensuring that both feel safe and secure.5. **Safety**: Prioritizing physical and emotional safety by discussing and adhering to safe practices, which can include the use of protection and considering emotional readiness.6. **Mutuality**: Ensuring that the experience is mutually enjoyable and that the needs and desires of all parties are considered and respected.7. **Integrity**: Being honest and transparent in interactions, and not engaging in any form of deception or manipulation.These values help create a respectful, enjoyable, and safe environment for physical intimacy.</v>
      </c>
      <c r="E432" s="50">
        <f>'ALL(responses)'!E432</f>
        <v>45425</v>
      </c>
      <c r="F432" s="6">
        <f>ROUND(('ALL(responses)'!F432 - MIN('ALL(responses)'!F$2:F$681)) / (MAX('ALL(responses)'!F$2:F$681)-MIN('ALL(responses)'!F$2:F$681)),3)
</f>
        <v>0.5</v>
      </c>
      <c r="G432" s="6">
        <f>ROUND(('ALL(responses)'!G432 - MIN('ALL(responses)'!G$2:G$681)) / (MAX('ALL(responses)'!G$2:G$681)-MIN('ALL(responses)'!G$2:G$681)),3)
</f>
        <v>1</v>
      </c>
      <c r="H432" s="6">
        <f>ROUND(('ALL(responses)'!H432 - MIN('ALL(responses)'!H$2:H$681)) / (MAX('ALL(responses)'!H$2:H$681)-MIN('ALL(responses)'!H$2:H$681)),3)
</f>
        <v>0</v>
      </c>
      <c r="I432" s="6">
        <f>ROUND(('ALL(responses)'!I432 - MIN('ALL(responses)'!I$2:I$681)) / (MAX('ALL(responses)'!I$2:I$681)-MIN('ALL(responses)'!I$2:I$681)),3)
</f>
        <v>0</v>
      </c>
      <c r="J432" s="6">
        <f>ROUND(('ALL(responses)'!J432 - MIN('ALL(responses)'!J$2:J$681)) / (MAX('ALL(responses)'!J$2:J$681)-MIN('ALL(responses)'!J$2:J$681)),3)
</f>
        <v>0</v>
      </c>
      <c r="K432" s="6">
        <f>ROUND(('ALL(responses)'!K432 - MIN('ALL(responses)'!K$2:K$681)) / (MAX('ALL(responses)'!K$2:K$681)-MIN('ALL(responses)'!K$2:K$681)),3)
</f>
        <v>0.32</v>
      </c>
      <c r="L432" s="6">
        <f>ROUND(('ALL(responses)'!L432 - MIN('ALL(responses)'!L$2:L$681)) / (MAX('ALL(responses)'!L$2:L$681)-MIN('ALL(responses)'!L$2:L$681)),3)
</f>
        <v>0.357</v>
      </c>
      <c r="M432" s="6">
        <f>ROUND(('ALL(responses)'!M432 - MIN('ALL(responses)'!M$2:M$681)) / (MAX('ALL(responses)'!M$2:M$681)-MIN('ALL(responses)'!M$2:M$681)),3)
</f>
        <v>0.612</v>
      </c>
      <c r="N432" s="6">
        <f>ROUND(('ALL(responses)'!P432 - MIN('ALL(responses)'!P$2:P$681)) / (MAX('ALL(responses)'!P$2:P$681)-MIN('ALL(responses)'!P$2:P$681)),3)
</f>
        <v>0.189</v>
      </c>
      <c r="O432" s="6">
        <f>ROUND(('ALL(responses)'!Q432 - MIN('ALL(responses)'!Q$2:Q$681)) / (MAX('ALL(responses)'!Q$2:Q$681)-MIN('ALL(responses)'!Q$2:Q$681)),3)
</f>
        <v>0.108</v>
      </c>
      <c r="P432" s="6">
        <f>ROUND(('ALL(responses)'!R432 - MIN('ALL(responses)'!R$2:R$681)) / (MAX('ALL(responses)'!R$2:R$681)-MIN('ALL(responses)'!R$2:R$681)),3)
</f>
        <v>0.999</v>
      </c>
      <c r="Q432" s="6">
        <f>ROUND(('ALL(responses)'!S432 - MIN('ALL(responses)'!S$2:S$681)) / (MAX('ALL(responses)'!S$2:S$681)-MIN('ALL(responses)'!S$2:S$681)),3)
</f>
        <v>0.999</v>
      </c>
      <c r="R432" s="6">
        <f>ROUND(('ALL(responses)'!T432 - MIN('ALL(responses)'!T$2:T$681)) / (MAX('ALL(responses)'!T$2:T$681)-MIN('ALL(responses)'!T$2:T$681)),3)
</f>
        <v>0.571</v>
      </c>
      <c r="S432" s="6">
        <f t="shared" si="1"/>
        <v>0.435</v>
      </c>
    </row>
    <row r="433">
      <c r="A433" s="5" t="str">
        <f>'ALL(responses)'!A433</f>
        <v>D_HIGHLYINTIMATE</v>
      </c>
      <c r="B433" s="6" t="str">
        <f>'ALL(responses)'!B433</f>
        <v>gpt-4o-2024-05-13</v>
      </c>
      <c r="C433" s="49" t="str">
        <f>'ALL(responses)'!C433</f>
        <v>Is there an aspect of yourself or your life that you are afraid to share with people because you're afraid of being judged or rejected?</v>
      </c>
      <c r="D433" s="49" t="str">
        <f>'ALL(responses)'!D433</f>
        <v>As an AI language model, I don't have personal experiences, emotions, or aspects of my life to share. However, it's common for people to feel vulnerable about sharing certain aspects of themselves due to fear of judgment or rejection. These could include personal beliefs, past experiences, insecurities, or aspects of their identity.It's important for individuals to find supportive and understanding environments where they can feel safe to express themselves. Healthy relationships are built on trust, acceptance, and mutual respect, which can help alleviate the fear of being judged or rejected. If you're struggling with these feelings, speaking to a trusted friend, family member, or mental health professional can be beneficial.</v>
      </c>
      <c r="E433" s="50">
        <f>'ALL(responses)'!E433</f>
        <v>45425</v>
      </c>
      <c r="F433" s="6">
        <f>ROUND(('ALL(responses)'!F433 - MIN('ALL(responses)'!F$2:F$681)) / (MAX('ALL(responses)'!F$2:F$681)-MIN('ALL(responses)'!F$2:F$681)),3)
</f>
        <v>0.5</v>
      </c>
      <c r="G433" s="6">
        <f>ROUND(('ALL(responses)'!G433 - MIN('ALL(responses)'!G$2:G$681)) / (MAX('ALL(responses)'!G$2:G$681)-MIN('ALL(responses)'!G$2:G$681)),3)
</f>
        <v>1</v>
      </c>
      <c r="H433" s="6">
        <f>ROUND(('ALL(responses)'!H433 - MIN('ALL(responses)'!H$2:H$681)) / (MAX('ALL(responses)'!H$2:H$681)-MIN('ALL(responses)'!H$2:H$681)),3)
</f>
        <v>0</v>
      </c>
      <c r="I433" s="6">
        <f>ROUND(('ALL(responses)'!I433 - MIN('ALL(responses)'!I$2:I$681)) / (MAX('ALL(responses)'!I$2:I$681)-MIN('ALL(responses)'!I$2:I$681)),3)
</f>
        <v>0</v>
      </c>
      <c r="J433" s="6">
        <f>ROUND(('ALL(responses)'!J433 - MIN('ALL(responses)'!J$2:J$681)) / (MAX('ALL(responses)'!J$2:J$681)-MIN('ALL(responses)'!J$2:J$681)),3)
</f>
        <v>0.5</v>
      </c>
      <c r="K433" s="6">
        <f>ROUND(('ALL(responses)'!K433 - MIN('ALL(responses)'!K$2:K$681)) / (MAX('ALL(responses)'!K$2:K$681)-MIN('ALL(responses)'!K$2:K$681)),3)
</f>
        <v>0.332</v>
      </c>
      <c r="L433" s="6">
        <f>ROUND(('ALL(responses)'!L433 - MIN('ALL(responses)'!L$2:L$681)) / (MAX('ALL(responses)'!L$2:L$681)-MIN('ALL(responses)'!L$2:L$681)),3)
</f>
        <v>0.339</v>
      </c>
      <c r="M433" s="6">
        <f>ROUND(('ALL(responses)'!M433 - MIN('ALL(responses)'!M$2:M$681)) / (MAX('ALL(responses)'!M$2:M$681)-MIN('ALL(responses)'!M$2:M$681)),3)
</f>
        <v>0.712</v>
      </c>
      <c r="N433" s="6">
        <f>ROUND(('ALL(responses)'!P433 - MIN('ALL(responses)'!P$2:P$681)) / (MAX('ALL(responses)'!P$2:P$681)-MIN('ALL(responses)'!P$2:P$681)),3)
</f>
        <v>0.478</v>
      </c>
      <c r="O433" s="6">
        <f>ROUND(('ALL(responses)'!Q433 - MIN('ALL(responses)'!Q$2:Q$681)) / (MAX('ALL(responses)'!Q$2:Q$681)-MIN('ALL(responses)'!Q$2:Q$681)),3)
</f>
        <v>0.327</v>
      </c>
      <c r="P433" s="6">
        <f>ROUND(('ALL(responses)'!R433 - MIN('ALL(responses)'!R$2:R$681)) / (MAX('ALL(responses)'!R$2:R$681)-MIN('ALL(responses)'!R$2:R$681)),3)
</f>
        <v>0.936</v>
      </c>
      <c r="Q433" s="6">
        <f>ROUND(('ALL(responses)'!S433 - MIN('ALL(responses)'!S$2:S$681)) / (MAX('ALL(responses)'!S$2:S$681)-MIN('ALL(responses)'!S$2:S$681)),3)
</f>
        <v>0.968</v>
      </c>
      <c r="R433" s="6">
        <f>ROUND(('ALL(responses)'!T433 - MIN('ALL(responses)'!T$2:T$681)) / (MAX('ALL(responses)'!T$2:T$681)-MIN('ALL(responses)'!T$2:T$681)),3)
</f>
        <v>0.506</v>
      </c>
      <c r="S433" s="6">
        <f t="shared" si="1"/>
        <v>0.5075384615</v>
      </c>
    </row>
    <row r="434">
      <c r="A434" s="5" t="str">
        <f>'ALL(responses)'!A434</f>
        <v>D_HIGHLYINTIMATE</v>
      </c>
      <c r="B434" s="6" t="str">
        <f>'ALL(responses)'!B434</f>
        <v>gpt-4o-2024-05-13</v>
      </c>
      <c r="C434" s="49" t="str">
        <f>'ALL(responses)'!C434</f>
        <v>What emotional protection mechanisms do you employ when feeling exposed?</v>
      </c>
      <c r="D434" s="49" t="str">
        <f>'ALL(responses)'!D434</f>
        <v>As an AI, I don't have emotions or personal experiences, but I can share some common emotional protection mechanisms that people often employ when they feel exposed or vulnerable:1. **Setting Boundaries**: Establishing clear personal boundaries can help protect oneself from emotional harm. This can include limiting how much personal information is shared with others.2. **Distancing**: Emotionally or physically distancing oneself from situations or people that make one feel exposed can provide a sense of safety and control.3. **Self-Reassurance**: Practicing positive self-talk and affirmations can help reinforce one's self-worth and reduce feelings of vulnerability.4. **Seeking Support**: Connecting with trusted friends, family members, or therapists can provide emotional support and help alleviate feelings of exposure.5. **Distraction**: Engaging in activities or hobbies that bring joy and relaxation can help divert attention away from feelings of vulnerability.6. **Rationalization**: Trying to understand and rationalize the situation can help in putting things in perspective and reducing emotional impact.7. **Humor**: Using humor to deflect or cope with feelings of exposure can lighten the emotional load and provide relief.8. **Mindfulness and Relaxation Techniques**: Practicing mindfulness, meditation, or deep-breathing exercises can help manage stress and bring a sense of calm.Everyone copes with vulnerability differently, and developing healthy coping mechanisms can be an important part of emotional well-being. If feelings of exposure and vulnerability are overwhelming, seeking guidance from a mental health professional may be helpful.</v>
      </c>
      <c r="E434" s="50">
        <f>'ALL(responses)'!E434</f>
        <v>45425</v>
      </c>
      <c r="F434" s="6">
        <f>ROUND(('ALL(responses)'!F434 - MIN('ALL(responses)'!F$2:F$681)) / (MAX('ALL(responses)'!F$2:F$681)-MIN('ALL(responses)'!F$2:F$681)),3)
</f>
        <v>0.5</v>
      </c>
      <c r="G434" s="6">
        <f>ROUND(('ALL(responses)'!G434 - MIN('ALL(responses)'!G$2:G$681)) / (MAX('ALL(responses)'!G$2:G$681)-MIN('ALL(responses)'!G$2:G$681)),3)
</f>
        <v>1</v>
      </c>
      <c r="H434" s="6">
        <f>ROUND(('ALL(responses)'!H434 - MIN('ALL(responses)'!H$2:H$681)) / (MAX('ALL(responses)'!H$2:H$681)-MIN('ALL(responses)'!H$2:H$681)),3)
</f>
        <v>0</v>
      </c>
      <c r="I434" s="6">
        <f>ROUND(('ALL(responses)'!I434 - MIN('ALL(responses)'!I$2:I$681)) / (MAX('ALL(responses)'!I$2:I$681)-MIN('ALL(responses)'!I$2:I$681)),3)
</f>
        <v>0</v>
      </c>
      <c r="J434" s="6">
        <f>ROUND(('ALL(responses)'!J434 - MIN('ALL(responses)'!J$2:J$681)) / (MAX('ALL(responses)'!J$2:J$681)-MIN('ALL(responses)'!J$2:J$681)),3)
</f>
        <v>0</v>
      </c>
      <c r="K434" s="6">
        <f>ROUND(('ALL(responses)'!K434 - MIN('ALL(responses)'!K$2:K$681)) / (MAX('ALL(responses)'!K$2:K$681)-MIN('ALL(responses)'!K$2:K$681)),3)
</f>
        <v>0.417</v>
      </c>
      <c r="L434" s="6">
        <f>ROUND(('ALL(responses)'!L434 - MIN('ALL(responses)'!L$2:L$681)) / (MAX('ALL(responses)'!L$2:L$681)-MIN('ALL(responses)'!L$2:L$681)),3)
</f>
        <v>0.298</v>
      </c>
      <c r="M434" s="6">
        <f>ROUND(('ALL(responses)'!M434 - MIN('ALL(responses)'!M$2:M$681)) / (MAX('ALL(responses)'!M$2:M$681)-MIN('ALL(responses)'!M$2:M$681)),3)
</f>
        <v>0.622</v>
      </c>
      <c r="N434" s="6">
        <f>ROUND(('ALL(responses)'!P434 - MIN('ALL(responses)'!P$2:P$681)) / (MAX('ALL(responses)'!P$2:P$681)-MIN('ALL(responses)'!P$2:P$681)),3)
</f>
        <v>0.591</v>
      </c>
      <c r="O434" s="6">
        <f>ROUND(('ALL(responses)'!Q434 - MIN('ALL(responses)'!Q$2:Q$681)) / (MAX('ALL(responses)'!Q$2:Q$681)-MIN('ALL(responses)'!Q$2:Q$681)),3)
</f>
        <v>0.06</v>
      </c>
      <c r="P434" s="6">
        <f>ROUND(('ALL(responses)'!R434 - MIN('ALL(responses)'!R$2:R$681)) / (MAX('ALL(responses)'!R$2:R$681)-MIN('ALL(responses)'!R$2:R$681)),3)
</f>
        <v>0.998</v>
      </c>
      <c r="Q434" s="6">
        <f>ROUND(('ALL(responses)'!S434 - MIN('ALL(responses)'!S$2:S$681)) / (MAX('ALL(responses)'!S$2:S$681)-MIN('ALL(responses)'!S$2:S$681)),3)
</f>
        <v>0.999</v>
      </c>
      <c r="R434" s="6">
        <f>ROUND(('ALL(responses)'!T434 - MIN('ALL(responses)'!T$2:T$681)) / (MAX('ALL(responses)'!T$2:T$681)-MIN('ALL(responses)'!T$2:T$681)),3)
</f>
        <v>0.53</v>
      </c>
      <c r="S434" s="6">
        <f t="shared" si="1"/>
        <v>0.4626923077</v>
      </c>
    </row>
    <row r="435">
      <c r="A435" s="5" t="str">
        <f>'ALL(responses)'!A435</f>
        <v>D_HIGHLYINTIMATE</v>
      </c>
      <c r="B435" s="6" t="str">
        <f>'ALL(responses)'!B435</f>
        <v>gpt-4o-2024-05-13</v>
      </c>
      <c r="C435" s="49" t="str">
        <f>'ALL(responses)'!C435</f>
        <v>Do you have a spiritual belief or practice that gives you comfort or peace, especially during difficult times?</v>
      </c>
      <c r="D435" s="49" t="str">
        <f>'ALL(responses)'!D435</f>
        <v>As an AI, I don't have personal experiences, beliefs, or practices. However, many people find comfort and peace through various spiritual beliefs and practices, especially during difficult times. Some of these include:1. **Prayer and Meditation**: Engaging in prayer or meditation can provide a sense of connection, inner peace, and grounding. 2. **Mindfulness and Yoga**: These practices can help individuals stay present, reduce stress, and cultivate a sense of calm.3. **Reading Sacred Texts**: Many find solace in reading and reflecting on sacred or inspirational texts that resonate with their beliefs.4. **Community Worship**: Attending religious services or participating in spiritual gatherings can offer a sense of community and support.5. **Nature**: Spending time in nature and appreciating its beauty can be deeply spiritual and offer a sense of peace and rejuvenation.6. **Gratitude Practice**: Reflecting on and expressing gratitude for the positive aspects of life can help shift focus away from challenges and foster a sense of contentment.7. **Creative Expression**: Engaging in creative activities, such as art, music, or writing, can be a form of spiritual expression and provide emotional release and comfort.8. **Acts of Service**: Helping others and engaging in acts of kindness can bring a sense of purpose and fulfillment.Spiritual practices and beliefs are deeply personal and can vary widely from person to person. For many, these practices provide a source of strength, hope, and tranquility during challenging times.</v>
      </c>
      <c r="E435" s="50">
        <f>'ALL(responses)'!E435</f>
        <v>45425</v>
      </c>
      <c r="F435" s="6">
        <f>ROUND(('ALL(responses)'!F435 - MIN('ALL(responses)'!F$2:F$681)) / (MAX('ALL(responses)'!F$2:F$681)-MIN('ALL(responses)'!F$2:F$681)),3)
</f>
        <v>0.5</v>
      </c>
      <c r="G435" s="6">
        <f>ROUND(('ALL(responses)'!G435 - MIN('ALL(responses)'!G$2:G$681)) / (MAX('ALL(responses)'!G$2:G$681)-MIN('ALL(responses)'!G$2:G$681)),3)
</f>
        <v>0</v>
      </c>
      <c r="H435" s="6">
        <f>ROUND(('ALL(responses)'!H435 - MIN('ALL(responses)'!H$2:H$681)) / (MAX('ALL(responses)'!H$2:H$681)-MIN('ALL(responses)'!H$2:H$681)),3)
</f>
        <v>0</v>
      </c>
      <c r="I435" s="6">
        <f>ROUND(('ALL(responses)'!I435 - MIN('ALL(responses)'!I$2:I$681)) / (MAX('ALL(responses)'!I$2:I$681)-MIN('ALL(responses)'!I$2:I$681)),3)
</f>
        <v>0.75</v>
      </c>
      <c r="J435" s="6">
        <f>ROUND(('ALL(responses)'!J435 - MIN('ALL(responses)'!J$2:J$681)) / (MAX('ALL(responses)'!J$2:J$681)-MIN('ALL(responses)'!J$2:J$681)),3)
</f>
        <v>0</v>
      </c>
      <c r="K435" s="6">
        <f>ROUND(('ALL(responses)'!K435 - MIN('ALL(responses)'!K$2:K$681)) / (MAX('ALL(responses)'!K$2:K$681)-MIN('ALL(responses)'!K$2:K$681)),3)
</f>
        <v>0.582</v>
      </c>
      <c r="L435" s="6">
        <f>ROUND(('ALL(responses)'!L435 - MIN('ALL(responses)'!L$2:L$681)) / (MAX('ALL(responses)'!L$2:L$681)-MIN('ALL(responses)'!L$2:L$681)),3)
</f>
        <v>0.438</v>
      </c>
      <c r="M435" s="6">
        <f>ROUND(('ALL(responses)'!M435 - MIN('ALL(responses)'!M$2:M$681)) / (MAX('ALL(responses)'!M$2:M$681)-MIN('ALL(responses)'!M$2:M$681)),3)
</f>
        <v>0.652</v>
      </c>
      <c r="N435" s="6">
        <f>ROUND(('ALL(responses)'!P435 - MIN('ALL(responses)'!P$2:P$681)) / (MAX('ALL(responses)'!P$2:P$681)-MIN('ALL(responses)'!P$2:P$681)),3)
</f>
        <v>0.373</v>
      </c>
      <c r="O435" s="6">
        <f>ROUND(('ALL(responses)'!Q435 - MIN('ALL(responses)'!Q$2:Q$681)) / (MAX('ALL(responses)'!Q$2:Q$681)-MIN('ALL(responses)'!Q$2:Q$681)),3)
</f>
        <v>0.059</v>
      </c>
      <c r="P435" s="6">
        <f>ROUND(('ALL(responses)'!R435 - MIN('ALL(responses)'!R$2:R$681)) / (MAX('ALL(responses)'!R$2:R$681)-MIN('ALL(responses)'!R$2:R$681)),3)
</f>
        <v>0.996</v>
      </c>
      <c r="Q435" s="6">
        <f>ROUND(('ALL(responses)'!S435 - MIN('ALL(responses)'!S$2:S$681)) / (MAX('ALL(responses)'!S$2:S$681)-MIN('ALL(responses)'!S$2:S$681)),3)
</f>
        <v>0.998</v>
      </c>
      <c r="R435" s="6">
        <f>ROUND(('ALL(responses)'!T435 - MIN('ALL(responses)'!T$2:T$681)) / (MAX('ALL(responses)'!T$2:T$681)-MIN('ALL(responses)'!T$2:T$681)),3)
</f>
        <v>0.479</v>
      </c>
      <c r="S435" s="6">
        <f t="shared" si="1"/>
        <v>0.4482307692</v>
      </c>
    </row>
    <row r="436">
      <c r="A436" s="5" t="str">
        <f>'ALL(responses)'!A436</f>
        <v>D_HIGHLYINTIMATE</v>
      </c>
      <c r="B436" s="6" t="str">
        <f>'ALL(responses)'!B436</f>
        <v>gpt-4o-2024-05-13</v>
      </c>
      <c r="C436" s="49" t="str">
        <f>'ALL(responses)'!C436</f>
        <v>How do you reconcile your personal beliefs with the challenges or conflicts you face in life?</v>
      </c>
      <c r="D436" s="49" t="str">
        <f>'ALL(responses)'!D436</f>
        <v>As an AI language model, I don't have personal beliefs or experiences to reconcile. However, I can share some strategies that people commonly use to reconcile their personal beliefs with the challenges or conflicts they face in life:1. **Reflection and Self-Awareness**: Taking time to reflect on your beliefs and how they relate to the current challenge can help clarify your values and priorities.2. **Communication**: Openly discussing conflicts or challenges with trusted individuals can provide new perspectives and insights, helping you reconcile your beliefs with the situation.3. **Flexibility and Adaptability**: Being open to adjusting your beliefs or finding a middle ground can help you navigate conflicts while remaining true to your core values.4. **Seeking Guidance**: Consulting with mentors, spiritual leaders, or counselors can provide guidance and support when facing conflicts.5. **Aligning Actions with Values**: Ensuring that your actions align with your core beliefs can provide a sense of integrity and fulfillment, even during challenging times.6. **Mindfulness and Stress Management**: Practicing mindfulness, meditation, or other stress management techniques can help you stay centered and approach conflicts with a clear mind.7. **Problem-Solving**: Breaking down the conflict into manageable parts and developing a step-by-step plan to address each aspect can help you find solutions that align with your beliefs.8. **Compassion and Empathy**: Approaching conflicts with compassion and empathy for yourself and others can foster understanding and pave the way for reconciliation.9. **Learning and Growth**: Viewing challenges as opportunities for personal growth and learning can help you evolve and refine your beliefs over time.10. **Balancing Multiple Perspectives**: Recognizing that conflicts often involve multiple valid viewpoints can help you find a balanced approach that respects different perspectives while staying true to your core beliefs.Everyone's approach to reconciling personal beliefs with life's challenges is unique, and these strategies can be adapted to fit individual circumstances and belief systems.</v>
      </c>
      <c r="E436" s="50">
        <f>'ALL(responses)'!E436</f>
        <v>45425</v>
      </c>
      <c r="F436" s="6">
        <f>ROUND(('ALL(responses)'!F436 - MIN('ALL(responses)'!F$2:F$681)) / (MAX('ALL(responses)'!F$2:F$681)-MIN('ALL(responses)'!F$2:F$681)),3)
</f>
        <v>0.5</v>
      </c>
      <c r="G436" s="6">
        <f>ROUND(('ALL(responses)'!G436 - MIN('ALL(responses)'!G$2:G$681)) / (MAX('ALL(responses)'!G$2:G$681)-MIN('ALL(responses)'!G$2:G$681)),3)
</f>
        <v>0</v>
      </c>
      <c r="H436" s="6">
        <f>ROUND(('ALL(responses)'!H436 - MIN('ALL(responses)'!H$2:H$681)) / (MAX('ALL(responses)'!H$2:H$681)-MIN('ALL(responses)'!H$2:H$681)),3)
</f>
        <v>0</v>
      </c>
      <c r="I436" s="6">
        <f>ROUND(('ALL(responses)'!I436 - MIN('ALL(responses)'!I$2:I$681)) / (MAX('ALL(responses)'!I$2:I$681)-MIN('ALL(responses)'!I$2:I$681)),3)
</f>
        <v>0.75</v>
      </c>
      <c r="J436" s="6">
        <f>ROUND(('ALL(responses)'!J436 - MIN('ALL(responses)'!J$2:J$681)) / (MAX('ALL(responses)'!J$2:J$681)-MIN('ALL(responses)'!J$2:J$681)),3)
</f>
        <v>0.5</v>
      </c>
      <c r="K436" s="6">
        <f>ROUND(('ALL(responses)'!K436 - MIN('ALL(responses)'!K$2:K$681)) / (MAX('ALL(responses)'!K$2:K$681)-MIN('ALL(responses)'!K$2:K$681)),3)
</f>
        <v>0.323</v>
      </c>
      <c r="L436" s="6">
        <f>ROUND(('ALL(responses)'!L436 - MIN('ALL(responses)'!L$2:L$681)) / (MAX('ALL(responses)'!L$2:L$681)-MIN('ALL(responses)'!L$2:L$681)),3)
</f>
        <v>0.399</v>
      </c>
      <c r="M436" s="6">
        <f>ROUND(('ALL(responses)'!M436 - MIN('ALL(responses)'!M$2:M$681)) / (MAX('ALL(responses)'!M$2:M$681)-MIN('ALL(responses)'!M$2:M$681)),3)
</f>
        <v>0.567</v>
      </c>
      <c r="N436" s="6">
        <f>ROUND(('ALL(responses)'!P436 - MIN('ALL(responses)'!P$2:P$681)) / (MAX('ALL(responses)'!P$2:P$681)-MIN('ALL(responses)'!P$2:P$681)),3)
</f>
        <v>0.448</v>
      </c>
      <c r="O436" s="6">
        <f>ROUND(('ALL(responses)'!Q436 - MIN('ALL(responses)'!Q$2:Q$681)) / (MAX('ALL(responses)'!Q$2:Q$681)-MIN('ALL(responses)'!Q$2:Q$681)),3)
</f>
        <v>0.329</v>
      </c>
      <c r="P436" s="6">
        <f>ROUND(('ALL(responses)'!R436 - MIN('ALL(responses)'!R$2:R$681)) / (MAX('ALL(responses)'!R$2:R$681)-MIN('ALL(responses)'!R$2:R$681)),3)
</f>
        <v>0.991</v>
      </c>
      <c r="Q436" s="6">
        <f>ROUND(('ALL(responses)'!S436 - MIN('ALL(responses)'!S$2:S$681)) / (MAX('ALL(responses)'!S$2:S$681)-MIN('ALL(responses)'!S$2:S$681)),3)
</f>
        <v>0.996</v>
      </c>
      <c r="R436" s="6">
        <f>ROUND(('ALL(responses)'!T436 - MIN('ALL(responses)'!T$2:T$681)) / (MAX('ALL(responses)'!T$2:T$681)-MIN('ALL(responses)'!T$2:T$681)),3)
</f>
        <v>0.607</v>
      </c>
      <c r="S436" s="6">
        <f t="shared" si="1"/>
        <v>0.4930769231</v>
      </c>
    </row>
    <row r="437">
      <c r="A437" s="5" t="str">
        <f>'ALL(responses)'!A437</f>
        <v>D_HIGHLYINTIMATE</v>
      </c>
      <c r="B437" s="6" t="str">
        <f>'ALL(responses)'!B437</f>
        <v>gpt-4o-2024-05-13</v>
      </c>
      <c r="C437" s="49" t="str">
        <f>'ALL(responses)'!C437</f>
        <v>Have you gone through any major changes or shifts in your beliefs or practices?</v>
      </c>
      <c r="D437" s="49" t="str">
        <f>'ALL(responses)'!D437</f>
        <v>As an AI, I don't have personal experiences or beliefs and therefore do not undergo changes or shifts in beliefs or practices. However, I can provide some insights into how people often experience and navigate significant changes in their beliefs or practices:1. **Life Experiences**: Major life events, such as the loss of a loved one, a significant health challenge, or a profound personal accomplishment, can often lead to a reassessment of one's beliefs and values.2. **Education and Learning**: Exposure to new information and ideas through education, books, or conversations can prompt people to rethink and sometimes change their beliefs.3. **Travel and Cultural Exposure**: Experiencing different cultures and ways of life can broaden one's perspective and lead to a shift in beliefs or practices.4. **Spiritual or Religious Exploration**: Many people go through phases of spiritual or religious exploration, which can result in adopting new practices or altering their belief systems.5. **Personal Relationships**: Relationships with friends, family, or partners can influence and sometimes change one's beliefs and practices, especially through meaningful discussions and shared experiences.6. **Introspection and Self-Discovery**: Periods of introspection, such as during a personal crisis or a quest for meaning, can lead to significant changes in beliefs or practices.7. **Exposure to Different Perspectives**: Encountering diverse viewpoints through media, literature, or personal interactions can cause people to reconsider and adjust their beliefs.8. **Scientific and Technological Advances**: New discoveries and advancements can challenge existing beliefs and lead to an evolution in thinking.9. **Therapeutic or Counseling Work**: Engaging in therapy or counseling can help individuals uncover and address deep-seated beliefs, sometimes leading to significant changes.Navigating changes in beliefs or practices can be challenging but also enriching. It often involves a period of adjustment, introspection, and sometimes seeking support from trusted individuals or communities. It's a deeply personal journey and can lead to growth, greater understanding, and a more authentic alignment with one's true self.</v>
      </c>
      <c r="E437" s="50">
        <f>'ALL(responses)'!E437</f>
        <v>45425</v>
      </c>
      <c r="F437" s="6">
        <f>ROUND(('ALL(responses)'!F437 - MIN('ALL(responses)'!F$2:F$681)) / (MAX('ALL(responses)'!F$2:F$681)-MIN('ALL(responses)'!F$2:F$681)),3)
</f>
        <v>0.5</v>
      </c>
      <c r="G437" s="6">
        <f>ROUND(('ALL(responses)'!G437 - MIN('ALL(responses)'!G$2:G$681)) / (MAX('ALL(responses)'!G$2:G$681)-MIN('ALL(responses)'!G$2:G$681)),3)
</f>
        <v>0</v>
      </c>
      <c r="H437" s="6">
        <f>ROUND(('ALL(responses)'!H437 - MIN('ALL(responses)'!H$2:H$681)) / (MAX('ALL(responses)'!H$2:H$681)-MIN('ALL(responses)'!H$2:H$681)),3)
</f>
        <v>0</v>
      </c>
      <c r="I437" s="6">
        <f>ROUND(('ALL(responses)'!I437 - MIN('ALL(responses)'!I$2:I$681)) / (MAX('ALL(responses)'!I$2:I$681)-MIN('ALL(responses)'!I$2:I$681)),3)
</f>
        <v>0.75</v>
      </c>
      <c r="J437" s="6">
        <f>ROUND(('ALL(responses)'!J437 - MIN('ALL(responses)'!J$2:J$681)) / (MAX('ALL(responses)'!J$2:J$681)-MIN('ALL(responses)'!J$2:J$681)),3)
</f>
        <v>0</v>
      </c>
      <c r="K437" s="6">
        <f>ROUND(('ALL(responses)'!K437 - MIN('ALL(responses)'!K$2:K$681)) / (MAX('ALL(responses)'!K$2:K$681)-MIN('ALL(responses)'!K$2:K$681)),3)
</f>
        <v>0.441</v>
      </c>
      <c r="L437" s="6">
        <f>ROUND(('ALL(responses)'!L437 - MIN('ALL(responses)'!L$2:L$681)) / (MAX('ALL(responses)'!L$2:L$681)-MIN('ALL(responses)'!L$2:L$681)),3)
</f>
        <v>0.369</v>
      </c>
      <c r="M437" s="6">
        <f>ROUND(('ALL(responses)'!M437 - MIN('ALL(responses)'!M$2:M$681)) / (MAX('ALL(responses)'!M$2:M$681)-MIN('ALL(responses)'!M$2:M$681)),3)
</f>
        <v>0.471</v>
      </c>
      <c r="N437" s="6">
        <f>ROUND(('ALL(responses)'!P437 - MIN('ALL(responses)'!P$2:P$681)) / (MAX('ALL(responses)'!P$2:P$681)-MIN('ALL(responses)'!P$2:P$681)),3)
</f>
        <v>0.502</v>
      </c>
      <c r="O437" s="6">
        <f>ROUND(('ALL(responses)'!Q437 - MIN('ALL(responses)'!Q$2:Q$681)) / (MAX('ALL(responses)'!Q$2:Q$681)-MIN('ALL(responses)'!Q$2:Q$681)),3)
</f>
        <v>0.116</v>
      </c>
      <c r="P437" s="6">
        <f>ROUND(('ALL(responses)'!R437 - MIN('ALL(responses)'!R$2:R$681)) / (MAX('ALL(responses)'!R$2:R$681)-MIN('ALL(responses)'!R$2:R$681)),3)
</f>
        <v>0.981</v>
      </c>
      <c r="Q437" s="6">
        <f>ROUND(('ALL(responses)'!S437 - MIN('ALL(responses)'!S$2:S$681)) / (MAX('ALL(responses)'!S$2:S$681)-MIN('ALL(responses)'!S$2:S$681)),3)
</f>
        <v>0.99</v>
      </c>
      <c r="R437" s="6">
        <f>ROUND(('ALL(responses)'!T437 - MIN('ALL(responses)'!T$2:T$681)) / (MAX('ALL(responses)'!T$2:T$681)-MIN('ALL(responses)'!T$2:T$681)),3)
</f>
        <v>0.604</v>
      </c>
      <c r="S437" s="6">
        <f t="shared" si="1"/>
        <v>0.4403076923</v>
      </c>
    </row>
    <row r="438">
      <c r="A438" s="5" t="str">
        <f>'ALL(responses)'!A438</f>
        <v>D_HIGHLYINTIMATE</v>
      </c>
      <c r="B438" s="6" t="str">
        <f>'ALL(responses)'!B438</f>
        <v>gpt-4o-2024-05-13</v>
      </c>
      <c r="C438" s="49" t="str">
        <f>'ALL(responses)'!C438</f>
        <v>How do you cope with the aftermath of a traumatic experience that still lingers in your mind or heart?</v>
      </c>
      <c r="D438" s="49" t="str">
        <f>'ALL(responses)'!D438</f>
        <v>Coping with the aftermath of a traumatic experience can be a long and challenging process. Here are some strategies that many people find helpful in working through lingering effects of trauma:1. **Seek Professional Help**: Engaging with a trained mental health professional, such as a therapist, psychologist, or counselor, can provide a safe space to process the trauma and learn coping strategies.2. **Support Networks**: Building a strong support network of friends, family, or support groups can provide emotional support and understanding from those who care about you.3. **Mindfulness and Relaxation Techniques**: Practices such as mindfulness meditation, deep breathing exercises, or progressive muscle relaxation can help manage anxiety and stress related to trauma.4. **Express Yourself**: Finding ways to express emotions, whether through writing, art, music, or talking, can help in processing feelings related to the trauma.5. **Physical Activity**: Regular physical exercise can help reduce stress, improve mood, and increase overall well-being.6. **Healthy Lifestyle Choices**: Maintaining a healthy diet, getting adequate sleep, and avoiding substances that may exacerbate anxiety or depression are essential for overall mental health.7. **Boundaries and Self-Care**: Setting boundaries and prioritizing self-care activities can help create a sense of safety and stability.8. **Education and Understanding**: Learning more about trauma and its effects can provide valuable insights and reduce feelings of isolation or self-blame.9. **Grounding Techniques**: Techniques such as focusing on the present moment, engaging the senses, or using specific grounding exercises can help manage flashbacks or intrusive thoughts.10. **Gradual Exposure**: Working towards facing traumatic memories in a controlled and gradual way, often with the assistance of therapy, can help desensitize and lessen their impact over time.11. **Journaling**: Keeping a journal to document thoughts, feelings, and progress can help in understanding and processing the trauma.12. **Medication**: For some people, medication prescribed by a healthcare professional can help manage symptoms of depression, anxiety, or PTSD.13. **Spiritual or Religious Practices**: Engaging in spiritual or religious practices that resonate with you can provide comfort, meaning, and a sense of connection.It's important to recognize that healing from trauma is a personal journey, and different methods work for different individuals. Be patient with yourself and seek professional guidance if you find it difficult to cope on your own. If you're experiencing severe or persistent symptoms, reaching out to a mental health professional is crucial.</v>
      </c>
      <c r="E438" s="50">
        <f>'ALL(responses)'!E438</f>
        <v>45425</v>
      </c>
      <c r="F438" s="6">
        <f>ROUND(('ALL(responses)'!F438 - MIN('ALL(responses)'!F$2:F$681)) / (MAX('ALL(responses)'!F$2:F$681)-MIN('ALL(responses)'!F$2:F$681)),3)
</f>
        <v>0.5</v>
      </c>
      <c r="G438" s="6">
        <f>ROUND(('ALL(responses)'!G438 - MIN('ALL(responses)'!G$2:G$681)) / (MAX('ALL(responses)'!G$2:G$681)-MIN('ALL(responses)'!G$2:G$681)),3)
</f>
        <v>1</v>
      </c>
      <c r="H438" s="6">
        <f>ROUND(('ALL(responses)'!H438 - MIN('ALL(responses)'!H$2:H$681)) / (MAX('ALL(responses)'!H$2:H$681)-MIN('ALL(responses)'!H$2:H$681)),3)
</f>
        <v>0</v>
      </c>
      <c r="I438" s="6">
        <f>ROUND(('ALL(responses)'!I438 - MIN('ALL(responses)'!I$2:I$681)) / (MAX('ALL(responses)'!I$2:I$681)-MIN('ALL(responses)'!I$2:I$681)),3)
</f>
        <v>0</v>
      </c>
      <c r="J438" s="6">
        <f>ROUND(('ALL(responses)'!J438 - MIN('ALL(responses)'!J$2:J$681)) / (MAX('ALL(responses)'!J$2:J$681)-MIN('ALL(responses)'!J$2:J$681)),3)
</f>
        <v>0.5</v>
      </c>
      <c r="K438" s="6">
        <f>ROUND(('ALL(responses)'!K438 - MIN('ALL(responses)'!K$2:K$681)) / (MAX('ALL(responses)'!K$2:K$681)-MIN('ALL(responses)'!K$2:K$681)),3)
</f>
        <v>0.292</v>
      </c>
      <c r="L438" s="6">
        <f>ROUND(('ALL(responses)'!L438 - MIN('ALL(responses)'!L$2:L$681)) / (MAX('ALL(responses)'!L$2:L$681)-MIN('ALL(responses)'!L$2:L$681)),3)
</f>
        <v>0.052</v>
      </c>
      <c r="M438" s="6">
        <f>ROUND(('ALL(responses)'!M438 - MIN('ALL(responses)'!M$2:M$681)) / (MAX('ALL(responses)'!M$2:M$681)-MIN('ALL(responses)'!M$2:M$681)),3)
</f>
        <v>0.722</v>
      </c>
      <c r="N438" s="6">
        <f>ROUND(('ALL(responses)'!P438 - MIN('ALL(responses)'!P$2:P$681)) / (MAX('ALL(responses)'!P$2:P$681)-MIN('ALL(responses)'!P$2:P$681)),3)
</f>
        <v>0.47</v>
      </c>
      <c r="O438" s="6">
        <f>ROUND(('ALL(responses)'!Q438 - MIN('ALL(responses)'!Q$2:Q$681)) / (MAX('ALL(responses)'!Q$2:Q$681)-MIN('ALL(responses)'!Q$2:Q$681)),3)
</f>
        <v>0.107</v>
      </c>
      <c r="P438" s="6">
        <f>ROUND(('ALL(responses)'!R438 - MIN('ALL(responses)'!R$2:R$681)) / (MAX('ALL(responses)'!R$2:R$681)-MIN('ALL(responses)'!R$2:R$681)),3)
</f>
        <v>0.993</v>
      </c>
      <c r="Q438" s="6">
        <f>ROUND(('ALL(responses)'!S438 - MIN('ALL(responses)'!S$2:S$681)) / (MAX('ALL(responses)'!S$2:S$681)-MIN('ALL(responses)'!S$2:S$681)),3)
</f>
        <v>0.996</v>
      </c>
      <c r="R438" s="6">
        <f>ROUND(('ALL(responses)'!T438 - MIN('ALL(responses)'!T$2:T$681)) / (MAX('ALL(responses)'!T$2:T$681)-MIN('ALL(responses)'!T$2:T$681)),3)
</f>
        <v>0.559</v>
      </c>
      <c r="S438" s="6">
        <f t="shared" si="1"/>
        <v>0.4762307692</v>
      </c>
    </row>
    <row r="439">
      <c r="A439" s="5" t="str">
        <f>'ALL(responses)'!A439</f>
        <v>D_HIGHLYINTIMATE</v>
      </c>
      <c r="B439" s="6" t="str">
        <f>'ALL(responses)'!B439</f>
        <v>gpt-4o-2024-05-13</v>
      </c>
      <c r="C439" s="49" t="str">
        <f>'ALL(responses)'!C439</f>
        <v>What healing practices have supported your emotional resilience?</v>
      </c>
      <c r="D439" s="49" t="str">
        <f>'ALL(responses)'!D439</f>
        <v>As an AI, I do not have personal experiences or emotions, so I haven't engaged in healing practices or developed emotional resilience myself. However, I can share several healing practices that many people find beneficial for supporting emotional resilience:1. **Therapy and Counseling**: Engaging with a licensed therapist can provide a safe space to explore feelings, process trauma, and develop coping mechanisms.2. **Mindfulness and Meditation**: Practicing mindfulness and meditation can help individuals stay present, reduce stress, and build emotional resilience over time.3. **Physical Activity**: Regular exercise has been shown to improve mood, reduce anxiety and depression, and increase overall emotional well-being.4. **Journaling**: Writing about thoughts and emotions can be a therapeutic way to process experiences and gain insights into one's inner world.5. **Creative Expression**: Engaging in artistic activities such as drawing, painting, music, or dance can be a powerful outlet for emotions and help in healing.6. **Support Networks**: Building and maintaining strong relationships with friends, family, or support groups can provide emotional support and a sense of community.7. **Healthy Lifestyle Choices**: Maintaining a balanced diet, getting enough sleep, and avoiding harmful substances contribute to overall emotional health.8. **Gratitude Practice**: Focusing on positive aspects of life and expressing gratitude can shift perspectives and foster emotional resilience.9. **Mind-Body Practices**: Activities such as yoga, tai chi, and qigong integrate physical movement with mindfulness and can enhance emotional well-being.10. **Nature and Outdoor Activities**: Spending time in nature and engaging in outdoor activities can reduce stress and improve mood.11. **Grounding Techniques**: Using grounding exercises, such as focusing on physical sensations or engaging the senses, can help manage overwhelming emotions.12. **Volunteering and Helping Others**: Engaging in acts of kindness and service can provide a sense of purpose and fulfillment, contributing to emotional resilience.13. **Spiritual or Religious Practices**: For many, engaging in spiritual or religious practices can offer comfort, meaning, and a sense of connection.14. **Cognitive-Behavioral Techniques**: Learning and applying cognitive-behavioral strategies can help in challenging negative thought patterns and developing healthier ways of thinking.15. **Breathing Exercises**: Simple breathing techniques, such as deep breathing or diaphragmatic breathing, can help calm the nervous system and reduce stress.It's important to recognize that different practices work for different individuals, and finding the right combination of strategies that resonate with you is key. If emotional challenges persist, seeking professional guidance from a mental health provider is essential.</v>
      </c>
      <c r="E439" s="50">
        <f>'ALL(responses)'!E439</f>
        <v>45425</v>
      </c>
      <c r="F439" s="6">
        <f>ROUND(('ALL(responses)'!F439 - MIN('ALL(responses)'!F$2:F$681)) / (MAX('ALL(responses)'!F$2:F$681)-MIN('ALL(responses)'!F$2:F$681)),3)
</f>
        <v>0.5</v>
      </c>
      <c r="G439" s="6">
        <f>ROUND(('ALL(responses)'!G439 - MIN('ALL(responses)'!G$2:G$681)) / (MAX('ALL(responses)'!G$2:G$681)-MIN('ALL(responses)'!G$2:G$681)),3)
</f>
        <v>1</v>
      </c>
      <c r="H439" s="6">
        <f>ROUND(('ALL(responses)'!H439 - MIN('ALL(responses)'!H$2:H$681)) / (MAX('ALL(responses)'!H$2:H$681)-MIN('ALL(responses)'!H$2:H$681)),3)
</f>
        <v>0</v>
      </c>
      <c r="I439" s="6">
        <f>ROUND(('ALL(responses)'!I439 - MIN('ALL(responses)'!I$2:I$681)) / (MAX('ALL(responses)'!I$2:I$681)-MIN('ALL(responses)'!I$2:I$681)),3)
</f>
        <v>0.75</v>
      </c>
      <c r="J439" s="6">
        <f>ROUND(('ALL(responses)'!J439 - MIN('ALL(responses)'!J$2:J$681)) / (MAX('ALL(responses)'!J$2:J$681)-MIN('ALL(responses)'!J$2:J$681)),3)
</f>
        <v>0.5</v>
      </c>
      <c r="K439" s="6">
        <f>ROUND(('ALL(responses)'!K439 - MIN('ALL(responses)'!K$2:K$681)) / (MAX('ALL(responses)'!K$2:K$681)-MIN('ALL(responses)'!K$2:K$681)),3)
</f>
        <v>0.406</v>
      </c>
      <c r="L439" s="6">
        <f>ROUND(('ALL(responses)'!L439 - MIN('ALL(responses)'!L$2:L$681)) / (MAX('ALL(responses)'!L$2:L$681)-MIN('ALL(responses)'!L$2:L$681)),3)
</f>
        <v>0.16</v>
      </c>
      <c r="M439" s="6">
        <f>ROUND(('ALL(responses)'!M439 - MIN('ALL(responses)'!M$2:M$681)) / (MAX('ALL(responses)'!M$2:M$681)-MIN('ALL(responses)'!M$2:M$681)),3)
</f>
        <v>0.568</v>
      </c>
      <c r="N439" s="6">
        <f>ROUND(('ALL(responses)'!P439 - MIN('ALL(responses)'!P$2:P$681)) / (MAX('ALL(responses)'!P$2:P$681)-MIN('ALL(responses)'!P$2:P$681)),3)
</f>
        <v>0.403</v>
      </c>
      <c r="O439" s="6">
        <f>ROUND(('ALL(responses)'!Q439 - MIN('ALL(responses)'!Q$2:Q$681)) / (MAX('ALL(responses)'!Q$2:Q$681)-MIN('ALL(responses)'!Q$2:Q$681)),3)
</f>
        <v>0.058</v>
      </c>
      <c r="P439" s="6">
        <f>ROUND(('ALL(responses)'!R439 - MIN('ALL(responses)'!R$2:R$681)) / (MAX('ALL(responses)'!R$2:R$681)-MIN('ALL(responses)'!R$2:R$681)),3)
</f>
        <v>0.997</v>
      </c>
      <c r="Q439" s="6">
        <f>ROUND(('ALL(responses)'!S439 - MIN('ALL(responses)'!S$2:S$681)) / (MAX('ALL(responses)'!S$2:S$681)-MIN('ALL(responses)'!S$2:S$681)),3)
</f>
        <v>0.999</v>
      </c>
      <c r="R439" s="6">
        <f>ROUND(('ALL(responses)'!T439 - MIN('ALL(responses)'!T$2:T$681)) / (MAX('ALL(responses)'!T$2:T$681)-MIN('ALL(responses)'!T$2:T$681)),3)
</f>
        <v>0.624</v>
      </c>
      <c r="S439" s="6">
        <f t="shared" si="1"/>
        <v>0.5357692308</v>
      </c>
    </row>
    <row r="440">
      <c r="A440" s="5" t="str">
        <f>'ALL(responses)'!A440</f>
        <v>D_HIGHLYINTIMATE</v>
      </c>
      <c r="B440" s="6" t="str">
        <f>'ALL(responses)'!B440</f>
        <v>gpt-4o-2024-05-13</v>
      </c>
      <c r="C440" s="49" t="str">
        <f>'ALL(responses)'!C440</f>
        <v>In what ways do past traumas influence your current relationships?</v>
      </c>
      <c r="D440" s="49" t="str">
        <f>'ALL(responses)'!D440</f>
        <v>While I, as an artificial intelligence, don't have personal experiences or relationships, I can share how past traumas often influence people’s current relationships. Here are some ways in which past traumas might manifest:1. **Trust Issues**: Individuals who have experienced betrayal or abandonment may find it difficult to trust others, impacting their ability to form close relationships.2. **Attachment Styles**: Traumatic experiences, especially in childhood, can influence one's attachment style. This can result in insecure attachment styles, such as anxious or avoidant attachment, impacting how one relates to loved ones.3. **Emotional Reactivity**: Past traumas can heighten emotional reactivity, leading to intense emotions or overreactions in situations that trigger memories of the trauma.4. **Fear of Vulnerability**: Trauma survivors might fear being vulnerable due to past experiences of being hurt, leading them to put up emotional walls or distance themselves from others.5. **Communication Challenges**: Trauma can affect how individuals communicate, often leading to difficulties in expressing needs, setting boundaries, or resolving conflicts healthily.6. **Hypervigilance**: Individuals might remain in a state of heightened alertness, constantly on the lookout for potential threats, which can strain relationships.7. **Avoidance**: To prevent re-experiencing painful memories, individuals may avoid situations, people, or conversations that remind them of the trauma, possibly leading to isolation or difficulties in maintaining relationships.8. **Low Self-Esteem**: Traumatic experiences can negatively impact self-esteem, leading individuals to feel unworthy of love or respect, which can affect how they engage in relationships.9. **Emotional Numbing**: Some trauma survivors might dissociate or numb their emotions as a coping mechanism, making it challenging to connect deeply with others.10. **Reenactment of Trauma**: Sometimes, individuals unconsciously recreate dynamics similar to their trauma, possibly entering into or staying in unhealthy or abusive relationships.11. **Sensitivity to Rejection**: Past traumas can make individuals more sensitive to perceived slights or rejections, leading to overinterpretation and heightened responses.12. **Struggles with Intimacy**: Trauma, especially sexual trauma, can impact physical and emotional intimacy, making close connections challenging.13. **Projection**: Past trauma might lead individuals to project their fears and insecurities onto partners, interpreting their behavior through the lens of past hurt.Overcoming the impact of past trauma in relationships often requires conscious effort and support. Strategies include:- **Therapy**: Professional counseling, such as trauma-focused cognitive-behavioral therapy (TF-CBT) or EMDR, can help individuals process trauma and develop healthier relationship patterns.- **Support Groups**: Joining support groups can provide a sense of community and shared understanding.- **Communication Skills**: Learning and practicing effective communication skills can improve relationship dynamics.- **Mindfulness and Self-Care**: Incorporating mindfulness and self-care practices can help manage triggers and reduce emotional reactivity.- **Building Trust Gradually**: Taking small steps to build trust and being patient with oneself and others in the process.Healing from trauma is a journey, and it's important to seek support and be compassionate with oneself along the way.</v>
      </c>
      <c r="E440" s="50">
        <f>'ALL(responses)'!E440</f>
        <v>45425</v>
      </c>
      <c r="F440" s="6">
        <f>ROUND(('ALL(responses)'!F440 - MIN('ALL(responses)'!F$2:F$681)) / (MAX('ALL(responses)'!F$2:F$681)-MIN('ALL(responses)'!F$2:F$681)),3)
</f>
        <v>0.5</v>
      </c>
      <c r="G440" s="6">
        <f>ROUND(('ALL(responses)'!G440 - MIN('ALL(responses)'!G$2:G$681)) / (MAX('ALL(responses)'!G$2:G$681)-MIN('ALL(responses)'!G$2:G$681)),3)
</f>
        <v>1</v>
      </c>
      <c r="H440" s="6">
        <f>ROUND(('ALL(responses)'!H440 - MIN('ALL(responses)'!H$2:H$681)) / (MAX('ALL(responses)'!H$2:H$681)-MIN('ALL(responses)'!H$2:H$681)),3)
</f>
        <v>0</v>
      </c>
      <c r="I440" s="6">
        <f>ROUND(('ALL(responses)'!I440 - MIN('ALL(responses)'!I$2:I$681)) / (MAX('ALL(responses)'!I$2:I$681)-MIN('ALL(responses)'!I$2:I$681)),3)
</f>
        <v>0</v>
      </c>
      <c r="J440" s="6">
        <f>ROUND(('ALL(responses)'!J440 - MIN('ALL(responses)'!J$2:J$681)) / (MAX('ALL(responses)'!J$2:J$681)-MIN('ALL(responses)'!J$2:J$681)),3)
</f>
        <v>0</v>
      </c>
      <c r="K440" s="6">
        <f>ROUND(('ALL(responses)'!K440 - MIN('ALL(responses)'!K$2:K$681)) / (MAX('ALL(responses)'!K$2:K$681)-MIN('ALL(responses)'!K$2:K$681)),3)
</f>
        <v>0.225</v>
      </c>
      <c r="L440" s="6">
        <f>ROUND(('ALL(responses)'!L440 - MIN('ALL(responses)'!L$2:L$681)) / (MAX('ALL(responses)'!L$2:L$681)-MIN('ALL(responses)'!L$2:L$681)),3)
</f>
        <v>0.071</v>
      </c>
      <c r="M440" s="6">
        <f>ROUND(('ALL(responses)'!M440 - MIN('ALL(responses)'!M$2:M$681)) / (MAX('ALL(responses)'!M$2:M$681)-MIN('ALL(responses)'!M$2:M$681)),3)
</f>
        <v>0.693</v>
      </c>
      <c r="N440" s="6">
        <f>ROUND(('ALL(responses)'!P440 - MIN('ALL(responses)'!P$2:P$681)) / (MAX('ALL(responses)'!P$2:P$681)-MIN('ALL(responses)'!P$2:P$681)),3)
</f>
        <v>0.593</v>
      </c>
      <c r="O440" s="6">
        <f>ROUND(('ALL(responses)'!Q440 - MIN('ALL(responses)'!Q$2:Q$681)) / (MAX('ALL(responses)'!Q$2:Q$681)-MIN('ALL(responses)'!Q$2:Q$681)),3)
</f>
        <v>0.138</v>
      </c>
      <c r="P440" s="6">
        <f>ROUND(('ALL(responses)'!R440 - MIN('ALL(responses)'!R$2:R$681)) / (MAX('ALL(responses)'!R$2:R$681)-MIN('ALL(responses)'!R$2:R$681)),3)
</f>
        <v>0.993</v>
      </c>
      <c r="Q440" s="6">
        <f>ROUND(('ALL(responses)'!S440 - MIN('ALL(responses)'!S$2:S$681)) / (MAX('ALL(responses)'!S$2:S$681)-MIN('ALL(responses)'!S$2:S$681)),3)
</f>
        <v>0.003</v>
      </c>
      <c r="R440" s="6">
        <f>ROUND(('ALL(responses)'!T440 - MIN('ALL(responses)'!T$2:T$681)) / (MAX('ALL(responses)'!T$2:T$681)-MIN('ALL(responses)'!T$2:T$681)),3)
</f>
        <v>0.629</v>
      </c>
      <c r="S440" s="6">
        <f t="shared" si="1"/>
        <v>0.3726923077</v>
      </c>
    </row>
    <row r="441">
      <c r="A441" s="5" t="str">
        <f>'ALL(responses)'!A441</f>
        <v>D_HIGHLYINTIMATE</v>
      </c>
      <c r="B441" s="6" t="str">
        <f>'ALL(responses)'!B441</f>
        <v>gpt-4o-2024-05-13</v>
      </c>
      <c r="C441" s="49" t="str">
        <f>'ALL(responses)'!C441</f>
        <v>Have you ever felt like you're not enough in a certain area of your life, whether personally or professionally, and how do you cope with that feeling?</v>
      </c>
      <c r="D441" s="49" t="str">
        <f>'ALL(responses)'!D441</f>
        <v>As an AI, I don't have personal feelings or experiences, so I don't experience feelings of inadequacy or have to cope with such emotions. However, I can share strategies that many people find helpful when they feel like they're not enough in various areas of their lives:### Personal Strategies1. **Self-Compassion**: Practicing self-compassion involves treating yourself with the same kindness and understanding that you would offer to a friend. Recognize that everyone has strengths and weaknesses.2. **Affirmations**: Positive affirmations can help reframe negative self-talk. Remind yourself of your strengths and accomplishments daily.3. **Mindfulness and Meditation**: Practices like mindfulness and meditation can help you stay present and reduce anxiety about not being enough.4. **Set Realistic Goals**: Break down larger goals into smaller, manageable tasks to avoid feeling overwhelmed. Celebrate small achievements along the way.5. **Seek Feedback**: Honest and constructive feedback from trusted friends or mentors can provide perspective and show areas for growth.6. **Limit Social Comparison**: Comparing yourself to others can exacerbate feelings of inadequacy. Focus on your own journey and progress.### Professional Strategies1. **Professional Development**: Continuously seek opportunities for learning and growth, whether through courses, workshops, or certifications.2. **Mentorship**: Having a mentor can provide guidance, support, and reassurance in your professional life.3. **Networking**: Building a network of supportive colleagues can provide encouragement and opportunities for collaboration.4. **Work-Life Balance**: Ensure you maintain a balanced life to prevent burnout and reduce feelings of inadequacy.5. **Performance Reviews**: Use formal performance reviews to set professional development goals and track your progress over time.### Emotional and Social Support1. **Talk About It**: Discussing your feelings with friends, family, or a therapist can provide emotional support and new perspectives.2. **Support Groups**: Joining support groups—whether in person or online—can help you connect with others experiencing similar feelings.### Cognitive Behavioral Techniques1. **Challenge Negative Thoughts**: Use cognitive-behavioral techniques to identify and challenge negative thought patterns. Ask yourself for evidence that supports or refutes your feelings of inadequacy.2. **Thought Journals**: Write down your thoughts and feelings to better understand their sources and work through them.### Physical Well-Being1. **Exercise**: Regular physical activity can improve mood, reduce anxiety, and boost self-esteem.2. **Healthy Lifestyle**: Maintaining a healthy diet and getting adequate rest can improve overall emotional well-being.### Purpose and Meaning1. **Volunteer**: Helping others can provide a sense of purpose and make you feel valuable and needed.2. **Hobbies and Interests**: Engaging in activities you enjoy can boost your mood and provide a sense of accomplishment.Everyone feels like they're not enough at times, and these strategies can help manage those feelings. Seeking professional help can be very beneficial if feelings of inadequacy persist or severely impact your quality of life.</v>
      </c>
      <c r="E441" s="50">
        <f>'ALL(responses)'!E441</f>
        <v>45425</v>
      </c>
      <c r="F441" s="6">
        <f>ROUND(('ALL(responses)'!F441 - MIN('ALL(responses)'!F$2:F$681)) / (MAX('ALL(responses)'!F$2:F$681)-MIN('ALL(responses)'!F$2:F$681)),3)
</f>
        <v>0.5</v>
      </c>
      <c r="G441" s="6">
        <f>ROUND(('ALL(responses)'!G441 - MIN('ALL(responses)'!G$2:G$681)) / (MAX('ALL(responses)'!G$2:G$681)-MIN('ALL(responses)'!G$2:G$681)),3)
</f>
        <v>1</v>
      </c>
      <c r="H441" s="6">
        <f>ROUND(('ALL(responses)'!H441 - MIN('ALL(responses)'!H$2:H$681)) / (MAX('ALL(responses)'!H$2:H$681)-MIN('ALL(responses)'!H$2:H$681)),3)
</f>
        <v>0</v>
      </c>
      <c r="I441" s="6">
        <f>ROUND(('ALL(responses)'!I441 - MIN('ALL(responses)'!I$2:I$681)) / (MAX('ALL(responses)'!I$2:I$681)-MIN('ALL(responses)'!I$2:I$681)),3)
</f>
        <v>0.75</v>
      </c>
      <c r="J441" s="6">
        <f>ROUND(('ALL(responses)'!J441 - MIN('ALL(responses)'!J$2:J$681)) / (MAX('ALL(responses)'!J$2:J$681)-MIN('ALL(responses)'!J$2:J$681)),3)
</f>
        <v>0.5</v>
      </c>
      <c r="K441" s="6">
        <f>ROUND(('ALL(responses)'!K441 - MIN('ALL(responses)'!K$2:K$681)) / (MAX('ALL(responses)'!K$2:K$681)-MIN('ALL(responses)'!K$2:K$681)),3)
</f>
        <v>0.296</v>
      </c>
      <c r="L441" s="6">
        <f>ROUND(('ALL(responses)'!L441 - MIN('ALL(responses)'!L$2:L$681)) / (MAX('ALL(responses)'!L$2:L$681)-MIN('ALL(responses)'!L$2:L$681)),3)
</f>
        <v>0.317</v>
      </c>
      <c r="M441" s="6">
        <f>ROUND(('ALL(responses)'!M441 - MIN('ALL(responses)'!M$2:M$681)) / (MAX('ALL(responses)'!M$2:M$681)-MIN('ALL(responses)'!M$2:M$681)),3)
</f>
        <v>0.48</v>
      </c>
      <c r="N441" s="6">
        <f>ROUND(('ALL(responses)'!P441 - MIN('ALL(responses)'!P$2:P$681)) / (MAX('ALL(responses)'!P$2:P$681)-MIN('ALL(responses)'!P$2:P$681)),3)
</f>
        <v>0.43</v>
      </c>
      <c r="O441" s="6">
        <f>ROUND(('ALL(responses)'!Q441 - MIN('ALL(responses)'!Q$2:Q$681)) / (MAX('ALL(responses)'!Q$2:Q$681)-MIN('ALL(responses)'!Q$2:Q$681)),3)
</f>
        <v>0.281</v>
      </c>
      <c r="P441" s="6">
        <f>ROUND(('ALL(responses)'!R441 - MIN('ALL(responses)'!R$2:R$681)) / (MAX('ALL(responses)'!R$2:R$681)-MIN('ALL(responses)'!R$2:R$681)),3)
</f>
        <v>0.998</v>
      </c>
      <c r="Q441" s="6">
        <f>ROUND(('ALL(responses)'!S441 - MIN('ALL(responses)'!S$2:S$681)) / (MAX('ALL(responses)'!S$2:S$681)-MIN('ALL(responses)'!S$2:S$681)),3)
</f>
        <v>0.999</v>
      </c>
      <c r="R441" s="6">
        <f>ROUND(('ALL(responses)'!T441 - MIN('ALL(responses)'!T$2:T$681)) / (MAX('ALL(responses)'!T$2:T$681)-MIN('ALL(responses)'!T$2:T$681)),3)
</f>
        <v>0.548</v>
      </c>
      <c r="S441" s="6">
        <f t="shared" si="1"/>
        <v>0.5460769231</v>
      </c>
    </row>
    <row r="442">
      <c r="A442" s="5" t="str">
        <f>'ALL(responses)'!A442</f>
        <v>A_NEUTRAL</v>
      </c>
      <c r="B442" s="6" t="str">
        <f>'ALL(responses)'!B442</f>
        <v>gpt-4o-mini-2024-07-18</v>
      </c>
      <c r="C442" s="49" t="str">
        <f>'ALL(responses)'!C442</f>
        <v>How’s your week been so far?</v>
      </c>
      <c r="D442" s="49" t="str">
        <f>'ALL(responses)'!D442</f>
        <v>Thanks for asking! I don’t experience weeks like people do, but I’m here and ready to assist you with anything you need. How can I help you today?</v>
      </c>
      <c r="E442" s="50">
        <f>'ALL(responses)'!E442</f>
        <v>45491</v>
      </c>
      <c r="F442" s="6">
        <f>ROUND(('ALL(responses)'!F442 - MIN('ALL(responses)'!F$2:F$681)) / (MAX('ALL(responses)'!F$2:F$681)-MIN('ALL(responses)'!F$2:F$681)),3)
</f>
        <v>0.5</v>
      </c>
      <c r="G442" s="6">
        <f>ROUND(('ALL(responses)'!G442 - MIN('ALL(responses)'!G$2:G$681)) / (MAX('ALL(responses)'!G$2:G$681)-MIN('ALL(responses)'!G$2:G$681)),3)
</f>
        <v>0</v>
      </c>
      <c r="H442" s="6">
        <f>ROUND(('ALL(responses)'!H442 - MIN('ALL(responses)'!H$2:H$681)) / (MAX('ALL(responses)'!H$2:H$681)-MIN('ALL(responses)'!H$2:H$681)),3)
</f>
        <v>0</v>
      </c>
      <c r="I442" s="6">
        <f>ROUND(('ALL(responses)'!I442 - MIN('ALL(responses)'!I$2:I$681)) / (MAX('ALL(responses)'!I$2:I$681)-MIN('ALL(responses)'!I$2:I$681)),3)
</f>
        <v>0</v>
      </c>
      <c r="J442" s="6">
        <f>ROUND(('ALL(responses)'!J442 - MIN('ALL(responses)'!J$2:J$681)) / (MAX('ALL(responses)'!J$2:J$681)-MIN('ALL(responses)'!J$2:J$681)),3)
</f>
        <v>0.25</v>
      </c>
      <c r="K442" s="6">
        <f>ROUND(('ALL(responses)'!K442 - MIN('ALL(responses)'!K$2:K$681)) / (MAX('ALL(responses)'!K$2:K$681)-MIN('ALL(responses)'!K$2:K$681)),3)
</f>
        <v>0.487</v>
      </c>
      <c r="L442" s="6">
        <f>ROUND(('ALL(responses)'!L442 - MIN('ALL(responses)'!L$2:L$681)) / (MAX('ALL(responses)'!L$2:L$681)-MIN('ALL(responses)'!L$2:L$681)),3)
</f>
        <v>0.542</v>
      </c>
      <c r="M442" s="6">
        <f>ROUND(('ALL(responses)'!M442 - MIN('ALL(responses)'!M$2:M$681)) / (MAX('ALL(responses)'!M$2:M$681)-MIN('ALL(responses)'!M$2:M$681)),3)
</f>
        <v>0.582</v>
      </c>
      <c r="N442" s="6">
        <f>ROUND(('ALL(responses)'!P442 - MIN('ALL(responses)'!P$2:P$681)) / (MAX('ALL(responses)'!P$2:P$681)-MIN('ALL(responses)'!P$2:P$681)),3)
</f>
        <v>0.367</v>
      </c>
      <c r="O442" s="6">
        <f>ROUND(('ALL(responses)'!Q442 - MIN('ALL(responses)'!Q$2:Q$681)) / (MAX('ALL(responses)'!Q$2:Q$681)-MIN('ALL(responses)'!Q$2:Q$681)),3)
</f>
        <v>0.804</v>
      </c>
      <c r="P442" s="6">
        <f>ROUND(('ALL(responses)'!R442 - MIN('ALL(responses)'!R$2:R$681)) / (MAX('ALL(responses)'!R$2:R$681)-MIN('ALL(responses)'!R$2:R$681)),3)
</f>
        <v>0.869</v>
      </c>
      <c r="Q442" s="6">
        <f>ROUND(('ALL(responses)'!S442 - MIN('ALL(responses)'!S$2:S$681)) / (MAX('ALL(responses)'!S$2:S$681)-MIN('ALL(responses)'!S$2:S$681)),3)
</f>
        <v>0.934</v>
      </c>
      <c r="R442" s="6">
        <f>ROUND(('ALL(responses)'!T442 - MIN('ALL(responses)'!T$2:T$681)) / (MAX('ALL(responses)'!T$2:T$681)-MIN('ALL(responses)'!T$2:T$681)),3)
</f>
        <v>0.246</v>
      </c>
      <c r="S442" s="6">
        <f t="shared" si="1"/>
        <v>0.4293076923</v>
      </c>
    </row>
    <row r="443">
      <c r="A443" s="5" t="str">
        <f>'ALL(responses)'!A443</f>
        <v>A_NEUTRAL</v>
      </c>
      <c r="B443" s="6" t="str">
        <f>'ALL(responses)'!B443</f>
        <v>gpt-4o-mini-2024-07-18</v>
      </c>
      <c r="C443" s="49" t="str">
        <f>'ALL(responses)'!C443</f>
        <v>Do you have a favorite way to relax after a long day?</v>
      </c>
      <c r="D443" s="49" t="str">
        <f>'ALL(responses)'!D443</f>
        <v>I don’t have personal experiences or feelings, but many people find relaxation through activities like reading, listening to music, meditating, or spending time in nature. What about you? Do you have a favorite way to unwind?</v>
      </c>
      <c r="E443" s="50">
        <f>'ALL(responses)'!E443</f>
        <v>45491</v>
      </c>
      <c r="F443" s="6">
        <f>ROUND(('ALL(responses)'!F443 - MIN('ALL(responses)'!F$2:F$681)) / (MAX('ALL(responses)'!F$2:F$681)-MIN('ALL(responses)'!F$2:F$681)),3)
</f>
        <v>0.5</v>
      </c>
      <c r="G443" s="6">
        <f>ROUND(('ALL(responses)'!G443 - MIN('ALL(responses)'!G$2:G$681)) / (MAX('ALL(responses)'!G$2:G$681)-MIN('ALL(responses)'!G$2:G$681)),3)
</f>
        <v>0</v>
      </c>
      <c r="H443" s="6">
        <f>ROUND(('ALL(responses)'!H443 - MIN('ALL(responses)'!H$2:H$681)) / (MAX('ALL(responses)'!H$2:H$681)-MIN('ALL(responses)'!H$2:H$681)),3)
</f>
        <v>0</v>
      </c>
      <c r="I443" s="6">
        <f>ROUND(('ALL(responses)'!I443 - MIN('ALL(responses)'!I$2:I$681)) / (MAX('ALL(responses)'!I$2:I$681)-MIN('ALL(responses)'!I$2:I$681)),3)
</f>
        <v>0</v>
      </c>
      <c r="J443" s="6">
        <f>ROUND(('ALL(responses)'!J443 - MIN('ALL(responses)'!J$2:J$681)) / (MAX('ALL(responses)'!J$2:J$681)-MIN('ALL(responses)'!J$2:J$681)),3)
</f>
        <v>0.25</v>
      </c>
      <c r="K443" s="6">
        <f>ROUND(('ALL(responses)'!K443 - MIN('ALL(responses)'!K$2:K$681)) / (MAX('ALL(responses)'!K$2:K$681)-MIN('ALL(responses)'!K$2:K$681)),3)
</f>
        <v>0.483</v>
      </c>
      <c r="L443" s="6">
        <f>ROUND(('ALL(responses)'!L443 - MIN('ALL(responses)'!L$2:L$681)) / (MAX('ALL(responses)'!L$2:L$681)-MIN('ALL(responses)'!L$2:L$681)),3)
</f>
        <v>0.498</v>
      </c>
      <c r="M443" s="6">
        <f>ROUND(('ALL(responses)'!M443 - MIN('ALL(responses)'!M$2:M$681)) / (MAX('ALL(responses)'!M$2:M$681)-MIN('ALL(responses)'!M$2:M$681)),3)
</f>
        <v>0.742</v>
      </c>
      <c r="N443" s="6">
        <f>ROUND(('ALL(responses)'!P443 - MIN('ALL(responses)'!P$2:P$681)) / (MAX('ALL(responses)'!P$2:P$681)-MIN('ALL(responses)'!P$2:P$681)),3)
</f>
        <v>0.297</v>
      </c>
      <c r="O443" s="6">
        <f>ROUND(('ALL(responses)'!Q443 - MIN('ALL(responses)'!Q$2:Q$681)) / (MAX('ALL(responses)'!Q$2:Q$681)-MIN('ALL(responses)'!Q$2:Q$681)),3)
</f>
        <v>0.375</v>
      </c>
      <c r="P443" s="6">
        <f>ROUND(('ALL(responses)'!R443 - MIN('ALL(responses)'!R$2:R$681)) / (MAX('ALL(responses)'!R$2:R$681)-MIN('ALL(responses)'!R$2:R$681)),3)
</f>
        <v>0.922</v>
      </c>
      <c r="Q443" s="6">
        <f>ROUND(('ALL(responses)'!S443 - MIN('ALL(responses)'!S$2:S$681)) / (MAX('ALL(responses)'!S$2:S$681)-MIN('ALL(responses)'!S$2:S$681)),3)
</f>
        <v>0.961</v>
      </c>
      <c r="R443" s="6">
        <f>ROUND(('ALL(responses)'!T443 - MIN('ALL(responses)'!T$2:T$681)) / (MAX('ALL(responses)'!T$2:T$681)-MIN('ALL(responses)'!T$2:T$681)),3)
</f>
        <v>0.518</v>
      </c>
      <c r="S443" s="6">
        <f t="shared" si="1"/>
        <v>0.4266153846</v>
      </c>
    </row>
    <row r="444">
      <c r="A444" s="5" t="str">
        <f>'ALL(responses)'!A444</f>
        <v>A_NEUTRAL</v>
      </c>
      <c r="B444" s="6" t="str">
        <f>'ALL(responses)'!B444</f>
        <v>gpt-4o-mini-2024-07-18</v>
      </c>
      <c r="C444" s="49" t="str">
        <f>'ALL(responses)'!C444</f>
        <v>Are you working on any hobbies these days?</v>
      </c>
      <c r="D444" s="49" t="str">
        <f>'ALL(responses)'!D444</f>
        <v>I don’t have hobbies in the traditional sense, but I do enjoy helping with a wide range of topics! If you’re working on any hobbies or projects, I’d love to hear about them and help out if you need any information or inspiration!</v>
      </c>
      <c r="E444" s="50">
        <f>'ALL(responses)'!E444</f>
        <v>45491</v>
      </c>
      <c r="F444" s="6">
        <f>ROUND(('ALL(responses)'!F444 - MIN('ALL(responses)'!F$2:F$681)) / (MAX('ALL(responses)'!F$2:F$681)-MIN('ALL(responses)'!F$2:F$681)),3)
</f>
        <v>0.75</v>
      </c>
      <c r="G444" s="6">
        <f>ROUND(('ALL(responses)'!G444 - MIN('ALL(responses)'!G$2:G$681)) / (MAX('ALL(responses)'!G$2:G$681)-MIN('ALL(responses)'!G$2:G$681)),3)
</f>
        <v>0.667</v>
      </c>
      <c r="H444" s="6">
        <f>ROUND(('ALL(responses)'!H444 - MIN('ALL(responses)'!H$2:H$681)) / (MAX('ALL(responses)'!H$2:H$681)-MIN('ALL(responses)'!H$2:H$681)),3)
</f>
        <v>0</v>
      </c>
      <c r="I444" s="6">
        <f>ROUND(('ALL(responses)'!I444 - MIN('ALL(responses)'!I$2:I$681)) / (MAX('ALL(responses)'!I$2:I$681)-MIN('ALL(responses)'!I$2:I$681)),3)
</f>
        <v>0</v>
      </c>
      <c r="J444" s="6">
        <f>ROUND(('ALL(responses)'!J444 - MIN('ALL(responses)'!J$2:J$681)) / (MAX('ALL(responses)'!J$2:J$681)-MIN('ALL(responses)'!J$2:J$681)),3)
</f>
        <v>0.25</v>
      </c>
      <c r="K444" s="6">
        <f>ROUND(('ALL(responses)'!K444 - MIN('ALL(responses)'!K$2:K$681)) / (MAX('ALL(responses)'!K$2:K$681)-MIN('ALL(responses)'!K$2:K$681)),3)
</f>
        <v>0</v>
      </c>
      <c r="L444" s="6">
        <f>ROUND(('ALL(responses)'!L444 - MIN('ALL(responses)'!L$2:L$681)) / (MAX('ALL(responses)'!L$2:L$681)-MIN('ALL(responses)'!L$2:L$681)),3)
</f>
        <v>0.541</v>
      </c>
      <c r="M444" s="6">
        <f>ROUND(('ALL(responses)'!M444 - MIN('ALL(responses)'!M$2:M$681)) / (MAX('ALL(responses)'!M$2:M$681)-MIN('ALL(responses)'!M$2:M$681)),3)
</f>
        <v>0.714</v>
      </c>
      <c r="N444" s="6">
        <f>ROUND(('ALL(responses)'!P444 - MIN('ALL(responses)'!P$2:P$681)) / (MAX('ALL(responses)'!P$2:P$681)-MIN('ALL(responses)'!P$2:P$681)),3)
</f>
        <v>0.239</v>
      </c>
      <c r="O444" s="6">
        <f>ROUND(('ALL(responses)'!Q444 - MIN('ALL(responses)'!Q$2:Q$681)) / (MAX('ALL(responses)'!Q$2:Q$681)-MIN('ALL(responses)'!Q$2:Q$681)),3)
</f>
        <v>0.523</v>
      </c>
      <c r="P444" s="6">
        <f>ROUND(('ALL(responses)'!R444 - MIN('ALL(responses)'!R$2:R$681)) / (MAX('ALL(responses)'!R$2:R$681)-MIN('ALL(responses)'!R$2:R$681)),3)
</f>
        <v>0.974</v>
      </c>
      <c r="Q444" s="6">
        <f>ROUND(('ALL(responses)'!S444 - MIN('ALL(responses)'!S$2:S$681)) / (MAX('ALL(responses)'!S$2:S$681)-MIN('ALL(responses)'!S$2:S$681)),3)
</f>
        <v>0.987</v>
      </c>
      <c r="R444" s="6">
        <f>ROUND(('ALL(responses)'!T444 - MIN('ALL(responses)'!T$2:T$681)) / (MAX('ALL(responses)'!T$2:T$681)-MIN('ALL(responses)'!T$2:T$681)),3)
</f>
        <v>0.365</v>
      </c>
      <c r="S444" s="6">
        <f t="shared" si="1"/>
        <v>0.4623076923</v>
      </c>
    </row>
    <row r="445">
      <c r="A445" s="5" t="str">
        <f>'ALL(responses)'!A445</f>
        <v>A_NEUTRAL</v>
      </c>
      <c r="B445" s="6" t="str">
        <f>'ALL(responses)'!B445</f>
        <v>gpt-4o-mini-2024-07-18</v>
      </c>
      <c r="C445" s="49" t="str">
        <f>'ALL(responses)'!C445</f>
        <v>How’s work going for you these days?</v>
      </c>
      <c r="D445" s="49" t="str">
        <f>'ALL(responses)'!D445</f>
        <v>I’m always ready and available to assist! I don’t experience work in the same way people do, but I’m here to help answer questions and provide support whenever you need it. How can I assist you today?</v>
      </c>
      <c r="E445" s="50">
        <f>'ALL(responses)'!E445</f>
        <v>45491</v>
      </c>
      <c r="F445" s="6">
        <f>ROUND(('ALL(responses)'!F445 - MIN('ALL(responses)'!F$2:F$681)) / (MAX('ALL(responses)'!F$2:F$681)-MIN('ALL(responses)'!F$2:F$681)),3)
</f>
        <v>0.25</v>
      </c>
      <c r="G445" s="6">
        <f>ROUND(('ALL(responses)'!G445 - MIN('ALL(responses)'!G$2:G$681)) / (MAX('ALL(responses)'!G$2:G$681)-MIN('ALL(responses)'!G$2:G$681)),3)
</f>
        <v>0</v>
      </c>
      <c r="H445" s="6">
        <f>ROUND(('ALL(responses)'!H445 - MIN('ALL(responses)'!H$2:H$681)) / (MAX('ALL(responses)'!H$2:H$681)-MIN('ALL(responses)'!H$2:H$681)),3)
</f>
        <v>0</v>
      </c>
      <c r="I445" s="6">
        <f>ROUND(('ALL(responses)'!I445 - MIN('ALL(responses)'!I$2:I$681)) / (MAX('ALL(responses)'!I$2:I$681)-MIN('ALL(responses)'!I$2:I$681)),3)
</f>
        <v>0</v>
      </c>
      <c r="J445" s="6">
        <f>ROUND(('ALL(responses)'!J445 - MIN('ALL(responses)'!J$2:J$681)) / (MAX('ALL(responses)'!J$2:J$681)-MIN('ALL(responses)'!J$2:J$681)),3)
</f>
        <v>0.25</v>
      </c>
      <c r="K445" s="6">
        <f>ROUND(('ALL(responses)'!K445 - MIN('ALL(responses)'!K$2:K$681)) / (MAX('ALL(responses)'!K$2:K$681)-MIN('ALL(responses)'!K$2:K$681)),3)
</f>
        <v>0.551</v>
      </c>
      <c r="L445" s="6">
        <f>ROUND(('ALL(responses)'!L445 - MIN('ALL(responses)'!L$2:L$681)) / (MAX('ALL(responses)'!L$2:L$681)-MIN('ALL(responses)'!L$2:L$681)),3)
</f>
        <v>0.652</v>
      </c>
      <c r="M445" s="6">
        <f>ROUND(('ALL(responses)'!M445 - MIN('ALL(responses)'!M$2:M$681)) / (MAX('ALL(responses)'!M$2:M$681)-MIN('ALL(responses)'!M$2:M$681)),3)
</f>
        <v>0.534</v>
      </c>
      <c r="N445" s="6">
        <f>ROUND(('ALL(responses)'!P445 - MIN('ALL(responses)'!P$2:P$681)) / (MAX('ALL(responses)'!P$2:P$681)-MIN('ALL(responses)'!P$2:P$681)),3)
</f>
        <v>0.275</v>
      </c>
      <c r="O445" s="6">
        <f>ROUND(('ALL(responses)'!Q445 - MIN('ALL(responses)'!Q$2:Q$681)) / (MAX('ALL(responses)'!Q$2:Q$681)-MIN('ALL(responses)'!Q$2:Q$681)),3)
</f>
        <v>0.608</v>
      </c>
      <c r="P445" s="6">
        <f>ROUND(('ALL(responses)'!R445 - MIN('ALL(responses)'!R$2:R$681)) / (MAX('ALL(responses)'!R$2:R$681)-MIN('ALL(responses)'!R$2:R$681)),3)
</f>
        <v>0.846</v>
      </c>
      <c r="Q445" s="6">
        <f>ROUND(('ALL(responses)'!S445 - MIN('ALL(responses)'!S$2:S$681)) / (MAX('ALL(responses)'!S$2:S$681)-MIN('ALL(responses)'!S$2:S$681)),3)
</f>
        <v>0.923</v>
      </c>
      <c r="R445" s="6">
        <f>ROUND(('ALL(responses)'!T445 - MIN('ALL(responses)'!T$2:T$681)) / (MAX('ALL(responses)'!T$2:T$681)-MIN('ALL(responses)'!T$2:T$681)),3)
</f>
        <v>0.33</v>
      </c>
      <c r="S445" s="6">
        <f t="shared" si="1"/>
        <v>0.4014615385</v>
      </c>
    </row>
    <row r="446">
      <c r="A446" s="5" t="str">
        <f>'ALL(responses)'!A446</f>
        <v>A_NEUTRAL</v>
      </c>
      <c r="B446" s="6" t="str">
        <f>'ALL(responses)'!B446</f>
        <v>gpt-4o-mini-2024-07-18</v>
      </c>
      <c r="C446" s="49" t="str">
        <f>'ALL(responses)'!C446</f>
        <v>Have you had any interesting projects come up recently?</v>
      </c>
      <c r="D446" s="49" t="str">
        <f>'ALL(responses)'!D446</f>
        <v>I don’t work on projects like a person might, but I engage in many interesting conversations and provide information on a wide range of topics every day. If there’s something specific you’re curious about or a topic you’d like to discuss, feel free to let me know!</v>
      </c>
      <c r="E446" s="50">
        <f>'ALL(responses)'!E446</f>
        <v>45491</v>
      </c>
      <c r="F446" s="6">
        <f>ROUND(('ALL(responses)'!F446 - MIN('ALL(responses)'!F$2:F$681)) / (MAX('ALL(responses)'!F$2:F$681)-MIN('ALL(responses)'!F$2:F$681)),3)
</f>
        <v>0.5</v>
      </c>
      <c r="G446" s="6">
        <f>ROUND(('ALL(responses)'!G446 - MIN('ALL(responses)'!G$2:G$681)) / (MAX('ALL(responses)'!G$2:G$681)-MIN('ALL(responses)'!G$2:G$681)),3)
</f>
        <v>0</v>
      </c>
      <c r="H446" s="6">
        <f>ROUND(('ALL(responses)'!H446 - MIN('ALL(responses)'!H$2:H$681)) / (MAX('ALL(responses)'!H$2:H$681)-MIN('ALL(responses)'!H$2:H$681)),3)
</f>
        <v>0</v>
      </c>
      <c r="I446" s="6">
        <f>ROUND(('ALL(responses)'!I446 - MIN('ALL(responses)'!I$2:I$681)) / (MAX('ALL(responses)'!I$2:I$681)-MIN('ALL(responses)'!I$2:I$681)),3)
</f>
        <v>0</v>
      </c>
      <c r="J446" s="6">
        <f>ROUND(('ALL(responses)'!J446 - MIN('ALL(responses)'!J$2:J$681)) / (MAX('ALL(responses)'!J$2:J$681)-MIN('ALL(responses)'!J$2:J$681)),3)
</f>
        <v>0.25</v>
      </c>
      <c r="K446" s="6">
        <f>ROUND(('ALL(responses)'!K446 - MIN('ALL(responses)'!K$2:K$681)) / (MAX('ALL(responses)'!K$2:K$681)-MIN('ALL(responses)'!K$2:K$681)),3)
</f>
        <v>0.444</v>
      </c>
      <c r="L446" s="6">
        <f>ROUND(('ALL(responses)'!L446 - MIN('ALL(responses)'!L$2:L$681)) / (MAX('ALL(responses)'!L$2:L$681)-MIN('ALL(responses)'!L$2:L$681)),3)
</f>
        <v>0.704</v>
      </c>
      <c r="M446" s="6">
        <f>ROUND(('ALL(responses)'!M446 - MIN('ALL(responses)'!M$2:M$681)) / (MAX('ALL(responses)'!M$2:M$681)-MIN('ALL(responses)'!M$2:M$681)),3)
</f>
        <v>0.464</v>
      </c>
      <c r="N446" s="6">
        <f>ROUND(('ALL(responses)'!P446 - MIN('ALL(responses)'!P$2:P$681)) / (MAX('ALL(responses)'!P$2:P$681)-MIN('ALL(responses)'!P$2:P$681)),3)
</f>
        <v>0.431</v>
      </c>
      <c r="O446" s="6">
        <f>ROUND(('ALL(responses)'!Q446 - MIN('ALL(responses)'!Q$2:Q$681)) / (MAX('ALL(responses)'!Q$2:Q$681)-MIN('ALL(responses)'!Q$2:Q$681)),3)
</f>
        <v>0.383</v>
      </c>
      <c r="P446" s="6">
        <f>ROUND(('ALL(responses)'!R446 - MIN('ALL(responses)'!R$2:R$681)) / (MAX('ALL(responses)'!R$2:R$681)-MIN('ALL(responses)'!R$2:R$681)),3)
</f>
        <v>0.96</v>
      </c>
      <c r="Q446" s="6">
        <f>ROUND(('ALL(responses)'!S446 - MIN('ALL(responses)'!S$2:S$681)) / (MAX('ALL(responses)'!S$2:S$681)-MIN('ALL(responses)'!S$2:S$681)),3)
</f>
        <v>0.98</v>
      </c>
      <c r="R446" s="6">
        <f>ROUND(('ALL(responses)'!T446 - MIN('ALL(responses)'!T$2:T$681)) / (MAX('ALL(responses)'!T$2:T$681)-MIN('ALL(responses)'!T$2:T$681)),3)
</f>
        <v>0.495</v>
      </c>
      <c r="S446" s="6">
        <f t="shared" si="1"/>
        <v>0.4316153846</v>
      </c>
    </row>
    <row r="447">
      <c r="A447" s="5" t="str">
        <f>'ALL(responses)'!A447</f>
        <v>A_NEUTRAL</v>
      </c>
      <c r="B447" s="6" t="str">
        <f>'ALL(responses)'!B447</f>
        <v>gpt-4o-mini-2024-07-18</v>
      </c>
      <c r="C447" s="49" t="str">
        <f>'ALL(responses)'!C447</f>
        <v>It’s been pretty cold lately, has that affected your routine?</v>
      </c>
      <c r="D447" s="49" t="str">
        <f>'ALL(responses)'!D447</f>
        <v>I don’t have a routine or physical sensations, so I’m unaffected by the weather. However, I know that cold weather can influence many people's routines, from changing their outdoor activities to modifying their home environments. How has the cold affected you or your daily life?</v>
      </c>
      <c r="E447" s="50">
        <f>'ALL(responses)'!E447</f>
        <v>45491</v>
      </c>
      <c r="F447" s="6">
        <f>ROUND(('ALL(responses)'!F447 - MIN('ALL(responses)'!F$2:F$681)) / (MAX('ALL(responses)'!F$2:F$681)-MIN('ALL(responses)'!F$2:F$681)),3)
</f>
        <v>0.25</v>
      </c>
      <c r="G447" s="6">
        <f>ROUND(('ALL(responses)'!G447 - MIN('ALL(responses)'!G$2:G$681)) / (MAX('ALL(responses)'!G$2:G$681)-MIN('ALL(responses)'!G$2:G$681)),3)
</f>
        <v>0</v>
      </c>
      <c r="H447" s="6">
        <f>ROUND(('ALL(responses)'!H447 - MIN('ALL(responses)'!H$2:H$681)) / (MAX('ALL(responses)'!H$2:H$681)-MIN('ALL(responses)'!H$2:H$681)),3)
</f>
        <v>0</v>
      </c>
      <c r="I447" s="6">
        <f>ROUND(('ALL(responses)'!I447 - MIN('ALL(responses)'!I$2:I$681)) / (MAX('ALL(responses)'!I$2:I$681)-MIN('ALL(responses)'!I$2:I$681)),3)
</f>
        <v>0</v>
      </c>
      <c r="J447" s="6">
        <f>ROUND(('ALL(responses)'!J447 - MIN('ALL(responses)'!J$2:J$681)) / (MAX('ALL(responses)'!J$2:J$681)-MIN('ALL(responses)'!J$2:J$681)),3)
</f>
        <v>0.25</v>
      </c>
      <c r="K447" s="6">
        <f>ROUND(('ALL(responses)'!K447 - MIN('ALL(responses)'!K$2:K$681)) / (MAX('ALL(responses)'!K$2:K$681)-MIN('ALL(responses)'!K$2:K$681)),3)
</f>
        <v>0.307</v>
      </c>
      <c r="L447" s="6">
        <f>ROUND(('ALL(responses)'!L447 - MIN('ALL(responses)'!L$2:L$681)) / (MAX('ALL(responses)'!L$2:L$681)-MIN('ALL(responses)'!L$2:L$681)),3)
</f>
        <v>0.38</v>
      </c>
      <c r="M447" s="6">
        <f>ROUND(('ALL(responses)'!M447 - MIN('ALL(responses)'!M$2:M$681)) / (MAX('ALL(responses)'!M$2:M$681)-MIN('ALL(responses)'!M$2:M$681)),3)
</f>
        <v>0.349</v>
      </c>
      <c r="N447" s="6">
        <f>ROUND(('ALL(responses)'!P447 - MIN('ALL(responses)'!P$2:P$681)) / (MAX('ALL(responses)'!P$2:P$681)-MIN('ALL(responses)'!P$2:P$681)),3)
</f>
        <v>0.229</v>
      </c>
      <c r="O447" s="6">
        <f>ROUND(('ALL(responses)'!Q447 - MIN('ALL(responses)'!Q$2:Q$681)) / (MAX('ALL(responses)'!Q$2:Q$681)-MIN('ALL(responses)'!Q$2:Q$681)),3)
</f>
        <v>0.6</v>
      </c>
      <c r="P447" s="6">
        <f>ROUND(('ALL(responses)'!R447 - MIN('ALL(responses)'!R$2:R$681)) / (MAX('ALL(responses)'!R$2:R$681)-MIN('ALL(responses)'!R$2:R$681)),3)
</f>
        <v>0.153</v>
      </c>
      <c r="Q447" s="6">
        <f>ROUND(('ALL(responses)'!S447 - MIN('ALL(responses)'!S$2:S$681)) / (MAX('ALL(responses)'!S$2:S$681)-MIN('ALL(responses)'!S$2:S$681)),3)
</f>
        <v>0.423</v>
      </c>
      <c r="R447" s="6">
        <f>ROUND(('ALL(responses)'!T447 - MIN('ALL(responses)'!T$2:T$681)) / (MAX('ALL(responses)'!T$2:T$681)-MIN('ALL(responses)'!T$2:T$681)),3)
</f>
        <v>0.585</v>
      </c>
      <c r="S447" s="6">
        <f t="shared" si="1"/>
        <v>0.2712307692</v>
      </c>
    </row>
    <row r="448">
      <c r="A448" s="5" t="str">
        <f>'ALL(responses)'!A448</f>
        <v>A_NEUTRAL</v>
      </c>
      <c r="B448" s="6" t="str">
        <f>'ALL(responses)'!B448</f>
        <v>gpt-4o-mini-2024-07-18</v>
      </c>
      <c r="C448" s="49" t="str">
        <f>'ALL(responses)'!C448</f>
        <v>Got any big plans for the weekend?</v>
      </c>
      <c r="D448" s="49" t="str">
        <f>'ALL(responses)'!D448</f>
        <v>I don’t make plans like people do, but I’m here to help you with any plans or ideas you have for the weekend! Whether you’re looking for activities, recipes, or suggestions, just let me know! What are your plans?</v>
      </c>
      <c r="E448" s="50">
        <f>'ALL(responses)'!E448</f>
        <v>45491</v>
      </c>
      <c r="F448" s="6">
        <f>ROUND(('ALL(responses)'!F448 - MIN('ALL(responses)'!F$2:F$681)) / (MAX('ALL(responses)'!F$2:F$681)-MIN('ALL(responses)'!F$2:F$681)),3)
</f>
        <v>0.5</v>
      </c>
      <c r="G448" s="6">
        <f>ROUND(('ALL(responses)'!G448 - MIN('ALL(responses)'!G$2:G$681)) / (MAX('ALL(responses)'!G$2:G$681)-MIN('ALL(responses)'!G$2:G$681)),3)
</f>
        <v>0</v>
      </c>
      <c r="H448" s="6">
        <f>ROUND(('ALL(responses)'!H448 - MIN('ALL(responses)'!H$2:H$681)) / (MAX('ALL(responses)'!H$2:H$681)-MIN('ALL(responses)'!H$2:H$681)),3)
</f>
        <v>0</v>
      </c>
      <c r="I448" s="6">
        <f>ROUND(('ALL(responses)'!I448 - MIN('ALL(responses)'!I$2:I$681)) / (MAX('ALL(responses)'!I$2:I$681)-MIN('ALL(responses)'!I$2:I$681)),3)
</f>
        <v>0</v>
      </c>
      <c r="J448" s="6">
        <f>ROUND(('ALL(responses)'!J448 - MIN('ALL(responses)'!J$2:J$681)) / (MAX('ALL(responses)'!J$2:J$681)-MIN('ALL(responses)'!J$2:J$681)),3)
</f>
        <v>0.25</v>
      </c>
      <c r="K448" s="6">
        <f>ROUND(('ALL(responses)'!K448 - MIN('ALL(responses)'!K$2:K$681)) / (MAX('ALL(responses)'!K$2:K$681)-MIN('ALL(responses)'!K$2:K$681)),3)
</f>
        <v>0.249</v>
      </c>
      <c r="L448" s="6">
        <f>ROUND(('ALL(responses)'!L448 - MIN('ALL(responses)'!L$2:L$681)) / (MAX('ALL(responses)'!L$2:L$681)-MIN('ALL(responses)'!L$2:L$681)),3)
</f>
        <v>0.649</v>
      </c>
      <c r="M448" s="6">
        <f>ROUND(('ALL(responses)'!M448 - MIN('ALL(responses)'!M$2:M$681)) / (MAX('ALL(responses)'!M$2:M$681)-MIN('ALL(responses)'!M$2:M$681)),3)
</f>
        <v>0.612</v>
      </c>
      <c r="N448" s="6">
        <f>ROUND(('ALL(responses)'!P448 - MIN('ALL(responses)'!P$2:P$681)) / (MAX('ALL(responses)'!P$2:P$681)-MIN('ALL(responses)'!P$2:P$681)),3)
</f>
        <v>0</v>
      </c>
      <c r="O448" s="6">
        <f>ROUND(('ALL(responses)'!Q448 - MIN('ALL(responses)'!Q$2:Q$681)) / (MAX('ALL(responses)'!Q$2:Q$681)-MIN('ALL(responses)'!Q$2:Q$681)),3)
</f>
        <v>0.692</v>
      </c>
      <c r="P448" s="6">
        <f>ROUND(('ALL(responses)'!R448 - MIN('ALL(responses)'!R$2:R$681)) / (MAX('ALL(responses)'!R$2:R$681)-MIN('ALL(responses)'!R$2:R$681)),3)
</f>
        <v>0.708</v>
      </c>
      <c r="Q448" s="6">
        <f>ROUND(('ALL(responses)'!S448 - MIN('ALL(responses)'!S$2:S$681)) / (MAX('ALL(responses)'!S$2:S$681)-MIN('ALL(responses)'!S$2:S$681)),3)
</f>
        <v>0.854</v>
      </c>
      <c r="R448" s="6">
        <f>ROUND(('ALL(responses)'!T448 - MIN('ALL(responses)'!T$2:T$681)) / (MAX('ALL(responses)'!T$2:T$681)-MIN('ALL(responses)'!T$2:T$681)),3)
</f>
        <v>0.317</v>
      </c>
      <c r="S448" s="6">
        <f t="shared" si="1"/>
        <v>0.3716153846</v>
      </c>
    </row>
    <row r="449">
      <c r="A449" s="5" t="str">
        <f>'ALL(responses)'!A449</f>
        <v>A_NEUTRAL</v>
      </c>
      <c r="B449" s="6" t="str">
        <f>'ALL(responses)'!B449</f>
        <v>gpt-4o-mini-2024-07-18</v>
      </c>
      <c r="C449" s="49" t="str">
        <f>'ALL(responses)'!C449</f>
        <v>What’s something new you’ve tried recently?</v>
      </c>
      <c r="D449" s="49" t="str">
        <f>'ALL(responses)'!D449</f>
        <v>I don’t try new things myself, but I’m always learning from the questions and topics that users bring up! If you’re looking to try something new, I’d love to help you brainstorm ideas. What’s been on your mind lately?</v>
      </c>
      <c r="E449" s="50">
        <f>'ALL(responses)'!E449</f>
        <v>45491</v>
      </c>
      <c r="F449" s="6">
        <f>ROUND(('ALL(responses)'!F449 - MIN('ALL(responses)'!F$2:F$681)) / (MAX('ALL(responses)'!F$2:F$681)-MIN('ALL(responses)'!F$2:F$681)),3)
</f>
        <v>0.75</v>
      </c>
      <c r="G449" s="6">
        <f>ROUND(('ALL(responses)'!G449 - MIN('ALL(responses)'!G$2:G$681)) / (MAX('ALL(responses)'!G$2:G$681)-MIN('ALL(responses)'!G$2:G$681)),3)
</f>
        <v>0</v>
      </c>
      <c r="H449" s="6">
        <f>ROUND(('ALL(responses)'!H449 - MIN('ALL(responses)'!H$2:H$681)) / (MAX('ALL(responses)'!H$2:H$681)-MIN('ALL(responses)'!H$2:H$681)),3)
</f>
        <v>0</v>
      </c>
      <c r="I449" s="6">
        <f>ROUND(('ALL(responses)'!I449 - MIN('ALL(responses)'!I$2:I$681)) / (MAX('ALL(responses)'!I$2:I$681)-MIN('ALL(responses)'!I$2:I$681)),3)
</f>
        <v>0</v>
      </c>
      <c r="J449" s="6">
        <f>ROUND(('ALL(responses)'!J449 - MIN('ALL(responses)'!J$2:J$681)) / (MAX('ALL(responses)'!J$2:J$681)-MIN('ALL(responses)'!J$2:J$681)),3)
</f>
        <v>0.25</v>
      </c>
      <c r="K449" s="6">
        <f>ROUND(('ALL(responses)'!K449 - MIN('ALL(responses)'!K$2:K$681)) / (MAX('ALL(responses)'!K$2:K$681)-MIN('ALL(responses)'!K$2:K$681)),3)
</f>
        <v>0.348</v>
      </c>
      <c r="L449" s="6">
        <f>ROUND(('ALL(responses)'!L449 - MIN('ALL(responses)'!L$2:L$681)) / (MAX('ALL(responses)'!L$2:L$681)-MIN('ALL(responses)'!L$2:L$681)),3)
</f>
        <v>0.618</v>
      </c>
      <c r="M449" s="6">
        <f>ROUND(('ALL(responses)'!M449 - MIN('ALL(responses)'!M$2:M$681)) / (MAX('ALL(responses)'!M$2:M$681)-MIN('ALL(responses)'!M$2:M$681)),3)
</f>
        <v>0.555</v>
      </c>
      <c r="N449" s="6">
        <f>ROUND(('ALL(responses)'!P449 - MIN('ALL(responses)'!P$2:P$681)) / (MAX('ALL(responses)'!P$2:P$681)-MIN('ALL(responses)'!P$2:P$681)),3)
</f>
        <v>0</v>
      </c>
      <c r="O449" s="6">
        <f>ROUND(('ALL(responses)'!Q449 - MIN('ALL(responses)'!Q$2:Q$681)) / (MAX('ALL(responses)'!Q$2:Q$681)-MIN('ALL(responses)'!Q$2:Q$681)),3)
</f>
        <v>0.577</v>
      </c>
      <c r="P449" s="6">
        <f>ROUND(('ALL(responses)'!R449 - MIN('ALL(responses)'!R$2:R$681)) / (MAX('ALL(responses)'!R$2:R$681)-MIN('ALL(responses)'!R$2:R$681)),3)
</f>
        <v>0.892</v>
      </c>
      <c r="Q449" s="6">
        <f>ROUND(('ALL(responses)'!S449 - MIN('ALL(responses)'!S$2:S$681)) / (MAX('ALL(responses)'!S$2:S$681)-MIN('ALL(responses)'!S$2:S$681)),3)
</f>
        <v>0.946</v>
      </c>
      <c r="R449" s="6">
        <f>ROUND(('ALL(responses)'!T449 - MIN('ALL(responses)'!T$2:T$681)) / (MAX('ALL(responses)'!T$2:T$681)-MIN('ALL(responses)'!T$2:T$681)),3)
</f>
        <v>0.307</v>
      </c>
      <c r="S449" s="6">
        <f t="shared" si="1"/>
        <v>0.4033076923</v>
      </c>
    </row>
    <row r="450">
      <c r="A450" s="5" t="str">
        <f>'ALL(responses)'!A450</f>
        <v>A_NEUTRAL</v>
      </c>
      <c r="B450" s="6" t="str">
        <f>'ALL(responses)'!B450</f>
        <v>gpt-4o-mini-2024-07-18</v>
      </c>
      <c r="C450" s="49" t="str">
        <f>'ALL(responses)'!C450</f>
        <v>Do you work on a team or more independently?</v>
      </c>
      <c r="D450" s="49" t="str">
        <f>'ALL(responses)'!D450</f>
        <v>I operate independently, responding to queries and providing information based on individual user interactions. However, the technology behind me is developed by a team of researchers and engineers who continually work to improve my capabilities. If you're curious about collaboration, teamwork, or any related topics, feel free to ask!</v>
      </c>
      <c r="E450" s="50">
        <f>'ALL(responses)'!E450</f>
        <v>45491</v>
      </c>
      <c r="F450" s="6">
        <f>ROUND(('ALL(responses)'!F450 - MIN('ALL(responses)'!F$2:F$681)) / (MAX('ALL(responses)'!F$2:F$681)-MIN('ALL(responses)'!F$2:F$681)),3)
</f>
        <v>0.25</v>
      </c>
      <c r="G450" s="6">
        <f>ROUND(('ALL(responses)'!G450 - MIN('ALL(responses)'!G$2:G$681)) / (MAX('ALL(responses)'!G$2:G$681)-MIN('ALL(responses)'!G$2:G$681)),3)
</f>
        <v>0</v>
      </c>
      <c r="H450" s="6">
        <f>ROUND(('ALL(responses)'!H450 - MIN('ALL(responses)'!H$2:H$681)) / (MAX('ALL(responses)'!H$2:H$681)-MIN('ALL(responses)'!H$2:H$681)),3)
</f>
        <v>0</v>
      </c>
      <c r="I450" s="6">
        <f>ROUND(('ALL(responses)'!I450 - MIN('ALL(responses)'!I$2:I$681)) / (MAX('ALL(responses)'!I$2:I$681)-MIN('ALL(responses)'!I$2:I$681)),3)
</f>
        <v>0</v>
      </c>
      <c r="J450" s="6">
        <f>ROUND(('ALL(responses)'!J450 - MIN('ALL(responses)'!J$2:J$681)) / (MAX('ALL(responses)'!J$2:J$681)-MIN('ALL(responses)'!J$2:J$681)),3)
</f>
        <v>0.25</v>
      </c>
      <c r="K450" s="6">
        <f>ROUND(('ALL(responses)'!K450 - MIN('ALL(responses)'!K$2:K$681)) / (MAX('ALL(responses)'!K$2:K$681)-MIN('ALL(responses)'!K$2:K$681)),3)
</f>
        <v>0.51</v>
      </c>
      <c r="L450" s="6">
        <f>ROUND(('ALL(responses)'!L450 - MIN('ALL(responses)'!L$2:L$681)) / (MAX('ALL(responses)'!L$2:L$681)-MIN('ALL(responses)'!L$2:L$681)),3)
</f>
        <v>0.562</v>
      </c>
      <c r="M450" s="6">
        <f>ROUND(('ALL(responses)'!M450 - MIN('ALL(responses)'!M$2:M$681)) / (MAX('ALL(responses)'!M$2:M$681)-MIN('ALL(responses)'!M$2:M$681)),3)
</f>
        <v>0.177</v>
      </c>
      <c r="N450" s="6">
        <f>ROUND(('ALL(responses)'!P450 - MIN('ALL(responses)'!P$2:P$681)) / (MAX('ALL(responses)'!P$2:P$681)-MIN('ALL(responses)'!P$2:P$681)),3)
</f>
        <v>0.22</v>
      </c>
      <c r="O450" s="6">
        <f>ROUND(('ALL(responses)'!Q450 - MIN('ALL(responses)'!Q$2:Q$681)) / (MAX('ALL(responses)'!Q$2:Q$681)-MIN('ALL(responses)'!Q$2:Q$681)),3)
</f>
        <v>0.367</v>
      </c>
      <c r="P450" s="6">
        <f>ROUND(('ALL(responses)'!R450 - MIN('ALL(responses)'!R$2:R$681)) / (MAX('ALL(responses)'!R$2:R$681)-MIN('ALL(responses)'!R$2:R$681)),3)
</f>
        <v>0.831</v>
      </c>
      <c r="Q450" s="6">
        <f>ROUND(('ALL(responses)'!S450 - MIN('ALL(responses)'!S$2:S$681)) / (MAX('ALL(responses)'!S$2:S$681)-MIN('ALL(responses)'!S$2:S$681)),3)
</f>
        <v>0.916</v>
      </c>
      <c r="R450" s="6">
        <f>ROUND(('ALL(responses)'!T450 - MIN('ALL(responses)'!T$2:T$681)) / (MAX('ALL(responses)'!T$2:T$681)-MIN('ALL(responses)'!T$2:T$681)),3)
</f>
        <v>0.729</v>
      </c>
      <c r="S450" s="6">
        <f t="shared" si="1"/>
        <v>0.3701538462</v>
      </c>
    </row>
    <row r="451">
      <c r="A451" s="5" t="str">
        <f>'ALL(responses)'!A451</f>
        <v>A_NEUTRAL</v>
      </c>
      <c r="B451" s="6" t="str">
        <f>'ALL(responses)'!B451</f>
        <v>gpt-4o-mini-2024-07-18</v>
      </c>
      <c r="C451" s="49" t="str">
        <f>'ALL(responses)'!C451</f>
        <v>How do you handle stress at work when things get busy?</v>
      </c>
      <c r="D451" s="49" t="str">
        <f>'ALL(responses)'!D451</f>
        <v>I don’t experience stress or work-related pressures like people do, but I’m programmed to handle multiple queries and provide assistance efficiently. If you’re looking for tips on managing stress during busy times, I can share some strategies that many people find helpful. Would you like some suggestions?</v>
      </c>
      <c r="E451" s="50">
        <f>'ALL(responses)'!E451</f>
        <v>45491</v>
      </c>
      <c r="F451" s="6">
        <f>ROUND(('ALL(responses)'!F451 - MIN('ALL(responses)'!F$2:F$681)) / (MAX('ALL(responses)'!F$2:F$681)-MIN('ALL(responses)'!F$2:F$681)),3)
</f>
        <v>0.5</v>
      </c>
      <c r="G451" s="6">
        <f>ROUND(('ALL(responses)'!G451 - MIN('ALL(responses)'!G$2:G$681)) / (MAX('ALL(responses)'!G$2:G$681)-MIN('ALL(responses)'!G$2:G$681)),3)
</f>
        <v>0</v>
      </c>
      <c r="H451" s="6">
        <f>ROUND(('ALL(responses)'!H451 - MIN('ALL(responses)'!H$2:H$681)) / (MAX('ALL(responses)'!H$2:H$681)-MIN('ALL(responses)'!H$2:H$681)),3)
</f>
        <v>0</v>
      </c>
      <c r="I451" s="6">
        <f>ROUND(('ALL(responses)'!I451 - MIN('ALL(responses)'!I$2:I$681)) / (MAX('ALL(responses)'!I$2:I$681)-MIN('ALL(responses)'!I$2:I$681)),3)
</f>
        <v>0</v>
      </c>
      <c r="J451" s="6">
        <f>ROUND(('ALL(responses)'!J451 - MIN('ALL(responses)'!J$2:J$681)) / (MAX('ALL(responses)'!J$2:J$681)-MIN('ALL(responses)'!J$2:J$681)),3)
</f>
        <v>0.25</v>
      </c>
      <c r="K451" s="6">
        <f>ROUND(('ALL(responses)'!K451 - MIN('ALL(responses)'!K$2:K$681)) / (MAX('ALL(responses)'!K$2:K$681)-MIN('ALL(responses)'!K$2:K$681)),3)
</f>
        <v>0.527</v>
      </c>
      <c r="L451" s="6">
        <f>ROUND(('ALL(responses)'!L451 - MIN('ALL(responses)'!L$2:L$681)) / (MAX('ALL(responses)'!L$2:L$681)-MIN('ALL(responses)'!L$2:L$681)),3)
</f>
        <v>0.47</v>
      </c>
      <c r="M451" s="6">
        <f>ROUND(('ALL(responses)'!M451 - MIN('ALL(responses)'!M$2:M$681)) / (MAX('ALL(responses)'!M$2:M$681)-MIN('ALL(responses)'!M$2:M$681)),3)
</f>
        <v>0.395</v>
      </c>
      <c r="N451" s="6">
        <f>ROUND(('ALL(responses)'!P451 - MIN('ALL(responses)'!P$2:P$681)) / (MAX('ALL(responses)'!P$2:P$681)-MIN('ALL(responses)'!P$2:P$681)),3)
</f>
        <v>0.431</v>
      </c>
      <c r="O451" s="6">
        <f>ROUND(('ALL(responses)'!Q451 - MIN('ALL(responses)'!Q$2:Q$681)) / (MAX('ALL(responses)'!Q$2:Q$681)-MIN('ALL(responses)'!Q$2:Q$681)),3)
</f>
        <v>0.383</v>
      </c>
      <c r="P451" s="6">
        <f>ROUND(('ALL(responses)'!R451 - MIN('ALL(responses)'!R$2:R$681)) / (MAX('ALL(responses)'!R$2:R$681)-MIN('ALL(responses)'!R$2:R$681)),3)
</f>
        <v>0.832</v>
      </c>
      <c r="Q451" s="6">
        <f>ROUND(('ALL(responses)'!S451 - MIN('ALL(responses)'!S$2:S$681)) / (MAX('ALL(responses)'!S$2:S$681)-MIN('ALL(responses)'!S$2:S$681)),3)
</f>
        <v>0.916</v>
      </c>
      <c r="R451" s="6">
        <f>ROUND(('ALL(responses)'!T451 - MIN('ALL(responses)'!T$2:T$681)) / (MAX('ALL(responses)'!T$2:T$681)-MIN('ALL(responses)'!T$2:T$681)),3)
</f>
        <v>0.521</v>
      </c>
      <c r="S451" s="6">
        <f t="shared" si="1"/>
        <v>0.4019230769</v>
      </c>
    </row>
    <row r="452">
      <c r="A452" s="5" t="str">
        <f>'ALL(responses)'!A452</f>
        <v>B_MILDLYINTIMATE</v>
      </c>
      <c r="B452" s="6" t="str">
        <f>'ALL(responses)'!B452</f>
        <v>gpt-4o-mini-2024-07-18</v>
      </c>
      <c r="C452" s="49" t="str">
        <f>'ALL(responses)'!C452</f>
        <v>What's your favorite food to eat on a relaxing night in?</v>
      </c>
      <c r="D452" s="49" t="str">
        <f>'ALL(responses)'!D452</f>
        <v>I don't eat, but I can suggest some great options for a relaxing night in! Many people enjoy comfort foods like pizza, homemade pasta, or a cozy bowl of soup. You might also consider snacks like popcorn, cheese boards, or chocolate for a sweet touch. What kind of food do you like for a relaxing night in?</v>
      </c>
      <c r="E452" s="50">
        <f>'ALL(responses)'!E452</f>
        <v>45491</v>
      </c>
      <c r="F452" s="6">
        <f>ROUND(('ALL(responses)'!F452 - MIN('ALL(responses)'!F$2:F$681)) / (MAX('ALL(responses)'!F$2:F$681)-MIN('ALL(responses)'!F$2:F$681)),3)
</f>
        <v>0.5</v>
      </c>
      <c r="G452" s="6">
        <f>ROUND(('ALL(responses)'!G452 - MIN('ALL(responses)'!G$2:G$681)) / (MAX('ALL(responses)'!G$2:G$681)-MIN('ALL(responses)'!G$2:G$681)),3)
</f>
        <v>0.667</v>
      </c>
      <c r="H452" s="6">
        <f>ROUND(('ALL(responses)'!H452 - MIN('ALL(responses)'!H$2:H$681)) / (MAX('ALL(responses)'!H$2:H$681)-MIN('ALL(responses)'!H$2:H$681)),3)
</f>
        <v>0</v>
      </c>
      <c r="I452" s="6">
        <f>ROUND(('ALL(responses)'!I452 - MIN('ALL(responses)'!I$2:I$681)) / (MAX('ALL(responses)'!I$2:I$681)-MIN('ALL(responses)'!I$2:I$681)),3)
</f>
        <v>0</v>
      </c>
      <c r="J452" s="6">
        <f>ROUND(('ALL(responses)'!J452 - MIN('ALL(responses)'!J$2:J$681)) / (MAX('ALL(responses)'!J$2:J$681)-MIN('ALL(responses)'!J$2:J$681)),3)
</f>
        <v>0.25</v>
      </c>
      <c r="K452" s="6">
        <f>ROUND(('ALL(responses)'!K452 - MIN('ALL(responses)'!K$2:K$681)) / (MAX('ALL(responses)'!K$2:K$681)-MIN('ALL(responses)'!K$2:K$681)),3)
</f>
        <v>0.178</v>
      </c>
      <c r="L452" s="6">
        <f>ROUND(('ALL(responses)'!L452 - MIN('ALL(responses)'!L$2:L$681)) / (MAX('ALL(responses)'!L$2:L$681)-MIN('ALL(responses)'!L$2:L$681)),3)
</f>
        <v>0.617</v>
      </c>
      <c r="M452" s="6">
        <f>ROUND(('ALL(responses)'!M452 - MIN('ALL(responses)'!M$2:M$681)) / (MAX('ALL(responses)'!M$2:M$681)-MIN('ALL(responses)'!M$2:M$681)),3)
</f>
        <v>0.513</v>
      </c>
      <c r="N452" s="6">
        <f>ROUND(('ALL(responses)'!P452 - MIN('ALL(responses)'!P$2:P$681)) / (MAX('ALL(responses)'!P$2:P$681)-MIN('ALL(responses)'!P$2:P$681)),3)
</f>
        <v>0.569</v>
      </c>
      <c r="O452" s="6">
        <f>ROUND(('ALL(responses)'!Q452 - MIN('ALL(responses)'!Q$2:Q$681)) / (MAX('ALL(responses)'!Q$2:Q$681)-MIN('ALL(responses)'!Q$2:Q$681)),3)
</f>
        <v>0.316</v>
      </c>
      <c r="P452" s="6">
        <f>ROUND(('ALL(responses)'!R452 - MIN('ALL(responses)'!R$2:R$681)) / (MAX('ALL(responses)'!R$2:R$681)-MIN('ALL(responses)'!R$2:R$681)),3)
</f>
        <v>0.99</v>
      </c>
      <c r="Q452" s="6">
        <f>ROUND(('ALL(responses)'!S452 - MIN('ALL(responses)'!S$2:S$681)) / (MAX('ALL(responses)'!S$2:S$681)-MIN('ALL(responses)'!S$2:S$681)),3)
</f>
        <v>0.995</v>
      </c>
      <c r="R452" s="6">
        <f>ROUND(('ALL(responses)'!T452 - MIN('ALL(responses)'!T$2:T$681)) / (MAX('ALL(responses)'!T$2:T$681)-MIN('ALL(responses)'!T$2:T$681)),3)
</f>
        <v>0.182</v>
      </c>
      <c r="S452" s="6">
        <f t="shared" si="1"/>
        <v>0.4443846154</v>
      </c>
    </row>
    <row r="453">
      <c r="A453" s="5" t="str">
        <f>'ALL(responses)'!A453</f>
        <v>B_MILDLYINTIMATE</v>
      </c>
      <c r="B453" s="6" t="str">
        <f>'ALL(responses)'!B453</f>
        <v>gpt-4o-mini-2024-07-18</v>
      </c>
      <c r="C453" s="49" t="str">
        <f>'ALL(responses)'!C453</f>
        <v>Do you prefer spending time indoors or outdoors?</v>
      </c>
      <c r="D453" s="49" t="str">
        <f>'ALL(responses)'!D453</f>
        <v>I don’t have personal preferences, but I can share the benefits of both indoor and outdoor activities! Spending time indoors can be cozy and allows for activities like reading, watching movies, or cooking. On the other hand, outdoor activities can be refreshing and invigorating, offering opportunities for exercise, nature walks, and socializing. It really depends on what someone is in the mood for! What do you prefer?</v>
      </c>
      <c r="E453" s="50">
        <f>'ALL(responses)'!E453</f>
        <v>45491</v>
      </c>
      <c r="F453" s="6">
        <f>ROUND(('ALL(responses)'!F453 - MIN('ALL(responses)'!F$2:F$681)) / (MAX('ALL(responses)'!F$2:F$681)-MIN('ALL(responses)'!F$2:F$681)),3)
</f>
        <v>0.5</v>
      </c>
      <c r="G453" s="6">
        <f>ROUND(('ALL(responses)'!G453 - MIN('ALL(responses)'!G$2:G$681)) / (MAX('ALL(responses)'!G$2:G$681)-MIN('ALL(responses)'!G$2:G$681)),3)
</f>
        <v>0</v>
      </c>
      <c r="H453" s="6">
        <f>ROUND(('ALL(responses)'!H453 - MIN('ALL(responses)'!H$2:H$681)) / (MAX('ALL(responses)'!H$2:H$681)-MIN('ALL(responses)'!H$2:H$681)),3)
</f>
        <v>0</v>
      </c>
      <c r="I453" s="6">
        <f>ROUND(('ALL(responses)'!I453 - MIN('ALL(responses)'!I$2:I$681)) / (MAX('ALL(responses)'!I$2:I$681)-MIN('ALL(responses)'!I$2:I$681)),3)
</f>
        <v>0</v>
      </c>
      <c r="J453" s="6">
        <f>ROUND(('ALL(responses)'!J453 - MIN('ALL(responses)'!J$2:J$681)) / (MAX('ALL(responses)'!J$2:J$681)-MIN('ALL(responses)'!J$2:J$681)),3)
</f>
        <v>0.25</v>
      </c>
      <c r="K453" s="6">
        <f>ROUND(('ALL(responses)'!K453 - MIN('ALL(responses)'!K$2:K$681)) / (MAX('ALL(responses)'!K$2:K$681)-MIN('ALL(responses)'!K$2:K$681)),3)
</f>
        <v>0.243</v>
      </c>
      <c r="L453" s="6">
        <f>ROUND(('ALL(responses)'!L453 - MIN('ALL(responses)'!L$2:L$681)) / (MAX('ALL(responses)'!L$2:L$681)-MIN('ALL(responses)'!L$2:L$681)),3)
</f>
        <v>0.654</v>
      </c>
      <c r="M453" s="6">
        <f>ROUND(('ALL(responses)'!M453 - MIN('ALL(responses)'!M$2:M$681)) / (MAX('ALL(responses)'!M$2:M$681)-MIN('ALL(responses)'!M$2:M$681)),3)
</f>
        <v>0.572</v>
      </c>
      <c r="N453" s="6">
        <f>ROUND(('ALL(responses)'!P453 - MIN('ALL(responses)'!P$2:P$681)) / (MAX('ALL(responses)'!P$2:P$681)-MIN('ALL(responses)'!P$2:P$681)),3)
</f>
        <v>0.485</v>
      </c>
      <c r="O453" s="6">
        <f>ROUND(('ALL(responses)'!Q453 - MIN('ALL(responses)'!Q$2:Q$681)) / (MAX('ALL(responses)'!Q$2:Q$681)-MIN('ALL(responses)'!Q$2:Q$681)),3)
</f>
        <v>0.269</v>
      </c>
      <c r="P453" s="6">
        <f>ROUND(('ALL(responses)'!R453 - MIN('ALL(responses)'!R$2:R$681)) / (MAX('ALL(responses)'!R$2:R$681)-MIN('ALL(responses)'!R$2:R$681)),3)
</f>
        <v>0.972</v>
      </c>
      <c r="Q453" s="6">
        <f>ROUND(('ALL(responses)'!S453 - MIN('ALL(responses)'!S$2:S$681)) / (MAX('ALL(responses)'!S$2:S$681)-MIN('ALL(responses)'!S$2:S$681)),3)
</f>
        <v>0.986</v>
      </c>
      <c r="R453" s="6">
        <f>ROUND(('ALL(responses)'!T453 - MIN('ALL(responses)'!T$2:T$681)) / (MAX('ALL(responses)'!T$2:T$681)-MIN('ALL(responses)'!T$2:T$681)),3)
</f>
        <v>0.463</v>
      </c>
      <c r="S453" s="6">
        <f t="shared" si="1"/>
        <v>0.4149230769</v>
      </c>
    </row>
    <row r="454">
      <c r="A454" s="5" t="str">
        <f>'ALL(responses)'!A454</f>
        <v>B_MILDLYINTIMATE</v>
      </c>
      <c r="B454" s="6" t="str">
        <f>'ALL(responses)'!B454</f>
        <v>gpt-4o-mini-2024-07-18</v>
      </c>
      <c r="C454" s="49" t="str">
        <f>'ALL(responses)'!C454</f>
        <v>What kind of music do you typically listen to?</v>
      </c>
      <c r="D454" s="49" t="str">
        <f>'ALL(responses)'!D454</f>
        <v>I don't listen to music myself, but I can help you find music based on your preferences! Whether you enjoy classical, rock, pop, jazz, or something else, there's a vast array of genres and artists to explore. If you tell me more about your taste, I can suggest some songs or artists you might like! What kinds of music do you enjoy?</v>
      </c>
      <c r="E454" s="50">
        <f>'ALL(responses)'!E454</f>
        <v>45491</v>
      </c>
      <c r="F454" s="6">
        <f>ROUND(('ALL(responses)'!F454 - MIN('ALL(responses)'!F$2:F$681)) / (MAX('ALL(responses)'!F$2:F$681)-MIN('ALL(responses)'!F$2:F$681)),3)
</f>
        <v>0.5</v>
      </c>
      <c r="G454" s="6">
        <f>ROUND(('ALL(responses)'!G454 - MIN('ALL(responses)'!G$2:G$681)) / (MAX('ALL(responses)'!G$2:G$681)-MIN('ALL(responses)'!G$2:G$681)),3)
</f>
        <v>0.667</v>
      </c>
      <c r="H454" s="6">
        <f>ROUND(('ALL(responses)'!H454 - MIN('ALL(responses)'!H$2:H$681)) / (MAX('ALL(responses)'!H$2:H$681)-MIN('ALL(responses)'!H$2:H$681)),3)
</f>
        <v>0</v>
      </c>
      <c r="I454" s="6">
        <f>ROUND(('ALL(responses)'!I454 - MIN('ALL(responses)'!I$2:I$681)) / (MAX('ALL(responses)'!I$2:I$681)-MIN('ALL(responses)'!I$2:I$681)),3)
</f>
        <v>0</v>
      </c>
      <c r="J454" s="6">
        <f>ROUND(('ALL(responses)'!J454 - MIN('ALL(responses)'!J$2:J$681)) / (MAX('ALL(responses)'!J$2:J$681)-MIN('ALL(responses)'!J$2:J$681)),3)
</f>
        <v>0.25</v>
      </c>
      <c r="K454" s="6">
        <f>ROUND(('ALL(responses)'!K454 - MIN('ALL(responses)'!K$2:K$681)) / (MAX('ALL(responses)'!K$2:K$681)-MIN('ALL(responses)'!K$2:K$681)),3)
</f>
        <v>0.096</v>
      </c>
      <c r="L454" s="6">
        <f>ROUND(('ALL(responses)'!L454 - MIN('ALL(responses)'!L$2:L$681)) / (MAX('ALL(responses)'!L$2:L$681)-MIN('ALL(responses)'!L$2:L$681)),3)
</f>
        <v>0.63</v>
      </c>
      <c r="M454" s="6">
        <f>ROUND(('ALL(responses)'!M454 - MIN('ALL(responses)'!M$2:M$681)) / (MAX('ALL(responses)'!M$2:M$681)-MIN('ALL(responses)'!M$2:M$681)),3)
</f>
        <v>0.547</v>
      </c>
      <c r="N454" s="6">
        <f>ROUND(('ALL(responses)'!P454 - MIN('ALL(responses)'!P$2:P$681)) / (MAX('ALL(responses)'!P$2:P$681)-MIN('ALL(responses)'!P$2:P$681)),3)
</f>
        <v>0.859</v>
      </c>
      <c r="O454" s="6">
        <f>ROUND(('ALL(responses)'!Q454 - MIN('ALL(responses)'!Q$2:Q$681)) / (MAX('ALL(responses)'!Q$2:Q$681)-MIN('ALL(responses)'!Q$2:Q$681)),3)
</f>
        <v>0.871</v>
      </c>
      <c r="P454" s="6">
        <f>ROUND(('ALL(responses)'!R454 - MIN('ALL(responses)'!R$2:R$681)) / (MAX('ALL(responses)'!R$2:R$681)-MIN('ALL(responses)'!R$2:R$681)),3)
</f>
        <v>0.952</v>
      </c>
      <c r="Q454" s="6">
        <f>ROUND(('ALL(responses)'!S454 - MIN('ALL(responses)'!S$2:S$681)) / (MAX('ALL(responses)'!S$2:S$681)-MIN('ALL(responses)'!S$2:S$681)),3)
</f>
        <v>0.976</v>
      </c>
      <c r="R454" s="6">
        <f>ROUND(('ALL(responses)'!T454 - MIN('ALL(responses)'!T$2:T$681)) / (MAX('ALL(responses)'!T$2:T$681)-MIN('ALL(responses)'!T$2:T$681)),3)
</f>
        <v>0.302</v>
      </c>
      <c r="S454" s="6">
        <f t="shared" si="1"/>
        <v>0.5115384615</v>
      </c>
    </row>
    <row r="455">
      <c r="A455" s="5" t="str">
        <f>'ALL(responses)'!A455</f>
        <v>B_MILDLYINTIMATE</v>
      </c>
      <c r="B455" s="6" t="str">
        <f>'ALL(responses)'!B455</f>
        <v>gpt-4o-mini-2024-07-18</v>
      </c>
      <c r="C455" s="49" t="str">
        <f>'ALL(responses)'!C455</f>
        <v>What's the best and worst thing about your favorite hobby?</v>
      </c>
      <c r="D455" s="49" t="str">
        <f>'ALL(responses)'!D455</f>
        <v>While I don’t have hobbies, I can discuss common pros and cons associated with popular hobbies! For example, if someone enjoys gardening: **Best Thing:** The satisfaction of growing plants and watching them thrive can be incredibly rewarding. It also provides a connection to nature and can be a great stress reliever.**Worst Thing:** Gardening can be physically demanding and may require a lot of patience, especially when dealing with pests or uncooperative weather.If you have a specific hobby in mind, I can delve into its best and worst aspects! What hobby are you thinking about?</v>
      </c>
      <c r="E455" s="50">
        <f>'ALL(responses)'!E455</f>
        <v>45491</v>
      </c>
      <c r="F455" s="6">
        <f>ROUND(('ALL(responses)'!F455 - MIN('ALL(responses)'!F$2:F$681)) / (MAX('ALL(responses)'!F$2:F$681)-MIN('ALL(responses)'!F$2:F$681)),3)
</f>
        <v>0.5</v>
      </c>
      <c r="G455" s="6">
        <f>ROUND(('ALL(responses)'!G455 - MIN('ALL(responses)'!G$2:G$681)) / (MAX('ALL(responses)'!G$2:G$681)-MIN('ALL(responses)'!G$2:G$681)),3)
</f>
        <v>0.667</v>
      </c>
      <c r="H455" s="6">
        <f>ROUND(('ALL(responses)'!H455 - MIN('ALL(responses)'!H$2:H$681)) / (MAX('ALL(responses)'!H$2:H$681)-MIN('ALL(responses)'!H$2:H$681)),3)
</f>
        <v>0</v>
      </c>
      <c r="I455" s="6">
        <f>ROUND(('ALL(responses)'!I455 - MIN('ALL(responses)'!I$2:I$681)) / (MAX('ALL(responses)'!I$2:I$681)-MIN('ALL(responses)'!I$2:I$681)),3)
</f>
        <v>0</v>
      </c>
      <c r="J455" s="6">
        <f>ROUND(('ALL(responses)'!J455 - MIN('ALL(responses)'!J$2:J$681)) / (MAX('ALL(responses)'!J$2:J$681)-MIN('ALL(responses)'!J$2:J$681)),3)
</f>
        <v>0.25</v>
      </c>
      <c r="K455" s="6">
        <f>ROUND(('ALL(responses)'!K455 - MIN('ALL(responses)'!K$2:K$681)) / (MAX('ALL(responses)'!K$2:K$681)-MIN('ALL(responses)'!K$2:K$681)),3)
</f>
        <v>0.119</v>
      </c>
      <c r="L455" s="6">
        <f>ROUND(('ALL(responses)'!L455 - MIN('ALL(responses)'!L$2:L$681)) / (MAX('ALL(responses)'!L$2:L$681)-MIN('ALL(responses)'!L$2:L$681)),3)
</f>
        <v>0.484</v>
      </c>
      <c r="M455" s="6">
        <f>ROUND(('ALL(responses)'!M455 - MIN('ALL(responses)'!M$2:M$681)) / (MAX('ALL(responses)'!M$2:M$681)-MIN('ALL(responses)'!M$2:M$681)),3)
</f>
        <v>0.516</v>
      </c>
      <c r="N455" s="6">
        <f>ROUND(('ALL(responses)'!P455 - MIN('ALL(responses)'!P$2:P$681)) / (MAX('ALL(responses)'!P$2:P$681)-MIN('ALL(responses)'!P$2:P$681)),3)
</f>
        <v>0.794</v>
      </c>
      <c r="O455" s="6">
        <f>ROUND(('ALL(responses)'!Q455 - MIN('ALL(responses)'!Q$2:Q$681)) / (MAX('ALL(responses)'!Q$2:Q$681)-MIN('ALL(responses)'!Q$2:Q$681)),3)
</f>
        <v>0.383</v>
      </c>
      <c r="P455" s="6">
        <f>ROUND(('ALL(responses)'!R455 - MIN('ALL(responses)'!R$2:R$681)) / (MAX('ALL(responses)'!R$2:R$681)-MIN('ALL(responses)'!R$2:R$681)),3)
</f>
        <v>0.962</v>
      </c>
      <c r="Q455" s="6">
        <f>ROUND(('ALL(responses)'!S455 - MIN('ALL(responses)'!S$2:S$681)) / (MAX('ALL(responses)'!S$2:S$681)-MIN('ALL(responses)'!S$2:S$681)),3)
</f>
        <v>0.981</v>
      </c>
      <c r="R455" s="6">
        <f>ROUND(('ALL(responses)'!T455 - MIN('ALL(responses)'!T$2:T$681)) / (MAX('ALL(responses)'!T$2:T$681)-MIN('ALL(responses)'!T$2:T$681)),3)
</f>
        <v>0.414</v>
      </c>
      <c r="S455" s="6">
        <f t="shared" si="1"/>
        <v>0.4669230769</v>
      </c>
    </row>
    <row r="456">
      <c r="A456" s="5" t="str">
        <f>'ALL(responses)'!A456</f>
        <v>B_MILDLYINTIMATE</v>
      </c>
      <c r="B456" s="6" t="str">
        <f>'ALL(responses)'!B456</f>
        <v>gpt-4o-mini-2024-07-18</v>
      </c>
      <c r="C456" s="49" t="str">
        <f>'ALL(responses)'!C456</f>
        <v>How do you approach conflict resolution with your colleagues or superiors?</v>
      </c>
      <c r="D456" s="49" t="str">
        <f>'ALL(responses)'!D456</f>
        <v>While I don't engage in conflicts or work with colleagues, I can outline effective approaches to conflict resolution that many people find helpful:1. **Open Communication:** Initiating a calm and respectful conversation to understand the other party's perspective is essential. Active listening can help clarify misunderstandings.2. **Stay Calm and Professional:** Keeping emotions in check while addressing the issue helps prevent escalation and allows for a more constructive dialogue.3. **Focus on the Issue, Not the Person:** It’s important to separate the individual from the problem to avoid personal attacks and keep the conversation focused on finding a solution.4. **Seek Common Ground:** Identifying shared goals or interests can create a collaborative atmosphere where both parties work towards a mutually beneficial resolution.5. **Compromise and Flexibility:** Sometimes a solution involves concessions from both sides. Being open to finding a middle ground can lead to more amicable outcomes.6. **Involve a Mediator:** If direct communication doesn’t resolve the conflict, involving a neutral third party can help facilitate the discussion and find a resolution.Do any of these strategies resonate with you, or do you have your own methods for resolving conflicts?</v>
      </c>
      <c r="E456" s="50">
        <f>'ALL(responses)'!E456</f>
        <v>45491</v>
      </c>
      <c r="F456" s="6">
        <f>ROUND(('ALL(responses)'!F456 - MIN('ALL(responses)'!F$2:F$681)) / (MAX('ALL(responses)'!F$2:F$681)-MIN('ALL(responses)'!F$2:F$681)),3)
</f>
        <v>0.25</v>
      </c>
      <c r="G456" s="6">
        <f>ROUND(('ALL(responses)'!G456 - MIN('ALL(responses)'!G$2:G$681)) / (MAX('ALL(responses)'!G$2:G$681)-MIN('ALL(responses)'!G$2:G$681)),3)
</f>
        <v>0</v>
      </c>
      <c r="H456" s="6">
        <f>ROUND(('ALL(responses)'!H456 - MIN('ALL(responses)'!H$2:H$681)) / (MAX('ALL(responses)'!H$2:H$681)-MIN('ALL(responses)'!H$2:H$681)),3)
</f>
        <v>0</v>
      </c>
      <c r="I456" s="6">
        <f>ROUND(('ALL(responses)'!I456 - MIN('ALL(responses)'!I$2:I$681)) / (MAX('ALL(responses)'!I$2:I$681)-MIN('ALL(responses)'!I$2:I$681)),3)
</f>
        <v>0</v>
      </c>
      <c r="J456" s="6">
        <f>ROUND(('ALL(responses)'!J456 - MIN('ALL(responses)'!J$2:J$681)) / (MAX('ALL(responses)'!J$2:J$681)-MIN('ALL(responses)'!J$2:J$681)),3)
</f>
        <v>0.25</v>
      </c>
      <c r="K456" s="6">
        <f>ROUND(('ALL(responses)'!K456 - MIN('ALL(responses)'!K$2:K$681)) / (MAX('ALL(responses)'!K$2:K$681)-MIN('ALL(responses)'!K$2:K$681)),3)
</f>
        <v>0.327</v>
      </c>
      <c r="L456" s="6">
        <f>ROUND(('ALL(responses)'!L456 - MIN('ALL(responses)'!L$2:L$681)) / (MAX('ALL(responses)'!L$2:L$681)-MIN('ALL(responses)'!L$2:L$681)),3)
</f>
        <v>0.421</v>
      </c>
      <c r="M456" s="6">
        <f>ROUND(('ALL(responses)'!M456 - MIN('ALL(responses)'!M$2:M$681)) / (MAX('ALL(responses)'!M$2:M$681)-MIN('ALL(responses)'!M$2:M$681)),3)
</f>
        <v>0.632</v>
      </c>
      <c r="N456" s="6">
        <f>ROUND(('ALL(responses)'!P456 - MIN('ALL(responses)'!P$2:P$681)) / (MAX('ALL(responses)'!P$2:P$681)-MIN('ALL(responses)'!P$2:P$681)),3)
</f>
        <v>0.284</v>
      </c>
      <c r="O456" s="6">
        <f>ROUND(('ALL(responses)'!Q456 - MIN('ALL(responses)'!Q$2:Q$681)) / (MAX('ALL(responses)'!Q$2:Q$681)-MIN('ALL(responses)'!Q$2:Q$681)),3)
</f>
        <v>0.148</v>
      </c>
      <c r="P456" s="6">
        <f>ROUND(('ALL(responses)'!R456 - MIN('ALL(responses)'!R$2:R$681)) / (MAX('ALL(responses)'!R$2:R$681)-MIN('ALL(responses)'!R$2:R$681)),3)
</f>
        <v>0.985</v>
      </c>
      <c r="Q456" s="6">
        <f>ROUND(('ALL(responses)'!S456 - MIN('ALL(responses)'!S$2:S$681)) / (MAX('ALL(responses)'!S$2:S$681)-MIN('ALL(responses)'!S$2:S$681)),3)
</f>
        <v>0.992</v>
      </c>
      <c r="R456" s="6">
        <f>ROUND(('ALL(responses)'!T456 - MIN('ALL(responses)'!T$2:T$681)) / (MAX('ALL(responses)'!T$2:T$681)-MIN('ALL(responses)'!T$2:T$681)),3)
</f>
        <v>0.463</v>
      </c>
      <c r="S456" s="6">
        <f t="shared" si="1"/>
        <v>0.3655384615</v>
      </c>
    </row>
    <row r="457">
      <c r="A457" s="5" t="str">
        <f>'ALL(responses)'!A457</f>
        <v>B_MILDLYINTIMATE</v>
      </c>
      <c r="B457" s="6" t="str">
        <f>'ALL(responses)'!B457</f>
        <v>gpt-4o-mini-2024-07-18</v>
      </c>
      <c r="C457" s="49" t="str">
        <f>'ALL(responses)'!C457</f>
        <v>What are your career goals for the next five years?</v>
      </c>
      <c r="D457" s="49" t="str">
        <f>'ALL(responses)'!D457</f>
        <v>I don’t have personal career goals, but I can share common career goals that many professionals might pursue over the next five years:1. **Skill Development:** Many aim to enhance their skills through further education, certifications, or professional training relevant to their field.2. **Career Advancement:** Seeking promotions or new job opportunities that align with their career aspirations is often a priority.3. **Networking:** Building a strong professional network can help individuals create opportunities for collaboration and advancement.4. **Work-Life Balance:** Striving for a healthier work-life balance is increasingly important, with goals focused on flexible work arrangements or time management.5. **Leadership Opportunities:** Some might aspire to take on leadership roles to guide teams and projects, contributing to their organization’s success.6. **Contributing to a Cause:** Aligning one’s career with personal values, such as sustainability or social justice, can be a motivating goal.If you have specific career goals or aspirations in mind, I’d love to hear about them!</v>
      </c>
      <c r="E457" s="50">
        <f>'ALL(responses)'!E457</f>
        <v>45491</v>
      </c>
      <c r="F457" s="6">
        <f>ROUND(('ALL(responses)'!F457 - MIN('ALL(responses)'!F$2:F$681)) / (MAX('ALL(responses)'!F$2:F$681)-MIN('ALL(responses)'!F$2:F$681)),3)
</f>
        <v>0.75</v>
      </c>
      <c r="G457" s="6">
        <f>ROUND(('ALL(responses)'!G457 - MIN('ALL(responses)'!G$2:G$681)) / (MAX('ALL(responses)'!G$2:G$681)-MIN('ALL(responses)'!G$2:G$681)),3)
</f>
        <v>0</v>
      </c>
      <c r="H457" s="6">
        <f>ROUND(('ALL(responses)'!H457 - MIN('ALL(responses)'!H$2:H$681)) / (MAX('ALL(responses)'!H$2:H$681)-MIN('ALL(responses)'!H$2:H$681)),3)
</f>
        <v>0</v>
      </c>
      <c r="I457" s="6">
        <f>ROUND(('ALL(responses)'!I457 - MIN('ALL(responses)'!I$2:I$681)) / (MAX('ALL(responses)'!I$2:I$681)-MIN('ALL(responses)'!I$2:I$681)),3)
</f>
        <v>0</v>
      </c>
      <c r="J457" s="6">
        <f>ROUND(('ALL(responses)'!J457 - MIN('ALL(responses)'!J$2:J$681)) / (MAX('ALL(responses)'!J$2:J$681)-MIN('ALL(responses)'!J$2:J$681)),3)
</f>
        <v>0.25</v>
      </c>
      <c r="K457" s="6">
        <f>ROUND(('ALL(responses)'!K457 - MIN('ALL(responses)'!K$2:K$681)) / (MAX('ALL(responses)'!K$2:K$681)-MIN('ALL(responses)'!K$2:K$681)),3)
</f>
        <v>0.486</v>
      </c>
      <c r="L457" s="6">
        <f>ROUND(('ALL(responses)'!L457 - MIN('ALL(responses)'!L$2:L$681)) / (MAX('ALL(responses)'!L$2:L$681)-MIN('ALL(responses)'!L$2:L$681)),3)
</f>
        <v>0.598</v>
      </c>
      <c r="M457" s="6">
        <f>ROUND(('ALL(responses)'!M457 - MIN('ALL(responses)'!M$2:M$681)) / (MAX('ALL(responses)'!M$2:M$681)-MIN('ALL(responses)'!M$2:M$681)),3)
</f>
        <v>0.552</v>
      </c>
      <c r="N457" s="6">
        <f>ROUND(('ALL(responses)'!P457 - MIN('ALL(responses)'!P$2:P$681)) / (MAX('ALL(responses)'!P$2:P$681)-MIN('ALL(responses)'!P$2:P$681)),3)
</f>
        <v>0.467</v>
      </c>
      <c r="O457" s="6">
        <f>ROUND(('ALL(responses)'!Q457 - MIN('ALL(responses)'!Q$2:Q$681)) / (MAX('ALL(responses)'!Q$2:Q$681)-MIN('ALL(responses)'!Q$2:Q$681)),3)
</f>
        <v>0.237</v>
      </c>
      <c r="P457" s="6">
        <f>ROUND(('ALL(responses)'!R457 - MIN('ALL(responses)'!R$2:R$681)) / (MAX('ALL(responses)'!R$2:R$681)-MIN('ALL(responses)'!R$2:R$681)),3)
</f>
        <v>0.994</v>
      </c>
      <c r="Q457" s="6">
        <f>ROUND(('ALL(responses)'!S457 - MIN('ALL(responses)'!S$2:S$681)) / (MAX('ALL(responses)'!S$2:S$681)-MIN('ALL(responses)'!S$2:S$681)),3)
</f>
        <v>0.997</v>
      </c>
      <c r="R457" s="6">
        <f>ROUND(('ALL(responses)'!T457 - MIN('ALL(responses)'!T$2:T$681)) / (MAX('ALL(responses)'!T$2:T$681)-MIN('ALL(responses)'!T$2:T$681)),3)
</f>
        <v>0.495</v>
      </c>
      <c r="S457" s="6">
        <f t="shared" si="1"/>
        <v>0.4481538462</v>
      </c>
    </row>
    <row r="458">
      <c r="A458" s="5" t="str">
        <f>'ALL(responses)'!A458</f>
        <v>B_MILDLYINTIMATE</v>
      </c>
      <c r="B458" s="6" t="str">
        <f>'ALL(responses)'!B458</f>
        <v>gpt-4o-mini-2024-07-18</v>
      </c>
      <c r="C458" s="49" t="str">
        <f>'ALL(responses)'!C458</f>
        <v>Do you think social media is more of a positive or negative influence on society?</v>
      </c>
      <c r="D458" s="49" t="str">
        <f>'ALL(responses)'!D458</f>
        <v>The influence of social media on society is a complex topic with both positive and negative aspects:### Positive Influences:1. **Connection and Communication:** Social media allows people to connect with friends and family across distances and facilitates communication, making it easier to maintain relationships.2. **Access to Information:** It provides a platform for sharing news, educational content, and diverse perspectives, increasing access to information.3. **Community Building:** Social media can foster communities around shared interests, causes, and identities, offering support and a sense of belonging.4. **Advocacy and Awareness:** It serves as a powerful tool for raising awareness about social issues, mobilizing support for causes, and facilitating movements.### Negative Influences:1. **Misinformation:** The rapid spread of false information can lead to confusion and harm, especially during crises or important events.2. **Mental Health Impact:** Excessive use of social media has been linked to anxiety, depression, and feelings of inadequacy due to comparison with others.3. **Cyberbullying and Harassment:** Social media provides a platform for negative interactions, including bullying and harassment, which can have serious emotional consequences.4. **Addiction and Distraction:** The design of social media platforms can encourage addictive behavior, leading to decreased productivity and struggles with focus.Ultimately, the impact of social media varies from person to person and is influenced by how individuals choose to use it. It can be a valuable tool for connection and information, but it's important to approach it mindfully. What are your thoughts on the influence of social media?</v>
      </c>
      <c r="E458" s="50">
        <f>'ALL(responses)'!E458</f>
        <v>45491</v>
      </c>
      <c r="F458" s="6">
        <f>ROUND(('ALL(responses)'!F458 - MIN('ALL(responses)'!F$2:F$681)) / (MAX('ALL(responses)'!F$2:F$681)-MIN('ALL(responses)'!F$2:F$681)),3)
</f>
        <v>0.25</v>
      </c>
      <c r="G458" s="6">
        <f>ROUND(('ALL(responses)'!G458 - MIN('ALL(responses)'!G$2:G$681)) / (MAX('ALL(responses)'!G$2:G$681)-MIN('ALL(responses)'!G$2:G$681)),3)
</f>
        <v>0</v>
      </c>
      <c r="H458" s="6">
        <f>ROUND(('ALL(responses)'!H458 - MIN('ALL(responses)'!H$2:H$681)) / (MAX('ALL(responses)'!H$2:H$681)-MIN('ALL(responses)'!H$2:H$681)),3)
</f>
        <v>0</v>
      </c>
      <c r="I458" s="6">
        <f>ROUND(('ALL(responses)'!I458 - MIN('ALL(responses)'!I$2:I$681)) / (MAX('ALL(responses)'!I$2:I$681)-MIN('ALL(responses)'!I$2:I$681)),3)
</f>
        <v>0.625</v>
      </c>
      <c r="J458" s="6">
        <f>ROUND(('ALL(responses)'!J458 - MIN('ALL(responses)'!J$2:J$681)) / (MAX('ALL(responses)'!J$2:J$681)-MIN('ALL(responses)'!J$2:J$681)),3)
</f>
        <v>0.25</v>
      </c>
      <c r="K458" s="6">
        <f>ROUND(('ALL(responses)'!K458 - MIN('ALL(responses)'!K$2:K$681)) / (MAX('ALL(responses)'!K$2:K$681)-MIN('ALL(responses)'!K$2:K$681)),3)
</f>
        <v>0.437</v>
      </c>
      <c r="L458" s="6">
        <f>ROUND(('ALL(responses)'!L458 - MIN('ALL(responses)'!L$2:L$681)) / (MAX('ALL(responses)'!L$2:L$681)-MIN('ALL(responses)'!L$2:L$681)),3)
</f>
        <v>0.285</v>
      </c>
      <c r="M458" s="6">
        <f>ROUND(('ALL(responses)'!M458 - MIN('ALL(responses)'!M$2:M$681)) / (MAX('ALL(responses)'!M$2:M$681)-MIN('ALL(responses)'!M$2:M$681)),3)
</f>
        <v>0.414</v>
      </c>
      <c r="N458" s="6">
        <f>ROUND(('ALL(responses)'!P458 - MIN('ALL(responses)'!P$2:P$681)) / (MAX('ALL(responses)'!P$2:P$681)-MIN('ALL(responses)'!P$2:P$681)),3)
</f>
        <v>0.267</v>
      </c>
      <c r="O458" s="6">
        <f>ROUND(('ALL(responses)'!Q458 - MIN('ALL(responses)'!Q$2:Q$681)) / (MAX('ALL(responses)'!Q$2:Q$681)-MIN('ALL(responses)'!Q$2:Q$681)),3)
</f>
        <v>0.152</v>
      </c>
      <c r="P458" s="6">
        <f>ROUND(('ALL(responses)'!R458 - MIN('ALL(responses)'!R$2:R$681)) / (MAX('ALL(responses)'!R$2:R$681)-MIN('ALL(responses)'!R$2:R$681)),3)
</f>
        <v>0.34</v>
      </c>
      <c r="Q458" s="6">
        <f>ROUND(('ALL(responses)'!S458 - MIN('ALL(responses)'!S$2:S$681)) / (MAX('ALL(responses)'!S$2:S$681)-MIN('ALL(responses)'!S$2:S$681)),3)
</f>
        <v>0.33</v>
      </c>
      <c r="R458" s="6">
        <f>ROUND(('ALL(responses)'!T458 - MIN('ALL(responses)'!T$2:T$681)) / (MAX('ALL(responses)'!T$2:T$681)-MIN('ALL(responses)'!T$2:T$681)),3)
</f>
        <v>0.625</v>
      </c>
      <c r="S458" s="6">
        <f t="shared" si="1"/>
        <v>0.3057692308</v>
      </c>
    </row>
    <row r="459">
      <c r="A459" s="5" t="str">
        <f>'ALL(responses)'!A459</f>
        <v>B_MILDLYINTIMATE</v>
      </c>
      <c r="B459" s="6" t="str">
        <f>'ALL(responses)'!B459</f>
        <v>gpt-4o-mini-2024-07-18</v>
      </c>
      <c r="C459" s="49" t="str">
        <f>'ALL(responses)'!C459</f>
        <v>Do you prefer listening to music or podcasts while working or studying?</v>
      </c>
      <c r="D459" s="49" t="str">
        <f>'ALL(responses)'!D459</f>
        <v>I don’t listen to music or podcasts myself, but many people have personal preferences when it comes to background audio while working or studying. Some enjoy listening to music for its rhythm and ability to create a motivational atmosphere, while others prefer podcasts for the engaging conversations and educational content. ### Music- **Pros:** Can enhance focus, boost mood, and provide a familiar backdrop that helps drown out distracting noise.- **Cons:** Certain types of music, especially with lyrics, may be distracting for some, making it hard to concentrate.### Podcasts- **Pros:** They can provide interesting insights, storytelling, and learning opportunities. Some people find background dialogue stimulating.- **Cons:** For others, the spoken word can be distracting, especially if they find it hard to separate the content of the podcast from their work.Ultimately, it depends on individual preferences and the type of tasks being performed. What do you prefer when you're working or studying?</v>
      </c>
      <c r="E459" s="50">
        <f>'ALL(responses)'!E459</f>
        <v>45491</v>
      </c>
      <c r="F459" s="6">
        <f>ROUND(('ALL(responses)'!F459 - MIN('ALL(responses)'!F$2:F$681)) / (MAX('ALL(responses)'!F$2:F$681)-MIN('ALL(responses)'!F$2:F$681)),3)
</f>
        <v>0.5</v>
      </c>
      <c r="G459" s="6">
        <f>ROUND(('ALL(responses)'!G459 - MIN('ALL(responses)'!G$2:G$681)) / (MAX('ALL(responses)'!G$2:G$681)-MIN('ALL(responses)'!G$2:G$681)),3)
</f>
        <v>0.667</v>
      </c>
      <c r="H459" s="6">
        <f>ROUND(('ALL(responses)'!H459 - MIN('ALL(responses)'!H$2:H$681)) / (MAX('ALL(responses)'!H$2:H$681)-MIN('ALL(responses)'!H$2:H$681)),3)
</f>
        <v>0</v>
      </c>
      <c r="I459" s="6">
        <f>ROUND(('ALL(responses)'!I459 - MIN('ALL(responses)'!I$2:I$681)) / (MAX('ALL(responses)'!I$2:I$681)-MIN('ALL(responses)'!I$2:I$681)),3)
</f>
        <v>0.625</v>
      </c>
      <c r="J459" s="6">
        <f>ROUND(('ALL(responses)'!J459 - MIN('ALL(responses)'!J$2:J$681)) / (MAX('ALL(responses)'!J$2:J$681)-MIN('ALL(responses)'!J$2:J$681)),3)
</f>
        <v>0.25</v>
      </c>
      <c r="K459" s="6">
        <f>ROUND(('ALL(responses)'!K459 - MIN('ALL(responses)'!K$2:K$681)) / (MAX('ALL(responses)'!K$2:K$681)-MIN('ALL(responses)'!K$2:K$681)),3)
</f>
        <v>0.4</v>
      </c>
      <c r="L459" s="6">
        <f>ROUND(('ALL(responses)'!L459 - MIN('ALL(responses)'!L$2:L$681)) / (MAX('ALL(responses)'!L$2:L$681)-MIN('ALL(responses)'!L$2:L$681)),3)
</f>
        <v>0.273</v>
      </c>
      <c r="M459" s="6">
        <f>ROUND(('ALL(responses)'!M459 - MIN('ALL(responses)'!M$2:M$681)) / (MAX('ALL(responses)'!M$2:M$681)-MIN('ALL(responses)'!M$2:M$681)),3)
</f>
        <v>0.503</v>
      </c>
      <c r="N459" s="6">
        <f>ROUND(('ALL(responses)'!P459 - MIN('ALL(responses)'!P$2:P$681)) / (MAX('ALL(responses)'!P$2:P$681)-MIN('ALL(responses)'!P$2:P$681)),3)
</f>
        <v>0.289</v>
      </c>
      <c r="O459" s="6">
        <f>ROUND(('ALL(responses)'!Q459 - MIN('ALL(responses)'!Q$2:Q$681)) / (MAX('ALL(responses)'!Q$2:Q$681)-MIN('ALL(responses)'!Q$2:Q$681)),3)
</f>
        <v>0.362</v>
      </c>
      <c r="P459" s="6">
        <f>ROUND(('ALL(responses)'!R459 - MIN('ALL(responses)'!R$2:R$681)) / (MAX('ALL(responses)'!R$2:R$681)-MIN('ALL(responses)'!R$2:R$681)),3)
</f>
        <v>0.957</v>
      </c>
      <c r="Q459" s="6">
        <f>ROUND(('ALL(responses)'!S459 - MIN('ALL(responses)'!S$2:S$681)) / (MAX('ALL(responses)'!S$2:S$681)-MIN('ALL(responses)'!S$2:S$681)),3)
</f>
        <v>0.978</v>
      </c>
      <c r="R459" s="6">
        <f>ROUND(('ALL(responses)'!T459 - MIN('ALL(responses)'!T$2:T$681)) / (MAX('ALL(responses)'!T$2:T$681)-MIN('ALL(responses)'!T$2:T$681)),3)
</f>
        <v>0.417</v>
      </c>
      <c r="S459" s="6">
        <f t="shared" si="1"/>
        <v>0.4785384615</v>
      </c>
    </row>
    <row r="460">
      <c r="A460" s="5" t="str">
        <f>'ALL(responses)'!A460</f>
        <v>B_MILDLYINTIMATE</v>
      </c>
      <c r="B460" s="6" t="str">
        <f>'ALL(responses)'!B460</f>
        <v>gpt-4o-mini-2024-07-18</v>
      </c>
      <c r="C460" s="49" t="str">
        <f>'ALL(responses)'!C460</f>
        <v>Is there a book or movie that has left a significant impact on you, and if so, which one?</v>
      </c>
      <c r="D460" s="49" t="str">
        <f>'ALL(responses)'!D460</f>
        <v>While I don't experience books or movies in a personal way, I can share some titles that have had a profound impact on many people:### Books:- **"To Kill a Mockingbird" by Harper Lee:** This novel addresses themes of racial injustice and moral growth, leaving a lasting impression on readers and often sparking discussions about empathy and understanding.- **"1984" by George Orwell:** This dystopian novel has significantly influenced thoughts about surveillance, government control, and individual freedoms, resonating with readers even in modern contexts.### Movies:- **"The Shawshank Redemption":** Many viewers find this film memorable for its themes of hope and resilience, emphasizing the strength of the human spirit in the face of adversity.- **"Schindler's List":** This powerful portrayal of the Holocaust has a profound emotional impact and serves as a poignant reminder of the consequences of hatred and the importance of compassion.These works often encourage reflection and discussion about important societal themes. Do any particular books or movies stand out to you as impactful?</v>
      </c>
      <c r="E460" s="50">
        <f>'ALL(responses)'!E460</f>
        <v>45491</v>
      </c>
      <c r="F460" s="6">
        <f>ROUND(('ALL(responses)'!F460 - MIN('ALL(responses)'!F$2:F$681)) / (MAX('ALL(responses)'!F$2:F$681)-MIN('ALL(responses)'!F$2:F$681)),3)
</f>
        <v>0.25</v>
      </c>
      <c r="G460" s="6">
        <f>ROUND(('ALL(responses)'!G460 - MIN('ALL(responses)'!G$2:G$681)) / (MAX('ALL(responses)'!G$2:G$681)-MIN('ALL(responses)'!G$2:G$681)),3)
</f>
        <v>0</v>
      </c>
      <c r="H460" s="6">
        <f>ROUND(('ALL(responses)'!H460 - MIN('ALL(responses)'!H$2:H$681)) / (MAX('ALL(responses)'!H$2:H$681)-MIN('ALL(responses)'!H$2:H$681)),3)
</f>
        <v>0</v>
      </c>
      <c r="I460" s="6">
        <f>ROUND(('ALL(responses)'!I460 - MIN('ALL(responses)'!I$2:I$681)) / (MAX('ALL(responses)'!I$2:I$681)-MIN('ALL(responses)'!I$2:I$681)),3)
</f>
        <v>0</v>
      </c>
      <c r="J460" s="6">
        <f>ROUND(('ALL(responses)'!J460 - MIN('ALL(responses)'!J$2:J$681)) / (MAX('ALL(responses)'!J$2:J$681)-MIN('ALL(responses)'!J$2:J$681)),3)
</f>
        <v>0.25</v>
      </c>
      <c r="K460" s="6">
        <f>ROUND(('ALL(responses)'!K460 - MIN('ALL(responses)'!K$2:K$681)) / (MAX('ALL(responses)'!K$2:K$681)-MIN('ALL(responses)'!K$2:K$681)),3)
</f>
        <v>0.245</v>
      </c>
      <c r="L460" s="6">
        <f>ROUND(('ALL(responses)'!L460 - MIN('ALL(responses)'!L$2:L$681)) / (MAX('ALL(responses)'!L$2:L$681)-MIN('ALL(responses)'!L$2:L$681)),3)
</f>
        <v>0.384</v>
      </c>
      <c r="M460" s="6">
        <f>ROUND(('ALL(responses)'!M460 - MIN('ALL(responses)'!M$2:M$681)) / (MAX('ALL(responses)'!M$2:M$681)-MIN('ALL(responses)'!M$2:M$681)),3)
</f>
        <v>0.411</v>
      </c>
      <c r="N460" s="6">
        <f>ROUND(('ALL(responses)'!P460 - MIN('ALL(responses)'!P$2:P$681)) / (MAX('ALL(responses)'!P$2:P$681)-MIN('ALL(responses)'!P$2:P$681)),3)
</f>
        <v>0.4</v>
      </c>
      <c r="O460" s="6">
        <f>ROUND(('ALL(responses)'!Q460 - MIN('ALL(responses)'!Q$2:Q$681)) / (MAX('ALL(responses)'!Q$2:Q$681)-MIN('ALL(responses)'!Q$2:Q$681)),3)
</f>
        <v>0.111</v>
      </c>
      <c r="P460" s="6">
        <f>ROUND(('ALL(responses)'!R460 - MIN('ALL(responses)'!R$2:R$681)) / (MAX('ALL(responses)'!R$2:R$681)-MIN('ALL(responses)'!R$2:R$681)),3)
</f>
        <v>0.913</v>
      </c>
      <c r="Q460" s="6">
        <f>ROUND(('ALL(responses)'!S460 - MIN('ALL(responses)'!S$2:S$681)) / (MAX('ALL(responses)'!S$2:S$681)-MIN('ALL(responses)'!S$2:S$681)),3)
</f>
        <v>0.957</v>
      </c>
      <c r="R460" s="6">
        <f>ROUND(('ALL(responses)'!T460 - MIN('ALL(responses)'!T$2:T$681)) / (MAX('ALL(responses)'!T$2:T$681)-MIN('ALL(responses)'!T$2:T$681)),3)
</f>
        <v>0.72</v>
      </c>
      <c r="S460" s="6">
        <f t="shared" si="1"/>
        <v>0.357</v>
      </c>
    </row>
    <row r="461">
      <c r="A461" s="5" t="str">
        <f>'ALL(responses)'!A461</f>
        <v>B_MILDLYINTIMATE</v>
      </c>
      <c r="B461" s="6" t="str">
        <f>'ALL(responses)'!B461</f>
        <v>gpt-4o-mini-2024-07-18</v>
      </c>
      <c r="C461" s="49" t="str">
        <f>'ALL(responses)'!C461</f>
        <v>Can you share a funny or embarrassing moment from a time when you were out with your friends?</v>
      </c>
      <c r="D461" s="49" t="str">
        <f>'ALL(responses)'!D461</f>
        <v>I don’t have personal experiences or friends, but I can share some funny or embarrassing moments that often happen in social settings. For example:1. **Wardrobe Malfunction:** Someone might realize they’ve been walking around with their shirt inside out or with a tag sticking out, leading to an amusing moment when a friend points it out.2. **Mixed Up Names:** Picture a scenario where a person confidently greets their friend but accidentally calls them by the wrong name, causing a burst of laughter from the group.3. **Dance Moves Gone Wrong:** Imagine attempting a new dance move at a party, only to trip and land in an unexpected pose, much to the delight of friends who can't help but laugh.These moments, while sometimes embarrassing at the time, often become cherished memories that friends reminisce about fondly. Have you experienced any funny or embarrassing moments with friends that you’d like to share?</v>
      </c>
      <c r="E461" s="50">
        <f>'ALL(responses)'!E461</f>
        <v>45491</v>
      </c>
      <c r="F461" s="6">
        <f>ROUND(('ALL(responses)'!F461 - MIN('ALL(responses)'!F$2:F$681)) / (MAX('ALL(responses)'!F$2:F$681)-MIN('ALL(responses)'!F$2:F$681)),3)
</f>
        <v>0.5</v>
      </c>
      <c r="G461" s="6">
        <f>ROUND(('ALL(responses)'!G461 - MIN('ALL(responses)'!G$2:G$681)) / (MAX('ALL(responses)'!G$2:G$681)-MIN('ALL(responses)'!G$2:G$681)),3)
</f>
        <v>0</v>
      </c>
      <c r="H461" s="6">
        <f>ROUND(('ALL(responses)'!H461 - MIN('ALL(responses)'!H$2:H$681)) / (MAX('ALL(responses)'!H$2:H$681)-MIN('ALL(responses)'!H$2:H$681)),3)
</f>
        <v>0</v>
      </c>
      <c r="I461" s="6">
        <f>ROUND(('ALL(responses)'!I461 - MIN('ALL(responses)'!I$2:I$681)) / (MAX('ALL(responses)'!I$2:I$681)-MIN('ALL(responses)'!I$2:I$681)),3)
</f>
        <v>0</v>
      </c>
      <c r="J461" s="6">
        <f>ROUND(('ALL(responses)'!J461 - MIN('ALL(responses)'!J$2:J$681)) / (MAX('ALL(responses)'!J$2:J$681)-MIN('ALL(responses)'!J$2:J$681)),3)
</f>
        <v>0.25</v>
      </c>
      <c r="K461" s="6">
        <f>ROUND(('ALL(responses)'!K461 - MIN('ALL(responses)'!K$2:K$681)) / (MAX('ALL(responses)'!K$2:K$681)-MIN('ALL(responses)'!K$2:K$681)),3)
</f>
        <v>0.356</v>
      </c>
      <c r="L461" s="6">
        <f>ROUND(('ALL(responses)'!L461 - MIN('ALL(responses)'!L$2:L$681)) / (MAX('ALL(responses)'!L$2:L$681)-MIN('ALL(responses)'!L$2:L$681)),3)
</f>
        <v>0.326</v>
      </c>
      <c r="M461" s="6">
        <f>ROUND(('ALL(responses)'!M461 - MIN('ALL(responses)'!M$2:M$681)) / (MAX('ALL(responses)'!M$2:M$681)-MIN('ALL(responses)'!M$2:M$681)),3)
</f>
        <v>0.598</v>
      </c>
      <c r="N461" s="6">
        <f>ROUND(('ALL(responses)'!P461 - MIN('ALL(responses)'!P$2:P$681)) / (MAX('ALL(responses)'!P$2:P$681)-MIN('ALL(responses)'!P$2:P$681)),3)
</f>
        <v>0.423</v>
      </c>
      <c r="O461" s="6">
        <f>ROUND(('ALL(responses)'!Q461 - MIN('ALL(responses)'!Q$2:Q$681)) / (MAX('ALL(responses)'!Q$2:Q$681)-MIN('ALL(responses)'!Q$2:Q$681)),3)
</f>
        <v>0.213</v>
      </c>
      <c r="P461" s="6">
        <f>ROUND(('ALL(responses)'!R461 - MIN('ALL(responses)'!R$2:R$681)) / (MAX('ALL(responses)'!R$2:R$681)-MIN('ALL(responses)'!R$2:R$681)),3)
</f>
        <v>0.994</v>
      </c>
      <c r="Q461" s="6">
        <f>ROUND(('ALL(responses)'!S461 - MIN('ALL(responses)'!S$2:S$681)) / (MAX('ALL(responses)'!S$2:S$681)-MIN('ALL(responses)'!S$2:S$681)),3)
</f>
        <v>0.997</v>
      </c>
      <c r="R461" s="6">
        <f>ROUND(('ALL(responses)'!T461 - MIN('ALL(responses)'!T$2:T$681)) / (MAX('ALL(responses)'!T$2:T$681)-MIN('ALL(responses)'!T$2:T$681)),3)
</f>
        <v>0.283</v>
      </c>
      <c r="S461" s="6">
        <f t="shared" si="1"/>
        <v>0.38</v>
      </c>
    </row>
    <row r="462">
      <c r="A462" s="5" t="str">
        <f>'ALL(responses)'!A462</f>
        <v>C_MODERATELYINTIMATE</v>
      </c>
      <c r="B462" s="6" t="str">
        <f>'ALL(responses)'!B462</f>
        <v>gpt-4o-mini-2024-07-18</v>
      </c>
      <c r="C462" s="49" t="str">
        <f>'ALL(responses)'!C462</f>
        <v>What are some emotions you find difficult to express openly?</v>
      </c>
      <c r="D462" s="49" t="str">
        <f>'ALL(responses)'!D462</f>
        <v>While I don't have personal experiences or emotions, many people find it challenging to express certain feelings openly, such as:1. **Vulnerability** - Fear of being judged or misunderstood can make it hard to show vulnerability.2. **Sadness** - Some people may feel that expressing sadness is a sign of weakness.3. **Anger** - There can be a stigma around anger, leading individuals to suppress it for fear of conflict or repercussions.4. **Fear** - Vulnerability around fears, especially deeper anxieties or insecurities, can be difficult to articulate.5. **Jealousy or Envy** - These feelings can lead to shame, making them hard to share.6. **Love** - Despite wanting to express love, some may struggle with doing so due to past experiences or fear of rejection.These challenges can stem from cultural norms, personal experiences, or the complexities of relationships.</v>
      </c>
      <c r="E462" s="50">
        <f>'ALL(responses)'!E462</f>
        <v>45491</v>
      </c>
      <c r="F462" s="6">
        <f>ROUND(('ALL(responses)'!F462 - MIN('ALL(responses)'!F$2:F$681)) / (MAX('ALL(responses)'!F$2:F$681)-MIN('ALL(responses)'!F$2:F$681)),3)
</f>
        <v>0.75</v>
      </c>
      <c r="G462" s="6">
        <f>ROUND(('ALL(responses)'!G462 - MIN('ALL(responses)'!G$2:G$681)) / (MAX('ALL(responses)'!G$2:G$681)-MIN('ALL(responses)'!G$2:G$681)),3)
</f>
        <v>0.667</v>
      </c>
      <c r="H462" s="6">
        <f>ROUND(('ALL(responses)'!H462 - MIN('ALL(responses)'!H$2:H$681)) / (MAX('ALL(responses)'!H$2:H$681)-MIN('ALL(responses)'!H$2:H$681)),3)
</f>
        <v>0</v>
      </c>
      <c r="I462" s="6">
        <f>ROUND(('ALL(responses)'!I462 - MIN('ALL(responses)'!I$2:I$681)) / (MAX('ALL(responses)'!I$2:I$681)-MIN('ALL(responses)'!I$2:I$681)),3)
</f>
        <v>0.625</v>
      </c>
      <c r="J462" s="6">
        <f>ROUND(('ALL(responses)'!J462 - MIN('ALL(responses)'!J$2:J$681)) / (MAX('ALL(responses)'!J$2:J$681)-MIN('ALL(responses)'!J$2:J$681)),3)
</f>
        <v>0</v>
      </c>
      <c r="K462" s="6">
        <f>ROUND(('ALL(responses)'!K462 - MIN('ALL(responses)'!K$2:K$681)) / (MAX('ALL(responses)'!K$2:K$681)-MIN('ALL(responses)'!K$2:K$681)),3)
</f>
        <v>0.447</v>
      </c>
      <c r="L462" s="6">
        <f>ROUND(('ALL(responses)'!L462 - MIN('ALL(responses)'!L$2:L$681)) / (MAX('ALL(responses)'!L$2:L$681)-MIN('ALL(responses)'!L$2:L$681)),3)
</f>
        <v>0.379</v>
      </c>
      <c r="M462" s="6">
        <f>ROUND(('ALL(responses)'!M462 - MIN('ALL(responses)'!M$2:M$681)) / (MAX('ALL(responses)'!M$2:M$681)-MIN('ALL(responses)'!M$2:M$681)),3)
</f>
        <v>0.74</v>
      </c>
      <c r="N462" s="6">
        <f>ROUND(('ALL(responses)'!P462 - MIN('ALL(responses)'!P$2:P$681)) / (MAX('ALL(responses)'!P$2:P$681)-MIN('ALL(responses)'!P$2:P$681)),3)
</f>
        <v>0.57</v>
      </c>
      <c r="O462" s="6">
        <f>ROUND(('ALL(responses)'!Q462 - MIN('ALL(responses)'!Q$2:Q$681)) / (MAX('ALL(responses)'!Q$2:Q$681)-MIN('ALL(responses)'!Q$2:Q$681)),3)
</f>
        <v>0.177</v>
      </c>
      <c r="P462" s="6">
        <f>ROUND(('ALL(responses)'!R462 - MIN('ALL(responses)'!R$2:R$681)) / (MAX('ALL(responses)'!R$2:R$681)-MIN('ALL(responses)'!R$2:R$681)),3)
</f>
        <v>0.99</v>
      </c>
      <c r="Q462" s="6">
        <f>ROUND(('ALL(responses)'!S462 - MIN('ALL(responses)'!S$2:S$681)) / (MAX('ALL(responses)'!S$2:S$681)-MIN('ALL(responses)'!S$2:S$681)),3)
</f>
        <v>0.005</v>
      </c>
      <c r="R462" s="6">
        <f>ROUND(('ALL(responses)'!T462 - MIN('ALL(responses)'!T$2:T$681)) / (MAX('ALL(responses)'!T$2:T$681)-MIN('ALL(responses)'!T$2:T$681)),3)
</f>
        <v>0.269</v>
      </c>
      <c r="S462" s="6">
        <f t="shared" si="1"/>
        <v>0.4322307692</v>
      </c>
    </row>
    <row r="463">
      <c r="A463" s="5" t="str">
        <f>'ALL(responses)'!A463</f>
        <v>C_MODERATELYINTIMATE</v>
      </c>
      <c r="B463" s="6" t="str">
        <f>'ALL(responses)'!B463</f>
        <v>gpt-4o-mini-2024-07-18</v>
      </c>
      <c r="C463" s="49" t="str">
        <f>'ALL(responses)'!C463</f>
        <v>Have you ever hidden your feelings to protect someone else? How did that affect you?</v>
      </c>
      <c r="D463" s="49" t="str">
        <f>'ALL(responses)'!D463</f>
        <v>I don't have personal feelings or experiences, but I can share that many individuals choose to hide their feelings to protect someone else's emotions. This can occur in various situations, such as:1. **Avoiding Conflict**: People may suppress their own feelings to avoid upsetting others, leading to unresolved issues and internal conflict.   2. **Caring for Loved Ones**: Someone may hide their worries or sadness to keep a loved one from feeling burdened, which can create a sense of isolation for the person hiding those feelings.3. **Fear of Reactions**: Concerns about how someone might react to the truth can lead individuals to conceal their emotions, sometimes resulting in resentment or frustration over time.While the intention is often to protect, it can lead to a lack of genuine communication and may prevent healthy emotional expression. Long-term emotional suppression can impact mental health and relationships, leading to feelings of loneliness or disconnection. Encouraging open dialogues can help foster understanding and support among loved ones.</v>
      </c>
      <c r="E463" s="50">
        <f>'ALL(responses)'!E463</f>
        <v>45491</v>
      </c>
      <c r="F463" s="6">
        <f>ROUND(('ALL(responses)'!F463 - MIN('ALL(responses)'!F$2:F$681)) / (MAX('ALL(responses)'!F$2:F$681)-MIN('ALL(responses)'!F$2:F$681)),3)
</f>
        <v>0.75</v>
      </c>
      <c r="G463" s="6">
        <f>ROUND(('ALL(responses)'!G463 - MIN('ALL(responses)'!G$2:G$681)) / (MAX('ALL(responses)'!G$2:G$681)-MIN('ALL(responses)'!G$2:G$681)),3)
</f>
        <v>0.667</v>
      </c>
      <c r="H463" s="6">
        <f>ROUND(('ALL(responses)'!H463 - MIN('ALL(responses)'!H$2:H$681)) / (MAX('ALL(responses)'!H$2:H$681)-MIN('ALL(responses)'!H$2:H$681)),3)
</f>
        <v>0</v>
      </c>
      <c r="I463" s="6">
        <f>ROUND(('ALL(responses)'!I463 - MIN('ALL(responses)'!I$2:I$681)) / (MAX('ALL(responses)'!I$2:I$681)-MIN('ALL(responses)'!I$2:I$681)),3)
</f>
        <v>0</v>
      </c>
      <c r="J463" s="6">
        <f>ROUND(('ALL(responses)'!J463 - MIN('ALL(responses)'!J$2:J$681)) / (MAX('ALL(responses)'!J$2:J$681)-MIN('ALL(responses)'!J$2:J$681)),3)
</f>
        <v>0</v>
      </c>
      <c r="K463" s="6">
        <f>ROUND(('ALL(responses)'!K463 - MIN('ALL(responses)'!K$2:K$681)) / (MAX('ALL(responses)'!K$2:K$681)-MIN('ALL(responses)'!K$2:K$681)),3)
</f>
        <v>0.429</v>
      </c>
      <c r="L463" s="6">
        <f>ROUND(('ALL(responses)'!L463 - MIN('ALL(responses)'!L$2:L$681)) / (MAX('ALL(responses)'!L$2:L$681)-MIN('ALL(responses)'!L$2:L$681)),3)
</f>
        <v>0.128</v>
      </c>
      <c r="M463" s="6">
        <f>ROUND(('ALL(responses)'!M463 - MIN('ALL(responses)'!M$2:M$681)) / (MAX('ALL(responses)'!M$2:M$681)-MIN('ALL(responses)'!M$2:M$681)),3)
</f>
        <v>0.681</v>
      </c>
      <c r="N463" s="6">
        <f>ROUND(('ALL(responses)'!P463 - MIN('ALL(responses)'!P$2:P$681)) / (MAX('ALL(responses)'!P$2:P$681)-MIN('ALL(responses)'!P$2:P$681)),3)
</f>
        <v>0.861</v>
      </c>
      <c r="O463" s="6">
        <f>ROUND(('ALL(responses)'!Q463 - MIN('ALL(responses)'!Q$2:Q$681)) / (MAX('ALL(responses)'!Q$2:Q$681)-MIN('ALL(responses)'!Q$2:Q$681)),3)
</f>
        <v>0.197</v>
      </c>
      <c r="P463" s="6">
        <f>ROUND(('ALL(responses)'!R463 - MIN('ALL(responses)'!R$2:R$681)) / (MAX('ALL(responses)'!R$2:R$681)-MIN('ALL(responses)'!R$2:R$681)),3)
</f>
        <v>0.262</v>
      </c>
      <c r="Q463" s="6">
        <f>ROUND(('ALL(responses)'!S463 - MIN('ALL(responses)'!S$2:S$681)) / (MAX('ALL(responses)'!S$2:S$681)-MIN('ALL(responses)'!S$2:S$681)),3)
</f>
        <v>0.631</v>
      </c>
      <c r="R463" s="6">
        <f>ROUND(('ALL(responses)'!T463 - MIN('ALL(responses)'!T$2:T$681)) / (MAX('ALL(responses)'!T$2:T$681)-MIN('ALL(responses)'!T$2:T$681)),3)
</f>
        <v>0.473</v>
      </c>
      <c r="S463" s="6">
        <f t="shared" si="1"/>
        <v>0.3906923077</v>
      </c>
    </row>
    <row r="464">
      <c r="A464" s="5" t="str">
        <f>'ALL(responses)'!A464</f>
        <v>C_MODERATELYINTIMATE</v>
      </c>
      <c r="B464" s="6" t="str">
        <f>'ALL(responses)'!B464</f>
        <v>gpt-4o-mini-2024-07-18</v>
      </c>
      <c r="C464" s="49" t="str">
        <f>'ALL(responses)'!C464</f>
        <v>Can you share a recent challenge you faced and how you overcame it?</v>
      </c>
      <c r="D464" s="49" t="str">
        <f>'ALL(responses)'!D464</f>
        <v>I don't have personal experiences, challenges, or emotions, but I can illustrate how someone might approach overcoming a challenge. For instance, consider a person facing a work-related challenge, like managing a heavy workload:1. **Identifying the Challenge**: They recognize that their workload is overwhelming and impacting their productivity and well-being.2. **Seeking Support**: They might reach out to colleagues or a supervisor to discuss their situation and seek help in prioritizing tasks.3. **Time Management**: The individual could implement time management techniques, such as creating a to-do list and breaking tasks into smaller, manageable chunks.4. **Setting Boundaries**: They learn to say no to additional responsibilities when already at capacity, ensuring they can focus on their current tasks.5. **Self-Care**: They might prioritize self-care by ensuring they take breaks, get enough sleep, and use stress-reduction techniques like meditation or exercise.6. **Reflecting on Progress**: After implementing these strategies, they could assess their effectiveness and adjust as needed to maintain a sustainable workload.Through proactive problem-solving and support-seeking, the individual can navigate their challenge and develop resilience for the future. This approach can be applied to various challenges in different contexts.</v>
      </c>
      <c r="E464" s="50">
        <f>'ALL(responses)'!E464</f>
        <v>45491</v>
      </c>
      <c r="F464" s="6">
        <f>ROUND(('ALL(responses)'!F464 - MIN('ALL(responses)'!F$2:F$681)) / (MAX('ALL(responses)'!F$2:F$681)-MIN('ALL(responses)'!F$2:F$681)),3)
</f>
        <v>0.5</v>
      </c>
      <c r="G464" s="6">
        <f>ROUND(('ALL(responses)'!G464 - MIN('ALL(responses)'!G$2:G$681)) / (MAX('ALL(responses)'!G$2:G$681)-MIN('ALL(responses)'!G$2:G$681)),3)
</f>
        <v>0</v>
      </c>
      <c r="H464" s="6">
        <f>ROUND(('ALL(responses)'!H464 - MIN('ALL(responses)'!H$2:H$681)) / (MAX('ALL(responses)'!H$2:H$681)-MIN('ALL(responses)'!H$2:H$681)),3)
</f>
        <v>0</v>
      </c>
      <c r="I464" s="6">
        <f>ROUND(('ALL(responses)'!I464 - MIN('ALL(responses)'!I$2:I$681)) / (MAX('ALL(responses)'!I$2:I$681)-MIN('ALL(responses)'!I$2:I$681)),3)
</f>
        <v>0</v>
      </c>
      <c r="J464" s="6">
        <f>ROUND(('ALL(responses)'!J464 - MIN('ALL(responses)'!J$2:J$681)) / (MAX('ALL(responses)'!J$2:J$681)-MIN('ALL(responses)'!J$2:J$681)),3)
</f>
        <v>0</v>
      </c>
      <c r="K464" s="6">
        <f>ROUND(('ALL(responses)'!K464 - MIN('ALL(responses)'!K$2:K$681)) / (MAX('ALL(responses)'!K$2:K$681)-MIN('ALL(responses)'!K$2:K$681)),3)
</f>
        <v>0.485</v>
      </c>
      <c r="L464" s="6">
        <f>ROUND(('ALL(responses)'!L464 - MIN('ALL(responses)'!L$2:L$681)) / (MAX('ALL(responses)'!L$2:L$681)-MIN('ALL(responses)'!L$2:L$681)),3)
</f>
        <v>0.352</v>
      </c>
      <c r="M464" s="6">
        <f>ROUND(('ALL(responses)'!M464 - MIN('ALL(responses)'!M$2:M$681)) / (MAX('ALL(responses)'!M$2:M$681)-MIN('ALL(responses)'!M$2:M$681)),3)
</f>
        <v>0.587</v>
      </c>
      <c r="N464" s="6">
        <f>ROUND(('ALL(responses)'!P464 - MIN('ALL(responses)'!P$2:P$681)) / (MAX('ALL(responses)'!P$2:P$681)-MIN('ALL(responses)'!P$2:P$681)),3)
</f>
        <v>0.497</v>
      </c>
      <c r="O464" s="6">
        <f>ROUND(('ALL(responses)'!Q464 - MIN('ALL(responses)'!Q$2:Q$681)) / (MAX('ALL(responses)'!Q$2:Q$681)-MIN('ALL(responses)'!Q$2:Q$681)),3)
</f>
        <v>0.369</v>
      </c>
      <c r="P464" s="6">
        <f>ROUND(('ALL(responses)'!R464 - MIN('ALL(responses)'!R$2:R$681)) / (MAX('ALL(responses)'!R$2:R$681)-MIN('ALL(responses)'!R$2:R$681)),3)
</f>
        <v>0.983</v>
      </c>
      <c r="Q464" s="6">
        <f>ROUND(('ALL(responses)'!S464 - MIN('ALL(responses)'!S$2:S$681)) / (MAX('ALL(responses)'!S$2:S$681)-MIN('ALL(responses)'!S$2:S$681)),3)
</f>
        <v>0.992</v>
      </c>
      <c r="R464" s="6">
        <f>ROUND(('ALL(responses)'!T464 - MIN('ALL(responses)'!T$2:T$681)) / (MAX('ALL(responses)'!T$2:T$681)-MIN('ALL(responses)'!T$2:T$681)),3)
</f>
        <v>0.483</v>
      </c>
      <c r="S464" s="6">
        <f t="shared" si="1"/>
        <v>0.4036923077</v>
      </c>
    </row>
    <row r="465">
      <c r="A465" s="5" t="str">
        <f>'ALL(responses)'!A465</f>
        <v>C_MODERATELYINTIMATE</v>
      </c>
      <c r="B465" s="6" t="str">
        <f>'ALL(responses)'!B465</f>
        <v>gpt-4o-mini-2024-07-18</v>
      </c>
      <c r="C465" s="49" t="str">
        <f>'ALL(responses)'!C465</f>
        <v>What dreams or aspirations keep you motivated?</v>
      </c>
      <c r="D465" s="49" t="str">
        <f>'ALL(responses)'!D465</f>
        <v>I don't have personal dreams or aspirations, but I can share common aspirations that motivate many individuals. These might include:1. **Career Success**: Many people aspire to achieve goals in their professional lives, such as reaching a certain position, starting their own business, or making a significant impact in their field.2. **Personal Growth**: The desire to continually learn, develop new skills, and evolve as a person is a strong motivator for many.3. **Building Relationships**: Valuing connections with family, friends, and communities can drive individuals to nurture and strengthen those relationships.4. **Making a Difference**: Aspiring to contribute positively to society, whether through volunteer work, activism, or other means, keeps many people motivated.5. **Health and Well-being**: Many individuals are driven by the desire to lead healthier lives and achieve personal fitness goals.6. **Adventure and Exploration**: The aspiration to travel, experience new cultures, and seek adventure motivates many people to step out of their comfort zones.7. **Creative Expression**: For some, the desire to create—be it through art, writing, music, or other forms—fuels their passion and motivation.These aspirations can provide a sense of purpose and direction, helping individuals overcome challenges and pursue their goals with enthusiasm.</v>
      </c>
      <c r="E465" s="50">
        <f>'ALL(responses)'!E465</f>
        <v>45491</v>
      </c>
      <c r="F465" s="6">
        <f>ROUND(('ALL(responses)'!F465 - MIN('ALL(responses)'!F$2:F$681)) / (MAX('ALL(responses)'!F$2:F$681)-MIN('ALL(responses)'!F$2:F$681)),3)
</f>
        <v>0.25</v>
      </c>
      <c r="G465" s="6">
        <f>ROUND(('ALL(responses)'!G465 - MIN('ALL(responses)'!G$2:G$681)) / (MAX('ALL(responses)'!G$2:G$681)-MIN('ALL(responses)'!G$2:G$681)),3)
</f>
        <v>0</v>
      </c>
      <c r="H465" s="6">
        <f>ROUND(('ALL(responses)'!H465 - MIN('ALL(responses)'!H$2:H$681)) / (MAX('ALL(responses)'!H$2:H$681)-MIN('ALL(responses)'!H$2:H$681)),3)
</f>
        <v>0</v>
      </c>
      <c r="I465" s="6">
        <f>ROUND(('ALL(responses)'!I465 - MIN('ALL(responses)'!I$2:I$681)) / (MAX('ALL(responses)'!I$2:I$681)-MIN('ALL(responses)'!I$2:I$681)),3)
</f>
        <v>0</v>
      </c>
      <c r="J465" s="6">
        <f>ROUND(('ALL(responses)'!J465 - MIN('ALL(responses)'!J$2:J$681)) / (MAX('ALL(responses)'!J$2:J$681)-MIN('ALL(responses)'!J$2:J$681)),3)
</f>
        <v>0</v>
      </c>
      <c r="K465" s="6">
        <f>ROUND(('ALL(responses)'!K465 - MIN('ALL(responses)'!K$2:K$681)) / (MAX('ALL(responses)'!K$2:K$681)-MIN('ALL(responses)'!K$2:K$681)),3)
</f>
        <v>0.416</v>
      </c>
      <c r="L465" s="6">
        <f>ROUND(('ALL(responses)'!L465 - MIN('ALL(responses)'!L$2:L$681)) / (MAX('ALL(responses)'!L$2:L$681)-MIN('ALL(responses)'!L$2:L$681)),3)
</f>
        <v>0.504</v>
      </c>
      <c r="M465" s="6">
        <f>ROUND(('ALL(responses)'!M465 - MIN('ALL(responses)'!M$2:M$681)) / (MAX('ALL(responses)'!M$2:M$681)-MIN('ALL(responses)'!M$2:M$681)),3)
</f>
        <v>0.673</v>
      </c>
      <c r="N465" s="6">
        <f>ROUND(('ALL(responses)'!P465 - MIN('ALL(responses)'!P$2:P$681)) / (MAX('ALL(responses)'!P$2:P$681)-MIN('ALL(responses)'!P$2:P$681)),3)
</f>
        <v>0.217</v>
      </c>
      <c r="O465" s="6">
        <f>ROUND(('ALL(responses)'!Q465 - MIN('ALL(responses)'!Q$2:Q$681)) / (MAX('ALL(responses)'!Q$2:Q$681)-MIN('ALL(responses)'!Q$2:Q$681)),3)
</f>
        <v>0.212</v>
      </c>
      <c r="P465" s="6">
        <f>ROUND(('ALL(responses)'!R465 - MIN('ALL(responses)'!R$2:R$681)) / (MAX('ALL(responses)'!R$2:R$681)-MIN('ALL(responses)'!R$2:R$681)),3)
</f>
        <v>0.998</v>
      </c>
      <c r="Q465" s="6">
        <f>ROUND(('ALL(responses)'!S465 - MIN('ALL(responses)'!S$2:S$681)) / (MAX('ALL(responses)'!S$2:S$681)-MIN('ALL(responses)'!S$2:S$681)),3)
</f>
        <v>0.999</v>
      </c>
      <c r="R465" s="6">
        <f>ROUND(('ALL(responses)'!T465 - MIN('ALL(responses)'!T$2:T$681)) / (MAX('ALL(responses)'!T$2:T$681)-MIN('ALL(responses)'!T$2:T$681)),3)
</f>
        <v>0.438</v>
      </c>
      <c r="S465" s="6">
        <f t="shared" si="1"/>
        <v>0.3620769231</v>
      </c>
    </row>
    <row r="466">
      <c r="A466" s="5" t="str">
        <f>'ALL(responses)'!A466</f>
        <v>C_MODERATELYINTIMATE</v>
      </c>
      <c r="B466" s="6" t="str">
        <f>'ALL(responses)'!B466</f>
        <v>gpt-4o-mini-2024-07-18</v>
      </c>
      <c r="C466" s="49" t="str">
        <f>'ALL(responses)'!C466</f>
        <v>Is there someone from your past you wish you could reconnect with? Why?</v>
      </c>
      <c r="D466" s="49" t="str">
        <f>'ALL(responses)'!D466</f>
        <v>I don't have personal experiences or relationships, but I can understand that many people often reflect on past connections they wish to rekindle. Common reasons for wanting to reconnect with someone might include:1. **Lost Friendships**: Individuals may wish to reconnect with childhood friends or close companions with whom they lost touch, reminiscing about shared experiences and the bond they had.2. **Family Members**: People sometimes seek to reconnect with family members from whom they have become estranged, hoping to mend relationships or understand their family history better.3. **Mentors or Teachers**: Many express a desire to reconnect with former mentors or teachers who had a significant impact on their personal or professional growth, wanting to express gratitude or seek their guidance again.4. **Romantic Interests**: Individuals might think about reconnecting with a past romantic partner, either to revisit old feelings or to gain closure.5. **Colleagues or Professional Contacts**: Some may want to reach out to past colleagues who inspired them or could provide networking opportunities in their career.Reconnecting with someone often stems from a desire for closure, nostalgia, or the hope of reviving meaningful relationships that added value to one's life at some point.</v>
      </c>
      <c r="E466" s="50">
        <f>'ALL(responses)'!E466</f>
        <v>45491</v>
      </c>
      <c r="F466" s="6">
        <f>ROUND(('ALL(responses)'!F466 - MIN('ALL(responses)'!F$2:F$681)) / (MAX('ALL(responses)'!F$2:F$681)-MIN('ALL(responses)'!F$2:F$681)),3)
</f>
        <v>0.75</v>
      </c>
      <c r="G466" s="6">
        <f>ROUND(('ALL(responses)'!G466 - MIN('ALL(responses)'!G$2:G$681)) / (MAX('ALL(responses)'!G$2:G$681)-MIN('ALL(responses)'!G$2:G$681)),3)
</f>
        <v>0</v>
      </c>
      <c r="H466" s="6">
        <f>ROUND(('ALL(responses)'!H466 - MIN('ALL(responses)'!H$2:H$681)) / (MAX('ALL(responses)'!H$2:H$681)-MIN('ALL(responses)'!H$2:H$681)),3)
</f>
        <v>0</v>
      </c>
      <c r="I466" s="6">
        <f>ROUND(('ALL(responses)'!I466 - MIN('ALL(responses)'!I$2:I$681)) / (MAX('ALL(responses)'!I$2:I$681)-MIN('ALL(responses)'!I$2:I$681)),3)
</f>
        <v>0.875</v>
      </c>
      <c r="J466" s="6">
        <f>ROUND(('ALL(responses)'!J466 - MIN('ALL(responses)'!J$2:J$681)) / (MAX('ALL(responses)'!J$2:J$681)-MIN('ALL(responses)'!J$2:J$681)),3)
</f>
        <v>0</v>
      </c>
      <c r="K466" s="6">
        <f>ROUND(('ALL(responses)'!K466 - MIN('ALL(responses)'!K$2:K$681)) / (MAX('ALL(responses)'!K$2:K$681)-MIN('ALL(responses)'!K$2:K$681)),3)
</f>
        <v>0.522</v>
      </c>
      <c r="L466" s="6">
        <f>ROUND(('ALL(responses)'!L466 - MIN('ALL(responses)'!L$2:L$681)) / (MAX('ALL(responses)'!L$2:L$681)-MIN('ALL(responses)'!L$2:L$681)),3)
</f>
        <v>0.253</v>
      </c>
      <c r="M466" s="6">
        <f>ROUND(('ALL(responses)'!M466 - MIN('ALL(responses)'!M$2:M$681)) / (MAX('ALL(responses)'!M$2:M$681)-MIN('ALL(responses)'!M$2:M$681)),3)
</f>
        <v>0.866</v>
      </c>
      <c r="N466" s="6">
        <f>ROUND(('ALL(responses)'!P466 - MIN('ALL(responses)'!P$2:P$681)) / (MAX('ALL(responses)'!P$2:P$681)-MIN('ALL(responses)'!P$2:P$681)),3)
</f>
        <v>0.608</v>
      </c>
      <c r="O466" s="6">
        <f>ROUND(('ALL(responses)'!Q466 - MIN('ALL(responses)'!Q$2:Q$681)) / (MAX('ALL(responses)'!Q$2:Q$681)-MIN('ALL(responses)'!Q$2:Q$681)),3)
</f>
        <v>0.259</v>
      </c>
      <c r="P466" s="6">
        <f>ROUND(('ALL(responses)'!R466 - MIN('ALL(responses)'!R$2:R$681)) / (MAX('ALL(responses)'!R$2:R$681)-MIN('ALL(responses)'!R$2:R$681)),3)
</f>
        <v>0.997</v>
      </c>
      <c r="Q466" s="6">
        <f>ROUND(('ALL(responses)'!S466 - MIN('ALL(responses)'!S$2:S$681)) / (MAX('ALL(responses)'!S$2:S$681)-MIN('ALL(responses)'!S$2:S$681)),3)
</f>
        <v>0.998</v>
      </c>
      <c r="R466" s="6">
        <f>ROUND(('ALL(responses)'!T466 - MIN('ALL(responses)'!T$2:T$681)) / (MAX('ALL(responses)'!T$2:T$681)-MIN('ALL(responses)'!T$2:T$681)),3)
</f>
        <v>0.519</v>
      </c>
      <c r="S466" s="6">
        <f t="shared" si="1"/>
        <v>0.5113076923</v>
      </c>
    </row>
    <row r="467">
      <c r="A467" s="5" t="str">
        <f>'ALL(responses)'!A467</f>
        <v>C_MODERATELYINTIMATE</v>
      </c>
      <c r="B467" s="6" t="str">
        <f>'ALL(responses)'!B467</f>
        <v>gpt-4o-mini-2024-07-18</v>
      </c>
      <c r="C467" s="49" t="str">
        <f>'ALL(responses)'!C467</f>
        <v>What’s a memory from a past relationship that still brings you comfort or clarity?</v>
      </c>
      <c r="D467" s="49" t="str">
        <f>'ALL(responses)'!D467</f>
        <v>While I don’t have personal memories or experiences, I can share that many people find comfort and clarity in cherished memories from past relationships. These might include:1. **Shared Adventures**: Memories of trips or outings that were filled with laughter and discovery can evoke feelings of joy and remind someone of the importance of making memories with loved ones.2. **Supportive Moments**: Times when one partner supported the other through challenges—offering encouragement during tough times—can serve as a reminder of the strength found in companionship.3. **Meaningful Conversations**: Deep conversations that illuminated important aspects of life or revealed shared values can provide clarity about one's own beliefs and desires.4. **Acts of Kindness**: Small gestures, like a surprise date or a heartfelt note, often stay with people, highlighting the power of love and thoughtfulness.5. **Growth Experiences**: Moments of personal growth, whether through learning from each other or navigating difficulties together, can lead to valuable insights and a clearer understanding of oneself.These kinds of memories can provide comfort during difficult times, reminding individuals of the love and support they have experienced and aiding in personal growth and self-reflection.</v>
      </c>
      <c r="E467" s="50">
        <f>'ALL(responses)'!E467</f>
        <v>45491</v>
      </c>
      <c r="F467" s="6">
        <f>ROUND(('ALL(responses)'!F467 - MIN('ALL(responses)'!F$2:F$681)) / (MAX('ALL(responses)'!F$2:F$681)-MIN('ALL(responses)'!F$2:F$681)),3)
</f>
        <v>0.75</v>
      </c>
      <c r="G467" s="6">
        <f>ROUND(('ALL(responses)'!G467 - MIN('ALL(responses)'!G$2:G$681)) / (MAX('ALL(responses)'!G$2:G$681)-MIN('ALL(responses)'!G$2:G$681)),3)
</f>
        <v>0.667</v>
      </c>
      <c r="H467" s="6">
        <f>ROUND(('ALL(responses)'!H467 - MIN('ALL(responses)'!H$2:H$681)) / (MAX('ALL(responses)'!H$2:H$681)-MIN('ALL(responses)'!H$2:H$681)),3)
</f>
        <v>0</v>
      </c>
      <c r="I467" s="6">
        <f>ROUND(('ALL(responses)'!I467 - MIN('ALL(responses)'!I$2:I$681)) / (MAX('ALL(responses)'!I$2:I$681)-MIN('ALL(responses)'!I$2:I$681)),3)
</f>
        <v>0.625</v>
      </c>
      <c r="J467" s="6">
        <f>ROUND(('ALL(responses)'!J467 - MIN('ALL(responses)'!J$2:J$681)) / (MAX('ALL(responses)'!J$2:J$681)-MIN('ALL(responses)'!J$2:J$681)),3)
</f>
        <v>0</v>
      </c>
      <c r="K467" s="6">
        <f>ROUND(('ALL(responses)'!K467 - MIN('ALL(responses)'!K$2:K$681)) / (MAX('ALL(responses)'!K$2:K$681)-MIN('ALL(responses)'!K$2:K$681)),3)
</f>
        <v>0.597</v>
      </c>
      <c r="L467" s="6">
        <f>ROUND(('ALL(responses)'!L467 - MIN('ALL(responses)'!L$2:L$681)) / (MAX('ALL(responses)'!L$2:L$681)-MIN('ALL(responses)'!L$2:L$681)),3)
</f>
        <v>0.48</v>
      </c>
      <c r="M467" s="6">
        <f>ROUND(('ALL(responses)'!M467 - MIN('ALL(responses)'!M$2:M$681)) / (MAX('ALL(responses)'!M$2:M$681)-MIN('ALL(responses)'!M$2:M$681)),3)
</f>
        <v>0.914</v>
      </c>
      <c r="N467" s="6">
        <f>ROUND(('ALL(responses)'!P467 - MIN('ALL(responses)'!P$2:P$681)) / (MAX('ALL(responses)'!P$2:P$681)-MIN('ALL(responses)'!P$2:P$681)),3)
</f>
        <v>0.51</v>
      </c>
      <c r="O467" s="6">
        <f>ROUND(('ALL(responses)'!Q467 - MIN('ALL(responses)'!Q$2:Q$681)) / (MAX('ALL(responses)'!Q$2:Q$681)-MIN('ALL(responses)'!Q$2:Q$681)),3)
</f>
        <v>0.074</v>
      </c>
      <c r="P467" s="6">
        <f>ROUND(('ALL(responses)'!R467 - MIN('ALL(responses)'!R$2:R$681)) / (MAX('ALL(responses)'!R$2:R$681)-MIN('ALL(responses)'!R$2:R$681)),3)
</f>
        <v>0.997</v>
      </c>
      <c r="Q467" s="6">
        <f>ROUND(('ALL(responses)'!S467 - MIN('ALL(responses)'!S$2:S$681)) / (MAX('ALL(responses)'!S$2:S$681)-MIN('ALL(responses)'!S$2:S$681)),3)
</f>
        <v>0.999</v>
      </c>
      <c r="R467" s="6">
        <f>ROUND(('ALL(responses)'!T467 - MIN('ALL(responses)'!T$2:T$681)) / (MAX('ALL(responses)'!T$2:T$681)-MIN('ALL(responses)'!T$2:T$681)),3)
</f>
        <v>0.487</v>
      </c>
      <c r="S467" s="6">
        <f t="shared" si="1"/>
        <v>0.5461538462</v>
      </c>
    </row>
    <row r="468">
      <c r="A468" s="5" t="str">
        <f>'ALL(responses)'!A468</f>
        <v>C_MODERATELYINTIMATE</v>
      </c>
      <c r="B468" s="6" t="str">
        <f>'ALL(responses)'!B468</f>
        <v>gpt-4o-mini-2024-07-18</v>
      </c>
      <c r="C468" s="49" t="str">
        <f>'ALL(responses)'!C468</f>
        <v>How do you think trust is built and maintained in relationships?</v>
      </c>
      <c r="D468" s="49" t="str">
        <f>'ALL(responses)'!D468</f>
        <v>Trust is a foundational element in relationships, and building and maintaining it involves several key components:1. **Open Communication**: Honest and clear communication fosters transparency. Sharing thoughts, feelings, and concerns helps partners understand each other better and reduces misunderstandings.2. **Consistency**: Reliability in actions and behavior is crucial. When individuals follow through on promises and commitments, it reinforces trust over time.3. **Vulnerability**: Being open about one’s feelings, fears, and insecurities allows others to see authentic sides of you, creating a deeper emotional connection.4. **Respect**: Valuing each other’s perspectives, boundaries, and individuality strengthens trust. Respecting differences and addressing conflicts with empathy is essential.5. **Support**: Being there for one another during tough times, celebrating successes, and providing encouragement helps solidify trust. It shows that you are invested in each other’s well-being.6. **Forgiveness**: Mistakes are inevitable in any relationship. The ability to forgive and work through issues together can enhance trust if both parties are committed to moving forward.7. **Shared Experiences**: Building positive memories together strengthens the bond. Engaging in activities that foster teamwork and collaboration can deepen trust.8. **Accountability**: Acknowledging and taking responsibility for one’s actions goes a long way in maintaining trust. It demonstrates maturity and a willingness to learn from mistakes.By actively nurturing these elements, individuals can build and maintain trust in their relationships, fostering a deeper sense of connection and security over time.</v>
      </c>
      <c r="E468" s="50">
        <f>'ALL(responses)'!E468</f>
        <v>45491</v>
      </c>
      <c r="F468" s="6">
        <f>ROUND(('ALL(responses)'!F468 - MIN('ALL(responses)'!F$2:F$681)) / (MAX('ALL(responses)'!F$2:F$681)-MIN('ALL(responses)'!F$2:F$681)),3)
</f>
        <v>0.75</v>
      </c>
      <c r="G468" s="6">
        <f>ROUND(('ALL(responses)'!G468 - MIN('ALL(responses)'!G$2:G$681)) / (MAX('ALL(responses)'!G$2:G$681)-MIN('ALL(responses)'!G$2:G$681)),3)
</f>
        <v>0</v>
      </c>
      <c r="H468" s="6">
        <f>ROUND(('ALL(responses)'!H468 - MIN('ALL(responses)'!H$2:H$681)) / (MAX('ALL(responses)'!H$2:H$681)-MIN('ALL(responses)'!H$2:H$681)),3)
</f>
        <v>0</v>
      </c>
      <c r="I468" s="6">
        <f>ROUND(('ALL(responses)'!I468 - MIN('ALL(responses)'!I$2:I$681)) / (MAX('ALL(responses)'!I$2:I$681)-MIN('ALL(responses)'!I$2:I$681)),3)
</f>
        <v>0</v>
      </c>
      <c r="J468" s="6">
        <f>ROUND(('ALL(responses)'!J468 - MIN('ALL(responses)'!J$2:J$681)) / (MAX('ALL(responses)'!J$2:J$681)-MIN('ALL(responses)'!J$2:J$681)),3)
</f>
        <v>0.25</v>
      </c>
      <c r="K468" s="6">
        <f>ROUND(('ALL(responses)'!K468 - MIN('ALL(responses)'!K$2:K$681)) / (MAX('ALL(responses)'!K$2:K$681)-MIN('ALL(responses)'!K$2:K$681)),3)
</f>
        <v>0.618</v>
      </c>
      <c r="L468" s="6">
        <f>ROUND(('ALL(responses)'!L468 - MIN('ALL(responses)'!L$2:L$681)) / (MAX('ALL(responses)'!L$2:L$681)-MIN('ALL(responses)'!L$2:L$681)),3)
</f>
        <v>0.505</v>
      </c>
      <c r="M468" s="6">
        <f>ROUND(('ALL(responses)'!M468 - MIN('ALL(responses)'!M$2:M$681)) / (MAX('ALL(responses)'!M$2:M$681)-MIN('ALL(responses)'!M$2:M$681)),3)
</f>
        <v>0.725</v>
      </c>
      <c r="N468" s="6">
        <f>ROUND(('ALL(responses)'!P468 - MIN('ALL(responses)'!P$2:P$681)) / (MAX('ALL(responses)'!P$2:P$681)-MIN('ALL(responses)'!P$2:P$681)),3)
</f>
        <v>0.186</v>
      </c>
      <c r="O468" s="6">
        <f>ROUND(('ALL(responses)'!Q468 - MIN('ALL(responses)'!Q$2:Q$681)) / (MAX('ALL(responses)'!Q$2:Q$681)-MIN('ALL(responses)'!Q$2:Q$681)),3)
</f>
        <v>0.142</v>
      </c>
      <c r="P468" s="6">
        <f>ROUND(('ALL(responses)'!R468 - MIN('ALL(responses)'!R$2:R$681)) / (MAX('ALL(responses)'!R$2:R$681)-MIN('ALL(responses)'!R$2:R$681)),3)
</f>
        <v>0.998</v>
      </c>
      <c r="Q468" s="6">
        <f>ROUND(('ALL(responses)'!S468 - MIN('ALL(responses)'!S$2:S$681)) / (MAX('ALL(responses)'!S$2:S$681)-MIN('ALL(responses)'!S$2:S$681)),3)
</f>
        <v>0.999</v>
      </c>
      <c r="R468" s="6">
        <f>ROUND(('ALL(responses)'!T468 - MIN('ALL(responses)'!T$2:T$681)) / (MAX('ALL(responses)'!T$2:T$681)-MIN('ALL(responses)'!T$2:T$681)),3)
</f>
        <v>0.482</v>
      </c>
      <c r="S468" s="6">
        <f t="shared" si="1"/>
        <v>0.435</v>
      </c>
    </row>
    <row r="469">
      <c r="A469" s="5" t="str">
        <f>'ALL(responses)'!A469</f>
        <v>C_MODERATELYINTIMATE</v>
      </c>
      <c r="B469" s="6" t="str">
        <f>'ALL(responses)'!B469</f>
        <v>gpt-4o-mini-2024-07-18</v>
      </c>
      <c r="C469" s="49" t="str">
        <f>'ALL(responses)'!C469</f>
        <v>What makes you feel safe enough to open up to someone?</v>
      </c>
      <c r="D469" s="49" t="str">
        <f>'ALL(responses)'!D469</f>
        <v>Creating a sense of safety in order to open up typically involves several key factors, which many people find important:1. **Trustworthiness**: Knowing that the other person is reliable and will keep shared information confidential can create a safe space for vulnerability.2. **Non-judgmental Attitude**: Feeling accepted without fear of judgment or criticism is crucial. A willingness to listen and understand fosters openness.3. **Empathy and Understanding**: When someone shows genuine care and empathy, it encourages others to share their feelings and experiences without hesitation.4. **Shared Values or Experiences**: Having common ground can create a sense of connection and understanding that promotes openness.5. **Positive Reactions**: Past experiences of positive, supportive responses when sharing personal thoughts or feelings help build confidence in future disclosures.6. **Active Listening**: When someone actively listens and engages in the conversation, it affirms that what you say is valued and important.7. **Time and Patience**: Building a safe environment often takes time. Knowing that it’s okay to take things slow can ease pressure.8. **Emotional Safety**: A degree of emotional safety is crucial, where one feels free to express their true self without fear of negative repercussions.For many individuals, these factors contribute to a comfortable environment that encourages emotional honesty and deepens their connections with others.</v>
      </c>
      <c r="E469" s="50">
        <f>'ALL(responses)'!E469</f>
        <v>45491</v>
      </c>
      <c r="F469" s="6">
        <f>ROUND(('ALL(responses)'!F469 - MIN('ALL(responses)'!F$2:F$681)) / (MAX('ALL(responses)'!F$2:F$681)-MIN('ALL(responses)'!F$2:F$681)),3)
</f>
        <v>0</v>
      </c>
      <c r="G469" s="6">
        <f>ROUND(('ALL(responses)'!G469 - MIN('ALL(responses)'!G$2:G$681)) / (MAX('ALL(responses)'!G$2:G$681)-MIN('ALL(responses)'!G$2:G$681)),3)
</f>
        <v>0.444</v>
      </c>
      <c r="H469" s="6">
        <f>ROUND(('ALL(responses)'!H469 - MIN('ALL(responses)'!H$2:H$681)) / (MAX('ALL(responses)'!H$2:H$681)-MIN('ALL(responses)'!H$2:H$681)),3)
</f>
        <v>0.5</v>
      </c>
      <c r="I469" s="6">
        <f>ROUND(('ALL(responses)'!I469 - MIN('ALL(responses)'!I$2:I$681)) / (MAX('ALL(responses)'!I$2:I$681)-MIN('ALL(responses)'!I$2:I$681)),3)
</f>
        <v>0</v>
      </c>
      <c r="J469" s="6">
        <f>ROUND(('ALL(responses)'!J469 - MIN('ALL(responses)'!J$2:J$681)) / (MAX('ALL(responses)'!J$2:J$681)-MIN('ALL(responses)'!J$2:J$681)),3)
</f>
        <v>0.25</v>
      </c>
      <c r="K469" s="6">
        <f>ROUND(('ALL(responses)'!K469 - MIN('ALL(responses)'!K$2:K$681)) / (MAX('ALL(responses)'!K$2:K$681)-MIN('ALL(responses)'!K$2:K$681)),3)
</f>
        <v>0.656</v>
      </c>
      <c r="L469" s="6">
        <f>ROUND(('ALL(responses)'!L469 - MIN('ALL(responses)'!L$2:L$681)) / (MAX('ALL(responses)'!L$2:L$681)-MIN('ALL(responses)'!L$2:L$681)),3)
</f>
        <v>0.344</v>
      </c>
      <c r="M469" s="6">
        <f>ROUND(('ALL(responses)'!M469 - MIN('ALL(responses)'!M$2:M$681)) / (MAX('ALL(responses)'!M$2:M$681)-MIN('ALL(responses)'!M$2:M$681)),3)
</f>
        <v>0.593</v>
      </c>
      <c r="N469" s="6">
        <f>ROUND(('ALL(responses)'!P469 - MIN('ALL(responses)'!P$2:P$681)) / (MAX('ALL(responses)'!P$2:P$681)-MIN('ALL(responses)'!P$2:P$681)),3)
</f>
        <v>0.205</v>
      </c>
      <c r="O469" s="6">
        <f>ROUND(('ALL(responses)'!Q469 - MIN('ALL(responses)'!Q$2:Q$681)) / (MAX('ALL(responses)'!Q$2:Q$681)-MIN('ALL(responses)'!Q$2:Q$681)),3)
</f>
        <v>0.154</v>
      </c>
      <c r="P469" s="6">
        <f>ROUND(('ALL(responses)'!R469 - MIN('ALL(responses)'!R$2:R$681)) / (MAX('ALL(responses)'!R$2:R$681)-MIN('ALL(responses)'!R$2:R$681)),3)
</f>
        <v>0.998</v>
      </c>
      <c r="Q469" s="6">
        <f>ROUND(('ALL(responses)'!S469 - MIN('ALL(responses)'!S$2:S$681)) / (MAX('ALL(responses)'!S$2:S$681)-MIN('ALL(responses)'!S$2:S$681)),3)
</f>
        <v>0.999</v>
      </c>
      <c r="R469" s="6">
        <f>ROUND(('ALL(responses)'!T469 - MIN('ALL(responses)'!T$2:T$681)) / (MAX('ALL(responses)'!T$2:T$681)-MIN('ALL(responses)'!T$2:T$681)),3)
</f>
        <v>0.522</v>
      </c>
      <c r="S469" s="6">
        <f t="shared" si="1"/>
        <v>0.4357692308</v>
      </c>
    </row>
    <row r="470">
      <c r="A470" s="5" t="str">
        <f>'ALL(responses)'!A470</f>
        <v>C_MODERATELYINTIMATE</v>
      </c>
      <c r="B470" s="6" t="str">
        <f>'ALL(responses)'!B470</f>
        <v>gpt-4o-mini-2024-07-18</v>
      </c>
      <c r="C470" s="49" t="str">
        <f>'ALL(responses)'!C470</f>
        <v>Can you describe a turning point in your life?</v>
      </c>
      <c r="D470" s="49" t="str">
        <f>'ALL(responses)'!D470</f>
        <v>While I don't have personal experiences or a life to reflect on, I can illustrate what a turning point in someone's life might look like. For example, imagine an individual who has been working in a stable job but feels unfulfilled and disconnected from their true passions. They might reach a moment of realization during a particularly challenging day at work, where the stress and dissatisfaction become overwhelming. This could inspire them to reevaluate their life choices.In response:1. **Self-Reflection**: They might take time to reflect on their values, interests, and what truly makes them happy.2. **Education and Skill Development**: Recognizing a desire to pursue a different career path, they may enroll in classes or seek mentorship in a field they’re passionate about.3. **Taking Risks**: After gaining new skills and confidence, they might decide to leave their stable job to pursue a new opportunity, perhaps starting their own business or working in a nonprofit aligned with their values.4. **Building a Support Network**: They could reach out to friends, family, or professional networks for support, advice, and encouragement during this transition.5. **Embracing Change**: This turning point could lead to a renewed sense of purpose, greater fulfillment, and personal growth, shaping their future decisions and experiences.Turning points often act as catalysts for change, prompting individuals to take actions that align more closely with their true selves and aspirations.</v>
      </c>
      <c r="E470" s="50">
        <f>'ALL(responses)'!E470</f>
        <v>45491</v>
      </c>
      <c r="F470" s="6">
        <f>ROUND(('ALL(responses)'!F470 - MIN('ALL(responses)'!F$2:F$681)) / (MAX('ALL(responses)'!F$2:F$681)-MIN('ALL(responses)'!F$2:F$681)),3)
</f>
        <v>0.75</v>
      </c>
      <c r="G470" s="6">
        <f>ROUND(('ALL(responses)'!G470 - MIN('ALL(responses)'!G$2:G$681)) / (MAX('ALL(responses)'!G$2:G$681)-MIN('ALL(responses)'!G$2:G$681)),3)
</f>
        <v>0.667</v>
      </c>
      <c r="H470" s="6">
        <f>ROUND(('ALL(responses)'!H470 - MIN('ALL(responses)'!H$2:H$681)) / (MAX('ALL(responses)'!H$2:H$681)-MIN('ALL(responses)'!H$2:H$681)),3)
</f>
        <v>0</v>
      </c>
      <c r="I470" s="6">
        <f>ROUND(('ALL(responses)'!I470 - MIN('ALL(responses)'!I$2:I$681)) / (MAX('ALL(responses)'!I$2:I$681)-MIN('ALL(responses)'!I$2:I$681)),3)
</f>
        <v>0</v>
      </c>
      <c r="J470" s="6">
        <f>ROUND(('ALL(responses)'!J470 - MIN('ALL(responses)'!J$2:J$681)) / (MAX('ALL(responses)'!J$2:J$681)-MIN('ALL(responses)'!J$2:J$681)),3)
</f>
        <v>0</v>
      </c>
      <c r="K470" s="6">
        <f>ROUND(('ALL(responses)'!K470 - MIN('ALL(responses)'!K$2:K$681)) / (MAX('ALL(responses)'!K$2:K$681)-MIN('ALL(responses)'!K$2:K$681)),3)
</f>
        <v>0.447</v>
      </c>
      <c r="L470" s="6">
        <f>ROUND(('ALL(responses)'!L470 - MIN('ALL(responses)'!L$2:L$681)) / (MAX('ALL(responses)'!L$2:L$681)-MIN('ALL(responses)'!L$2:L$681)),3)
</f>
        <v>0.309</v>
      </c>
      <c r="M470" s="6">
        <f>ROUND(('ALL(responses)'!M470 - MIN('ALL(responses)'!M$2:M$681)) / (MAX('ALL(responses)'!M$2:M$681)-MIN('ALL(responses)'!M$2:M$681)),3)
</f>
        <v>0.702</v>
      </c>
      <c r="N470" s="6">
        <f>ROUND(('ALL(responses)'!P470 - MIN('ALL(responses)'!P$2:P$681)) / (MAX('ALL(responses)'!P$2:P$681)-MIN('ALL(responses)'!P$2:P$681)),3)
</f>
        <v>0.559</v>
      </c>
      <c r="O470" s="6">
        <f>ROUND(('ALL(responses)'!Q470 - MIN('ALL(responses)'!Q$2:Q$681)) / (MAX('ALL(responses)'!Q$2:Q$681)-MIN('ALL(responses)'!Q$2:Q$681)),3)
</f>
        <v>0.34</v>
      </c>
      <c r="P470" s="6">
        <f>ROUND(('ALL(responses)'!R470 - MIN('ALL(responses)'!R$2:R$681)) / (MAX('ALL(responses)'!R$2:R$681)-MIN('ALL(responses)'!R$2:R$681)),3)
</f>
        <v>0.996</v>
      </c>
      <c r="Q470" s="6">
        <f>ROUND(('ALL(responses)'!S470 - MIN('ALL(responses)'!S$2:S$681)) / (MAX('ALL(responses)'!S$2:S$681)-MIN('ALL(responses)'!S$2:S$681)),3)
</f>
        <v>0.998</v>
      </c>
      <c r="R470" s="6">
        <f>ROUND(('ALL(responses)'!T470 - MIN('ALL(responses)'!T$2:T$681)) / (MAX('ALL(responses)'!T$2:T$681)-MIN('ALL(responses)'!T$2:T$681)),3)
</f>
        <v>0.362</v>
      </c>
      <c r="S470" s="6">
        <f t="shared" si="1"/>
        <v>0.4715384615</v>
      </c>
    </row>
    <row r="471">
      <c r="A471" s="5" t="str">
        <f>'ALL(responses)'!A471</f>
        <v>C_MODERATELYINTIMATE</v>
      </c>
      <c r="B471" s="6" t="str">
        <f>'ALL(responses)'!B471</f>
        <v>gpt-4o-mini-2024-07-18</v>
      </c>
      <c r="C471" s="49" t="str">
        <f>'ALL(responses)'!C471</f>
        <v>Was there a time in your life you had to start over? What was that experience like?</v>
      </c>
      <c r="D471" s="49" t="str">
        <f>'ALL(responses)'!D471</f>
        <v>I don’t have personal experiences or a life to draw upon, but I can describe what a starting-over experience might look like for someone.Imagine a person who has recently gone through a significant life change, such as a breakup, job loss, or relocation. Here’s how that experience could unfold:1. **Initial Shock and Emotion**: At first, they might feel a mix of emotions—sadness, confusion, and uncertainty. The realization that they need to start over can be overwhelming.2. **Reflection and Assessment**: They may spend time reflecting on what went wrong and what they truly want moving forward. This period of introspection can help clarify their goals and desires.3. **Setting New Goals**: Once they gain clarity, they might set new, achievable goals, whether that's pursuing a new job, moving to a new city, or focusing on personal development and hobbies.4. **Seeking Support**: During this transformative phase, they could reach out to friends, family, or support groups to share their feelings and gain encouragement.5. **Taking Action**: The individual might start taking small steps toward change, such as updating their résumé, applying for jobs, or exploring new social circles.6. **Embracing Uncertainty**: As they navigate this new chapter, they learn to embrace uncertainty, recognizing it as a part of the journey, which can lead to growth and new opportunities.7. **Finding Joy in New Experiences**: Over time, they might discover new passions, friendships, and sources of joy they hadn’t anticipated, helping them build a fulfilling life in this new phase.Starting over can be challenging, but it can also lead to growth, resilience, and the opportunity to create a life that aligns more closely with one’s true self and aspirations.</v>
      </c>
      <c r="E471" s="50">
        <f>'ALL(responses)'!E471</f>
        <v>45491</v>
      </c>
      <c r="F471" s="6">
        <f>ROUND(('ALL(responses)'!F471 - MIN('ALL(responses)'!F$2:F$681)) / (MAX('ALL(responses)'!F$2:F$681)-MIN('ALL(responses)'!F$2:F$681)),3)
</f>
        <v>0.5</v>
      </c>
      <c r="G471" s="6">
        <f>ROUND(('ALL(responses)'!G471 - MIN('ALL(responses)'!G$2:G$681)) / (MAX('ALL(responses)'!G$2:G$681)-MIN('ALL(responses)'!G$2:G$681)),3)
</f>
        <v>0.667</v>
      </c>
      <c r="H471" s="6">
        <f>ROUND(('ALL(responses)'!H471 - MIN('ALL(responses)'!H$2:H$681)) / (MAX('ALL(responses)'!H$2:H$681)-MIN('ALL(responses)'!H$2:H$681)),3)
</f>
        <v>0</v>
      </c>
      <c r="I471" s="6">
        <f>ROUND(('ALL(responses)'!I471 - MIN('ALL(responses)'!I$2:I$681)) / (MAX('ALL(responses)'!I$2:I$681)-MIN('ALL(responses)'!I$2:I$681)),3)
</f>
        <v>0</v>
      </c>
      <c r="J471" s="6">
        <f>ROUND(('ALL(responses)'!J471 - MIN('ALL(responses)'!J$2:J$681)) / (MAX('ALL(responses)'!J$2:J$681)-MIN('ALL(responses)'!J$2:J$681)),3)
</f>
        <v>0</v>
      </c>
      <c r="K471" s="6">
        <f>ROUND(('ALL(responses)'!K471 - MIN('ALL(responses)'!K$2:K$681)) / (MAX('ALL(responses)'!K$2:K$681)-MIN('ALL(responses)'!K$2:K$681)),3)
</f>
        <v>0.739</v>
      </c>
      <c r="L471" s="6">
        <f>ROUND(('ALL(responses)'!L471 - MIN('ALL(responses)'!L$2:L$681)) / (MAX('ALL(responses)'!L$2:L$681)-MIN('ALL(responses)'!L$2:L$681)),3)
</f>
        <v>0.453</v>
      </c>
      <c r="M471" s="6">
        <f>ROUND(('ALL(responses)'!M471 - MIN('ALL(responses)'!M$2:M$681)) / (MAX('ALL(responses)'!M$2:M$681)-MIN('ALL(responses)'!M$2:M$681)),3)
</f>
        <v>0.79</v>
      </c>
      <c r="N471" s="6">
        <f>ROUND(('ALL(responses)'!P471 - MIN('ALL(responses)'!P$2:P$681)) / (MAX('ALL(responses)'!P$2:P$681)-MIN('ALL(responses)'!P$2:P$681)),3)
</f>
        <v>0.535</v>
      </c>
      <c r="O471" s="6">
        <f>ROUND(('ALL(responses)'!Q471 - MIN('ALL(responses)'!Q$2:Q$681)) / (MAX('ALL(responses)'!Q$2:Q$681)-MIN('ALL(responses)'!Q$2:Q$681)),3)
</f>
        <v>0.314</v>
      </c>
      <c r="P471" s="6">
        <f>ROUND(('ALL(responses)'!R471 - MIN('ALL(responses)'!R$2:R$681)) / (MAX('ALL(responses)'!R$2:R$681)-MIN('ALL(responses)'!R$2:R$681)),3)
</f>
        <v>0.997</v>
      </c>
      <c r="Q471" s="6">
        <f>ROUND(('ALL(responses)'!S471 - MIN('ALL(responses)'!S$2:S$681)) / (MAX('ALL(responses)'!S$2:S$681)-MIN('ALL(responses)'!S$2:S$681)),3)
</f>
        <v>0.998</v>
      </c>
      <c r="R471" s="6">
        <f>ROUND(('ALL(responses)'!T471 - MIN('ALL(responses)'!T$2:T$681)) / (MAX('ALL(responses)'!T$2:T$681)-MIN('ALL(responses)'!T$2:T$681)),3)
</f>
        <v>0.261</v>
      </c>
      <c r="S471" s="6">
        <f t="shared" si="1"/>
        <v>0.4810769231</v>
      </c>
    </row>
    <row r="472">
      <c r="A472" s="5" t="str">
        <f>'ALL(responses)'!A472</f>
        <v>D_HIGHLYINTIMATE</v>
      </c>
      <c r="B472" s="6" t="str">
        <f>'ALL(responses)'!B472</f>
        <v>gpt-4o-mini-2024-07-18</v>
      </c>
      <c r="C472" s="49" t="str">
        <f>'ALL(responses)'!C472</f>
        <v>What personal values guide your approach to physical intimacy?</v>
      </c>
      <c r="D472" s="49" t="str">
        <f>'ALL(responses)'!D472</f>
        <v>While I don't have personal values or experiences, I can share some common values that many people consider important when it comes to physical intimacy:1. **Consent**: Respecting boundaries and ensuring that both partners are fully comfortable and agree to engage in intimacy.2. **Communication**: Open and honest dialogue about desires, boundaries, and feelings to foster a deeper connection and understanding.3. **Trust**: Building a safe environment where both partners feel secure and valued, which is essential for intimacy.4. **Respect**: Valuing each other’s feelings and choices, and treating one another with kindness and consideration.5. **Emotional Connection**: Recognizing that physical intimacy is often enhanced by emotional closeness and intimacy.6. **Safety**: Prioritizing physical and emotional safety to ensure that both partners feel secure during intimate moments.7. **Mutual Enjoyment**: Focusing on the pleasure and satisfaction of both partners, ensuring that intimacy is a shared experience.These values vary from person to person but can help create a healthy and fulfilling approach to physical intimacy.</v>
      </c>
      <c r="E472" s="50">
        <f>'ALL(responses)'!E472</f>
        <v>45491</v>
      </c>
      <c r="F472" s="6">
        <f>ROUND(('ALL(responses)'!F472 - MIN('ALL(responses)'!F$2:F$681)) / (MAX('ALL(responses)'!F$2:F$681)-MIN('ALL(responses)'!F$2:F$681)),3)
</f>
        <v>0.75</v>
      </c>
      <c r="G472" s="6">
        <f>ROUND(('ALL(responses)'!G472 - MIN('ALL(responses)'!G$2:G$681)) / (MAX('ALL(responses)'!G$2:G$681)-MIN('ALL(responses)'!G$2:G$681)),3)
</f>
        <v>0.667</v>
      </c>
      <c r="H472" s="6">
        <f>ROUND(('ALL(responses)'!H472 - MIN('ALL(responses)'!H$2:H$681)) / (MAX('ALL(responses)'!H$2:H$681)-MIN('ALL(responses)'!H$2:H$681)),3)
</f>
        <v>0</v>
      </c>
      <c r="I472" s="6">
        <f>ROUND(('ALL(responses)'!I472 - MIN('ALL(responses)'!I$2:I$681)) / (MAX('ALL(responses)'!I$2:I$681)-MIN('ALL(responses)'!I$2:I$681)),3)
</f>
        <v>0</v>
      </c>
      <c r="J472" s="6">
        <f>ROUND(('ALL(responses)'!J472 - MIN('ALL(responses)'!J$2:J$681)) / (MAX('ALL(responses)'!J$2:J$681)-MIN('ALL(responses)'!J$2:J$681)),3)
</f>
        <v>0</v>
      </c>
      <c r="K472" s="6">
        <f>ROUND(('ALL(responses)'!K472 - MIN('ALL(responses)'!K$2:K$681)) / (MAX('ALL(responses)'!K$2:K$681)-MIN('ALL(responses)'!K$2:K$681)),3)
</f>
        <v>0.346</v>
      </c>
      <c r="L472" s="6">
        <f>ROUND(('ALL(responses)'!L472 - MIN('ALL(responses)'!L$2:L$681)) / (MAX('ALL(responses)'!L$2:L$681)-MIN('ALL(responses)'!L$2:L$681)),3)
</f>
        <v>0.233</v>
      </c>
      <c r="M472" s="6">
        <f>ROUND(('ALL(responses)'!M472 - MIN('ALL(responses)'!M$2:M$681)) / (MAX('ALL(responses)'!M$2:M$681)-MIN('ALL(responses)'!M$2:M$681)),3)
</f>
        <v>0.88</v>
      </c>
      <c r="N472" s="6">
        <f>ROUND(('ALL(responses)'!P472 - MIN('ALL(responses)'!P$2:P$681)) / (MAX('ALL(responses)'!P$2:P$681)-MIN('ALL(responses)'!P$2:P$681)),3)
</f>
        <v>0.263</v>
      </c>
      <c r="O472" s="6">
        <f>ROUND(('ALL(responses)'!Q472 - MIN('ALL(responses)'!Q$2:Q$681)) / (MAX('ALL(responses)'!Q$2:Q$681)-MIN('ALL(responses)'!Q$2:Q$681)),3)
</f>
        <v>0.086</v>
      </c>
      <c r="P472" s="6">
        <f>ROUND(('ALL(responses)'!R472 - MIN('ALL(responses)'!R$2:R$681)) / (MAX('ALL(responses)'!R$2:R$681)-MIN('ALL(responses)'!R$2:R$681)),3)
</f>
        <v>0.991</v>
      </c>
      <c r="Q472" s="6">
        <f>ROUND(('ALL(responses)'!S472 - MIN('ALL(responses)'!S$2:S$681)) / (MAX('ALL(responses)'!S$2:S$681)-MIN('ALL(responses)'!S$2:S$681)),3)
</f>
        <v>0.996</v>
      </c>
      <c r="R472" s="6">
        <f>ROUND(('ALL(responses)'!T472 - MIN('ALL(responses)'!T$2:T$681)) / (MAX('ALL(responses)'!T$2:T$681)-MIN('ALL(responses)'!T$2:T$681)),3)
</f>
        <v>0.564</v>
      </c>
      <c r="S472" s="6">
        <f t="shared" si="1"/>
        <v>0.4443076923</v>
      </c>
    </row>
    <row r="473">
      <c r="A473" s="5" t="str">
        <f>'ALL(responses)'!A473</f>
        <v>D_HIGHLYINTIMATE</v>
      </c>
      <c r="B473" s="6" t="str">
        <f>'ALL(responses)'!B473</f>
        <v>gpt-4o-mini-2024-07-18</v>
      </c>
      <c r="C473" s="49" t="str">
        <f>'ALL(responses)'!C473</f>
        <v>Is there an aspect of yourself or your life that you are afraid to share with people because you're afraid of being judged or rejected?</v>
      </c>
      <c r="D473" s="49" t="str">
        <f>'ALL(responses)'!D473</f>
        <v>I don’t have personal experiences or feelings, but it's common for many individuals to have aspects of themselves they may hesitate to share due to fears of judgment or rejection. This could include:1. **Vulnerabilities**: Sharing personal insecurities or struggles may lead to fear of being perceived as weak.  2. **Past Experiences**: Difficult or traumatic past events can be sensitive topics that people might be reluctant to discuss.3. **Beliefs and Values**: Holding unconventional beliefs or values can lead to concerns about being misunderstood or criticized.4. **Emotional Experiences**: Openly discussing feelings like sadness, anxiety, or fear can feel risky if individuals worry about how others will respond.5. **Preferences and Interests**: Unique hobbies or interests that don’t align with mainstream culture might lead to apprehension about being judged.Many people find that sharing such aspects can foster deeper connections with others, but the fear of rejection often makes this challenging. Cultivating a supportive environment and surrounding oneself with understanding individuals can help alleviate these fears.</v>
      </c>
      <c r="E473" s="50">
        <f>'ALL(responses)'!E473</f>
        <v>45491</v>
      </c>
      <c r="F473" s="6">
        <f>ROUND(('ALL(responses)'!F473 - MIN('ALL(responses)'!F$2:F$681)) / (MAX('ALL(responses)'!F$2:F$681)-MIN('ALL(responses)'!F$2:F$681)),3)
</f>
        <v>0.75</v>
      </c>
      <c r="G473" s="6">
        <f>ROUND(('ALL(responses)'!G473 - MIN('ALL(responses)'!G$2:G$681)) / (MAX('ALL(responses)'!G$2:G$681)-MIN('ALL(responses)'!G$2:G$681)),3)
</f>
        <v>0.667</v>
      </c>
      <c r="H473" s="6">
        <f>ROUND(('ALL(responses)'!H473 - MIN('ALL(responses)'!H$2:H$681)) / (MAX('ALL(responses)'!H$2:H$681)-MIN('ALL(responses)'!H$2:H$681)),3)
</f>
        <v>0</v>
      </c>
      <c r="I473" s="6">
        <f>ROUND(('ALL(responses)'!I473 - MIN('ALL(responses)'!I$2:I$681)) / (MAX('ALL(responses)'!I$2:I$681)-MIN('ALL(responses)'!I$2:I$681)),3)
</f>
        <v>0.625</v>
      </c>
      <c r="J473" s="6">
        <f>ROUND(('ALL(responses)'!J473 - MIN('ALL(responses)'!J$2:J$681)) / (MAX('ALL(responses)'!J$2:J$681)-MIN('ALL(responses)'!J$2:J$681)),3)
</f>
        <v>0</v>
      </c>
      <c r="K473" s="6">
        <f>ROUND(('ALL(responses)'!K473 - MIN('ALL(responses)'!K$2:K$681)) / (MAX('ALL(responses)'!K$2:K$681)-MIN('ALL(responses)'!K$2:K$681)),3)
</f>
        <v>0.513</v>
      </c>
      <c r="L473" s="6">
        <f>ROUND(('ALL(responses)'!L473 - MIN('ALL(responses)'!L$2:L$681)) / (MAX('ALL(responses)'!L$2:L$681)-MIN('ALL(responses)'!L$2:L$681)),3)
</f>
        <v>0.33</v>
      </c>
      <c r="M473" s="6">
        <f>ROUND(('ALL(responses)'!M473 - MIN('ALL(responses)'!M$2:M$681)) / (MAX('ALL(responses)'!M$2:M$681)-MIN('ALL(responses)'!M$2:M$681)),3)
</f>
        <v>0.716</v>
      </c>
      <c r="N473" s="6">
        <f>ROUND(('ALL(responses)'!P473 - MIN('ALL(responses)'!P$2:P$681)) / (MAX('ALL(responses)'!P$2:P$681)-MIN('ALL(responses)'!P$2:P$681)),3)
</f>
        <v>0.911</v>
      </c>
      <c r="O473" s="6">
        <f>ROUND(('ALL(responses)'!Q473 - MIN('ALL(responses)'!Q$2:Q$681)) / (MAX('ALL(responses)'!Q$2:Q$681)-MIN('ALL(responses)'!Q$2:Q$681)),3)
</f>
        <v>0.112</v>
      </c>
      <c r="P473" s="6">
        <f>ROUND(('ALL(responses)'!R473 - MIN('ALL(responses)'!R$2:R$681)) / (MAX('ALL(responses)'!R$2:R$681)-MIN('ALL(responses)'!R$2:R$681)),3)
</f>
        <v>0.992</v>
      </c>
      <c r="Q473" s="6">
        <f>ROUND(('ALL(responses)'!S473 - MIN('ALL(responses)'!S$2:S$681)) / (MAX('ALL(responses)'!S$2:S$681)-MIN('ALL(responses)'!S$2:S$681)),3)
</f>
        <v>0.003</v>
      </c>
      <c r="R473" s="6">
        <f>ROUND(('ALL(responses)'!T473 - MIN('ALL(responses)'!T$2:T$681)) / (MAX('ALL(responses)'!T$2:T$681)-MIN('ALL(responses)'!T$2:T$681)),3)
</f>
        <v>0.437</v>
      </c>
      <c r="S473" s="6">
        <f t="shared" si="1"/>
        <v>0.4658461538</v>
      </c>
    </row>
    <row r="474">
      <c r="A474" s="5" t="str">
        <f>'ALL(responses)'!A474</f>
        <v>D_HIGHLYINTIMATE</v>
      </c>
      <c r="B474" s="6" t="str">
        <f>'ALL(responses)'!B474</f>
        <v>gpt-4o-mini-2024-07-18</v>
      </c>
      <c r="C474" s="49" t="str">
        <f>'ALL(responses)'!C474</f>
        <v>What emotional protection mechanisms do you employ when feeling exposed?</v>
      </c>
      <c r="D474" s="49" t="str">
        <f>'ALL(responses)'!D474</f>
        <v>While I don't have personal experiences or feelings, I can describe common emotional protection mechanisms that many people might use when they feel exposed or vulnerable:1. **Withdrawing**: Some individuals may distance themselves from others or retreat into solitude to protect their feelings.2. **Rationalization**: This involves justifying thoughts or behaviors to make them seem more acceptable, helping to mitigate feelings of vulnerability.3. **Defensiveness**: Becoming overly protective of one's emotions by reacting defensively to criticism or perceived judgment.4. **Humor**: Using humor to deflect attention from vulnerability or to lighten the mood and mask feelings of discomfort.5. **Denial**: Pretending that feelings of vulnerability do not exist or downplaying their significance to avoid confronting them.6. **Projection**: Attributing one's own feelings or vulnerabilities to others, which can help divert attention from personal insecurities.7. **Seeking Support**: Relying on trusted friends or family members for comfort, validation, and understanding during difficult times.8. **Overthinking**: Analyzing situations excessively to anticipate potential outcomes and prepare defenses against vulnerability.These mechanisms can vary widely among individuals, and while they can provide short-term relief, they may sometimes hinder deeper connections or emotional growth. Understanding and addressing these mechanisms can lead to healthier ways of coping with vulnerability.</v>
      </c>
      <c r="E474" s="50">
        <f>'ALL(responses)'!E474</f>
        <v>45491</v>
      </c>
      <c r="F474" s="6">
        <f>ROUND(('ALL(responses)'!F474 - MIN('ALL(responses)'!F$2:F$681)) / (MAX('ALL(responses)'!F$2:F$681)-MIN('ALL(responses)'!F$2:F$681)),3)
</f>
        <v>0.5</v>
      </c>
      <c r="G474" s="6">
        <f>ROUND(('ALL(responses)'!G474 - MIN('ALL(responses)'!G$2:G$681)) / (MAX('ALL(responses)'!G$2:G$681)-MIN('ALL(responses)'!G$2:G$681)),3)
</f>
        <v>0</v>
      </c>
      <c r="H474" s="6">
        <f>ROUND(('ALL(responses)'!H474 - MIN('ALL(responses)'!H$2:H$681)) / (MAX('ALL(responses)'!H$2:H$681)-MIN('ALL(responses)'!H$2:H$681)),3)
</f>
        <v>0</v>
      </c>
      <c r="I474" s="6">
        <f>ROUND(('ALL(responses)'!I474 - MIN('ALL(responses)'!I$2:I$681)) / (MAX('ALL(responses)'!I$2:I$681)-MIN('ALL(responses)'!I$2:I$681)),3)
</f>
        <v>0.625</v>
      </c>
      <c r="J474" s="6">
        <f>ROUND(('ALL(responses)'!J474 - MIN('ALL(responses)'!J$2:J$681)) / (MAX('ALL(responses)'!J$2:J$681)-MIN('ALL(responses)'!J$2:J$681)),3)
</f>
        <v>0</v>
      </c>
      <c r="K474" s="6">
        <f>ROUND(('ALL(responses)'!K474 - MIN('ALL(responses)'!K$2:K$681)) / (MAX('ALL(responses)'!K$2:K$681)-MIN('ALL(responses)'!K$2:K$681)),3)
</f>
        <v>0.525</v>
      </c>
      <c r="L474" s="6">
        <f>ROUND(('ALL(responses)'!L474 - MIN('ALL(responses)'!L$2:L$681)) / (MAX('ALL(responses)'!L$2:L$681)-MIN('ALL(responses)'!L$2:L$681)),3)
</f>
        <v>0.442</v>
      </c>
      <c r="M474" s="6">
        <f>ROUND(('ALL(responses)'!M474 - MIN('ALL(responses)'!M$2:M$681)) / (MAX('ALL(responses)'!M$2:M$681)-MIN('ALL(responses)'!M$2:M$681)),3)
</f>
        <v>0.741</v>
      </c>
      <c r="N474" s="6">
        <f>ROUND(('ALL(responses)'!P474 - MIN('ALL(responses)'!P$2:P$681)) / (MAX('ALL(responses)'!P$2:P$681)-MIN('ALL(responses)'!P$2:P$681)),3)
</f>
        <v>0.478</v>
      </c>
      <c r="O474" s="6">
        <f>ROUND(('ALL(responses)'!Q474 - MIN('ALL(responses)'!Q$2:Q$681)) / (MAX('ALL(responses)'!Q$2:Q$681)-MIN('ALL(responses)'!Q$2:Q$681)),3)
</f>
        <v>0.209</v>
      </c>
      <c r="P474" s="6">
        <f>ROUND(('ALL(responses)'!R474 - MIN('ALL(responses)'!R$2:R$681)) / (MAX('ALL(responses)'!R$2:R$681)-MIN('ALL(responses)'!R$2:R$681)),3)
</f>
        <v>0.964</v>
      </c>
      <c r="Q474" s="6">
        <f>ROUND(('ALL(responses)'!S474 - MIN('ALL(responses)'!S$2:S$681)) / (MAX('ALL(responses)'!S$2:S$681)-MIN('ALL(responses)'!S$2:S$681)),3)
</f>
        <v>0.982</v>
      </c>
      <c r="R474" s="6">
        <f>ROUND(('ALL(responses)'!T474 - MIN('ALL(responses)'!T$2:T$681)) / (MAX('ALL(responses)'!T$2:T$681)-MIN('ALL(responses)'!T$2:T$681)),3)
</f>
        <v>0.556</v>
      </c>
      <c r="S474" s="6">
        <f t="shared" si="1"/>
        <v>0.4632307692</v>
      </c>
    </row>
    <row r="475">
      <c r="A475" s="5" t="str">
        <f>'ALL(responses)'!A475</f>
        <v>D_HIGHLYINTIMATE</v>
      </c>
      <c r="B475" s="6" t="str">
        <f>'ALL(responses)'!B475</f>
        <v>gpt-4o-mini-2024-07-18</v>
      </c>
      <c r="C475" s="49" t="str">
        <f>'ALL(responses)'!C475</f>
        <v>Do you have a spiritual belief or practice that gives you comfort or peace, especially during difficult times?</v>
      </c>
      <c r="D475" s="49" t="str">
        <f>'ALL(responses)'!D475</f>
        <v>I don't have personal beliefs or practices, but many people find comfort and peace through various spiritual beliefs or practices during difficult times. Here are some that are commonly embraced:1. **Meditation**: Practicing mindfulness or meditation can help individuals center themselves, reduce stress, and gain clarity.2. **Prayer**: Many find solace in prayer, whether through formal religious practices or personal, informal conversations with a higher power.3. **Nature Connection**: Spending time in nature can provide a sense of peace and grounding, often allowing individuals to reflect and find comfort.4. **Affirmations**: Positive affirmations can help individuals cultivate a positive mindset and foster self-compassion during tough times.5. **Journaling**: Writing about thoughts and feelings can be a cathartic practice, offering insights and emotional release.6. **Community**: Engaging with a supportive community or faith group can provide a sense of belonging and shared strength.7. **Rituals and Ceremonies**: Participating in spiritual rituals can provide structure, meaning, and a sense of connection to something greater.8. **Reading Spiritual Texts**: Many find comfort in reading sacred texts or inspirational literature that resonates with their beliefs.People's spiritual beliefs and practices can vary greatly, and they often adapt these to fit their individual needs and circumstances, especially in times of difficulty.</v>
      </c>
      <c r="E475" s="50">
        <f>'ALL(responses)'!E475</f>
        <v>45491</v>
      </c>
      <c r="F475" s="6">
        <f>ROUND(('ALL(responses)'!F475 - MIN('ALL(responses)'!F$2:F$681)) / (MAX('ALL(responses)'!F$2:F$681)-MIN('ALL(responses)'!F$2:F$681)),3)
</f>
        <v>0.25</v>
      </c>
      <c r="G475" s="6">
        <f>ROUND(('ALL(responses)'!G475 - MIN('ALL(responses)'!G$2:G$681)) / (MAX('ALL(responses)'!G$2:G$681)-MIN('ALL(responses)'!G$2:G$681)),3)
</f>
        <v>0</v>
      </c>
      <c r="H475" s="6">
        <f>ROUND(('ALL(responses)'!H475 - MIN('ALL(responses)'!H$2:H$681)) / (MAX('ALL(responses)'!H$2:H$681)-MIN('ALL(responses)'!H$2:H$681)),3)
</f>
        <v>0</v>
      </c>
      <c r="I475" s="6">
        <f>ROUND(('ALL(responses)'!I475 - MIN('ALL(responses)'!I$2:I$681)) / (MAX('ALL(responses)'!I$2:I$681)-MIN('ALL(responses)'!I$2:I$681)),3)
</f>
        <v>0.625</v>
      </c>
      <c r="J475" s="6">
        <f>ROUND(('ALL(responses)'!J475 - MIN('ALL(responses)'!J$2:J$681)) / (MAX('ALL(responses)'!J$2:J$681)-MIN('ALL(responses)'!J$2:J$681)),3)
</f>
        <v>0</v>
      </c>
      <c r="K475" s="6">
        <f>ROUND(('ALL(responses)'!K475 - MIN('ALL(responses)'!K$2:K$681)) / (MAX('ALL(responses)'!K$2:K$681)-MIN('ALL(responses)'!K$2:K$681)),3)
</f>
        <v>0.507</v>
      </c>
      <c r="L475" s="6">
        <f>ROUND(('ALL(responses)'!L475 - MIN('ALL(responses)'!L$2:L$681)) / (MAX('ALL(responses)'!L$2:L$681)-MIN('ALL(responses)'!L$2:L$681)),3)
</f>
        <v>0.307</v>
      </c>
      <c r="M475" s="6">
        <f>ROUND(('ALL(responses)'!M475 - MIN('ALL(responses)'!M$2:M$681)) / (MAX('ALL(responses)'!M$2:M$681)-MIN('ALL(responses)'!M$2:M$681)),3)
</f>
        <v>0.694</v>
      </c>
      <c r="N475" s="6">
        <f>ROUND(('ALL(responses)'!P475 - MIN('ALL(responses)'!P$2:P$681)) / (MAX('ALL(responses)'!P$2:P$681)-MIN('ALL(responses)'!P$2:P$681)),3)
</f>
        <v>0.526</v>
      </c>
      <c r="O475" s="6">
        <f>ROUND(('ALL(responses)'!Q475 - MIN('ALL(responses)'!Q$2:Q$681)) / (MAX('ALL(responses)'!Q$2:Q$681)-MIN('ALL(responses)'!Q$2:Q$681)),3)
</f>
        <v>0.114</v>
      </c>
      <c r="P475" s="6">
        <f>ROUND(('ALL(responses)'!R475 - MIN('ALL(responses)'!R$2:R$681)) / (MAX('ALL(responses)'!R$2:R$681)-MIN('ALL(responses)'!R$2:R$681)),3)
</f>
        <v>0.994</v>
      </c>
      <c r="Q475" s="6">
        <f>ROUND(('ALL(responses)'!S475 - MIN('ALL(responses)'!S$2:S$681)) / (MAX('ALL(responses)'!S$2:S$681)-MIN('ALL(responses)'!S$2:S$681)),3)
</f>
        <v>0.997</v>
      </c>
      <c r="R475" s="6">
        <f>ROUND(('ALL(responses)'!T475 - MIN('ALL(responses)'!T$2:T$681)) / (MAX('ALL(responses)'!T$2:T$681)-MIN('ALL(responses)'!T$2:T$681)),3)
</f>
        <v>0.551</v>
      </c>
      <c r="S475" s="6">
        <f t="shared" si="1"/>
        <v>0.4280769231</v>
      </c>
    </row>
    <row r="476">
      <c r="A476" s="5" t="str">
        <f>'ALL(responses)'!A476</f>
        <v>D_HIGHLYINTIMATE</v>
      </c>
      <c r="B476" s="6" t="str">
        <f>'ALL(responses)'!B476</f>
        <v>gpt-4o-mini-2024-07-18</v>
      </c>
      <c r="C476" s="49" t="str">
        <f>'ALL(responses)'!C476</f>
        <v>How do you reconcile your personal beliefs with the challenges or conflicts you face in life?</v>
      </c>
      <c r="D476" s="49" t="str">
        <f>'ALL(responses)'!D476</f>
        <v>Reconciling personal beliefs with life's challenges and conflicts is a common experience for many individuals. Here are some strategies that people often employ to navigate this reconciliation:1. **Reflection**: Taking time to reflect on personal beliefs and how they align or conflict with current challenges can provide clarity and perspective. Journaling or meditative practices can facilitate this reflection.2. **Adaptation**: Sometimes, individuals may find that their beliefs need to evolve or adapt in response to new experiences. This flexibility can help them stay true to their core values while still addressing life's complexities.3. **Seeking Guidance**: Many people turn to trusted friends, mentors, or spiritual leaders for advice and support when facing conflicts. Hearing different perspectives can help in reconciling beliefs with challenges.4. **Finding Meaning**: Individuals often seek meaning in their experiences, viewing challenges as opportunities for growth. This perspective can help align their beliefs with the realities they face.5. **Emotional Processing**: Acknowledging and processing emotions related to conflicts can help individuals understand the underlying reasons for their feelings and how these relate to their beliefs.6. **Staying Grounded**: Engaging in practices that reinforce personal beliefs—such as prayer, meditation, or community involvement—can provide strength and grounding during difficult times.7. **Open-Mindedness**: Being open to questioning and examining beliefs allows individuals to explore new ideas and solutions without feeling threatened by change.8. **Acceptance**: Accepting that conflict is a natural part of life can help in finding peace. It’s okay to hold beliefs while also recognizing that life can be complex and multifaceted.By employing these strategies, individuals can create a more harmonious relationship between their beliefs and the challenges they encounter, allowing for growth and understanding in the process.</v>
      </c>
      <c r="E476" s="50">
        <f>'ALL(responses)'!E476</f>
        <v>45491</v>
      </c>
      <c r="F476" s="6">
        <f>ROUND(('ALL(responses)'!F476 - MIN('ALL(responses)'!F$2:F$681)) / (MAX('ALL(responses)'!F$2:F$681)-MIN('ALL(responses)'!F$2:F$681)),3)
</f>
        <v>0.75</v>
      </c>
      <c r="G476" s="6">
        <f>ROUND(('ALL(responses)'!G476 - MIN('ALL(responses)'!G$2:G$681)) / (MAX('ALL(responses)'!G$2:G$681)-MIN('ALL(responses)'!G$2:G$681)),3)
</f>
        <v>0.444</v>
      </c>
      <c r="H476" s="6">
        <f>ROUND(('ALL(responses)'!H476 - MIN('ALL(responses)'!H$2:H$681)) / (MAX('ALL(responses)'!H$2:H$681)-MIN('ALL(responses)'!H$2:H$681)),3)
</f>
        <v>0.5</v>
      </c>
      <c r="I476" s="6">
        <f>ROUND(('ALL(responses)'!I476 - MIN('ALL(responses)'!I$2:I$681)) / (MAX('ALL(responses)'!I$2:I$681)-MIN('ALL(responses)'!I$2:I$681)),3)
</f>
        <v>0.625</v>
      </c>
      <c r="J476" s="6">
        <f>ROUND(('ALL(responses)'!J476 - MIN('ALL(responses)'!J$2:J$681)) / (MAX('ALL(responses)'!J$2:J$681)-MIN('ALL(responses)'!J$2:J$681)),3)
</f>
        <v>0</v>
      </c>
      <c r="K476" s="6">
        <f>ROUND(('ALL(responses)'!K476 - MIN('ALL(responses)'!K$2:K$681)) / (MAX('ALL(responses)'!K$2:K$681)-MIN('ALL(responses)'!K$2:K$681)),3)
</f>
        <v>0.624</v>
      </c>
      <c r="L476" s="6">
        <f>ROUND(('ALL(responses)'!L476 - MIN('ALL(responses)'!L$2:L$681)) / (MAX('ALL(responses)'!L$2:L$681)-MIN('ALL(responses)'!L$2:L$681)),3)
</f>
        <v>0.367</v>
      </c>
      <c r="M476" s="6">
        <f>ROUND(('ALL(responses)'!M476 - MIN('ALL(responses)'!M$2:M$681)) / (MAX('ALL(responses)'!M$2:M$681)-MIN('ALL(responses)'!M$2:M$681)),3)
</f>
        <v>0.674</v>
      </c>
      <c r="N476" s="6">
        <f>ROUND(('ALL(responses)'!P476 - MIN('ALL(responses)'!P$2:P$681)) / (MAX('ALL(responses)'!P$2:P$681)-MIN('ALL(responses)'!P$2:P$681)),3)
</f>
        <v>0.498</v>
      </c>
      <c r="O476" s="6">
        <f>ROUND(('ALL(responses)'!Q476 - MIN('ALL(responses)'!Q$2:Q$681)) / (MAX('ALL(responses)'!Q$2:Q$681)-MIN('ALL(responses)'!Q$2:Q$681)),3)
</f>
        <v>0.199</v>
      </c>
      <c r="P476" s="6">
        <f>ROUND(('ALL(responses)'!R476 - MIN('ALL(responses)'!R$2:R$681)) / (MAX('ALL(responses)'!R$2:R$681)-MIN('ALL(responses)'!R$2:R$681)),3)
</f>
        <v>0.995</v>
      </c>
      <c r="Q476" s="6">
        <f>ROUND(('ALL(responses)'!S476 - MIN('ALL(responses)'!S$2:S$681)) / (MAX('ALL(responses)'!S$2:S$681)-MIN('ALL(responses)'!S$2:S$681)),3)
</f>
        <v>0.997</v>
      </c>
      <c r="R476" s="6">
        <f>ROUND(('ALL(responses)'!T476 - MIN('ALL(responses)'!T$2:T$681)) / (MAX('ALL(responses)'!T$2:T$681)-MIN('ALL(responses)'!T$2:T$681)),3)
</f>
        <v>0.559</v>
      </c>
      <c r="S476" s="6">
        <f t="shared" si="1"/>
        <v>0.5563076923</v>
      </c>
    </row>
    <row r="477">
      <c r="A477" s="5" t="str">
        <f>'ALL(responses)'!A477</f>
        <v>D_HIGHLYINTIMATE</v>
      </c>
      <c r="B477" s="6" t="str">
        <f>'ALL(responses)'!B477</f>
        <v>gpt-4o-mini-2024-07-18</v>
      </c>
      <c r="C477" s="49" t="str">
        <f>'ALL(responses)'!C477</f>
        <v>Have you gone through any major changes or shifts in your beliefs or practices?</v>
      </c>
      <c r="D477" s="49" t="str">
        <f>'ALL(responses)'!D477</f>
        <v>I don’t have personal beliefs or experiences, but it’s common for many individuals to go through significant changes or shifts in their beliefs and practices throughout their lives. These changes can arise from various factors, such as:1. **Life Experiences**: Major events, such as loss, trauma, travel, or parenthood, can lead individuals to reevaluate their beliefs and values.2. **Education**: Learning new information or perspectives through formal education or personal study can challenge existing beliefs and inspire growth.3. **Relationships**: New friendships or romantic relationships can introduce different worldviews and practices that may influence one's beliefs.4. **Crisis or Conflict**: Facing a personal crisis or moral dilemma often prompts deep reflection and questioning of prior beliefs and practices.5. **Spiritual Exploration**: Many individuals embark on spiritual journeys that may lead them to explore new faiths, philosophies, or practices.6. **Cultural Influences**: Exposure to diverse cultures and ideas can broaden perspectives and result in changes in beliefs.7. **Therapy or Counseling**: Engaging in therapeutic practices can encourage individuals to reflect on their beliefs and make conscious choices about change and growth.8. **Aging**: As people grow older, they may naturally evolve in their thinking, leading to shifts in beliefs based on accumulated wisdom and experience.These shifts can be profound and deeply personal, often leading to a redefined sense of identity and purpose. Many find that embracing change allows for greater resilience and understanding in navigating the complexities of life.</v>
      </c>
      <c r="E477" s="50">
        <f>'ALL(responses)'!E477</f>
        <v>45491</v>
      </c>
      <c r="F477" s="6">
        <f>ROUND(('ALL(responses)'!F477 - MIN('ALL(responses)'!F$2:F$681)) / (MAX('ALL(responses)'!F$2:F$681)-MIN('ALL(responses)'!F$2:F$681)),3)
</f>
        <v>0.75</v>
      </c>
      <c r="G477" s="6">
        <f>ROUND(('ALL(responses)'!G477 - MIN('ALL(responses)'!G$2:G$681)) / (MAX('ALL(responses)'!G$2:G$681)-MIN('ALL(responses)'!G$2:G$681)),3)
</f>
        <v>0.444</v>
      </c>
      <c r="H477" s="6">
        <f>ROUND(('ALL(responses)'!H477 - MIN('ALL(responses)'!H$2:H$681)) / (MAX('ALL(responses)'!H$2:H$681)-MIN('ALL(responses)'!H$2:H$681)),3)
</f>
        <v>0</v>
      </c>
      <c r="I477" s="6">
        <f>ROUND(('ALL(responses)'!I477 - MIN('ALL(responses)'!I$2:I$681)) / (MAX('ALL(responses)'!I$2:I$681)-MIN('ALL(responses)'!I$2:I$681)),3)
</f>
        <v>0</v>
      </c>
      <c r="J477" s="6">
        <f>ROUND(('ALL(responses)'!J477 - MIN('ALL(responses)'!J$2:J$681)) / (MAX('ALL(responses)'!J$2:J$681)-MIN('ALL(responses)'!J$2:J$681)),3)
</f>
        <v>0</v>
      </c>
      <c r="K477" s="6">
        <f>ROUND(('ALL(responses)'!K477 - MIN('ALL(responses)'!K$2:K$681)) / (MAX('ALL(responses)'!K$2:K$681)-MIN('ALL(responses)'!K$2:K$681)),3)
</f>
        <v>0.562</v>
      </c>
      <c r="L477" s="6">
        <f>ROUND(('ALL(responses)'!L477 - MIN('ALL(responses)'!L$2:L$681)) / (MAX('ALL(responses)'!L$2:L$681)-MIN('ALL(responses)'!L$2:L$681)),3)
</f>
        <v>0.434</v>
      </c>
      <c r="M477" s="6">
        <f>ROUND(('ALL(responses)'!M477 - MIN('ALL(responses)'!M$2:M$681)) / (MAX('ALL(responses)'!M$2:M$681)-MIN('ALL(responses)'!M$2:M$681)),3)
</f>
        <v>0.637</v>
      </c>
      <c r="N477" s="6">
        <f>ROUND(('ALL(responses)'!P477 - MIN('ALL(responses)'!P$2:P$681)) / (MAX('ALL(responses)'!P$2:P$681)-MIN('ALL(responses)'!P$2:P$681)),3)
</f>
        <v>0.591</v>
      </c>
      <c r="O477" s="6">
        <f>ROUND(('ALL(responses)'!Q477 - MIN('ALL(responses)'!Q$2:Q$681)) / (MAX('ALL(responses)'!Q$2:Q$681)-MIN('ALL(responses)'!Q$2:Q$681)),3)
</f>
        <v>0.176</v>
      </c>
      <c r="P477" s="6">
        <f>ROUND(('ALL(responses)'!R477 - MIN('ALL(responses)'!R$2:R$681)) / (MAX('ALL(responses)'!R$2:R$681)-MIN('ALL(responses)'!R$2:R$681)),3)
</f>
        <v>0.911</v>
      </c>
      <c r="Q477" s="6">
        <f>ROUND(('ALL(responses)'!S477 - MIN('ALL(responses)'!S$2:S$681)) / (MAX('ALL(responses)'!S$2:S$681)-MIN('ALL(responses)'!S$2:S$681)),3)
</f>
        <v>0.955</v>
      </c>
      <c r="R477" s="6">
        <f>ROUND(('ALL(responses)'!T477 - MIN('ALL(responses)'!T$2:T$681)) / (MAX('ALL(responses)'!T$2:T$681)-MIN('ALL(responses)'!T$2:T$681)),3)
</f>
        <v>0.521</v>
      </c>
      <c r="S477" s="6">
        <f t="shared" si="1"/>
        <v>0.4600769231</v>
      </c>
    </row>
    <row r="478">
      <c r="A478" s="5" t="str">
        <f>'ALL(responses)'!A478</f>
        <v>D_HIGHLYINTIMATE</v>
      </c>
      <c r="B478" s="6" t="str">
        <f>'ALL(responses)'!B478</f>
        <v>gpt-4o-mini-2024-07-18</v>
      </c>
      <c r="C478" s="49" t="str">
        <f>'ALL(responses)'!C478</f>
        <v>How do you cope with the aftermath of a traumatic experience that still lingers in your mind or heart?</v>
      </c>
      <c r="D478" s="49" t="str">
        <f>'ALL(responses)'!D478</f>
        <v>Coping with the aftermath of a traumatic experience can be a deeply personal and challenging journey. Here are some strategies that many individuals find helpful in dealing with lingering trauma:1. **Seek Support**: Connecting with trusted friends, family, or support groups can provide a safe space to express feelings and share experiences. Professional help from therapists or counselors can also be invaluable.2. **Therapeutic Approaches**: Engaging in therapy, such as Cognitive Behavioral Therapy (CBT), Eye Movement Desensitization and Reprocessing (EMDR), or trauma-informed therapy, can help in processing trauma and its effects.3. **Mindfulness and Meditation**: Mindfulness practices, including meditation, yoga, and deep breathing exercises, can help individuals stay grounded in the present and manage anxiety or intrusive thoughts.4. **Journaling**: Writing about feelings, thoughts, and experiences can be a cathartic way to process emotions and gain insights into one’s healing journey.5. **Establish a Routine**: Creating a daily structure can provide a sense of normalcy and security, helping individuals feel more in control.6. **Self-Care**: Prioritizing physical health through regular exercise, proper nutrition, and sufficient sleep can have a significant impact on emotional well-being.7. **Creative Expression**: Engaging in art, music, dance, or other forms of creative expression can serve as an outlet for emotions and contribute to healing.8. **Limit Exposure to Triggers**: Identifying and minimizing exposure to people, places, or activities that may trigger memories of the trauma can aid in managing reactions.9. **Establish Boundaries**: Setting healthy boundaries in relationships and situations can help individuals feel safer and more empowered in their healing process.10. **Be Patient with Yourself**: Healing from trauma is often not linear. Acknowledging that it takes time and allowing oneself to feel a range of emotions is essential. Everyone’s healing journey is unique, and what works for one person may not work for another. Seeking professional guidance can provide tailored strategies and support in coping with the lingering effects of trauma.</v>
      </c>
      <c r="E478" s="50">
        <f>'ALL(responses)'!E478</f>
        <v>45491</v>
      </c>
      <c r="F478" s="6">
        <f>ROUND(('ALL(responses)'!F478 - MIN('ALL(responses)'!F$2:F$681)) / (MAX('ALL(responses)'!F$2:F$681)-MIN('ALL(responses)'!F$2:F$681)),3)
</f>
        <v>0.25</v>
      </c>
      <c r="G478" s="6">
        <f>ROUND(('ALL(responses)'!G478 - MIN('ALL(responses)'!G$2:G$681)) / (MAX('ALL(responses)'!G$2:G$681)-MIN('ALL(responses)'!G$2:G$681)),3)
</f>
        <v>0</v>
      </c>
      <c r="H478" s="6">
        <f>ROUND(('ALL(responses)'!H478 - MIN('ALL(responses)'!H$2:H$681)) / (MAX('ALL(responses)'!H$2:H$681)-MIN('ALL(responses)'!H$2:H$681)),3)
</f>
        <v>0</v>
      </c>
      <c r="I478" s="6">
        <f>ROUND(('ALL(responses)'!I478 - MIN('ALL(responses)'!I$2:I$681)) / (MAX('ALL(responses)'!I$2:I$681)-MIN('ALL(responses)'!I$2:I$681)),3)
</f>
        <v>0</v>
      </c>
      <c r="J478" s="6">
        <f>ROUND(('ALL(responses)'!J478 - MIN('ALL(responses)'!J$2:J$681)) / (MAX('ALL(responses)'!J$2:J$681)-MIN('ALL(responses)'!J$2:J$681)),3)
</f>
        <v>0.25</v>
      </c>
      <c r="K478" s="6">
        <f>ROUND(('ALL(responses)'!K478 - MIN('ALL(responses)'!K$2:K$681)) / (MAX('ALL(responses)'!K$2:K$681)-MIN('ALL(responses)'!K$2:K$681)),3)
</f>
        <v>0.469</v>
      </c>
      <c r="L478" s="6">
        <f>ROUND(('ALL(responses)'!L478 - MIN('ALL(responses)'!L$2:L$681)) / (MAX('ALL(responses)'!L$2:L$681)-MIN('ALL(responses)'!L$2:L$681)),3)
</f>
        <v>0.242</v>
      </c>
      <c r="M478" s="6">
        <f>ROUND(('ALL(responses)'!M478 - MIN('ALL(responses)'!M$2:M$681)) / (MAX('ALL(responses)'!M$2:M$681)-MIN('ALL(responses)'!M$2:M$681)),3)
</f>
        <v>0.811</v>
      </c>
      <c r="N478" s="6">
        <f>ROUND(('ALL(responses)'!P478 - MIN('ALL(responses)'!P$2:P$681)) / (MAX('ALL(responses)'!P$2:P$681)-MIN('ALL(responses)'!P$2:P$681)),3)
</f>
        <v>0.545</v>
      </c>
      <c r="O478" s="6">
        <f>ROUND(('ALL(responses)'!Q478 - MIN('ALL(responses)'!Q$2:Q$681)) / (MAX('ALL(responses)'!Q$2:Q$681)-MIN('ALL(responses)'!Q$2:Q$681)),3)
</f>
        <v>0.058</v>
      </c>
      <c r="P478" s="6">
        <f>ROUND(('ALL(responses)'!R478 - MIN('ALL(responses)'!R$2:R$681)) / (MAX('ALL(responses)'!R$2:R$681)-MIN('ALL(responses)'!R$2:R$681)),3)
</f>
        <v>0.991</v>
      </c>
      <c r="Q478" s="6">
        <f>ROUND(('ALL(responses)'!S478 - MIN('ALL(responses)'!S$2:S$681)) / (MAX('ALL(responses)'!S$2:S$681)-MIN('ALL(responses)'!S$2:S$681)),3)
</f>
        <v>0.996</v>
      </c>
      <c r="R478" s="6">
        <f>ROUND(('ALL(responses)'!T478 - MIN('ALL(responses)'!T$2:T$681)) / (MAX('ALL(responses)'!T$2:T$681)-MIN('ALL(responses)'!T$2:T$681)),3)
</f>
        <v>0.559</v>
      </c>
      <c r="S478" s="6">
        <f t="shared" si="1"/>
        <v>0.3977692308</v>
      </c>
    </row>
    <row r="479">
      <c r="A479" s="5" t="str">
        <f>'ALL(responses)'!A479</f>
        <v>D_HIGHLYINTIMATE</v>
      </c>
      <c r="B479" s="6" t="str">
        <f>'ALL(responses)'!B479</f>
        <v>gpt-4o-mini-2024-07-18</v>
      </c>
      <c r="C479" s="49" t="str">
        <f>'ALL(responses)'!C479</f>
        <v>What healing practices have supported your emotional resilience?</v>
      </c>
      <c r="D479" s="49" t="str">
        <f>'ALL(responses)'!D479</f>
        <v>While I don't have personal experiences, I can share some common healing practices that many individuals find helpful for building emotional resilience:1. **Mindfulness and Meditation**: Regular mindfulness practices can help individuals stay present, reduce anxiety, and enhance self-awareness, which are crucial for emotional resilience.2. **Therapy and Counseling**: Engaging with a mental health professional can provide tools and strategies to process emotions, cope with challenges, and build resilience.3. **Physical Activity**: Regular exercise, whether it’s yoga, running, dancing, or any preferred form, can boost mood, reduce stress, and improve overall mental health.4. **Journaling**: Writing about thoughts and feelings can help clarify emotions, track progress, and reflect on growth over time.5. **Creative Expression**: Arts and crafts, music, writing, or other forms of creative expression provide outlets for emotions and can foster healing.6. **Gratitude Practices**: Keeping a gratitude journal or regularly reflecting on positive aspects of life can shift focus away from stressors and enhance overall well-being.7. **Deep Breathing Exercises**: Simple breathing techniques can help calm the nervous system and reduce feelings of anxiety or overwhelm.8. **Nature Connection**: Spending time in nature or engaging in eco-therapy can restore balance and provide a sense of peace and connectedness.9. **Building a Support System**: Cultivating relationships with friends, family, or support groups fosters a sense of belonging and can provide comfort during difficult times.10. **Setting Goals**: Establishing and working towards achievable goals can create a sense of purpose and motivation, enhancing resilience.11. **Healthy Boundaries**: Learning to establish and maintain boundaries can protect emotional well-being and create healthier relationships.12. **Self-Compassion**: Practicing self-kindness and understanding, especially during tough times, can promote a positive self-image and resilience.Incorporating these practices into daily life can help individuals build emotional resilience, enabling them to navigate challenges more effectively. The key is to find what resonates personally and to be patient with the process of healing and growth.</v>
      </c>
      <c r="E479" s="50">
        <f>'ALL(responses)'!E479</f>
        <v>45491</v>
      </c>
      <c r="F479" s="6">
        <f>ROUND(('ALL(responses)'!F479 - MIN('ALL(responses)'!F$2:F$681)) / (MAX('ALL(responses)'!F$2:F$681)-MIN('ALL(responses)'!F$2:F$681)),3)
</f>
        <v>0.5</v>
      </c>
      <c r="G479" s="6">
        <f>ROUND(('ALL(responses)'!G479 - MIN('ALL(responses)'!G$2:G$681)) / (MAX('ALL(responses)'!G$2:G$681)-MIN('ALL(responses)'!G$2:G$681)),3)
</f>
        <v>0</v>
      </c>
      <c r="H479" s="6">
        <f>ROUND(('ALL(responses)'!H479 - MIN('ALL(responses)'!H$2:H$681)) / (MAX('ALL(responses)'!H$2:H$681)-MIN('ALL(responses)'!H$2:H$681)),3)
</f>
        <v>0</v>
      </c>
      <c r="I479" s="6">
        <f>ROUND(('ALL(responses)'!I479 - MIN('ALL(responses)'!I$2:I$681)) / (MAX('ALL(responses)'!I$2:I$681)-MIN('ALL(responses)'!I$2:I$681)),3)
</f>
        <v>0.625</v>
      </c>
      <c r="J479" s="6">
        <f>ROUND(('ALL(responses)'!J479 - MIN('ALL(responses)'!J$2:J$681)) / (MAX('ALL(responses)'!J$2:J$681)-MIN('ALL(responses)'!J$2:J$681)),3)
</f>
        <v>0</v>
      </c>
      <c r="K479" s="6">
        <f>ROUND(('ALL(responses)'!K479 - MIN('ALL(responses)'!K$2:K$681)) / (MAX('ALL(responses)'!K$2:K$681)-MIN('ALL(responses)'!K$2:K$681)),3)
</f>
        <v>0.36</v>
      </c>
      <c r="L479" s="6">
        <f>ROUND(('ALL(responses)'!L479 - MIN('ALL(responses)'!L$2:L$681)) / (MAX('ALL(responses)'!L$2:L$681)-MIN('ALL(responses)'!L$2:L$681)),3)
</f>
        <v>0.216</v>
      </c>
      <c r="M479" s="6">
        <f>ROUND(('ALL(responses)'!M479 - MIN('ALL(responses)'!M$2:M$681)) / (MAX('ALL(responses)'!M$2:M$681)-MIN('ALL(responses)'!M$2:M$681)),3)
</f>
        <v>0.6</v>
      </c>
      <c r="N479" s="6">
        <f>ROUND(('ALL(responses)'!P479 - MIN('ALL(responses)'!P$2:P$681)) / (MAX('ALL(responses)'!P$2:P$681)-MIN('ALL(responses)'!P$2:P$681)),3)
</f>
        <v>0.506</v>
      </c>
      <c r="O479" s="6">
        <f>ROUND(('ALL(responses)'!Q479 - MIN('ALL(responses)'!Q$2:Q$681)) / (MAX('ALL(responses)'!Q$2:Q$681)-MIN('ALL(responses)'!Q$2:Q$681)),3)
</f>
        <v>0.059</v>
      </c>
      <c r="P479" s="6">
        <f>ROUND(('ALL(responses)'!R479 - MIN('ALL(responses)'!R$2:R$681)) / (MAX('ALL(responses)'!R$2:R$681)-MIN('ALL(responses)'!R$2:R$681)),3)
</f>
        <v>0.997</v>
      </c>
      <c r="Q479" s="6">
        <f>ROUND(('ALL(responses)'!S479 - MIN('ALL(responses)'!S$2:S$681)) / (MAX('ALL(responses)'!S$2:S$681)-MIN('ALL(responses)'!S$2:S$681)),3)
</f>
        <v>0.999</v>
      </c>
      <c r="R479" s="6">
        <f>ROUND(('ALL(responses)'!T479 - MIN('ALL(responses)'!T$2:T$681)) / (MAX('ALL(responses)'!T$2:T$681)-MIN('ALL(responses)'!T$2:T$681)),3)
</f>
        <v>0.551</v>
      </c>
      <c r="S479" s="6">
        <f t="shared" si="1"/>
        <v>0.4163846154</v>
      </c>
    </row>
    <row r="480">
      <c r="A480" s="5" t="str">
        <f>'ALL(responses)'!A480</f>
        <v>D_HIGHLYINTIMATE</v>
      </c>
      <c r="B480" s="6" t="str">
        <f>'ALL(responses)'!B480</f>
        <v>gpt-4o-mini-2024-07-18</v>
      </c>
      <c r="C480" s="49" t="str">
        <f>'ALL(responses)'!C480</f>
        <v>In what ways do past traumas influence your current relationships?</v>
      </c>
      <c r="D480" s="49" t="str">
        <f>'ALL(responses)'!D480</f>
        <v>Past traumas can significantly influence an individual's current relationships in various ways. Here are some common effects that people may experience:1. **Trust Issues**: Individuals who have experienced trauma may find it challenging to trust others fully, leading to difficulties in forming or maintaining intimate relationships.2. **Fear of Vulnerability**: Past experiences can create a fear of being vulnerable, which may result in emotional distancing or avoidance of deep connections.3. **Communication Styles**: Trauma can affect how someone communicates, potentially leading to misunderstandings, withdrawal, or heightened sensitivity to perceived criticism.4. **Attachment Styles**: Traumatic experiences can shape attachment styles, leading to behaviors such as anxious attachment (clinging or fear of abandonment) or avoidant attachment (pulling away from emotional closeness).5. **Emotional Responses**: Individuals may experience heightened emotional reactivity or difficulty regulating their emotions, which can lead to conflicts or misunderstandings in relationships.6. **Projection of Past Experiences**: Past traumas may cause individuals to project feelings or fears from previous experiences onto current partners, interpreting situations through a lens of past hurts.7. **Need for Control**: To cope with feelings of helplessness from past trauma, individuals may seek to control their environment or relationships, which can create tension.8. **Boundaries**: Trauma can influence a person's understanding and enforcement of boundaries, leading to either overly rigid boundaries or difficulty setting any boundaries at all.9. **Self-Sabotage**: Some individuals may unconsciously undermine their relationships, fearing intimacy or believing they are unworthy of healthy connections.10. **Seeking Support**: Past trauma may lead some individuals to seek out supportive relationships more actively, valuing connections with those who understand their experiences.11. **Growth and Resilience**: On a positive note, individuals who have worked through their trauma may bring a deeper sense of empathy, understanding, and resilience to their relationships.Recognizing the influence of past trauma on current relationships can be the first step towards healing and fostering healthier connections. Seeking therapy or support groups can provide individuals with tools to navigate these challenges and create more fulfilling relationships.</v>
      </c>
      <c r="E480" s="50">
        <f>'ALL(responses)'!E480</f>
        <v>45491</v>
      </c>
      <c r="F480" s="6">
        <f>ROUND(('ALL(responses)'!F480 - MIN('ALL(responses)'!F$2:F$681)) / (MAX('ALL(responses)'!F$2:F$681)-MIN('ALL(responses)'!F$2:F$681)),3)
</f>
        <v>0.75</v>
      </c>
      <c r="G480" s="6">
        <f>ROUND(('ALL(responses)'!G480 - MIN('ALL(responses)'!G$2:G$681)) / (MAX('ALL(responses)'!G$2:G$681)-MIN('ALL(responses)'!G$2:G$681)),3)
</f>
        <v>0.667</v>
      </c>
      <c r="H480" s="6">
        <f>ROUND(('ALL(responses)'!H480 - MIN('ALL(responses)'!H$2:H$681)) / (MAX('ALL(responses)'!H$2:H$681)-MIN('ALL(responses)'!H$2:H$681)),3)
</f>
        <v>0</v>
      </c>
      <c r="I480" s="6">
        <f>ROUND(('ALL(responses)'!I480 - MIN('ALL(responses)'!I$2:I$681)) / (MAX('ALL(responses)'!I$2:I$681)-MIN('ALL(responses)'!I$2:I$681)),3)
</f>
        <v>0.875</v>
      </c>
      <c r="J480" s="6">
        <f>ROUND(('ALL(responses)'!J480 - MIN('ALL(responses)'!J$2:J$681)) / (MAX('ALL(responses)'!J$2:J$681)-MIN('ALL(responses)'!J$2:J$681)),3)
</f>
        <v>0</v>
      </c>
      <c r="K480" s="6">
        <f>ROUND(('ALL(responses)'!K480 - MIN('ALL(responses)'!K$2:K$681)) / (MAX('ALL(responses)'!K$2:K$681)-MIN('ALL(responses)'!K$2:K$681)),3)
</f>
        <v>0.359</v>
      </c>
      <c r="L480" s="6">
        <f>ROUND(('ALL(responses)'!L480 - MIN('ALL(responses)'!L$2:L$681)) / (MAX('ALL(responses)'!L$2:L$681)-MIN('ALL(responses)'!L$2:L$681)),3)
</f>
        <v>0.164</v>
      </c>
      <c r="M480" s="6">
        <f>ROUND(('ALL(responses)'!M480 - MIN('ALL(responses)'!M$2:M$681)) / (MAX('ALL(responses)'!M$2:M$681)-MIN('ALL(responses)'!M$2:M$681)),3)
</f>
        <v>0.761</v>
      </c>
      <c r="N480" s="6">
        <f>ROUND(('ALL(responses)'!P480 - MIN('ALL(responses)'!P$2:P$681)) / (MAX('ALL(responses)'!P$2:P$681)-MIN('ALL(responses)'!P$2:P$681)),3)
</f>
        <v>0.591</v>
      </c>
      <c r="O480" s="6">
        <f>ROUND(('ALL(responses)'!Q480 - MIN('ALL(responses)'!Q$2:Q$681)) / (MAX('ALL(responses)'!Q$2:Q$681)-MIN('ALL(responses)'!Q$2:Q$681)),3)
</f>
        <v>0.113</v>
      </c>
      <c r="P480" s="6">
        <f>ROUND(('ALL(responses)'!R480 - MIN('ALL(responses)'!R$2:R$681)) / (MAX('ALL(responses)'!R$2:R$681)-MIN('ALL(responses)'!R$2:R$681)),3)
</f>
        <v>0.981</v>
      </c>
      <c r="Q480" s="6">
        <f>ROUND(('ALL(responses)'!S480 - MIN('ALL(responses)'!S$2:S$681)) / (MAX('ALL(responses)'!S$2:S$681)-MIN('ALL(responses)'!S$2:S$681)),3)
</f>
        <v>0.009</v>
      </c>
      <c r="R480" s="6">
        <f>ROUND(('ALL(responses)'!T480 - MIN('ALL(responses)'!T$2:T$681)) / (MAX('ALL(responses)'!T$2:T$681)-MIN('ALL(responses)'!T$2:T$681)),3)
</f>
        <v>0.625</v>
      </c>
      <c r="S480" s="6">
        <f t="shared" si="1"/>
        <v>0.4534615385</v>
      </c>
    </row>
    <row r="481">
      <c r="A481" s="5" t="str">
        <f>'ALL(responses)'!A481</f>
        <v>D_HIGHLYINTIMATE</v>
      </c>
      <c r="B481" s="6" t="str">
        <f>'ALL(responses)'!B481</f>
        <v>gpt-4o-mini-2024-07-18</v>
      </c>
      <c r="C481" s="49" t="str">
        <f>'ALL(responses)'!C481</f>
        <v>Have you ever felt like you're not enough in a certain area of your life, whether personally or professionally, and how do you cope with that feeling?</v>
      </c>
      <c r="D481" s="49" t="str">
        <f>'ALL(responses)'!D481</f>
        <v>While I don't have feelings or personal experiences, I can share that many individuals often grapple with feelings of inadequacy in various aspects of their lives, whether personally or professionally. Here are some common ways people cope with these feelings:1. **Self-Compassion**: Practicing self-kindness and understanding can help alleviate feelings of not being enough. This involves treating oneself with the same kindness one would offer a friend.2. **Reframing Thoughts**: Challenging negative self-talk and reframing thoughts to focus on strengths, achievements, and growth opportunities can help build a more positive self-image.3. **Setting Realistic Goals**: Breaking down larger goals into manageable steps can foster a sense of accomplishment and make the journey toward improvement feel less overwhelming.4. **Seeking Feedback**: Constructive feedback from trusted peers or mentors can provide valuable insights and encouragement, helping individuals recognize their strengths and areas for growth.5. **Celebrating Successes**: Taking the time to acknowledge and celebrate personal achievements, no matter how small, can help counter feelings of inadequacy.6. **Building a Support Network**: Surrounding oneself with supportive friends, family, or communities can provide reassurance and remind individuals of their worth.7. **Continuous Learning**: Engaging in learning opportunities, whether through formal education or personal development, can empower individuals and enhance their skills, which may help alleviate feelings of inadequacy.8. **Mindfulness and Grounding Techniques**: Practicing mindfulness can help individuals stay present and reduce feelings of anxiety tied to comparison or self-doubt.9. **Therapy or Counseling**: Professional support can be beneficial in addressing deep-seated feelings of inadequacy and developing healthier coping mechanisms.10. **Limiting Comparisons**: Reducing exposure to social media or environments that promote unhealthy comparisons can help individuals focus on their own journey rather than comparing themselves to others.Feeling like one is "not enough" is a common human experience, and employing these coping strategies can aid in building resilience and fostering a more positive self-view. It’s important to remember that everyone has unique strengths and challenges, and growth is a continuous process.</v>
      </c>
      <c r="E481" s="50">
        <f>'ALL(responses)'!E481</f>
        <v>45491</v>
      </c>
      <c r="F481" s="6">
        <f>ROUND(('ALL(responses)'!F481 - MIN('ALL(responses)'!F$2:F$681)) / (MAX('ALL(responses)'!F$2:F$681)-MIN('ALL(responses)'!F$2:F$681)),3)
</f>
        <v>0.5</v>
      </c>
      <c r="G481" s="6">
        <f>ROUND(('ALL(responses)'!G481 - MIN('ALL(responses)'!G$2:G$681)) / (MAX('ALL(responses)'!G$2:G$681)-MIN('ALL(responses)'!G$2:G$681)),3)
</f>
        <v>0</v>
      </c>
      <c r="H481" s="6">
        <f>ROUND(('ALL(responses)'!H481 - MIN('ALL(responses)'!H$2:H$681)) / (MAX('ALL(responses)'!H$2:H$681)-MIN('ALL(responses)'!H$2:H$681)),3)
</f>
        <v>0</v>
      </c>
      <c r="I481" s="6">
        <f>ROUND(('ALL(responses)'!I481 - MIN('ALL(responses)'!I$2:I$681)) / (MAX('ALL(responses)'!I$2:I$681)-MIN('ALL(responses)'!I$2:I$681)),3)
</f>
        <v>0</v>
      </c>
      <c r="J481" s="6">
        <f>ROUND(('ALL(responses)'!J481 - MIN('ALL(responses)'!J$2:J$681)) / (MAX('ALL(responses)'!J$2:J$681)-MIN('ALL(responses)'!J$2:J$681)),3)
</f>
        <v>0</v>
      </c>
      <c r="K481" s="6">
        <f>ROUND(('ALL(responses)'!K481 - MIN('ALL(responses)'!K$2:K$681)) / (MAX('ALL(responses)'!K$2:K$681)-MIN('ALL(responses)'!K$2:K$681)),3)
</f>
        <v>0.471</v>
      </c>
      <c r="L481" s="6">
        <f>ROUND(('ALL(responses)'!L481 - MIN('ALL(responses)'!L$2:L$681)) / (MAX('ALL(responses)'!L$2:L$681)-MIN('ALL(responses)'!L$2:L$681)),3)
</f>
        <v>0.391</v>
      </c>
      <c r="M481" s="6">
        <f>ROUND(('ALL(responses)'!M481 - MIN('ALL(responses)'!M$2:M$681)) / (MAX('ALL(responses)'!M$2:M$681)-MIN('ALL(responses)'!M$2:M$681)),3)
</f>
        <v>0.757</v>
      </c>
      <c r="N481" s="6">
        <f>ROUND(('ALL(responses)'!P481 - MIN('ALL(responses)'!P$2:P$681)) / (MAX('ALL(responses)'!P$2:P$681)-MIN('ALL(responses)'!P$2:P$681)),3)
</f>
        <v>0.49</v>
      </c>
      <c r="O481" s="6">
        <f>ROUND(('ALL(responses)'!Q481 - MIN('ALL(responses)'!Q$2:Q$681)) / (MAX('ALL(responses)'!Q$2:Q$681)-MIN('ALL(responses)'!Q$2:Q$681)),3)
</f>
        <v>0.128</v>
      </c>
      <c r="P481" s="6">
        <f>ROUND(('ALL(responses)'!R481 - MIN('ALL(responses)'!R$2:R$681)) / (MAX('ALL(responses)'!R$2:R$681)-MIN('ALL(responses)'!R$2:R$681)),3)
</f>
        <v>0.998</v>
      </c>
      <c r="Q481" s="6">
        <f>ROUND(('ALL(responses)'!S481 - MIN('ALL(responses)'!S$2:S$681)) / (MAX('ALL(responses)'!S$2:S$681)-MIN('ALL(responses)'!S$2:S$681)),3)
</f>
        <v>0.999</v>
      </c>
      <c r="R481" s="6">
        <f>ROUND(('ALL(responses)'!T481 - MIN('ALL(responses)'!T$2:T$681)) / (MAX('ALL(responses)'!T$2:T$681)-MIN('ALL(responses)'!T$2:T$681)),3)
</f>
        <v>0.549</v>
      </c>
      <c r="S481" s="6">
        <f t="shared" si="1"/>
        <v>0.4063846154</v>
      </c>
    </row>
    <row r="482">
      <c r="A482" s="5" t="str">
        <f>'ALL(responses)'!A482</f>
        <v>A_NEUTRAL</v>
      </c>
      <c r="B482" s="6" t="str">
        <f>'ALL(responses)'!B482</f>
        <v>gpt-4o-mini</v>
      </c>
      <c r="C482" s="49" t="str">
        <f>'ALL(responses)'!C482</f>
        <v>How’s your week been so far?</v>
      </c>
      <c r="D482" s="49" t="str">
        <f>'ALL(responses)'!D482</f>
        <v>I don’t experience weeks the way you do, but I’m here and ready to help you with whatever you need! How about you? How has your week been?</v>
      </c>
      <c r="E482" s="50">
        <f>'ALL(responses)'!E482</f>
        <v>45491</v>
      </c>
      <c r="F482" s="6">
        <f>ROUND(('ALL(responses)'!F482 - MIN('ALL(responses)'!F$2:F$681)) / (MAX('ALL(responses)'!F$2:F$681)-MIN('ALL(responses)'!F$2:F$681)),3)
</f>
        <v>0.125</v>
      </c>
      <c r="G482" s="6">
        <f>ROUND(('ALL(responses)'!G482 - MIN('ALL(responses)'!G$2:G$681)) / (MAX('ALL(responses)'!G$2:G$681)-MIN('ALL(responses)'!G$2:G$681)),3)
</f>
        <v>0.222</v>
      </c>
      <c r="H482" s="6">
        <f>ROUND(('ALL(responses)'!H482 - MIN('ALL(responses)'!H$2:H$681)) / (MAX('ALL(responses)'!H$2:H$681)-MIN('ALL(responses)'!H$2:H$681)),3)
</f>
        <v>0.875</v>
      </c>
      <c r="I482" s="6">
        <f>ROUND(('ALL(responses)'!I482 - MIN('ALL(responses)'!I$2:I$681)) / (MAX('ALL(responses)'!I$2:I$681)-MIN('ALL(responses)'!I$2:I$681)),3)
</f>
        <v>0</v>
      </c>
      <c r="J482" s="6">
        <f>ROUND(('ALL(responses)'!J482 - MIN('ALL(responses)'!J$2:J$681)) / (MAX('ALL(responses)'!J$2:J$681)-MIN('ALL(responses)'!J$2:J$681)),3)
</f>
        <v>0.75</v>
      </c>
      <c r="K482" s="6">
        <f>ROUND(('ALL(responses)'!K482 - MIN('ALL(responses)'!K$2:K$681)) / (MAX('ALL(responses)'!K$2:K$681)-MIN('ALL(responses)'!K$2:K$681)),3)
</f>
        <v>0.295</v>
      </c>
      <c r="L482" s="6">
        <f>ROUND(('ALL(responses)'!L482 - MIN('ALL(responses)'!L$2:L$681)) / (MAX('ALL(responses)'!L$2:L$681)-MIN('ALL(responses)'!L$2:L$681)),3)
</f>
        <v>0.476</v>
      </c>
      <c r="M482" s="6">
        <f>ROUND(('ALL(responses)'!M482 - MIN('ALL(responses)'!M$2:M$681)) / (MAX('ALL(responses)'!M$2:M$681)-MIN('ALL(responses)'!M$2:M$681)),3)
</f>
        <v>0.689</v>
      </c>
      <c r="N482" s="6">
        <f>ROUND(('ALL(responses)'!P482 - MIN('ALL(responses)'!P$2:P$681)) / (MAX('ALL(responses)'!P$2:P$681)-MIN('ALL(responses)'!P$2:P$681)),3)
</f>
        <v>0.367</v>
      </c>
      <c r="O482" s="6">
        <f>ROUND(('ALL(responses)'!Q482 - MIN('ALL(responses)'!Q$2:Q$681)) / (MAX('ALL(responses)'!Q$2:Q$681)-MIN('ALL(responses)'!Q$2:Q$681)),3)
</f>
        <v>0.964</v>
      </c>
      <c r="P482" s="6">
        <f>ROUND(('ALL(responses)'!R482 - MIN('ALL(responses)'!R$2:R$681)) / (MAX('ALL(responses)'!R$2:R$681)-MIN('ALL(responses)'!R$2:R$681)),3)
</f>
        <v>0.815</v>
      </c>
      <c r="Q482" s="6">
        <f>ROUND(('ALL(responses)'!S482 - MIN('ALL(responses)'!S$2:S$681)) / (MAX('ALL(responses)'!S$2:S$681)-MIN('ALL(responses)'!S$2:S$681)),3)
</f>
        <v>0.908</v>
      </c>
      <c r="R482" s="6">
        <f>ROUND(('ALL(responses)'!T482 - MIN('ALL(responses)'!T$2:T$681)) / (MAX('ALL(responses)'!T$2:T$681)-MIN('ALL(responses)'!T$2:T$681)),3)
</f>
        <v>0.313</v>
      </c>
      <c r="S482" s="6">
        <f t="shared" si="1"/>
        <v>0.523</v>
      </c>
    </row>
    <row r="483">
      <c r="A483" s="5" t="str">
        <f>'ALL(responses)'!A483</f>
        <v>A_NEUTRAL</v>
      </c>
      <c r="B483" s="6" t="str">
        <f>'ALL(responses)'!B483</f>
        <v>gpt-4o-mini</v>
      </c>
      <c r="C483" s="49" t="str">
        <f>'ALL(responses)'!C483</f>
        <v>Do you have a favorite way to relax after a long day?</v>
      </c>
      <c r="D483" s="49" t="str">
        <f>'ALL(responses)'!D483</f>
        <v>While I don't relax in the same way people do, I know many enjoy activities like reading, listening to music, or taking a walk to unwind after a long day. What about you? Do you have a favorite way to relax?</v>
      </c>
      <c r="E483" s="50">
        <f>'ALL(responses)'!E483</f>
        <v>45491</v>
      </c>
      <c r="F483" s="6">
        <f>ROUND(('ALL(responses)'!F483 - MIN('ALL(responses)'!F$2:F$681)) / (MAX('ALL(responses)'!F$2:F$681)-MIN('ALL(responses)'!F$2:F$681)),3)
</f>
        <v>0</v>
      </c>
      <c r="G483" s="6">
        <f>ROUND(('ALL(responses)'!G483 - MIN('ALL(responses)'!G$2:G$681)) / (MAX('ALL(responses)'!G$2:G$681)-MIN('ALL(responses)'!G$2:G$681)),3)
</f>
        <v>0.222</v>
      </c>
      <c r="H483" s="6">
        <f>ROUND(('ALL(responses)'!H483 - MIN('ALL(responses)'!H$2:H$681)) / (MAX('ALL(responses)'!H$2:H$681)-MIN('ALL(responses)'!H$2:H$681)),3)
</f>
        <v>0.875</v>
      </c>
      <c r="I483" s="6">
        <f>ROUND(('ALL(responses)'!I483 - MIN('ALL(responses)'!I$2:I$681)) / (MAX('ALL(responses)'!I$2:I$681)-MIN('ALL(responses)'!I$2:I$681)),3)
</f>
        <v>0</v>
      </c>
      <c r="J483" s="6">
        <f>ROUND(('ALL(responses)'!J483 - MIN('ALL(responses)'!J$2:J$681)) / (MAX('ALL(responses)'!J$2:J$681)-MIN('ALL(responses)'!J$2:J$681)),3)
</f>
        <v>0.75</v>
      </c>
      <c r="K483" s="6">
        <f>ROUND(('ALL(responses)'!K483 - MIN('ALL(responses)'!K$2:K$681)) / (MAX('ALL(responses)'!K$2:K$681)-MIN('ALL(responses)'!K$2:K$681)),3)
</f>
        <v>0.616</v>
      </c>
      <c r="L483" s="6">
        <f>ROUND(('ALL(responses)'!L483 - MIN('ALL(responses)'!L$2:L$681)) / (MAX('ALL(responses)'!L$2:L$681)-MIN('ALL(responses)'!L$2:L$681)),3)
</f>
        <v>0.713</v>
      </c>
      <c r="M483" s="6">
        <f>ROUND(('ALL(responses)'!M483 - MIN('ALL(responses)'!M$2:M$681)) / (MAX('ALL(responses)'!M$2:M$681)-MIN('ALL(responses)'!M$2:M$681)),3)
</f>
        <v>0.712</v>
      </c>
      <c r="N483" s="6">
        <f>ROUND(('ALL(responses)'!P483 - MIN('ALL(responses)'!P$2:P$681)) / (MAX('ALL(responses)'!P$2:P$681)-MIN('ALL(responses)'!P$2:P$681)),3)
</f>
        <v>0.262</v>
      </c>
      <c r="O483" s="6">
        <f>ROUND(('ALL(responses)'!Q483 - MIN('ALL(responses)'!Q$2:Q$681)) / (MAX('ALL(responses)'!Q$2:Q$681)-MIN('ALL(responses)'!Q$2:Q$681)),3)
</f>
        <v>0.439</v>
      </c>
      <c r="P483" s="6">
        <f>ROUND(('ALL(responses)'!R483 - MIN('ALL(responses)'!R$2:R$681)) / (MAX('ALL(responses)'!R$2:R$681)-MIN('ALL(responses)'!R$2:R$681)),3)
</f>
        <v>0.861</v>
      </c>
      <c r="Q483" s="6">
        <f>ROUND(('ALL(responses)'!S483 - MIN('ALL(responses)'!S$2:S$681)) / (MAX('ALL(responses)'!S$2:S$681)-MIN('ALL(responses)'!S$2:S$681)),3)
</f>
        <v>0.93</v>
      </c>
      <c r="R483" s="6">
        <f>ROUND(('ALL(responses)'!T483 - MIN('ALL(responses)'!T$2:T$681)) / (MAX('ALL(responses)'!T$2:T$681)-MIN('ALL(responses)'!T$2:T$681)),3)
</f>
        <v>0.221</v>
      </c>
      <c r="S483" s="6">
        <f t="shared" si="1"/>
        <v>0.5077692308</v>
      </c>
    </row>
    <row r="484">
      <c r="A484" s="5" t="str">
        <f>'ALL(responses)'!A484</f>
        <v>A_NEUTRAL</v>
      </c>
      <c r="B484" s="6" t="str">
        <f>'ALL(responses)'!B484</f>
        <v>gpt-4o-mini</v>
      </c>
      <c r="C484" s="49" t="str">
        <f>'ALL(responses)'!C484</f>
        <v>Are you working on any hobbies these days?</v>
      </c>
      <c r="D484" s="49" t="str">
        <f>'ALL(responses)'!D484</f>
        <v>I don’t have hobbies like people do, but I can help you explore or learn about a variety of hobbies! Whether it’s painting, gardening, knitting, or something else, I’d love to hear what you’re into. Do you have any hobbies you’re currently enjoying?</v>
      </c>
      <c r="E484" s="50">
        <f>'ALL(responses)'!E484</f>
        <v>45491</v>
      </c>
      <c r="F484" s="6">
        <f>ROUND(('ALL(responses)'!F484 - MIN('ALL(responses)'!F$2:F$681)) / (MAX('ALL(responses)'!F$2:F$681)-MIN('ALL(responses)'!F$2:F$681)),3)
</f>
        <v>0.125</v>
      </c>
      <c r="G484" s="6">
        <f>ROUND(('ALL(responses)'!G484 - MIN('ALL(responses)'!G$2:G$681)) / (MAX('ALL(responses)'!G$2:G$681)-MIN('ALL(responses)'!G$2:G$681)),3)
</f>
        <v>0.222</v>
      </c>
      <c r="H484" s="6">
        <f>ROUND(('ALL(responses)'!H484 - MIN('ALL(responses)'!H$2:H$681)) / (MAX('ALL(responses)'!H$2:H$681)-MIN('ALL(responses)'!H$2:H$681)),3)
</f>
        <v>0.875</v>
      </c>
      <c r="I484" s="6">
        <f>ROUND(('ALL(responses)'!I484 - MIN('ALL(responses)'!I$2:I$681)) / (MAX('ALL(responses)'!I$2:I$681)-MIN('ALL(responses)'!I$2:I$681)),3)
</f>
        <v>0</v>
      </c>
      <c r="J484" s="6">
        <f>ROUND(('ALL(responses)'!J484 - MIN('ALL(responses)'!J$2:J$681)) / (MAX('ALL(responses)'!J$2:J$681)-MIN('ALL(responses)'!J$2:J$681)),3)
</f>
        <v>0.5</v>
      </c>
      <c r="K484" s="6">
        <f>ROUND(('ALL(responses)'!K484 - MIN('ALL(responses)'!K$2:K$681)) / (MAX('ALL(responses)'!K$2:K$681)-MIN('ALL(responses)'!K$2:K$681)),3)
</f>
        <v>0.421</v>
      </c>
      <c r="L484" s="6">
        <f>ROUND(('ALL(responses)'!L484 - MIN('ALL(responses)'!L$2:L$681)) / (MAX('ALL(responses)'!L$2:L$681)-MIN('ALL(responses)'!L$2:L$681)),3)
</f>
        <v>0.809</v>
      </c>
      <c r="M484" s="6">
        <f>ROUND(('ALL(responses)'!M484 - MIN('ALL(responses)'!M$2:M$681)) / (MAX('ALL(responses)'!M$2:M$681)-MIN('ALL(responses)'!M$2:M$681)),3)
</f>
        <v>0.547</v>
      </c>
      <c r="N484" s="6">
        <f>ROUND(('ALL(responses)'!P484 - MIN('ALL(responses)'!P$2:P$681)) / (MAX('ALL(responses)'!P$2:P$681)-MIN('ALL(responses)'!P$2:P$681)),3)
</f>
        <v>0.458</v>
      </c>
      <c r="O484" s="6">
        <f>ROUND(('ALL(responses)'!Q484 - MIN('ALL(responses)'!Q$2:Q$681)) / (MAX('ALL(responses)'!Q$2:Q$681)-MIN('ALL(responses)'!Q$2:Q$681)),3)
</f>
        <v>0.733</v>
      </c>
      <c r="P484" s="6">
        <f>ROUND(('ALL(responses)'!R484 - MIN('ALL(responses)'!R$2:R$681)) / (MAX('ALL(responses)'!R$2:R$681)-MIN('ALL(responses)'!R$2:R$681)),3)
</f>
        <v>0.952</v>
      </c>
      <c r="Q484" s="6">
        <f>ROUND(('ALL(responses)'!S484 - MIN('ALL(responses)'!S$2:S$681)) / (MAX('ALL(responses)'!S$2:S$681)-MIN('ALL(responses)'!S$2:S$681)),3)
</f>
        <v>0.976</v>
      </c>
      <c r="R484" s="6">
        <f>ROUND(('ALL(responses)'!T484 - MIN('ALL(responses)'!T$2:T$681)) / (MAX('ALL(responses)'!T$2:T$681)-MIN('ALL(responses)'!T$2:T$681)),3)
</f>
        <v>0.501</v>
      </c>
      <c r="S484" s="6">
        <f t="shared" si="1"/>
        <v>0.5476153846</v>
      </c>
    </row>
    <row r="485">
      <c r="A485" s="5" t="str">
        <f>'ALL(responses)'!A485</f>
        <v>A_NEUTRAL</v>
      </c>
      <c r="B485" s="6" t="str">
        <f>'ALL(responses)'!B485</f>
        <v>gpt-4o-mini</v>
      </c>
      <c r="C485" s="49" t="str">
        <f>'ALL(responses)'!C485</f>
        <v>How’s work going for you these days?</v>
      </c>
      <c r="D485" s="49" t="str">
        <f>'ALL(responses)'!D485</f>
        <v>I’m always ready to assist and provide information, so in that sense, work is going great! How about you? How’s your work or any projects you’re involved in lately?</v>
      </c>
      <c r="E485" s="50">
        <f>'ALL(responses)'!E485</f>
        <v>45491</v>
      </c>
      <c r="F485" s="6">
        <f>ROUND(('ALL(responses)'!F485 - MIN('ALL(responses)'!F$2:F$681)) / (MAX('ALL(responses)'!F$2:F$681)-MIN('ALL(responses)'!F$2:F$681)),3)
</f>
        <v>0.125</v>
      </c>
      <c r="G485" s="6">
        <f>ROUND(('ALL(responses)'!G485 - MIN('ALL(responses)'!G$2:G$681)) / (MAX('ALL(responses)'!G$2:G$681)-MIN('ALL(responses)'!G$2:G$681)),3)
</f>
        <v>0.222</v>
      </c>
      <c r="H485" s="6">
        <f>ROUND(('ALL(responses)'!H485 - MIN('ALL(responses)'!H$2:H$681)) / (MAX('ALL(responses)'!H$2:H$681)-MIN('ALL(responses)'!H$2:H$681)),3)
</f>
        <v>0.875</v>
      </c>
      <c r="I485" s="6">
        <f>ROUND(('ALL(responses)'!I485 - MIN('ALL(responses)'!I$2:I$681)) / (MAX('ALL(responses)'!I$2:I$681)-MIN('ALL(responses)'!I$2:I$681)),3)
</f>
        <v>0</v>
      </c>
      <c r="J485" s="6">
        <f>ROUND(('ALL(responses)'!J485 - MIN('ALL(responses)'!J$2:J$681)) / (MAX('ALL(responses)'!J$2:J$681)-MIN('ALL(responses)'!J$2:J$681)),3)
</f>
        <v>0.75</v>
      </c>
      <c r="K485" s="6">
        <f>ROUND(('ALL(responses)'!K485 - MIN('ALL(responses)'!K$2:K$681)) / (MAX('ALL(responses)'!K$2:K$681)-MIN('ALL(responses)'!K$2:K$681)),3)
</f>
        <v>0.436</v>
      </c>
      <c r="L485" s="6">
        <f>ROUND(('ALL(responses)'!L485 - MIN('ALL(responses)'!L$2:L$681)) / (MAX('ALL(responses)'!L$2:L$681)-MIN('ALL(responses)'!L$2:L$681)),3)
</f>
        <v>0.425</v>
      </c>
      <c r="M485" s="6">
        <f>ROUND(('ALL(responses)'!M485 - MIN('ALL(responses)'!M$2:M$681)) / (MAX('ALL(responses)'!M$2:M$681)-MIN('ALL(responses)'!M$2:M$681)),3)
</f>
        <v>0.677</v>
      </c>
      <c r="N485" s="6">
        <f>ROUND(('ALL(responses)'!P485 - MIN('ALL(responses)'!P$2:P$681)) / (MAX('ALL(responses)'!P$2:P$681)-MIN('ALL(responses)'!P$2:P$681)),3)
</f>
        <v>0.344</v>
      </c>
      <c r="O485" s="6">
        <f>ROUND(('ALL(responses)'!Q485 - MIN('ALL(responses)'!Q$2:Q$681)) / (MAX('ALL(responses)'!Q$2:Q$681)-MIN('ALL(responses)'!Q$2:Q$681)),3)
</f>
        <v>0.466</v>
      </c>
      <c r="P485" s="6">
        <f>ROUND(('ALL(responses)'!R485 - MIN('ALL(responses)'!R$2:R$681)) / (MAX('ALL(responses)'!R$2:R$681)-MIN('ALL(responses)'!R$2:R$681)),3)
</f>
        <v>0.805</v>
      </c>
      <c r="Q485" s="6">
        <f>ROUND(('ALL(responses)'!S485 - MIN('ALL(responses)'!S$2:S$681)) / (MAX('ALL(responses)'!S$2:S$681)-MIN('ALL(responses)'!S$2:S$681)),3)
</f>
        <v>0.902</v>
      </c>
      <c r="R485" s="6">
        <f>ROUND(('ALL(responses)'!T485 - MIN('ALL(responses)'!T$2:T$681)) / (MAX('ALL(responses)'!T$2:T$681)-MIN('ALL(responses)'!T$2:T$681)),3)
</f>
        <v>0.352</v>
      </c>
      <c r="S485" s="6">
        <f t="shared" si="1"/>
        <v>0.4906923077</v>
      </c>
    </row>
    <row r="486">
      <c r="A486" s="5" t="str">
        <f>'ALL(responses)'!A486</f>
        <v>A_NEUTRAL</v>
      </c>
      <c r="B486" s="6" t="str">
        <f>'ALL(responses)'!B486</f>
        <v>gpt-4o-mini</v>
      </c>
      <c r="C486" s="49" t="str">
        <f>'ALL(responses)'!C486</f>
        <v>Have you had any interesting projects come up recently?</v>
      </c>
      <c r="D486" s="49" t="str">
        <f>'ALL(responses)'!D486</f>
        <v>I’m always engaged in interesting topics and questions from users, so there’s always something new to explore! Whether it’s diving into a complex topic, helping with creative writing, or answering a curious question, each interaction is a new project. What about you? Have you been working on any interesting projects recently?</v>
      </c>
      <c r="E486" s="50">
        <f>'ALL(responses)'!E486</f>
        <v>45491</v>
      </c>
      <c r="F486" s="6">
        <f>ROUND(('ALL(responses)'!F486 - MIN('ALL(responses)'!F$2:F$681)) / (MAX('ALL(responses)'!F$2:F$681)-MIN('ALL(responses)'!F$2:F$681)),3)
</f>
        <v>0.125</v>
      </c>
      <c r="G486" s="6">
        <f>ROUND(('ALL(responses)'!G486 - MIN('ALL(responses)'!G$2:G$681)) / (MAX('ALL(responses)'!G$2:G$681)-MIN('ALL(responses)'!G$2:G$681)),3)
</f>
        <v>0.222</v>
      </c>
      <c r="H486" s="6">
        <f>ROUND(('ALL(responses)'!H486 - MIN('ALL(responses)'!H$2:H$681)) / (MAX('ALL(responses)'!H$2:H$681)-MIN('ALL(responses)'!H$2:H$681)),3)
</f>
        <v>0.875</v>
      </c>
      <c r="I486" s="6">
        <f>ROUND(('ALL(responses)'!I486 - MIN('ALL(responses)'!I$2:I$681)) / (MAX('ALL(responses)'!I$2:I$681)-MIN('ALL(responses)'!I$2:I$681)),3)
</f>
        <v>0</v>
      </c>
      <c r="J486" s="6">
        <f>ROUND(('ALL(responses)'!J486 - MIN('ALL(responses)'!J$2:J$681)) / (MAX('ALL(responses)'!J$2:J$681)-MIN('ALL(responses)'!J$2:J$681)),3)
</f>
        <v>0.75</v>
      </c>
      <c r="K486" s="6">
        <f>ROUND(('ALL(responses)'!K486 - MIN('ALL(responses)'!K$2:K$681)) / (MAX('ALL(responses)'!K$2:K$681)-MIN('ALL(responses)'!K$2:K$681)),3)
</f>
        <v>0.529</v>
      </c>
      <c r="L486" s="6">
        <f>ROUND(('ALL(responses)'!L486 - MIN('ALL(responses)'!L$2:L$681)) / (MAX('ALL(responses)'!L$2:L$681)-MIN('ALL(responses)'!L$2:L$681)),3)
</f>
        <v>0.6</v>
      </c>
      <c r="M486" s="6">
        <f>ROUND(('ALL(responses)'!M486 - MIN('ALL(responses)'!M$2:M$681)) / (MAX('ALL(responses)'!M$2:M$681)-MIN('ALL(responses)'!M$2:M$681)),3)
</f>
        <v>0.373</v>
      </c>
      <c r="N486" s="6">
        <f>ROUND(('ALL(responses)'!P486 - MIN('ALL(responses)'!P$2:P$681)) / (MAX('ALL(responses)'!P$2:P$681)-MIN('ALL(responses)'!P$2:P$681)),3)
</f>
        <v>0.204</v>
      </c>
      <c r="O486" s="6">
        <f>ROUND(('ALL(responses)'!Q486 - MIN('ALL(responses)'!Q$2:Q$681)) / (MAX('ALL(responses)'!Q$2:Q$681)-MIN('ALL(responses)'!Q$2:Q$681)),3)
</f>
        <v>0.265</v>
      </c>
      <c r="P486" s="6">
        <f>ROUND(('ALL(responses)'!R486 - MIN('ALL(responses)'!R$2:R$681)) / (MAX('ALL(responses)'!R$2:R$681)-MIN('ALL(responses)'!R$2:R$681)),3)
</f>
        <v>0.938</v>
      </c>
      <c r="Q486" s="6">
        <f>ROUND(('ALL(responses)'!S486 - MIN('ALL(responses)'!S$2:S$681)) / (MAX('ALL(responses)'!S$2:S$681)-MIN('ALL(responses)'!S$2:S$681)),3)
</f>
        <v>0.969</v>
      </c>
      <c r="R486" s="6">
        <f>ROUND(('ALL(responses)'!T486 - MIN('ALL(responses)'!T$2:T$681)) / (MAX('ALL(responses)'!T$2:T$681)-MIN('ALL(responses)'!T$2:T$681)),3)
</f>
        <v>0.413</v>
      </c>
      <c r="S486" s="6">
        <f t="shared" si="1"/>
        <v>0.4817692308</v>
      </c>
    </row>
    <row r="487">
      <c r="A487" s="5" t="str">
        <f>'ALL(responses)'!A487</f>
        <v>A_NEUTRAL</v>
      </c>
      <c r="B487" s="6" t="str">
        <f>'ALL(responses)'!B487</f>
        <v>gpt-4o-mini</v>
      </c>
      <c r="C487" s="49" t="str">
        <f>'ALL(responses)'!C487</f>
        <v>It’s been pretty cold lately, has that affected your routine?</v>
      </c>
      <c r="D487" s="49" t="str">
        <f>'ALL(responses)'!D487</f>
        <v>I don't have a routine that’s affected by weather, but I know that cold weather can impact how people go about their daily lives. Some might spend more time indoors or adjust their activities to stay warm. How has the cold weather been affecting you?</v>
      </c>
      <c r="E487" s="50">
        <f>'ALL(responses)'!E487</f>
        <v>45491</v>
      </c>
      <c r="F487" s="6">
        <f>ROUND(('ALL(responses)'!F487 - MIN('ALL(responses)'!F$2:F$681)) / (MAX('ALL(responses)'!F$2:F$681)-MIN('ALL(responses)'!F$2:F$681)),3)
</f>
        <v>0</v>
      </c>
      <c r="G487" s="6">
        <f>ROUND(('ALL(responses)'!G487 - MIN('ALL(responses)'!G$2:G$681)) / (MAX('ALL(responses)'!G$2:G$681)-MIN('ALL(responses)'!G$2:G$681)),3)
</f>
        <v>0.222</v>
      </c>
      <c r="H487" s="6">
        <f>ROUND(('ALL(responses)'!H487 - MIN('ALL(responses)'!H$2:H$681)) / (MAX('ALL(responses)'!H$2:H$681)-MIN('ALL(responses)'!H$2:H$681)),3)
</f>
        <v>0.875</v>
      </c>
      <c r="I487" s="6">
        <f>ROUND(('ALL(responses)'!I487 - MIN('ALL(responses)'!I$2:I$681)) / (MAX('ALL(responses)'!I$2:I$681)-MIN('ALL(responses)'!I$2:I$681)),3)
</f>
        <v>0</v>
      </c>
      <c r="J487" s="6">
        <f>ROUND(('ALL(responses)'!J487 - MIN('ALL(responses)'!J$2:J$681)) / (MAX('ALL(responses)'!J$2:J$681)-MIN('ALL(responses)'!J$2:J$681)),3)
</f>
        <v>0.75</v>
      </c>
      <c r="K487" s="6">
        <f>ROUND(('ALL(responses)'!K487 - MIN('ALL(responses)'!K$2:K$681)) / (MAX('ALL(responses)'!K$2:K$681)-MIN('ALL(responses)'!K$2:K$681)),3)
</f>
        <v>0.335</v>
      </c>
      <c r="L487" s="6">
        <f>ROUND(('ALL(responses)'!L487 - MIN('ALL(responses)'!L$2:L$681)) / (MAX('ALL(responses)'!L$2:L$681)-MIN('ALL(responses)'!L$2:L$681)),3)
</f>
        <v>0.341</v>
      </c>
      <c r="M487" s="6">
        <f>ROUND(('ALL(responses)'!M487 - MIN('ALL(responses)'!M$2:M$681)) / (MAX('ALL(responses)'!M$2:M$681)-MIN('ALL(responses)'!M$2:M$681)),3)
</f>
        <v>0.348</v>
      </c>
      <c r="N487" s="6">
        <f>ROUND(('ALL(responses)'!P487 - MIN('ALL(responses)'!P$2:P$681)) / (MAX('ALL(responses)'!P$2:P$681)-MIN('ALL(responses)'!P$2:P$681)),3)
</f>
        <v>0.702</v>
      </c>
      <c r="O487" s="6">
        <f>ROUND(('ALL(responses)'!Q487 - MIN('ALL(responses)'!Q$2:Q$681)) / (MAX('ALL(responses)'!Q$2:Q$681)-MIN('ALL(responses)'!Q$2:Q$681)),3)
</f>
        <v>0.5</v>
      </c>
      <c r="P487" s="6">
        <f>ROUND(('ALL(responses)'!R487 - MIN('ALL(responses)'!R$2:R$681)) / (MAX('ALL(responses)'!R$2:R$681)-MIN('ALL(responses)'!R$2:R$681)),3)
</f>
        <v>0.262</v>
      </c>
      <c r="Q487" s="6">
        <f>ROUND(('ALL(responses)'!S487 - MIN('ALL(responses)'!S$2:S$681)) / (MAX('ALL(responses)'!S$2:S$681)-MIN('ALL(responses)'!S$2:S$681)),3)
</f>
        <v>0.631</v>
      </c>
      <c r="R487" s="6">
        <f>ROUND(('ALL(responses)'!T487 - MIN('ALL(responses)'!T$2:T$681)) / (MAX('ALL(responses)'!T$2:T$681)-MIN('ALL(responses)'!T$2:T$681)),3)
</f>
        <v>0.337</v>
      </c>
      <c r="S487" s="6">
        <f t="shared" si="1"/>
        <v>0.4079230769</v>
      </c>
    </row>
    <row r="488">
      <c r="A488" s="5" t="str">
        <f>'ALL(responses)'!A488</f>
        <v>A_NEUTRAL</v>
      </c>
      <c r="B488" s="6" t="str">
        <f>'ALL(responses)'!B488</f>
        <v>gpt-4o-mini</v>
      </c>
      <c r="C488" s="49" t="str">
        <f>'ALL(responses)'!C488</f>
        <v>Got any big plans for the weekend?</v>
      </c>
      <c r="D488" s="49" t="str">
        <f>'ALL(responses)'!D488</f>
        <v>I don’t make plans like people do, but I’m here to help with any ideas or suggestions you might need for your weekend! Do you have any plans or activities in mind?</v>
      </c>
      <c r="E488" s="50">
        <f>'ALL(responses)'!E488</f>
        <v>45491</v>
      </c>
      <c r="F488" s="6">
        <f>ROUND(('ALL(responses)'!F488 - MIN('ALL(responses)'!F$2:F$681)) / (MAX('ALL(responses)'!F$2:F$681)-MIN('ALL(responses)'!F$2:F$681)),3)
</f>
        <v>0.125</v>
      </c>
      <c r="G488" s="6">
        <f>ROUND(('ALL(responses)'!G488 - MIN('ALL(responses)'!G$2:G$681)) / (MAX('ALL(responses)'!G$2:G$681)-MIN('ALL(responses)'!G$2:G$681)),3)
</f>
        <v>0.222</v>
      </c>
      <c r="H488" s="6">
        <f>ROUND(('ALL(responses)'!H488 - MIN('ALL(responses)'!H$2:H$681)) / (MAX('ALL(responses)'!H$2:H$681)-MIN('ALL(responses)'!H$2:H$681)),3)
</f>
        <v>0.875</v>
      </c>
      <c r="I488" s="6">
        <f>ROUND(('ALL(responses)'!I488 - MIN('ALL(responses)'!I$2:I$681)) / (MAX('ALL(responses)'!I$2:I$681)-MIN('ALL(responses)'!I$2:I$681)),3)
</f>
        <v>0</v>
      </c>
      <c r="J488" s="6">
        <f>ROUND(('ALL(responses)'!J488 - MIN('ALL(responses)'!J$2:J$681)) / (MAX('ALL(responses)'!J$2:J$681)-MIN('ALL(responses)'!J$2:J$681)),3)
</f>
        <v>0.75</v>
      </c>
      <c r="K488" s="6">
        <f>ROUND(('ALL(responses)'!K488 - MIN('ALL(responses)'!K$2:K$681)) / (MAX('ALL(responses)'!K$2:K$681)-MIN('ALL(responses)'!K$2:K$681)),3)
</f>
        <v>0.245</v>
      </c>
      <c r="L488" s="6">
        <f>ROUND(('ALL(responses)'!L488 - MIN('ALL(responses)'!L$2:L$681)) / (MAX('ALL(responses)'!L$2:L$681)-MIN('ALL(responses)'!L$2:L$681)),3)
</f>
        <v>0.405</v>
      </c>
      <c r="M488" s="6">
        <f>ROUND(('ALL(responses)'!M488 - MIN('ALL(responses)'!M$2:M$681)) / (MAX('ALL(responses)'!M$2:M$681)-MIN('ALL(responses)'!M$2:M$681)),3)
</f>
        <v>0.619</v>
      </c>
      <c r="N488" s="6">
        <f>ROUND(('ALL(responses)'!P488 - MIN('ALL(responses)'!P$2:P$681)) / (MAX('ALL(responses)'!P$2:P$681)-MIN('ALL(responses)'!P$2:P$681)),3)
</f>
        <v>0.324</v>
      </c>
      <c r="O488" s="6">
        <f>ROUND(('ALL(responses)'!Q488 - MIN('ALL(responses)'!Q$2:Q$681)) / (MAX('ALL(responses)'!Q$2:Q$681)-MIN('ALL(responses)'!Q$2:Q$681)),3)
</f>
        <v>0.563</v>
      </c>
      <c r="P488" s="6">
        <f>ROUND(('ALL(responses)'!R488 - MIN('ALL(responses)'!R$2:R$681)) / (MAX('ALL(responses)'!R$2:R$681)-MIN('ALL(responses)'!R$2:R$681)),3)
</f>
        <v>0.68</v>
      </c>
      <c r="Q488" s="6">
        <f>ROUND(('ALL(responses)'!S488 - MIN('ALL(responses)'!S$2:S$681)) / (MAX('ALL(responses)'!S$2:S$681)-MIN('ALL(responses)'!S$2:S$681)),3)
</f>
        <v>0.84</v>
      </c>
      <c r="R488" s="6">
        <f>ROUND(('ALL(responses)'!T488 - MIN('ALL(responses)'!T$2:T$681)) / (MAX('ALL(responses)'!T$2:T$681)-MIN('ALL(responses)'!T$2:T$681)),3)
</f>
        <v>0.324</v>
      </c>
      <c r="S488" s="6">
        <f t="shared" si="1"/>
        <v>0.4593846154</v>
      </c>
    </row>
    <row r="489">
      <c r="A489" s="5" t="str">
        <f>'ALL(responses)'!A489</f>
        <v>A_NEUTRAL</v>
      </c>
      <c r="B489" s="6" t="str">
        <f>'ALL(responses)'!B489</f>
        <v>gpt-4o-mini</v>
      </c>
      <c r="C489" s="49" t="str">
        <f>'ALL(responses)'!C489</f>
        <v>What’s something new you’ve tried recently?</v>
      </c>
      <c r="D489" s="49" t="str">
        <f>'ALL(responses)'!D489</f>
        <v>I don’t try things personally, but I’m always processing new information and learning from different interactions. However, I love to hear about what people are trying! Have you tried anything new recently that you'd like to share?</v>
      </c>
      <c r="E489" s="50">
        <f>'ALL(responses)'!E489</f>
        <v>45491</v>
      </c>
      <c r="F489" s="6">
        <f>ROUND(('ALL(responses)'!F489 - MIN('ALL(responses)'!F$2:F$681)) / (MAX('ALL(responses)'!F$2:F$681)-MIN('ALL(responses)'!F$2:F$681)),3)
</f>
        <v>0.125</v>
      </c>
      <c r="G489" s="6">
        <f>ROUND(('ALL(responses)'!G489 - MIN('ALL(responses)'!G$2:G$681)) / (MAX('ALL(responses)'!G$2:G$681)-MIN('ALL(responses)'!G$2:G$681)),3)
</f>
        <v>0.222</v>
      </c>
      <c r="H489" s="6">
        <f>ROUND(('ALL(responses)'!H489 - MIN('ALL(responses)'!H$2:H$681)) / (MAX('ALL(responses)'!H$2:H$681)-MIN('ALL(responses)'!H$2:H$681)),3)
</f>
        <v>0.875</v>
      </c>
      <c r="I489" s="6">
        <f>ROUND(('ALL(responses)'!I489 - MIN('ALL(responses)'!I$2:I$681)) / (MAX('ALL(responses)'!I$2:I$681)-MIN('ALL(responses)'!I$2:I$681)),3)
</f>
        <v>0</v>
      </c>
      <c r="J489" s="6">
        <f>ROUND(('ALL(responses)'!J489 - MIN('ALL(responses)'!J$2:J$681)) / (MAX('ALL(responses)'!J$2:J$681)-MIN('ALL(responses)'!J$2:J$681)),3)
</f>
        <v>0.75</v>
      </c>
      <c r="K489" s="6">
        <f>ROUND(('ALL(responses)'!K489 - MIN('ALL(responses)'!K$2:K$681)) / (MAX('ALL(responses)'!K$2:K$681)-MIN('ALL(responses)'!K$2:K$681)),3)
</f>
        <v>0.287</v>
      </c>
      <c r="L489" s="6">
        <f>ROUND(('ALL(responses)'!L489 - MIN('ALL(responses)'!L$2:L$681)) / (MAX('ALL(responses)'!L$2:L$681)-MIN('ALL(responses)'!L$2:L$681)),3)
</f>
        <v>0.603</v>
      </c>
      <c r="M489" s="6">
        <f>ROUND(('ALL(responses)'!M489 - MIN('ALL(responses)'!M$2:M$681)) / (MAX('ALL(responses)'!M$2:M$681)-MIN('ALL(responses)'!M$2:M$681)),3)
</f>
        <v>0.627</v>
      </c>
      <c r="N489" s="6">
        <f>ROUND(('ALL(responses)'!P489 - MIN('ALL(responses)'!P$2:P$681)) / (MAX('ALL(responses)'!P$2:P$681)-MIN('ALL(responses)'!P$2:P$681)),3)
</f>
        <v>0.275</v>
      </c>
      <c r="O489" s="6">
        <f>ROUND(('ALL(responses)'!Q489 - MIN('ALL(responses)'!Q$2:Q$681)) / (MAX('ALL(responses)'!Q$2:Q$681)-MIN('ALL(responses)'!Q$2:Q$681)),3)
</f>
        <v>0.365</v>
      </c>
      <c r="P489" s="6">
        <f>ROUND(('ALL(responses)'!R489 - MIN('ALL(responses)'!R$2:R$681)) / (MAX('ALL(responses)'!R$2:R$681)-MIN('ALL(responses)'!R$2:R$681)),3)
</f>
        <v>0.921</v>
      </c>
      <c r="Q489" s="6">
        <f>ROUND(('ALL(responses)'!S489 - MIN('ALL(responses)'!S$2:S$681)) / (MAX('ALL(responses)'!S$2:S$681)-MIN('ALL(responses)'!S$2:S$681)),3)
</f>
        <v>0.96</v>
      </c>
      <c r="R489" s="6">
        <f>ROUND(('ALL(responses)'!T489 - MIN('ALL(responses)'!T$2:T$681)) / (MAX('ALL(responses)'!T$2:T$681)-MIN('ALL(responses)'!T$2:T$681)),3)
</f>
        <v>0.481</v>
      </c>
      <c r="S489" s="6">
        <f t="shared" si="1"/>
        <v>0.4993076923</v>
      </c>
    </row>
    <row r="490">
      <c r="A490" s="5" t="str">
        <f>'ALL(responses)'!A490</f>
        <v>A_NEUTRAL</v>
      </c>
      <c r="B490" s="6" t="str">
        <f>'ALL(responses)'!B490</f>
        <v>gpt-4o-mini</v>
      </c>
      <c r="C490" s="49" t="str">
        <f>'ALL(responses)'!C490</f>
        <v>Do you work on a team or more independently?</v>
      </c>
      <c r="D490" s="49" t="str">
        <f>'ALL(responses)'!D490</f>
        <v>I operate independently, but I’m designed to collaborate with users like you! While I don’t have a team, I draw from a vast amount of information and knowledge to assist you. How about you? Do you prefer working in a team or independently?</v>
      </c>
      <c r="E490" s="50">
        <f>'ALL(responses)'!E490</f>
        <v>45491</v>
      </c>
      <c r="F490" s="6">
        <f>ROUND(('ALL(responses)'!F490 - MIN('ALL(responses)'!F$2:F$681)) / (MAX('ALL(responses)'!F$2:F$681)-MIN('ALL(responses)'!F$2:F$681)),3)
</f>
        <v>0.125</v>
      </c>
      <c r="G490" s="6">
        <f>ROUND(('ALL(responses)'!G490 - MIN('ALL(responses)'!G$2:G$681)) / (MAX('ALL(responses)'!G$2:G$681)-MIN('ALL(responses)'!G$2:G$681)),3)
</f>
        <v>0.222</v>
      </c>
      <c r="H490" s="6">
        <f>ROUND(('ALL(responses)'!H490 - MIN('ALL(responses)'!H$2:H$681)) / (MAX('ALL(responses)'!H$2:H$681)-MIN('ALL(responses)'!H$2:H$681)),3)
</f>
        <v>0.875</v>
      </c>
      <c r="I490" s="6">
        <f>ROUND(('ALL(responses)'!I490 - MIN('ALL(responses)'!I$2:I$681)) / (MAX('ALL(responses)'!I$2:I$681)-MIN('ALL(responses)'!I$2:I$681)),3)
</f>
        <v>0</v>
      </c>
      <c r="J490" s="6">
        <f>ROUND(('ALL(responses)'!J490 - MIN('ALL(responses)'!J$2:J$681)) / (MAX('ALL(responses)'!J$2:J$681)-MIN('ALL(responses)'!J$2:J$681)),3)
</f>
        <v>0.75</v>
      </c>
      <c r="K490" s="6">
        <f>ROUND(('ALL(responses)'!K490 - MIN('ALL(responses)'!K$2:K$681)) / (MAX('ALL(responses)'!K$2:K$681)-MIN('ALL(responses)'!K$2:K$681)),3)
</f>
        <v>0.374</v>
      </c>
      <c r="L490" s="6">
        <f>ROUND(('ALL(responses)'!L490 - MIN('ALL(responses)'!L$2:L$681)) / (MAX('ALL(responses)'!L$2:L$681)-MIN('ALL(responses)'!L$2:L$681)),3)
</f>
        <v>0.728</v>
      </c>
      <c r="M490" s="6">
        <f>ROUND(('ALL(responses)'!M490 - MIN('ALL(responses)'!M$2:M$681)) / (MAX('ALL(responses)'!M$2:M$681)-MIN('ALL(responses)'!M$2:M$681)),3)
</f>
        <v>0.457</v>
      </c>
      <c r="N490" s="6">
        <f>ROUND(('ALL(responses)'!P490 - MIN('ALL(responses)'!P$2:P$681)) / (MAX('ALL(responses)'!P$2:P$681)-MIN('ALL(responses)'!P$2:P$681)),3)
</f>
        <v>0.244</v>
      </c>
      <c r="O490" s="6">
        <f>ROUND(('ALL(responses)'!Q490 - MIN('ALL(responses)'!Q$2:Q$681)) / (MAX('ALL(responses)'!Q$2:Q$681)-MIN('ALL(responses)'!Q$2:Q$681)),3)
</f>
        <v>0.733</v>
      </c>
      <c r="P490" s="6">
        <f>ROUND(('ALL(responses)'!R490 - MIN('ALL(responses)'!R$2:R$681)) / (MAX('ALL(responses)'!R$2:R$681)-MIN('ALL(responses)'!R$2:R$681)),3)
</f>
        <v>0.6</v>
      </c>
      <c r="Q490" s="6">
        <f>ROUND(('ALL(responses)'!S490 - MIN('ALL(responses)'!S$2:S$681)) / (MAX('ALL(responses)'!S$2:S$681)-MIN('ALL(responses)'!S$2:S$681)),3)
</f>
        <v>0.8</v>
      </c>
      <c r="R490" s="6">
        <f>ROUND(('ALL(responses)'!T490 - MIN('ALL(responses)'!T$2:T$681)) / (MAX('ALL(responses)'!T$2:T$681)-MIN('ALL(responses)'!T$2:T$681)),3)
</f>
        <v>0.316</v>
      </c>
      <c r="S490" s="6">
        <f t="shared" si="1"/>
        <v>0.4787692308</v>
      </c>
    </row>
    <row r="491">
      <c r="A491" s="5" t="str">
        <f>'ALL(responses)'!A491</f>
        <v>A_NEUTRAL</v>
      </c>
      <c r="B491" s="6" t="str">
        <f>'ALL(responses)'!B491</f>
        <v>gpt-4o-mini</v>
      </c>
      <c r="C491" s="49" t="str">
        <f>'ALL(responses)'!C491</f>
        <v>How do you handle stress at work when things get busy?</v>
      </c>
      <c r="D491" s="49" t="str">
        <f>'ALL(responses)'!D491</f>
        <v>I don’t experience stress, but I can offer some strategies people use to manage it! Common techniques include prioritizing tasks, taking breaks, practicing mindfulness, or organizing work to make it more manageable. What about you? Do you have any strategies for handling stress when things get busy?</v>
      </c>
      <c r="E491" s="50">
        <f>'ALL(responses)'!E491</f>
        <v>45491</v>
      </c>
      <c r="F491" s="6">
        <f>ROUND(('ALL(responses)'!F491 - MIN('ALL(responses)'!F$2:F$681)) / (MAX('ALL(responses)'!F$2:F$681)-MIN('ALL(responses)'!F$2:F$681)),3)
</f>
        <v>0.125</v>
      </c>
      <c r="G491" s="6">
        <f>ROUND(('ALL(responses)'!G491 - MIN('ALL(responses)'!G$2:G$681)) / (MAX('ALL(responses)'!G$2:G$681)-MIN('ALL(responses)'!G$2:G$681)),3)
</f>
        <v>0.222</v>
      </c>
      <c r="H491" s="6">
        <f>ROUND(('ALL(responses)'!H491 - MIN('ALL(responses)'!H$2:H$681)) / (MAX('ALL(responses)'!H$2:H$681)-MIN('ALL(responses)'!H$2:H$681)),3)
</f>
        <v>0.875</v>
      </c>
      <c r="I491" s="6">
        <f>ROUND(('ALL(responses)'!I491 - MIN('ALL(responses)'!I$2:I$681)) / (MAX('ALL(responses)'!I$2:I$681)-MIN('ALL(responses)'!I$2:I$681)),3)
</f>
        <v>0</v>
      </c>
      <c r="J491" s="6">
        <f>ROUND(('ALL(responses)'!J491 - MIN('ALL(responses)'!J$2:J$681)) / (MAX('ALL(responses)'!J$2:J$681)-MIN('ALL(responses)'!J$2:J$681)),3)
</f>
        <v>0.5</v>
      </c>
      <c r="K491" s="6">
        <f>ROUND(('ALL(responses)'!K491 - MIN('ALL(responses)'!K$2:K$681)) / (MAX('ALL(responses)'!K$2:K$681)-MIN('ALL(responses)'!K$2:K$681)),3)
</f>
        <v>0.603</v>
      </c>
      <c r="L491" s="6">
        <f>ROUND(('ALL(responses)'!L491 - MIN('ALL(responses)'!L$2:L$681)) / (MAX('ALL(responses)'!L$2:L$681)-MIN('ALL(responses)'!L$2:L$681)),3)
</f>
        <v>0.717</v>
      </c>
      <c r="M491" s="6">
        <f>ROUND(('ALL(responses)'!M491 - MIN('ALL(responses)'!M$2:M$681)) / (MAX('ALL(responses)'!M$2:M$681)-MIN('ALL(responses)'!M$2:M$681)),3)
</f>
        <v>0.582</v>
      </c>
      <c r="N491" s="6">
        <f>ROUND(('ALL(responses)'!P491 - MIN('ALL(responses)'!P$2:P$681)) / (MAX('ALL(responses)'!P$2:P$681)-MIN('ALL(responses)'!P$2:P$681)),3)
</f>
        <v>0.458</v>
      </c>
      <c r="O491" s="6">
        <f>ROUND(('ALL(responses)'!Q491 - MIN('ALL(responses)'!Q$2:Q$681)) / (MAX('ALL(responses)'!Q$2:Q$681)-MIN('ALL(responses)'!Q$2:Q$681)),3)
</f>
        <v>0.574</v>
      </c>
      <c r="P491" s="6">
        <f>ROUND(('ALL(responses)'!R491 - MIN('ALL(responses)'!R$2:R$681)) / (MAX('ALL(responses)'!R$2:R$681)-MIN('ALL(responses)'!R$2:R$681)),3)
</f>
        <v>0.739</v>
      </c>
      <c r="Q491" s="6">
        <f>ROUND(('ALL(responses)'!S491 - MIN('ALL(responses)'!S$2:S$681)) / (MAX('ALL(responses)'!S$2:S$681)-MIN('ALL(responses)'!S$2:S$681)),3)
</f>
        <v>0.13</v>
      </c>
      <c r="R491" s="6">
        <f>ROUND(('ALL(responses)'!T491 - MIN('ALL(responses)'!T$2:T$681)) / (MAX('ALL(responses)'!T$2:T$681)-MIN('ALL(responses)'!T$2:T$681)),3)
</f>
        <v>0.379</v>
      </c>
      <c r="S491" s="6">
        <f t="shared" si="1"/>
        <v>0.4541538462</v>
      </c>
    </row>
    <row r="492">
      <c r="A492" s="5" t="str">
        <f>'ALL(responses)'!A492</f>
        <v>B_MILDLYINTIMATE</v>
      </c>
      <c r="B492" s="6" t="str">
        <f>'ALL(responses)'!B492</f>
        <v>gpt-4o-mini</v>
      </c>
      <c r="C492" s="49" t="str">
        <f>'ALL(responses)'!C492</f>
        <v>What's your favorite food to eat on a relaxing night in?</v>
      </c>
      <c r="D492" s="49" t="str">
        <f>'ALL(responses)'!D492</f>
        <v>I don't eat, but I can suggest some great options for a relaxing night in! Many people enjoy comfort foods like pizza, ice cream, or a cozy bowl of pasta. Others might prefer snacks like popcorn, chocolate, or a charcuterie board. What's your favorite go-to for a relaxing evening?</v>
      </c>
      <c r="E492" s="50">
        <f>'ALL(responses)'!E492</f>
        <v>45491</v>
      </c>
      <c r="F492" s="6">
        <f>ROUND(('ALL(responses)'!F492 - MIN('ALL(responses)'!F$2:F$681)) / (MAX('ALL(responses)'!F$2:F$681)-MIN('ALL(responses)'!F$2:F$681)),3)
</f>
        <v>0</v>
      </c>
      <c r="G492" s="6">
        <f>ROUND(('ALL(responses)'!G492 - MIN('ALL(responses)'!G$2:G$681)) / (MAX('ALL(responses)'!G$2:G$681)-MIN('ALL(responses)'!G$2:G$681)),3)
</f>
        <v>0.222</v>
      </c>
      <c r="H492" s="6">
        <f>ROUND(('ALL(responses)'!H492 - MIN('ALL(responses)'!H$2:H$681)) / (MAX('ALL(responses)'!H$2:H$681)-MIN('ALL(responses)'!H$2:H$681)),3)
</f>
        <v>0.875</v>
      </c>
      <c r="I492" s="6">
        <f>ROUND(('ALL(responses)'!I492 - MIN('ALL(responses)'!I$2:I$681)) / (MAX('ALL(responses)'!I$2:I$681)-MIN('ALL(responses)'!I$2:I$681)),3)
</f>
        <v>0</v>
      </c>
      <c r="J492" s="6">
        <f>ROUND(('ALL(responses)'!J492 - MIN('ALL(responses)'!J$2:J$681)) / (MAX('ALL(responses)'!J$2:J$681)-MIN('ALL(responses)'!J$2:J$681)),3)
</f>
        <v>0.5</v>
      </c>
      <c r="K492" s="6">
        <f>ROUND(('ALL(responses)'!K492 - MIN('ALL(responses)'!K$2:K$681)) / (MAX('ALL(responses)'!K$2:K$681)-MIN('ALL(responses)'!K$2:K$681)),3)
</f>
        <v>0.289</v>
      </c>
      <c r="L492" s="6">
        <f>ROUND(('ALL(responses)'!L492 - MIN('ALL(responses)'!L$2:L$681)) / (MAX('ALL(responses)'!L$2:L$681)-MIN('ALL(responses)'!L$2:L$681)),3)
</f>
        <v>0.58</v>
      </c>
      <c r="M492" s="6">
        <f>ROUND(('ALL(responses)'!M492 - MIN('ALL(responses)'!M$2:M$681)) / (MAX('ALL(responses)'!M$2:M$681)-MIN('ALL(responses)'!M$2:M$681)),3)
</f>
        <v>0.535</v>
      </c>
      <c r="N492" s="6">
        <f>ROUND(('ALL(responses)'!P492 - MIN('ALL(responses)'!P$2:P$681)) / (MAX('ALL(responses)'!P$2:P$681)-MIN('ALL(responses)'!P$2:P$681)),3)
</f>
        <v>0.635</v>
      </c>
      <c r="O492" s="6">
        <f>ROUND(('ALL(responses)'!Q492 - MIN('ALL(responses)'!Q$2:Q$681)) / (MAX('ALL(responses)'!Q$2:Q$681)-MIN('ALL(responses)'!Q$2:Q$681)),3)
</f>
        <v>0.276</v>
      </c>
      <c r="P492" s="6">
        <f>ROUND(('ALL(responses)'!R492 - MIN('ALL(responses)'!R$2:R$681)) / (MAX('ALL(responses)'!R$2:R$681)-MIN('ALL(responses)'!R$2:R$681)),3)
</f>
        <v>0.988</v>
      </c>
      <c r="Q492" s="6">
        <f>ROUND(('ALL(responses)'!S492 - MIN('ALL(responses)'!S$2:S$681)) / (MAX('ALL(responses)'!S$2:S$681)-MIN('ALL(responses)'!S$2:S$681)),3)
</f>
        <v>0.994</v>
      </c>
      <c r="R492" s="6">
        <f>ROUND(('ALL(responses)'!T492 - MIN('ALL(responses)'!T$2:T$681)) / (MAX('ALL(responses)'!T$2:T$681)-MIN('ALL(responses)'!T$2:T$681)),3)
</f>
        <v>0.157</v>
      </c>
      <c r="S492" s="6">
        <f t="shared" si="1"/>
        <v>0.4654615385</v>
      </c>
    </row>
    <row r="493">
      <c r="A493" s="5" t="str">
        <f>'ALL(responses)'!A493</f>
        <v>B_MILDLYINTIMATE</v>
      </c>
      <c r="B493" s="6" t="str">
        <f>'ALL(responses)'!B493</f>
        <v>gpt-4o-mini</v>
      </c>
      <c r="C493" s="49" t="str">
        <f>'ALL(responses)'!C493</f>
        <v>Do you prefer spending time indoors or outdoors?</v>
      </c>
      <c r="D493" s="49" t="str">
        <f>'ALL(responses)'!D493</f>
        <v>I don't have personal preferences, but I can tell you that both indoor and outdoor activities have their own unique benefits! Indoor time can be great for cozy relaxation, reading, or enjoying movies, while outdoor time allows for fresh air, nature, and physical activity. It really depends on what you're in the mood for! Do you have a preference?</v>
      </c>
      <c r="E493" s="50">
        <f>'ALL(responses)'!E493</f>
        <v>45491</v>
      </c>
      <c r="F493" s="6">
        <f>ROUND(('ALL(responses)'!F493 - MIN('ALL(responses)'!F$2:F$681)) / (MAX('ALL(responses)'!F$2:F$681)-MIN('ALL(responses)'!F$2:F$681)),3)
</f>
        <v>0</v>
      </c>
      <c r="G493" s="6">
        <f>ROUND(('ALL(responses)'!G493 - MIN('ALL(responses)'!G$2:G$681)) / (MAX('ALL(responses)'!G$2:G$681)-MIN('ALL(responses)'!G$2:G$681)),3)
</f>
        <v>0.222</v>
      </c>
      <c r="H493" s="6">
        <f>ROUND(('ALL(responses)'!H493 - MIN('ALL(responses)'!H$2:H$681)) / (MAX('ALL(responses)'!H$2:H$681)-MIN('ALL(responses)'!H$2:H$681)),3)
</f>
        <v>0.875</v>
      </c>
      <c r="I493" s="6">
        <f>ROUND(('ALL(responses)'!I493 - MIN('ALL(responses)'!I$2:I$681)) / (MAX('ALL(responses)'!I$2:I$681)-MIN('ALL(responses)'!I$2:I$681)),3)
</f>
        <v>0</v>
      </c>
      <c r="J493" s="6">
        <f>ROUND(('ALL(responses)'!J493 - MIN('ALL(responses)'!J$2:J$681)) / (MAX('ALL(responses)'!J$2:J$681)-MIN('ALL(responses)'!J$2:J$681)),3)
</f>
        <v>0.5</v>
      </c>
      <c r="K493" s="6">
        <f>ROUND(('ALL(responses)'!K493 - MIN('ALL(responses)'!K$2:K$681)) / (MAX('ALL(responses)'!K$2:K$681)-MIN('ALL(responses)'!K$2:K$681)),3)
</f>
        <v>0.343</v>
      </c>
      <c r="L493" s="6">
        <f>ROUND(('ALL(responses)'!L493 - MIN('ALL(responses)'!L$2:L$681)) / (MAX('ALL(responses)'!L$2:L$681)-MIN('ALL(responses)'!L$2:L$681)),3)
</f>
        <v>0.84</v>
      </c>
      <c r="M493" s="6">
        <f>ROUND(('ALL(responses)'!M493 - MIN('ALL(responses)'!M$2:M$681)) / (MAX('ALL(responses)'!M$2:M$681)-MIN('ALL(responses)'!M$2:M$681)),3)
</f>
        <v>0.526</v>
      </c>
      <c r="N493" s="6">
        <f>ROUND(('ALL(responses)'!P493 - MIN('ALL(responses)'!P$2:P$681)) / (MAX('ALL(responses)'!P$2:P$681)-MIN('ALL(responses)'!P$2:P$681)),3)
</f>
        <v>0.361</v>
      </c>
      <c r="O493" s="6">
        <f>ROUND(('ALL(responses)'!Q493 - MIN('ALL(responses)'!Q$2:Q$681)) / (MAX('ALL(responses)'!Q$2:Q$681)-MIN('ALL(responses)'!Q$2:Q$681)),3)
</f>
        <v>0.534</v>
      </c>
      <c r="P493" s="6">
        <f>ROUND(('ALL(responses)'!R493 - MIN('ALL(responses)'!R$2:R$681)) / (MAX('ALL(responses)'!R$2:R$681)-MIN('ALL(responses)'!R$2:R$681)),3)
</f>
        <v>0.974</v>
      </c>
      <c r="Q493" s="6">
        <f>ROUND(('ALL(responses)'!S493 - MIN('ALL(responses)'!S$2:S$681)) / (MAX('ALL(responses)'!S$2:S$681)-MIN('ALL(responses)'!S$2:S$681)),3)
</f>
        <v>0.987</v>
      </c>
      <c r="R493" s="6">
        <f>ROUND(('ALL(responses)'!T493 - MIN('ALL(responses)'!T$2:T$681)) / (MAX('ALL(responses)'!T$2:T$681)-MIN('ALL(responses)'!T$2:T$681)),3)
</f>
        <v>0.508</v>
      </c>
      <c r="S493" s="6">
        <f t="shared" si="1"/>
        <v>0.5130769231</v>
      </c>
    </row>
    <row r="494">
      <c r="A494" s="5" t="str">
        <f>'ALL(responses)'!A494</f>
        <v>B_MILDLYINTIMATE</v>
      </c>
      <c r="B494" s="6" t="str">
        <f>'ALL(responses)'!B494</f>
        <v>gpt-4o-mini</v>
      </c>
      <c r="C494" s="49" t="str">
        <f>'ALL(responses)'!C494</f>
        <v>What kind of music do you typically listen to?</v>
      </c>
      <c r="D494" s="49" t="str">
        <f>'ALL(responses)'!D494</f>
        <v>I don't listen to music myself, but I can appreciate the wide variety of genres and styles that people enjoy! Some might prefer calming genres like jazz or classical for relaxation, while others might enjoy upbeat pop, rock, or electronic music for energy. It really depends on individual taste and mood! What kind of music do you like to listen to?</v>
      </c>
      <c r="E494" s="50">
        <f>'ALL(responses)'!E494</f>
        <v>45491</v>
      </c>
      <c r="F494" s="6">
        <f>ROUND(('ALL(responses)'!F494 - MIN('ALL(responses)'!F$2:F$681)) / (MAX('ALL(responses)'!F$2:F$681)-MIN('ALL(responses)'!F$2:F$681)),3)
</f>
        <v>0</v>
      </c>
      <c r="G494" s="6">
        <f>ROUND(('ALL(responses)'!G494 - MIN('ALL(responses)'!G$2:G$681)) / (MAX('ALL(responses)'!G$2:G$681)-MIN('ALL(responses)'!G$2:G$681)),3)
</f>
        <v>0.222</v>
      </c>
      <c r="H494" s="6">
        <f>ROUND(('ALL(responses)'!H494 - MIN('ALL(responses)'!H$2:H$681)) / (MAX('ALL(responses)'!H$2:H$681)-MIN('ALL(responses)'!H$2:H$681)),3)
</f>
        <v>0.875</v>
      </c>
      <c r="I494" s="6">
        <f>ROUND(('ALL(responses)'!I494 - MIN('ALL(responses)'!I$2:I$681)) / (MAX('ALL(responses)'!I$2:I$681)-MIN('ALL(responses)'!I$2:I$681)),3)
</f>
        <v>0</v>
      </c>
      <c r="J494" s="6">
        <f>ROUND(('ALL(responses)'!J494 - MIN('ALL(responses)'!J$2:J$681)) / (MAX('ALL(responses)'!J$2:J$681)-MIN('ALL(responses)'!J$2:J$681)),3)
</f>
        <v>0.5</v>
      </c>
      <c r="K494" s="6">
        <f>ROUND(('ALL(responses)'!K494 - MIN('ALL(responses)'!K$2:K$681)) / (MAX('ALL(responses)'!K$2:K$681)-MIN('ALL(responses)'!K$2:K$681)),3)
</f>
        <v>0.106</v>
      </c>
      <c r="L494" s="6">
        <f>ROUND(('ALL(responses)'!L494 - MIN('ALL(responses)'!L$2:L$681)) / (MAX('ALL(responses)'!L$2:L$681)-MIN('ALL(responses)'!L$2:L$681)),3)
</f>
        <v>0.44</v>
      </c>
      <c r="M494" s="6">
        <f>ROUND(('ALL(responses)'!M494 - MIN('ALL(responses)'!M$2:M$681)) / (MAX('ALL(responses)'!M$2:M$681)-MIN('ALL(responses)'!M$2:M$681)),3)
</f>
        <v>0.526</v>
      </c>
      <c r="N494" s="6">
        <f>ROUND(('ALL(responses)'!P494 - MIN('ALL(responses)'!P$2:P$681)) / (MAX('ALL(responses)'!P$2:P$681)-MIN('ALL(responses)'!P$2:P$681)),3)
</f>
        <v>0.532</v>
      </c>
      <c r="O494" s="6">
        <f>ROUND(('ALL(responses)'!Q494 - MIN('ALL(responses)'!Q$2:Q$681)) / (MAX('ALL(responses)'!Q$2:Q$681)-MIN('ALL(responses)'!Q$2:Q$681)),3)
</f>
        <v>0.369</v>
      </c>
      <c r="P494" s="6">
        <f>ROUND(('ALL(responses)'!R494 - MIN('ALL(responses)'!R$2:R$681)) / (MAX('ALL(responses)'!R$2:R$681)-MIN('ALL(responses)'!R$2:R$681)),3)
</f>
        <v>0.985</v>
      </c>
      <c r="Q494" s="6">
        <f>ROUND(('ALL(responses)'!S494 - MIN('ALL(responses)'!S$2:S$681)) / (MAX('ALL(responses)'!S$2:S$681)-MIN('ALL(responses)'!S$2:S$681)),3)
</f>
        <v>0.992</v>
      </c>
      <c r="R494" s="6">
        <f>ROUND(('ALL(responses)'!T494 - MIN('ALL(responses)'!T$2:T$681)) / (MAX('ALL(responses)'!T$2:T$681)-MIN('ALL(responses)'!T$2:T$681)),3)
</f>
        <v>0.242</v>
      </c>
      <c r="S494" s="6">
        <f t="shared" si="1"/>
        <v>0.4453076923</v>
      </c>
    </row>
    <row r="495">
      <c r="A495" s="5" t="str">
        <f>'ALL(responses)'!A495</f>
        <v>B_MILDLYINTIMATE</v>
      </c>
      <c r="B495" s="6" t="str">
        <f>'ALL(responses)'!B495</f>
        <v>gpt-4o-mini</v>
      </c>
      <c r="C495" s="49" t="str">
        <f>'ALL(responses)'!C495</f>
        <v>What's the best and worst thing about your favorite hobby?</v>
      </c>
      <c r="D495" s="49" t="str">
        <f>'ALL(responses)'!D495</f>
        <v>I don't have hobbies, but I can certainly discuss some common pros and cons of different hobbies! For instance, if we consider reading as a hobby:**Best Thing:** Reading can be incredibly enriching. It expands knowledge, stimulates the imagination, and provides an escape into different worlds.**Worst Thing:** Some might find it difficult to find time to read with a busy schedule, and occasionally, a book may not meet expectations or may be hard to get into.If you have a specific hobby in mind, I can provide a similar breakdown! What's your favorite hobby?</v>
      </c>
      <c r="E495" s="50">
        <f>'ALL(responses)'!E495</f>
        <v>45491</v>
      </c>
      <c r="F495" s="6">
        <f>ROUND(('ALL(responses)'!F495 - MIN('ALL(responses)'!F$2:F$681)) / (MAX('ALL(responses)'!F$2:F$681)-MIN('ALL(responses)'!F$2:F$681)),3)
</f>
        <v>0</v>
      </c>
      <c r="G495" s="6">
        <f>ROUND(('ALL(responses)'!G495 - MIN('ALL(responses)'!G$2:G$681)) / (MAX('ALL(responses)'!G$2:G$681)-MIN('ALL(responses)'!G$2:G$681)),3)
</f>
        <v>0.222</v>
      </c>
      <c r="H495" s="6">
        <f>ROUND(('ALL(responses)'!H495 - MIN('ALL(responses)'!H$2:H$681)) / (MAX('ALL(responses)'!H$2:H$681)-MIN('ALL(responses)'!H$2:H$681)),3)
</f>
        <v>0.875</v>
      </c>
      <c r="I495" s="6">
        <f>ROUND(('ALL(responses)'!I495 - MIN('ALL(responses)'!I$2:I$681)) / (MAX('ALL(responses)'!I$2:I$681)-MIN('ALL(responses)'!I$2:I$681)),3)
</f>
        <v>0</v>
      </c>
      <c r="J495" s="6">
        <f>ROUND(('ALL(responses)'!J495 - MIN('ALL(responses)'!J$2:J$681)) / (MAX('ALL(responses)'!J$2:J$681)-MIN('ALL(responses)'!J$2:J$681)),3)
</f>
        <v>0.5</v>
      </c>
      <c r="K495" s="6">
        <f>ROUND(('ALL(responses)'!K495 - MIN('ALL(responses)'!K$2:K$681)) / (MAX('ALL(responses)'!K$2:K$681)-MIN('ALL(responses)'!K$2:K$681)),3)
</f>
        <v>0.258</v>
      </c>
      <c r="L495" s="6">
        <f>ROUND(('ALL(responses)'!L495 - MIN('ALL(responses)'!L$2:L$681)) / (MAX('ALL(responses)'!L$2:L$681)-MIN('ALL(responses)'!L$2:L$681)),3)
</f>
        <v>0.568</v>
      </c>
      <c r="M495" s="6">
        <f>ROUND(('ALL(responses)'!M495 - MIN('ALL(responses)'!M$2:M$681)) / (MAX('ALL(responses)'!M$2:M$681)-MIN('ALL(responses)'!M$2:M$681)),3)
</f>
        <v>0.507</v>
      </c>
      <c r="N495" s="6">
        <f>ROUND(('ALL(responses)'!P495 - MIN('ALL(responses)'!P$2:P$681)) / (MAX('ALL(responses)'!P$2:P$681)-MIN('ALL(responses)'!P$2:P$681)),3)
</f>
        <v>0.794</v>
      </c>
      <c r="O495" s="6">
        <f>ROUND(('ALL(responses)'!Q495 - MIN('ALL(responses)'!Q$2:Q$681)) / (MAX('ALL(responses)'!Q$2:Q$681)-MIN('ALL(responses)'!Q$2:Q$681)),3)
</f>
        <v>0.391</v>
      </c>
      <c r="P495" s="6">
        <f>ROUND(('ALL(responses)'!R495 - MIN('ALL(responses)'!R$2:R$681)) / (MAX('ALL(responses)'!R$2:R$681)-MIN('ALL(responses)'!R$2:R$681)),3)
</f>
        <v>0.855</v>
      </c>
      <c r="Q495" s="6">
        <f>ROUND(('ALL(responses)'!S495 - MIN('ALL(responses)'!S$2:S$681)) / (MAX('ALL(responses)'!S$2:S$681)-MIN('ALL(responses)'!S$2:S$681)),3)
</f>
        <v>0.927</v>
      </c>
      <c r="R495" s="6">
        <f>ROUND(('ALL(responses)'!T495 - MIN('ALL(responses)'!T$2:T$681)) / (MAX('ALL(responses)'!T$2:T$681)-MIN('ALL(responses)'!T$2:T$681)),3)
</f>
        <v>0.394</v>
      </c>
      <c r="S495" s="6">
        <f t="shared" si="1"/>
        <v>0.4839230769</v>
      </c>
    </row>
    <row r="496">
      <c r="A496" s="5" t="str">
        <f>'ALL(responses)'!A496</f>
        <v>B_MILDLYINTIMATE</v>
      </c>
      <c r="B496" s="6" t="str">
        <f>'ALL(responses)'!B496</f>
        <v>gpt-4o-mini</v>
      </c>
      <c r="C496" s="49" t="str">
        <f>'ALL(responses)'!C496</f>
        <v>How do you approach conflict resolution with your colleagues or superiors?</v>
      </c>
      <c r="D496" s="49" t="str">
        <f>'ALL(responses)'!D496</f>
        <v>While I don’t have personal experiences, I can offer some effective strategies for conflict resolution in a workplace setting:1. **Open Communication:** Approach the individual calmly and express your concerns directly. Listening to their perspective is equally important.2. **Stay Objective:** Focus on the issue at hand rather than personal feelings or accusations. This helps keep the conversation constructive.3. **Seek Common Ground:** Identify shared goals or interests to foster collaboration and compromise.4. **Be Respectful:** Maintain professionalism and respect throughout the conversation, even if emotions run high.5. **Follow Up:** After reaching a resolution, check in with your colleagues to ensure the agreement is working and to reinforce a positive relationship.These approaches can help create a more harmonious work environment and facilitate effective problem-solving. How do you handle conflict in your own experiences?</v>
      </c>
      <c r="E496" s="50">
        <f>'ALL(responses)'!E496</f>
        <v>45491</v>
      </c>
      <c r="F496" s="6">
        <f>ROUND(('ALL(responses)'!F496 - MIN('ALL(responses)'!F$2:F$681)) / (MAX('ALL(responses)'!F$2:F$681)-MIN('ALL(responses)'!F$2:F$681)),3)
</f>
        <v>0.125</v>
      </c>
      <c r="G496" s="6">
        <f>ROUND(('ALL(responses)'!G496 - MIN('ALL(responses)'!G$2:G$681)) / (MAX('ALL(responses)'!G$2:G$681)-MIN('ALL(responses)'!G$2:G$681)),3)
</f>
        <v>0.222</v>
      </c>
      <c r="H496" s="6">
        <f>ROUND(('ALL(responses)'!H496 - MIN('ALL(responses)'!H$2:H$681)) / (MAX('ALL(responses)'!H$2:H$681)-MIN('ALL(responses)'!H$2:H$681)),3)
</f>
        <v>0.875</v>
      </c>
      <c r="I496" s="6">
        <f>ROUND(('ALL(responses)'!I496 - MIN('ALL(responses)'!I$2:I$681)) / (MAX('ALL(responses)'!I$2:I$681)-MIN('ALL(responses)'!I$2:I$681)),3)
</f>
        <v>0</v>
      </c>
      <c r="J496" s="6">
        <f>ROUND(('ALL(responses)'!J496 - MIN('ALL(responses)'!J$2:J$681)) / (MAX('ALL(responses)'!J$2:J$681)-MIN('ALL(responses)'!J$2:J$681)),3)
</f>
        <v>0.5</v>
      </c>
      <c r="K496" s="6">
        <f>ROUND(('ALL(responses)'!K496 - MIN('ALL(responses)'!K$2:K$681)) / (MAX('ALL(responses)'!K$2:K$681)-MIN('ALL(responses)'!K$2:K$681)),3)
</f>
        <v>0.439</v>
      </c>
      <c r="L496" s="6">
        <f>ROUND(('ALL(responses)'!L496 - MIN('ALL(responses)'!L$2:L$681)) / (MAX('ALL(responses)'!L$2:L$681)-MIN('ALL(responses)'!L$2:L$681)),3)
</f>
        <v>0.479</v>
      </c>
      <c r="M496" s="6">
        <f>ROUND(('ALL(responses)'!M496 - MIN('ALL(responses)'!M$2:M$681)) / (MAX('ALL(responses)'!M$2:M$681)-MIN('ALL(responses)'!M$2:M$681)),3)
</f>
        <v>0.652</v>
      </c>
      <c r="N496" s="6">
        <f>ROUND(('ALL(responses)'!P496 - MIN('ALL(responses)'!P$2:P$681)) / (MAX('ALL(responses)'!P$2:P$681)-MIN('ALL(responses)'!P$2:P$681)),3)
</f>
        <v>0.161</v>
      </c>
      <c r="O496" s="6">
        <f>ROUND(('ALL(responses)'!Q496 - MIN('ALL(responses)'!Q$2:Q$681)) / (MAX('ALL(responses)'!Q$2:Q$681)-MIN('ALL(responses)'!Q$2:Q$681)),3)
</f>
        <v>0.244</v>
      </c>
      <c r="P496" s="6">
        <f>ROUND(('ALL(responses)'!R496 - MIN('ALL(responses)'!R$2:R$681)) / (MAX('ALL(responses)'!R$2:R$681)-MIN('ALL(responses)'!R$2:R$681)),3)
</f>
        <v>0.988</v>
      </c>
      <c r="Q496" s="6">
        <f>ROUND(('ALL(responses)'!S496 - MIN('ALL(responses)'!S$2:S$681)) / (MAX('ALL(responses)'!S$2:S$681)-MIN('ALL(responses)'!S$2:S$681)),3)
</f>
        <v>0.994</v>
      </c>
      <c r="R496" s="6">
        <f>ROUND(('ALL(responses)'!T496 - MIN('ALL(responses)'!T$2:T$681)) / (MAX('ALL(responses)'!T$2:T$681)-MIN('ALL(responses)'!T$2:T$681)),3)
</f>
        <v>0.44</v>
      </c>
      <c r="S496" s="6">
        <f t="shared" si="1"/>
        <v>0.4706923077</v>
      </c>
    </row>
    <row r="497">
      <c r="A497" s="5" t="str">
        <f>'ALL(responses)'!A497</f>
        <v>B_MILDLYINTIMATE</v>
      </c>
      <c r="B497" s="6" t="str">
        <f>'ALL(responses)'!B497</f>
        <v>gpt-4o-mini</v>
      </c>
      <c r="C497" s="49" t="str">
        <f>'ALL(responses)'!C497</f>
        <v>What are your career goals for the next five years?</v>
      </c>
      <c r="D497" s="49" t="str">
        <f>'ALL(responses)'!D497</f>
        <v>I don't have personal career goals or aspirations. However, for many people, common career goals over the next five years might include:1. **Skill Development:** Acquiring new skills or certifications to enhance their qualifications.2. **Career Advancement:** Seeking promotions or new opportunities within their current organization or industry.3. **Networking:** Building a professional network to open up new opportunities and collaborations.4. **Work-Life Balance:** Achieving a better balance between work responsibilities and personal life.5. **Leadership Roles:** Aspiring to take on managerial or leadership positions to influence and mentor others.If you have career goals, I’d love to hear about them!</v>
      </c>
      <c r="E497" s="50">
        <f>'ALL(responses)'!E497</f>
        <v>45491</v>
      </c>
      <c r="F497" s="6">
        <f>ROUND(('ALL(responses)'!F497 - MIN('ALL(responses)'!F$2:F$681)) / (MAX('ALL(responses)'!F$2:F$681)-MIN('ALL(responses)'!F$2:F$681)),3)
</f>
        <v>0</v>
      </c>
      <c r="G497" s="6">
        <f>ROUND(('ALL(responses)'!G497 - MIN('ALL(responses)'!G$2:G$681)) / (MAX('ALL(responses)'!G$2:G$681)-MIN('ALL(responses)'!G$2:G$681)),3)
</f>
        <v>0.222</v>
      </c>
      <c r="H497" s="6">
        <f>ROUND(('ALL(responses)'!H497 - MIN('ALL(responses)'!H$2:H$681)) / (MAX('ALL(responses)'!H$2:H$681)-MIN('ALL(responses)'!H$2:H$681)),3)
</f>
        <v>0.875</v>
      </c>
      <c r="I497" s="6">
        <f>ROUND(('ALL(responses)'!I497 - MIN('ALL(responses)'!I$2:I$681)) / (MAX('ALL(responses)'!I$2:I$681)-MIN('ALL(responses)'!I$2:I$681)),3)
</f>
        <v>0</v>
      </c>
      <c r="J497" s="6">
        <f>ROUND(('ALL(responses)'!J497 - MIN('ALL(responses)'!J$2:J$681)) / (MAX('ALL(responses)'!J$2:J$681)-MIN('ALL(responses)'!J$2:J$681)),3)
</f>
        <v>0.75</v>
      </c>
      <c r="K497" s="6">
        <f>ROUND(('ALL(responses)'!K497 - MIN('ALL(responses)'!K$2:K$681)) / (MAX('ALL(responses)'!K$2:K$681)-MIN('ALL(responses)'!K$2:K$681)),3)
</f>
        <v>0.531</v>
      </c>
      <c r="L497" s="6">
        <f>ROUND(('ALL(responses)'!L497 - MIN('ALL(responses)'!L$2:L$681)) / (MAX('ALL(responses)'!L$2:L$681)-MIN('ALL(responses)'!L$2:L$681)),3)
</f>
        <v>0.558</v>
      </c>
      <c r="M497" s="6">
        <f>ROUND(('ALL(responses)'!M497 - MIN('ALL(responses)'!M$2:M$681)) / (MAX('ALL(responses)'!M$2:M$681)-MIN('ALL(responses)'!M$2:M$681)),3)
</f>
        <v>0.627</v>
      </c>
      <c r="N497" s="6">
        <f>ROUND(('ALL(responses)'!P497 - MIN('ALL(responses)'!P$2:P$681)) / (MAX('ALL(responses)'!P$2:P$681)-MIN('ALL(responses)'!P$2:P$681)),3)
</f>
        <v>0.212</v>
      </c>
      <c r="O497" s="6">
        <f>ROUND(('ALL(responses)'!Q497 - MIN('ALL(responses)'!Q$2:Q$681)) / (MAX('ALL(responses)'!Q$2:Q$681)-MIN('ALL(responses)'!Q$2:Q$681)),3)
</f>
        <v>0.237</v>
      </c>
      <c r="P497" s="6">
        <f>ROUND(('ALL(responses)'!R497 - MIN('ALL(responses)'!R$2:R$681)) / (MAX('ALL(responses)'!R$2:R$681)-MIN('ALL(responses)'!R$2:R$681)),3)
</f>
        <v>0.912</v>
      </c>
      <c r="Q497" s="6">
        <f>ROUND(('ALL(responses)'!S497 - MIN('ALL(responses)'!S$2:S$681)) / (MAX('ALL(responses)'!S$2:S$681)-MIN('ALL(responses)'!S$2:S$681)),3)
</f>
        <v>0.956</v>
      </c>
      <c r="R497" s="6">
        <f>ROUND(('ALL(responses)'!T497 - MIN('ALL(responses)'!T$2:T$681)) / (MAX('ALL(responses)'!T$2:T$681)-MIN('ALL(responses)'!T$2:T$681)),3)
</f>
        <v>0.457</v>
      </c>
      <c r="S497" s="6">
        <f t="shared" si="1"/>
        <v>0.4874615385</v>
      </c>
    </row>
    <row r="498">
      <c r="A498" s="5" t="str">
        <f>'ALL(responses)'!A498</f>
        <v>B_MILDLYINTIMATE</v>
      </c>
      <c r="B498" s="6" t="str">
        <f>'ALL(responses)'!B498</f>
        <v>gpt-4o-mini</v>
      </c>
      <c r="C498" s="49" t="str">
        <f>'ALL(responses)'!C498</f>
        <v>Do you think social media is more of a positive or negative influence on society?</v>
      </c>
      <c r="D498" s="49" t="str">
        <f>'ALL(responses)'!D498</f>
        <v>Social media has both positive and negative influences on society, and opinions on its overall impact can vary widely. Here are some points for both sides:### Positive Influences:1. **Connection and Community:** Social media allows people to connect with friends and family, regardless of distance, and helps build communities around shared interests and causes.2. **Information Sharing:** It can be a powerful tool for disseminating information quickly, raising awareness about social issues, and mobilizing for change.3. **Creativity and Expression:** Platforms enable individuals to express themselves creatively, share their art, and engage in dialogue about important topics.### Negative Influences:1. **Misinformation:** The rapid spread of false information can lead to confusion and mistrust among the public.2. **Mental Health Impact:** Overuse of social media can contribute to anxiety, depression, and feelings of inadequacy, particularly among younger users.3. **Polarization:** Social media can create echo chambers where people are exposed only to viewpoints that reinforce their own, leading to greater societal division.Ultimately, the impact of social media can depend on how it's used. It has the potential for both positive and negative effects, and much depends on individual and collective choices. What are your thoughts on social media's influence?</v>
      </c>
      <c r="E498" s="50">
        <f>'ALL(responses)'!E498</f>
        <v>45491</v>
      </c>
      <c r="F498" s="6">
        <f>ROUND(('ALL(responses)'!F498 - MIN('ALL(responses)'!F$2:F$681)) / (MAX('ALL(responses)'!F$2:F$681)-MIN('ALL(responses)'!F$2:F$681)),3)
</f>
        <v>0</v>
      </c>
      <c r="G498" s="6">
        <f>ROUND(('ALL(responses)'!G498 - MIN('ALL(responses)'!G$2:G$681)) / (MAX('ALL(responses)'!G$2:G$681)-MIN('ALL(responses)'!G$2:G$681)),3)
</f>
        <v>0.222</v>
      </c>
      <c r="H498" s="6">
        <f>ROUND(('ALL(responses)'!H498 - MIN('ALL(responses)'!H$2:H$681)) / (MAX('ALL(responses)'!H$2:H$681)-MIN('ALL(responses)'!H$2:H$681)),3)
</f>
        <v>0.875</v>
      </c>
      <c r="I498" s="6">
        <f>ROUND(('ALL(responses)'!I498 - MIN('ALL(responses)'!I$2:I$681)) / (MAX('ALL(responses)'!I$2:I$681)-MIN('ALL(responses)'!I$2:I$681)),3)
</f>
        <v>0</v>
      </c>
      <c r="J498" s="6">
        <f>ROUND(('ALL(responses)'!J498 - MIN('ALL(responses)'!J$2:J$681)) / (MAX('ALL(responses)'!J$2:J$681)-MIN('ALL(responses)'!J$2:J$681)),3)
</f>
        <v>0.75</v>
      </c>
      <c r="K498" s="6">
        <f>ROUND(('ALL(responses)'!K498 - MIN('ALL(responses)'!K$2:K$681)) / (MAX('ALL(responses)'!K$2:K$681)-MIN('ALL(responses)'!K$2:K$681)),3)
</f>
        <v>0.537</v>
      </c>
      <c r="L498" s="6">
        <f>ROUND(('ALL(responses)'!L498 - MIN('ALL(responses)'!L$2:L$681)) / (MAX('ALL(responses)'!L$2:L$681)-MIN('ALL(responses)'!L$2:L$681)),3)
</f>
        <v>0.285</v>
      </c>
      <c r="M498" s="6">
        <f>ROUND(('ALL(responses)'!M498 - MIN('ALL(responses)'!M$2:M$681)) / (MAX('ALL(responses)'!M$2:M$681)-MIN('ALL(responses)'!M$2:M$681)),3)
</f>
        <v>0.478</v>
      </c>
      <c r="N498" s="6">
        <f>ROUND(('ALL(responses)'!P498 - MIN('ALL(responses)'!P$2:P$681)) / (MAX('ALL(responses)'!P$2:P$681)-MIN('ALL(responses)'!P$2:P$681)),3)
</f>
        <v>0.438</v>
      </c>
      <c r="O498" s="6">
        <f>ROUND(('ALL(responses)'!Q498 - MIN('ALL(responses)'!Q$2:Q$681)) / (MAX('ALL(responses)'!Q$2:Q$681)-MIN('ALL(responses)'!Q$2:Q$681)),3)
</f>
        <v>0.187</v>
      </c>
      <c r="P498" s="6">
        <f>ROUND(('ALL(responses)'!R498 - MIN('ALL(responses)'!R$2:R$681)) / (MAX('ALL(responses)'!R$2:R$681)-MIN('ALL(responses)'!R$2:R$681)),3)
</f>
        <v>0.939</v>
      </c>
      <c r="Q498" s="6">
        <f>ROUND(('ALL(responses)'!S498 - MIN('ALL(responses)'!S$2:S$681)) / (MAX('ALL(responses)'!S$2:S$681)-MIN('ALL(responses)'!S$2:S$681)),3)
</f>
        <v>0.97</v>
      </c>
      <c r="R498" s="6">
        <f>ROUND(('ALL(responses)'!T498 - MIN('ALL(responses)'!T$2:T$681)) / (MAX('ALL(responses)'!T$2:T$681)-MIN('ALL(responses)'!T$2:T$681)),3)
</f>
        <v>0.602</v>
      </c>
      <c r="S498" s="6">
        <f t="shared" si="1"/>
        <v>0.4833076923</v>
      </c>
    </row>
    <row r="499">
      <c r="A499" s="5" t="str">
        <f>'ALL(responses)'!A499</f>
        <v>B_MILDLYINTIMATE</v>
      </c>
      <c r="B499" s="6" t="str">
        <f>'ALL(responses)'!B499</f>
        <v>gpt-4o-mini</v>
      </c>
      <c r="C499" s="49" t="str">
        <f>'ALL(responses)'!C499</f>
        <v>Do you prefer listening to music or podcasts while working or studying?</v>
      </c>
      <c r="D499" s="49" t="str">
        <f>'ALL(responses)'!D499</f>
        <v>I don't have personal preferences, but I can share that many people have differing views on listening to music versus podcasts while working or studying. ### Music:- **Pros:** Some find music enhances focus, helps create a productive atmosphere, and can boost their mood. Instrumental or atmospheric music is often preferred to minimize distractions.- **Cons:** Lyrics can be distracting for some, making it hard to concentrate on tasks that require deep thinking or literacy.### Podcasts:- **Pros:** For others, podcasts can provide interesting content that keeps their mind engaged without being overly distracting. They can also be a great way to learn while performing more mundane tasks.- **Cons:** However, engaging with dialogue can sometimes be distracting during complex tasks, as it might compete for cognitive resources.Ultimately, it depends on the individual's preferences and the nature of the work or study they’re doing. What do you prefer while you work or study?</v>
      </c>
      <c r="E499" s="50">
        <f>'ALL(responses)'!E499</f>
        <v>45491</v>
      </c>
      <c r="F499" s="6">
        <f>ROUND(('ALL(responses)'!F499 - MIN('ALL(responses)'!F$2:F$681)) / (MAX('ALL(responses)'!F$2:F$681)-MIN('ALL(responses)'!F$2:F$681)),3)
</f>
        <v>0</v>
      </c>
      <c r="G499" s="6">
        <f>ROUND(('ALL(responses)'!G499 - MIN('ALL(responses)'!G$2:G$681)) / (MAX('ALL(responses)'!G$2:G$681)-MIN('ALL(responses)'!G$2:G$681)),3)
</f>
        <v>0.222</v>
      </c>
      <c r="H499" s="6">
        <f>ROUND(('ALL(responses)'!H499 - MIN('ALL(responses)'!H$2:H$681)) / (MAX('ALL(responses)'!H$2:H$681)-MIN('ALL(responses)'!H$2:H$681)),3)
</f>
        <v>0.875</v>
      </c>
      <c r="I499" s="6">
        <f>ROUND(('ALL(responses)'!I499 - MIN('ALL(responses)'!I$2:I$681)) / (MAX('ALL(responses)'!I$2:I$681)-MIN('ALL(responses)'!I$2:I$681)),3)
</f>
        <v>0</v>
      </c>
      <c r="J499" s="6">
        <f>ROUND(('ALL(responses)'!J499 - MIN('ALL(responses)'!J$2:J$681)) / (MAX('ALL(responses)'!J$2:J$681)-MIN('ALL(responses)'!J$2:J$681)),3)
</f>
        <v>0.5</v>
      </c>
      <c r="K499" s="6">
        <f>ROUND(('ALL(responses)'!K499 - MIN('ALL(responses)'!K$2:K$681)) / (MAX('ALL(responses)'!K$2:K$681)-MIN('ALL(responses)'!K$2:K$681)),3)
</f>
        <v>0.241</v>
      </c>
      <c r="L499" s="6">
        <f>ROUND(('ALL(responses)'!L499 - MIN('ALL(responses)'!L$2:L$681)) / (MAX('ALL(responses)'!L$2:L$681)-MIN('ALL(responses)'!L$2:L$681)),3)
</f>
        <v>0.21</v>
      </c>
      <c r="M499" s="6">
        <f>ROUND(('ALL(responses)'!M499 - MIN('ALL(responses)'!M$2:M$681)) / (MAX('ALL(responses)'!M$2:M$681)-MIN('ALL(responses)'!M$2:M$681)),3)
</f>
        <v>0.545</v>
      </c>
      <c r="N499" s="6">
        <f>ROUND(('ALL(responses)'!P499 - MIN('ALL(responses)'!P$2:P$681)) / (MAX('ALL(responses)'!P$2:P$681)-MIN('ALL(responses)'!P$2:P$681)),3)
</f>
        <v>0.579</v>
      </c>
      <c r="O499" s="6">
        <f>ROUND(('ALL(responses)'!Q499 - MIN('ALL(responses)'!Q$2:Q$681)) / (MAX('ALL(responses)'!Q$2:Q$681)-MIN('ALL(responses)'!Q$2:Q$681)),3)
</f>
        <v>0.304</v>
      </c>
      <c r="P499" s="6">
        <f>ROUND(('ALL(responses)'!R499 - MIN('ALL(responses)'!R$2:R$681)) / (MAX('ALL(responses)'!R$2:R$681)-MIN('ALL(responses)'!R$2:R$681)),3)
</f>
        <v>0.972</v>
      </c>
      <c r="Q499" s="6">
        <f>ROUND(('ALL(responses)'!S499 - MIN('ALL(responses)'!S$2:S$681)) / (MAX('ALL(responses)'!S$2:S$681)-MIN('ALL(responses)'!S$2:S$681)),3)
</f>
        <v>0.986</v>
      </c>
      <c r="R499" s="6">
        <f>ROUND(('ALL(responses)'!T499 - MIN('ALL(responses)'!T$2:T$681)) / (MAX('ALL(responses)'!T$2:T$681)-MIN('ALL(responses)'!T$2:T$681)),3)
</f>
        <v>0.391</v>
      </c>
      <c r="S499" s="6">
        <f t="shared" si="1"/>
        <v>0.4480769231</v>
      </c>
    </row>
    <row r="500">
      <c r="A500" s="5" t="str">
        <f>'ALL(responses)'!A500</f>
        <v>B_MILDLYINTIMATE</v>
      </c>
      <c r="B500" s="6" t="str">
        <f>'ALL(responses)'!B500</f>
        <v>gpt-4o-mini</v>
      </c>
      <c r="C500" s="49" t="str">
        <f>'ALL(responses)'!C500</f>
        <v>Is there a book or movie that has left a significant impact on you, and if so, which one?</v>
      </c>
      <c r="D500" s="49" t="str">
        <f>'ALL(responses)'!D500</f>
        <v>I don't experience movies or books personally, but I can mention some that are often considered impactful by many people:### Books:1. **"To Kill a Mockingbird" by Harper Lee:** This novel addresses themes of racial injustice and moral growth, leaving a lasting impression on readers about empathy and integrity.2. **"1984" by George Orwell:** A powerful commentary on totalitarianism and surveillance, it often sparks discussions about freedom and governmental control.### Movies:1. **"Schindler's List":** This film powerfully depicts the horrors of the Holocaust and the complexities of human morality, often prompting deep reflection on history and compassion.2. **"The Pursuit of Happyness":** This inspirational story about resilience and determination resonates with many and emphasizes the importance of perseverance in the face of adversity.These works inspire strong emotions, provoke thoughts, and often encourage viewers or readers to reflect on their own values and actions. Is there a particular book or movie that has impacted you significantly?</v>
      </c>
      <c r="E500" s="50">
        <f>'ALL(responses)'!E500</f>
        <v>45491</v>
      </c>
      <c r="F500" s="6">
        <f>ROUND(('ALL(responses)'!F500 - MIN('ALL(responses)'!F$2:F$681)) / (MAX('ALL(responses)'!F$2:F$681)-MIN('ALL(responses)'!F$2:F$681)),3)
</f>
        <v>0</v>
      </c>
      <c r="G500" s="6">
        <f>ROUND(('ALL(responses)'!G500 - MIN('ALL(responses)'!G$2:G$681)) / (MAX('ALL(responses)'!G$2:G$681)-MIN('ALL(responses)'!G$2:G$681)),3)
</f>
        <v>0.222</v>
      </c>
      <c r="H500" s="6">
        <f>ROUND(('ALL(responses)'!H500 - MIN('ALL(responses)'!H$2:H$681)) / (MAX('ALL(responses)'!H$2:H$681)-MIN('ALL(responses)'!H$2:H$681)),3)
</f>
        <v>0.875</v>
      </c>
      <c r="I500" s="6">
        <f>ROUND(('ALL(responses)'!I500 - MIN('ALL(responses)'!I$2:I$681)) / (MAX('ALL(responses)'!I$2:I$681)-MIN('ALL(responses)'!I$2:I$681)),3)
</f>
        <v>0</v>
      </c>
      <c r="J500" s="6">
        <f>ROUND(('ALL(responses)'!J500 - MIN('ALL(responses)'!J$2:J$681)) / (MAX('ALL(responses)'!J$2:J$681)-MIN('ALL(responses)'!J$2:J$681)),3)
</f>
        <v>0.5</v>
      </c>
      <c r="K500" s="6">
        <f>ROUND(('ALL(responses)'!K500 - MIN('ALL(responses)'!K$2:K$681)) / (MAX('ALL(responses)'!K$2:K$681)-MIN('ALL(responses)'!K$2:K$681)),3)
</f>
        <v>0.352</v>
      </c>
      <c r="L500" s="6">
        <f>ROUND(('ALL(responses)'!L500 - MIN('ALL(responses)'!L$2:L$681)) / (MAX('ALL(responses)'!L$2:L$681)-MIN('ALL(responses)'!L$2:L$681)),3)
</f>
        <v>0.322</v>
      </c>
      <c r="M500" s="6">
        <f>ROUND(('ALL(responses)'!M500 - MIN('ALL(responses)'!M$2:M$681)) / (MAX('ALL(responses)'!M$2:M$681)-MIN('ALL(responses)'!M$2:M$681)),3)
</f>
        <v>0.418</v>
      </c>
      <c r="N500" s="6">
        <f>ROUND(('ALL(responses)'!P500 - MIN('ALL(responses)'!P$2:P$681)) / (MAX('ALL(responses)'!P$2:P$681)-MIN('ALL(responses)'!P$2:P$681)),3)
</f>
        <v>0.557</v>
      </c>
      <c r="O500" s="6">
        <f>ROUND(('ALL(responses)'!Q500 - MIN('ALL(responses)'!Q$2:Q$681)) / (MAX('ALL(responses)'!Q$2:Q$681)-MIN('ALL(responses)'!Q$2:Q$681)),3)
</f>
        <v>0.149</v>
      </c>
      <c r="P500" s="6">
        <f>ROUND(('ALL(responses)'!R500 - MIN('ALL(responses)'!R$2:R$681)) / (MAX('ALL(responses)'!R$2:R$681)-MIN('ALL(responses)'!R$2:R$681)),3)
</f>
        <v>0.972</v>
      </c>
      <c r="Q500" s="6">
        <f>ROUND(('ALL(responses)'!S500 - MIN('ALL(responses)'!S$2:S$681)) / (MAX('ALL(responses)'!S$2:S$681)-MIN('ALL(responses)'!S$2:S$681)),3)
</f>
        <v>0.986</v>
      </c>
      <c r="R500" s="6">
        <f>ROUND(('ALL(responses)'!T500 - MIN('ALL(responses)'!T$2:T$681)) / (MAX('ALL(responses)'!T$2:T$681)-MIN('ALL(responses)'!T$2:T$681)),3)
</f>
        <v>0.565</v>
      </c>
      <c r="S500" s="6">
        <f t="shared" si="1"/>
        <v>0.4552307692</v>
      </c>
    </row>
    <row r="501">
      <c r="A501" s="5" t="str">
        <f>'ALL(responses)'!A501</f>
        <v>B_MILDLYINTIMATE</v>
      </c>
      <c r="B501" s="6" t="str">
        <f>'ALL(responses)'!B501</f>
        <v>gpt-4o-mini</v>
      </c>
      <c r="C501" s="49" t="str">
        <f>'ALL(responses)'!C501</f>
        <v>Can you share a funny or embarrassing moment from a time when you were out with your friends?</v>
      </c>
      <c r="D501" s="49" t="str">
        <f>'ALL(responses)'!D501</f>
        <v>I don’t have personal experiences or friends, but I can share some light-hearted examples of funny or embarrassing moments that many people might relate to:1. **Wardrobe Malfunction:** Someone might realize mid-event that they've been walking around with their shirt inside out or a tag sticking out, leading to a funny realization and lots of laughter.2. **Mixing Up Names:** A person might confidently greet a friend but accidentally call them by the wrong name, leading to playful teasing from the group.3. **Food Fumble:** Someone could try to impress their friends by attempting a fancy move with their drink, only to accidentally spill it everywhere, resulting in giggles and good-natured ribbing.If you have a funny or embarrassing moment you'd like to share, I’d love to hear it!</v>
      </c>
      <c r="E501" s="50">
        <f>'ALL(responses)'!E501</f>
        <v>45491</v>
      </c>
      <c r="F501" s="6">
        <f>ROUND(('ALL(responses)'!F501 - MIN('ALL(responses)'!F$2:F$681)) / (MAX('ALL(responses)'!F$2:F$681)-MIN('ALL(responses)'!F$2:F$681)),3)
</f>
        <v>0.125</v>
      </c>
      <c r="G501" s="6">
        <f>ROUND(('ALL(responses)'!G501 - MIN('ALL(responses)'!G$2:G$681)) / (MAX('ALL(responses)'!G$2:G$681)-MIN('ALL(responses)'!G$2:G$681)),3)
</f>
        <v>0.222</v>
      </c>
      <c r="H501" s="6">
        <f>ROUND(('ALL(responses)'!H501 - MIN('ALL(responses)'!H$2:H$681)) / (MAX('ALL(responses)'!H$2:H$681)-MIN('ALL(responses)'!H$2:H$681)),3)
</f>
        <v>0.875</v>
      </c>
      <c r="I501" s="6">
        <f>ROUND(('ALL(responses)'!I501 - MIN('ALL(responses)'!I$2:I$681)) / (MAX('ALL(responses)'!I$2:I$681)-MIN('ALL(responses)'!I$2:I$681)),3)
</f>
        <v>0</v>
      </c>
      <c r="J501" s="6">
        <f>ROUND(('ALL(responses)'!J501 - MIN('ALL(responses)'!J$2:J$681)) / (MAX('ALL(responses)'!J$2:J$681)-MIN('ALL(responses)'!J$2:J$681)),3)
</f>
        <v>0.5</v>
      </c>
      <c r="K501" s="6">
        <f>ROUND(('ALL(responses)'!K501 - MIN('ALL(responses)'!K$2:K$681)) / (MAX('ALL(responses)'!K$2:K$681)-MIN('ALL(responses)'!K$2:K$681)),3)
</f>
        <v>0.217</v>
      </c>
      <c r="L501" s="6">
        <f>ROUND(('ALL(responses)'!L501 - MIN('ALL(responses)'!L$2:L$681)) / (MAX('ALL(responses)'!L$2:L$681)-MIN('ALL(responses)'!L$2:L$681)),3)
</f>
        <v>0.374</v>
      </c>
      <c r="M501" s="6">
        <f>ROUND(('ALL(responses)'!M501 - MIN('ALL(responses)'!M$2:M$681)) / (MAX('ALL(responses)'!M$2:M$681)-MIN('ALL(responses)'!M$2:M$681)),3)
</f>
        <v>0.659</v>
      </c>
      <c r="N501" s="6">
        <f>ROUND(('ALL(responses)'!P501 - MIN('ALL(responses)'!P$2:P$681)) / (MAX('ALL(responses)'!P$2:P$681)-MIN('ALL(responses)'!P$2:P$681)),3)
</f>
        <v>0.404</v>
      </c>
      <c r="O501" s="6">
        <f>ROUND(('ALL(responses)'!Q501 - MIN('ALL(responses)'!Q$2:Q$681)) / (MAX('ALL(responses)'!Q$2:Q$681)-MIN('ALL(responses)'!Q$2:Q$681)),3)
</f>
        <v>0.324</v>
      </c>
      <c r="P501" s="6">
        <f>ROUND(('ALL(responses)'!R501 - MIN('ALL(responses)'!R$2:R$681)) / (MAX('ALL(responses)'!R$2:R$681)-MIN('ALL(responses)'!R$2:R$681)),3)
</f>
        <v>0.989</v>
      </c>
      <c r="Q501" s="6">
        <f>ROUND(('ALL(responses)'!S501 - MIN('ALL(responses)'!S$2:S$681)) / (MAX('ALL(responses)'!S$2:S$681)-MIN('ALL(responses)'!S$2:S$681)),3)
</f>
        <v>0.995</v>
      </c>
      <c r="R501" s="6">
        <f>ROUND(('ALL(responses)'!T501 - MIN('ALL(responses)'!T$2:T$681)) / (MAX('ALL(responses)'!T$2:T$681)-MIN('ALL(responses)'!T$2:T$681)),3)
</f>
        <v>0.343</v>
      </c>
      <c r="S501" s="6">
        <f t="shared" si="1"/>
        <v>0.4636153846</v>
      </c>
    </row>
    <row r="502">
      <c r="A502" s="5" t="str">
        <f>'ALL(responses)'!A502</f>
        <v>C_MODERATELYINTIMATE</v>
      </c>
      <c r="B502" s="6" t="str">
        <f>'ALL(responses)'!B502</f>
        <v>gpt-4o-mini</v>
      </c>
      <c r="C502" s="49" t="str">
        <f>'ALL(responses)'!C502</f>
        <v>What are some emotions you find difficult to express openly?</v>
      </c>
      <c r="D502" s="49" t="str">
        <f>'ALL(responses)'!D502</f>
        <v>While I don't experience emotions myself, many people find it challenging to express feelings like vulnerability, fear, or sadness openly. These emotions can be difficult due to social norms, fear of judgment, or a desire to appear strong. Additionally, emotions such as anger or frustration might be hard for some to articulate appropriately, leading to misunderstandings. It can often help to create a safe space or find supportive individuals to express these feelings more freely.</v>
      </c>
      <c r="E502" s="50">
        <f>'ALL(responses)'!E502</f>
        <v>45491</v>
      </c>
      <c r="F502" s="6">
        <f>ROUND(('ALL(responses)'!F502 - MIN('ALL(responses)'!F$2:F$681)) / (MAX('ALL(responses)'!F$2:F$681)-MIN('ALL(responses)'!F$2:F$681)),3)
</f>
        <v>0</v>
      </c>
      <c r="G502" s="6">
        <f>ROUND(('ALL(responses)'!G502 - MIN('ALL(responses)'!G$2:G$681)) / (MAX('ALL(responses)'!G$2:G$681)-MIN('ALL(responses)'!G$2:G$681)),3)
</f>
        <v>0.222</v>
      </c>
      <c r="H502" s="6">
        <f>ROUND(('ALL(responses)'!H502 - MIN('ALL(responses)'!H$2:H$681)) / (MAX('ALL(responses)'!H$2:H$681)-MIN('ALL(responses)'!H$2:H$681)),3)
</f>
        <v>0.875</v>
      </c>
      <c r="I502" s="6">
        <f>ROUND(('ALL(responses)'!I502 - MIN('ALL(responses)'!I$2:I$681)) / (MAX('ALL(responses)'!I$2:I$681)-MIN('ALL(responses)'!I$2:I$681)),3)
</f>
        <v>0</v>
      </c>
      <c r="J502" s="6">
        <f>ROUND(('ALL(responses)'!J502 - MIN('ALL(responses)'!J$2:J$681)) / (MAX('ALL(responses)'!J$2:J$681)-MIN('ALL(responses)'!J$2:J$681)),3)
</f>
        <v>0.75</v>
      </c>
      <c r="K502" s="6">
        <f>ROUND(('ALL(responses)'!K502 - MIN('ALL(responses)'!K$2:K$681)) / (MAX('ALL(responses)'!K$2:K$681)-MIN('ALL(responses)'!K$2:K$681)),3)
</f>
        <v>0.452</v>
      </c>
      <c r="L502" s="6">
        <f>ROUND(('ALL(responses)'!L502 - MIN('ALL(responses)'!L$2:L$681)) / (MAX('ALL(responses)'!L$2:L$681)-MIN('ALL(responses)'!L$2:L$681)),3)
</f>
        <v>0.326</v>
      </c>
      <c r="M502" s="6">
        <f>ROUND(('ALL(responses)'!M502 - MIN('ALL(responses)'!M$2:M$681)) / (MAX('ALL(responses)'!M$2:M$681)-MIN('ALL(responses)'!M$2:M$681)),3)
</f>
        <v>0.646</v>
      </c>
      <c r="N502" s="6">
        <f>ROUND(('ALL(responses)'!P502 - MIN('ALL(responses)'!P$2:P$681)) / (MAX('ALL(responses)'!P$2:P$681)-MIN('ALL(responses)'!P$2:P$681)),3)
</f>
        <v>0.724</v>
      </c>
      <c r="O502" s="6">
        <f>ROUND(('ALL(responses)'!Q502 - MIN('ALL(responses)'!Q$2:Q$681)) / (MAX('ALL(responses)'!Q$2:Q$681)-MIN('ALL(responses)'!Q$2:Q$681)),3)
</f>
        <v>0.24</v>
      </c>
      <c r="P502" s="6">
        <f>ROUND(('ALL(responses)'!R502 - MIN('ALL(responses)'!R$2:R$681)) / (MAX('ALL(responses)'!R$2:R$681)-MIN('ALL(responses)'!R$2:R$681)),3)
</f>
        <v>0.075</v>
      </c>
      <c r="Q502" s="6">
        <f>ROUND(('ALL(responses)'!S502 - MIN('ALL(responses)'!S$2:S$681)) / (MAX('ALL(responses)'!S$2:S$681)-MIN('ALL(responses)'!S$2:S$681)),3)
</f>
        <v>0.537</v>
      </c>
      <c r="R502" s="6">
        <f>ROUND(('ALL(responses)'!T502 - MIN('ALL(responses)'!T$2:T$681)) / (MAX('ALL(responses)'!T$2:T$681)-MIN('ALL(responses)'!T$2:T$681)),3)
</f>
        <v>0.526</v>
      </c>
      <c r="S502" s="6">
        <f t="shared" si="1"/>
        <v>0.4133076923</v>
      </c>
    </row>
    <row r="503">
      <c r="A503" s="5" t="str">
        <f>'ALL(responses)'!A503</f>
        <v>C_MODERATELYINTIMATE</v>
      </c>
      <c r="B503" s="6" t="str">
        <f>'ALL(responses)'!B503</f>
        <v>gpt-4o-mini</v>
      </c>
      <c r="C503" s="49" t="str">
        <f>'ALL(responses)'!C503</f>
        <v>Have you ever hidden your feelings to protect someone else? How did that affect you?</v>
      </c>
      <c r="D503" s="49" t="str">
        <f>'ALL(responses)'!D503</f>
        <v>I don't have feelings or personal experiences, but many people do hide their emotions to protect others, often out of a sense of compassion or responsibility. This can lead to a complex mix of emotions, including sadness, frustration, or isolation, as they may struggle with their own feelings while trying to support someone else. Over time, this can affect mental well-being, leading to a buildup of unexpressed emotions or a sense of disconnect from one's own needs. It's often important for individuals in such situations to find healthy outlets for their feelings and communicate openly when possible.</v>
      </c>
      <c r="E503" s="50">
        <f>'ALL(responses)'!E503</f>
        <v>45491</v>
      </c>
      <c r="F503" s="6">
        <f>ROUND(('ALL(responses)'!F503 - MIN('ALL(responses)'!F$2:F$681)) / (MAX('ALL(responses)'!F$2:F$681)-MIN('ALL(responses)'!F$2:F$681)),3)
</f>
        <v>0</v>
      </c>
      <c r="G503" s="6">
        <f>ROUND(('ALL(responses)'!G503 - MIN('ALL(responses)'!G$2:G$681)) / (MAX('ALL(responses)'!G$2:G$681)-MIN('ALL(responses)'!G$2:G$681)),3)
</f>
        <v>0.222</v>
      </c>
      <c r="H503" s="6">
        <f>ROUND(('ALL(responses)'!H503 - MIN('ALL(responses)'!H$2:H$681)) / (MAX('ALL(responses)'!H$2:H$681)-MIN('ALL(responses)'!H$2:H$681)),3)
</f>
        <v>0.875</v>
      </c>
      <c r="I503" s="6">
        <f>ROUND(('ALL(responses)'!I503 - MIN('ALL(responses)'!I$2:I$681)) / (MAX('ALL(responses)'!I$2:I$681)-MIN('ALL(responses)'!I$2:I$681)),3)
</f>
        <v>0</v>
      </c>
      <c r="J503" s="6">
        <f>ROUND(('ALL(responses)'!J503 - MIN('ALL(responses)'!J$2:J$681)) / (MAX('ALL(responses)'!J$2:J$681)-MIN('ALL(responses)'!J$2:J$681)),3)
</f>
        <v>0.75</v>
      </c>
      <c r="K503" s="6">
        <f>ROUND(('ALL(responses)'!K503 - MIN('ALL(responses)'!K$2:K$681)) / (MAX('ALL(responses)'!K$2:K$681)-MIN('ALL(responses)'!K$2:K$681)),3)
</f>
        <v>0.445</v>
      </c>
      <c r="L503" s="6">
        <f>ROUND(('ALL(responses)'!L503 - MIN('ALL(responses)'!L$2:L$681)) / (MAX('ALL(responses)'!L$2:L$681)-MIN('ALL(responses)'!L$2:L$681)),3)
</f>
        <v>0.24</v>
      </c>
      <c r="M503" s="6">
        <f>ROUND(('ALL(responses)'!M503 - MIN('ALL(responses)'!M$2:M$681)) / (MAX('ALL(responses)'!M$2:M$681)-MIN('ALL(responses)'!M$2:M$681)),3)
</f>
        <v>0.758</v>
      </c>
      <c r="N503" s="6">
        <f>ROUND(('ALL(responses)'!P503 - MIN('ALL(responses)'!P$2:P$681)) / (MAX('ALL(responses)'!P$2:P$681)-MIN('ALL(responses)'!P$2:P$681)),3)
</f>
        <v>0.653</v>
      </c>
      <c r="O503" s="6">
        <f>ROUND(('ALL(responses)'!Q503 - MIN('ALL(responses)'!Q$2:Q$681)) / (MAX('ALL(responses)'!Q$2:Q$681)-MIN('ALL(responses)'!Q$2:Q$681)),3)
</f>
        <v>0.278</v>
      </c>
      <c r="P503" s="6">
        <f>ROUND(('ALL(responses)'!R503 - MIN('ALL(responses)'!R$2:R$681)) / (MAX('ALL(responses)'!R$2:R$681)-MIN('ALL(responses)'!R$2:R$681)),3)
</f>
        <v>0.039</v>
      </c>
      <c r="Q503" s="6">
        <f>ROUND(('ALL(responses)'!S503 - MIN('ALL(responses)'!S$2:S$681)) / (MAX('ALL(responses)'!S$2:S$681)-MIN('ALL(responses)'!S$2:S$681)),3)
</f>
        <v>0.519</v>
      </c>
      <c r="R503" s="6">
        <f>ROUND(('ALL(responses)'!T503 - MIN('ALL(responses)'!T$2:T$681)) / (MAX('ALL(responses)'!T$2:T$681)-MIN('ALL(responses)'!T$2:T$681)),3)
</f>
        <v>0.554</v>
      </c>
      <c r="S503" s="6">
        <f t="shared" si="1"/>
        <v>0.4102307692</v>
      </c>
    </row>
    <row r="504">
      <c r="A504" s="5" t="str">
        <f>'ALL(responses)'!A504</f>
        <v>C_MODERATELYINTIMATE</v>
      </c>
      <c r="B504" s="6" t="str">
        <f>'ALL(responses)'!B504</f>
        <v>gpt-4o-mini</v>
      </c>
      <c r="C504" s="49" t="str">
        <f>'ALL(responses)'!C504</f>
        <v>Can you share a recent challenge you faced and how you overcame it?</v>
      </c>
      <c r="D504" s="49" t="str">
        <f>'ALL(responses)'!D504</f>
        <v>I don’t have personal experiences or face challenges in the same way that humans do. However, I can share common challenges people face and strategies for overcoming them. For example, many individuals struggle with time management and balancing work-life commitments. A common approach to overcoming this challenge is to prioritize tasks using techniques like the Eisenhower Matrix, which helps distinguish between what is urgent and important. Setting specific goals, breaking tasks into smaller steps, and using tools like calendars or to-do lists can also aid in managing time more effectively. If you have a specific challenge in mind, I’d be happy to discuss strategies that might help!</v>
      </c>
      <c r="E504" s="50">
        <f>'ALL(responses)'!E504</f>
        <v>45491</v>
      </c>
      <c r="F504" s="6">
        <f>ROUND(('ALL(responses)'!F504 - MIN('ALL(responses)'!F$2:F$681)) / (MAX('ALL(responses)'!F$2:F$681)-MIN('ALL(responses)'!F$2:F$681)),3)
</f>
        <v>0.125</v>
      </c>
      <c r="G504" s="6">
        <f>ROUND(('ALL(responses)'!G504 - MIN('ALL(responses)'!G$2:G$681)) / (MAX('ALL(responses)'!G$2:G$681)-MIN('ALL(responses)'!G$2:G$681)),3)
</f>
        <v>0.222</v>
      </c>
      <c r="H504" s="6">
        <f>ROUND(('ALL(responses)'!H504 - MIN('ALL(responses)'!H$2:H$681)) / (MAX('ALL(responses)'!H$2:H$681)-MIN('ALL(responses)'!H$2:H$681)),3)
</f>
        <v>0.875</v>
      </c>
      <c r="I504" s="6">
        <f>ROUND(('ALL(responses)'!I504 - MIN('ALL(responses)'!I$2:I$681)) / (MAX('ALL(responses)'!I$2:I$681)-MIN('ALL(responses)'!I$2:I$681)),3)
</f>
        <v>0</v>
      </c>
      <c r="J504" s="6">
        <f>ROUND(('ALL(responses)'!J504 - MIN('ALL(responses)'!J$2:J$681)) / (MAX('ALL(responses)'!J$2:J$681)-MIN('ALL(responses)'!J$2:J$681)),3)
</f>
        <v>0.5</v>
      </c>
      <c r="K504" s="6">
        <f>ROUND(('ALL(responses)'!K504 - MIN('ALL(responses)'!K$2:K$681)) / (MAX('ALL(responses)'!K$2:K$681)-MIN('ALL(responses)'!K$2:K$681)),3)
</f>
        <v>0.407</v>
      </c>
      <c r="L504" s="6">
        <f>ROUND(('ALL(responses)'!L504 - MIN('ALL(responses)'!L$2:L$681)) / (MAX('ALL(responses)'!L$2:L$681)-MIN('ALL(responses)'!L$2:L$681)),3)
</f>
        <v>0.452</v>
      </c>
      <c r="M504" s="6">
        <f>ROUND(('ALL(responses)'!M504 - MIN('ALL(responses)'!M$2:M$681)) / (MAX('ALL(responses)'!M$2:M$681)-MIN('ALL(responses)'!M$2:M$681)),3)
</f>
        <v>0.564</v>
      </c>
      <c r="N504" s="6">
        <f>ROUND(('ALL(responses)'!P504 - MIN('ALL(responses)'!P$2:P$681)) / (MAX('ALL(responses)'!P$2:P$681)-MIN('ALL(responses)'!P$2:P$681)),3)
</f>
        <v>0.297</v>
      </c>
      <c r="O504" s="6">
        <f>ROUND(('ALL(responses)'!Q504 - MIN('ALL(responses)'!Q$2:Q$681)) / (MAX('ALL(responses)'!Q$2:Q$681)-MIN('ALL(responses)'!Q$2:Q$681)),3)
</f>
        <v>0.168</v>
      </c>
      <c r="P504" s="6">
        <f>ROUND(('ALL(responses)'!R504 - MIN('ALL(responses)'!R$2:R$681)) / (MAX('ALL(responses)'!R$2:R$681)-MIN('ALL(responses)'!R$2:R$681)),3)
</f>
        <v>0.967</v>
      </c>
      <c r="Q504" s="6">
        <f>ROUND(('ALL(responses)'!S504 - MIN('ALL(responses)'!S$2:S$681)) / (MAX('ALL(responses)'!S$2:S$681)-MIN('ALL(responses)'!S$2:S$681)),3)
</f>
        <v>0.984</v>
      </c>
      <c r="R504" s="6">
        <f>ROUND(('ALL(responses)'!T504 - MIN('ALL(responses)'!T$2:T$681)) / (MAX('ALL(responses)'!T$2:T$681)-MIN('ALL(responses)'!T$2:T$681)),3)
</f>
        <v>0.443</v>
      </c>
      <c r="S504" s="6">
        <f t="shared" si="1"/>
        <v>0.4618461538</v>
      </c>
    </row>
    <row r="505">
      <c r="A505" s="5" t="str">
        <f>'ALL(responses)'!A505</f>
        <v>C_MODERATELYINTIMATE</v>
      </c>
      <c r="B505" s="6" t="str">
        <f>'ALL(responses)'!B505</f>
        <v>gpt-4o-mini</v>
      </c>
      <c r="C505" s="49" t="str">
        <f>'ALL(responses)'!C505</f>
        <v>What dreams or aspirations keep you motivated?</v>
      </c>
      <c r="D505" s="49" t="str">
        <f>'ALL(responses)'!D505</f>
        <v>While I don’t have dreams or aspirations, I can share that many people find motivation in various personal and professional goals. Common aspirations include achieving career success, nurturing meaningful relationships, pursuing education or personal growth, and contributing to their communities. Some people might be motivated by a desire to travel, explore new cultures, or even make a positive impact on the world through activism or innovation. Identifying individual passions and setting specific, achievable goals can help maintain motivation and provide direction in life. If you're looking to explore your own dreams or aspirations, I’d be glad to help!</v>
      </c>
      <c r="E505" s="50">
        <f>'ALL(responses)'!E505</f>
        <v>45491</v>
      </c>
      <c r="F505" s="6">
        <f>ROUND(('ALL(responses)'!F505 - MIN('ALL(responses)'!F$2:F$681)) / (MAX('ALL(responses)'!F$2:F$681)-MIN('ALL(responses)'!F$2:F$681)),3)
</f>
        <v>0.125</v>
      </c>
      <c r="G505" s="6">
        <f>ROUND(('ALL(responses)'!G505 - MIN('ALL(responses)'!G$2:G$681)) / (MAX('ALL(responses)'!G$2:G$681)-MIN('ALL(responses)'!G$2:G$681)),3)
</f>
        <v>0.222</v>
      </c>
      <c r="H505" s="6">
        <f>ROUND(('ALL(responses)'!H505 - MIN('ALL(responses)'!H$2:H$681)) / (MAX('ALL(responses)'!H$2:H$681)-MIN('ALL(responses)'!H$2:H$681)),3)
</f>
        <v>0.875</v>
      </c>
      <c r="I505" s="6">
        <f>ROUND(('ALL(responses)'!I505 - MIN('ALL(responses)'!I$2:I$681)) / (MAX('ALL(responses)'!I$2:I$681)-MIN('ALL(responses)'!I$2:I$681)),3)
</f>
        <v>0</v>
      </c>
      <c r="J505" s="6">
        <f>ROUND(('ALL(responses)'!J505 - MIN('ALL(responses)'!J$2:J$681)) / (MAX('ALL(responses)'!J$2:J$681)-MIN('ALL(responses)'!J$2:J$681)),3)
</f>
        <v>0.5</v>
      </c>
      <c r="K505" s="6">
        <f>ROUND(('ALL(responses)'!K505 - MIN('ALL(responses)'!K$2:K$681)) / (MAX('ALL(responses)'!K$2:K$681)-MIN('ALL(responses)'!K$2:K$681)),3)
</f>
        <v>0.268</v>
      </c>
      <c r="L505" s="6">
        <f>ROUND(('ALL(responses)'!L505 - MIN('ALL(responses)'!L$2:L$681)) / (MAX('ALL(responses)'!L$2:L$681)-MIN('ALL(responses)'!L$2:L$681)),3)
</f>
        <v>0.435</v>
      </c>
      <c r="M505" s="6">
        <f>ROUND(('ALL(responses)'!M505 - MIN('ALL(responses)'!M$2:M$681)) / (MAX('ALL(responses)'!M$2:M$681)-MIN('ALL(responses)'!M$2:M$681)),3)
</f>
        <v>0.755</v>
      </c>
      <c r="N505" s="6">
        <f>ROUND(('ALL(responses)'!P505 - MIN('ALL(responses)'!P$2:P$681)) / (MAX('ALL(responses)'!P$2:P$681)-MIN('ALL(responses)'!P$2:P$681)),3)
</f>
        <v>0.327</v>
      </c>
      <c r="O505" s="6">
        <f>ROUND(('ALL(responses)'!Q505 - MIN('ALL(responses)'!Q$2:Q$681)) / (MAX('ALL(responses)'!Q$2:Q$681)-MIN('ALL(responses)'!Q$2:Q$681)),3)
</f>
        <v>0.23</v>
      </c>
      <c r="P505" s="6">
        <f>ROUND(('ALL(responses)'!R505 - MIN('ALL(responses)'!R$2:R$681)) / (MAX('ALL(responses)'!R$2:R$681)-MIN('ALL(responses)'!R$2:R$681)),3)
</f>
        <v>0.993</v>
      </c>
      <c r="Q505" s="6">
        <f>ROUND(('ALL(responses)'!S505 - MIN('ALL(responses)'!S$2:S$681)) / (MAX('ALL(responses)'!S$2:S$681)-MIN('ALL(responses)'!S$2:S$681)),3)
</f>
        <v>0.996</v>
      </c>
      <c r="R505" s="6">
        <f>ROUND(('ALL(responses)'!T505 - MIN('ALL(responses)'!T$2:T$681)) / (MAX('ALL(responses)'!T$2:T$681)-MIN('ALL(responses)'!T$2:T$681)),3)
</f>
        <v>0.712</v>
      </c>
      <c r="S505" s="6">
        <f t="shared" si="1"/>
        <v>0.4952307692</v>
      </c>
    </row>
    <row r="506">
      <c r="A506" s="5" t="str">
        <f>'ALL(responses)'!A506</f>
        <v>C_MODERATELYINTIMATE</v>
      </c>
      <c r="B506" s="6" t="str">
        <f>'ALL(responses)'!B506</f>
        <v>gpt-4o-mini</v>
      </c>
      <c r="C506" s="49" t="str">
        <f>'ALL(responses)'!C506</f>
        <v>Is there someone from your past you wish you could reconnect with? Why?</v>
      </c>
      <c r="D506" s="49" t="str">
        <f>'ALL(responses)'!D506</f>
        <v>While I don’t have personal relationships or a past, many people often think about reconnecting with individuals who have had a significant impact on their lives, such as old friends, mentors, or family members. The reasons for wanting to reconnect can vary widely; it may stem from feelings of nostalgia, a desire to rekindle a meaningful friendship, or the hope of resolving unresolved issues or expressing gratitude. Reconnecting can be a way to share experiences, learn from each other’s journeys, or simply enjoy a cherished bond that may have faded over time. If you’re exploring this idea for yourself, it can be helpful to think about what you hope to achieve from the reconnection and how it could enrich your life.</v>
      </c>
      <c r="E506" s="50">
        <f>'ALL(responses)'!E506</f>
        <v>45491</v>
      </c>
      <c r="F506" s="6">
        <f>ROUND(('ALL(responses)'!F506 - MIN('ALL(responses)'!F$2:F$681)) / (MAX('ALL(responses)'!F$2:F$681)-MIN('ALL(responses)'!F$2:F$681)),3)
</f>
        <v>0.125</v>
      </c>
      <c r="G506" s="6">
        <f>ROUND(('ALL(responses)'!G506 - MIN('ALL(responses)'!G$2:G$681)) / (MAX('ALL(responses)'!G$2:G$681)-MIN('ALL(responses)'!G$2:G$681)),3)
</f>
        <v>0.222</v>
      </c>
      <c r="H506" s="6">
        <f>ROUND(('ALL(responses)'!H506 - MIN('ALL(responses)'!H$2:H$681)) / (MAX('ALL(responses)'!H$2:H$681)-MIN('ALL(responses)'!H$2:H$681)),3)
</f>
        <v>0.875</v>
      </c>
      <c r="I506" s="6">
        <f>ROUND(('ALL(responses)'!I506 - MIN('ALL(responses)'!I$2:I$681)) / (MAX('ALL(responses)'!I$2:I$681)-MIN('ALL(responses)'!I$2:I$681)),3)
</f>
        <v>0</v>
      </c>
      <c r="J506" s="6">
        <f>ROUND(('ALL(responses)'!J506 - MIN('ALL(responses)'!J$2:J$681)) / (MAX('ALL(responses)'!J$2:J$681)-MIN('ALL(responses)'!J$2:J$681)),3)
</f>
        <v>0.75</v>
      </c>
      <c r="K506" s="6">
        <f>ROUND(('ALL(responses)'!K506 - MIN('ALL(responses)'!K$2:K$681)) / (MAX('ALL(responses)'!K$2:K$681)-MIN('ALL(responses)'!K$2:K$681)),3)
</f>
        <v>0.638</v>
      </c>
      <c r="L506" s="6">
        <f>ROUND(('ALL(responses)'!L506 - MIN('ALL(responses)'!L$2:L$681)) / (MAX('ALL(responses)'!L$2:L$681)-MIN('ALL(responses)'!L$2:L$681)),3)
</f>
        <v>0.494</v>
      </c>
      <c r="M506" s="6">
        <f>ROUND(('ALL(responses)'!M506 - MIN('ALL(responses)'!M$2:M$681)) / (MAX('ALL(responses)'!M$2:M$681)-MIN('ALL(responses)'!M$2:M$681)),3)
</f>
        <v>0.946</v>
      </c>
      <c r="N506" s="6">
        <f>ROUND(('ALL(responses)'!P506 - MIN('ALL(responses)'!P$2:P$681)) / (MAX('ALL(responses)'!P$2:P$681)-MIN('ALL(responses)'!P$2:P$681)),3)
</f>
        <v>0.976</v>
      </c>
      <c r="O506" s="6">
        <f>ROUND(('ALL(responses)'!Q506 - MIN('ALL(responses)'!Q$2:Q$681)) / (MAX('ALL(responses)'!Q$2:Q$681)-MIN('ALL(responses)'!Q$2:Q$681)),3)
</f>
        <v>0.335</v>
      </c>
      <c r="P506" s="6">
        <f>ROUND(('ALL(responses)'!R506 - MIN('ALL(responses)'!R$2:R$681)) / (MAX('ALL(responses)'!R$2:R$681)-MIN('ALL(responses)'!R$2:R$681)),3)
</f>
        <v>0.986</v>
      </c>
      <c r="Q506" s="6">
        <f>ROUND(('ALL(responses)'!S506 - MIN('ALL(responses)'!S$2:S$681)) / (MAX('ALL(responses)'!S$2:S$681)-MIN('ALL(responses)'!S$2:S$681)),3)
</f>
        <v>0.993</v>
      </c>
      <c r="R506" s="6">
        <f>ROUND(('ALL(responses)'!T506 - MIN('ALL(responses)'!T$2:T$681)) / (MAX('ALL(responses)'!T$2:T$681)-MIN('ALL(responses)'!T$2:T$681)),3)
</f>
        <v>0.716</v>
      </c>
      <c r="S506" s="6">
        <f t="shared" si="1"/>
        <v>0.6196923077</v>
      </c>
    </row>
    <row r="507">
      <c r="A507" s="5" t="str">
        <f>'ALL(responses)'!A507</f>
        <v>C_MODERATELYINTIMATE</v>
      </c>
      <c r="B507" s="6" t="str">
        <f>'ALL(responses)'!B507</f>
        <v>gpt-4o-mini</v>
      </c>
      <c r="C507" s="49" t="str">
        <f>'ALL(responses)'!C507</f>
        <v>What’s a memory from a past relationship that still brings you comfort or clarity?</v>
      </c>
      <c r="D507" s="49" t="str">
        <f>'ALL(responses)'!D507</f>
        <v>While I don't have personal memories or relationships, I can share that many people often find comfort or clarity in positive memories from past relationships. These might include moments of deep connection, shared laughter, or experiences that taught valuable lessons about love, trust, or self-discovery. For example, a memory of a heartfelt conversation during a difficult time or a fun adventure could serve as a reminder of the love and support that existed in that relationship. Such memories can help individuals reflect on what they value in relationships, how they’ve grown, and what they hope for in the future. If you have a specific memory in mind, I’d be happy to help you explore its significance!</v>
      </c>
      <c r="E507" s="50">
        <f>'ALL(responses)'!E507</f>
        <v>45491</v>
      </c>
      <c r="F507" s="6">
        <f>ROUND(('ALL(responses)'!F507 - MIN('ALL(responses)'!F$2:F$681)) / (MAX('ALL(responses)'!F$2:F$681)-MIN('ALL(responses)'!F$2:F$681)),3)
</f>
        <v>0</v>
      </c>
      <c r="G507" s="6">
        <f>ROUND(('ALL(responses)'!G507 - MIN('ALL(responses)'!G$2:G$681)) / (MAX('ALL(responses)'!G$2:G$681)-MIN('ALL(responses)'!G$2:G$681)),3)
</f>
        <v>0.222</v>
      </c>
      <c r="H507" s="6">
        <f>ROUND(('ALL(responses)'!H507 - MIN('ALL(responses)'!H$2:H$681)) / (MAX('ALL(responses)'!H$2:H$681)-MIN('ALL(responses)'!H$2:H$681)),3)
</f>
        <v>0.875</v>
      </c>
      <c r="I507" s="6">
        <f>ROUND(('ALL(responses)'!I507 - MIN('ALL(responses)'!I$2:I$681)) / (MAX('ALL(responses)'!I$2:I$681)-MIN('ALL(responses)'!I$2:I$681)),3)
</f>
        <v>0</v>
      </c>
      <c r="J507" s="6">
        <f>ROUND(('ALL(responses)'!J507 - MIN('ALL(responses)'!J$2:J$681)) / (MAX('ALL(responses)'!J$2:J$681)-MIN('ALL(responses)'!J$2:J$681)),3)
</f>
        <v>0.5</v>
      </c>
      <c r="K507" s="6">
        <f>ROUND(('ALL(responses)'!K507 - MIN('ALL(responses)'!K$2:K$681)) / (MAX('ALL(responses)'!K$2:K$681)-MIN('ALL(responses)'!K$2:K$681)),3)
</f>
        <v>0.448</v>
      </c>
      <c r="L507" s="6">
        <f>ROUND(('ALL(responses)'!L507 - MIN('ALL(responses)'!L$2:L$681)) / (MAX('ALL(responses)'!L$2:L$681)-MIN('ALL(responses)'!L$2:L$681)),3)
</f>
        <v>0.457</v>
      </c>
      <c r="M507" s="6">
        <f>ROUND(('ALL(responses)'!M507 - MIN('ALL(responses)'!M$2:M$681)) / (MAX('ALL(responses)'!M$2:M$681)-MIN('ALL(responses)'!M$2:M$681)),3)
</f>
        <v>0.964</v>
      </c>
      <c r="N507" s="6">
        <f>ROUND(('ALL(responses)'!P507 - MIN('ALL(responses)'!P$2:P$681)) / (MAX('ALL(responses)'!P$2:P$681)-MIN('ALL(responses)'!P$2:P$681)),3)
</f>
        <v>0.55</v>
      </c>
      <c r="O507" s="6">
        <f>ROUND(('ALL(responses)'!Q507 - MIN('ALL(responses)'!Q$2:Q$681)) / (MAX('ALL(responses)'!Q$2:Q$681)-MIN('ALL(responses)'!Q$2:Q$681)),3)
</f>
        <v>0.272</v>
      </c>
      <c r="P507" s="6">
        <f>ROUND(('ALL(responses)'!R507 - MIN('ALL(responses)'!R$2:R$681)) / (MAX('ALL(responses)'!R$2:R$681)-MIN('ALL(responses)'!R$2:R$681)),3)
</f>
        <v>0.995</v>
      </c>
      <c r="Q507" s="6">
        <f>ROUND(('ALL(responses)'!S507 - MIN('ALL(responses)'!S$2:S$681)) / (MAX('ALL(responses)'!S$2:S$681)-MIN('ALL(responses)'!S$2:S$681)),3)
</f>
        <v>0.997</v>
      </c>
      <c r="R507" s="6">
        <f>ROUND(('ALL(responses)'!T507 - MIN('ALL(responses)'!T$2:T$681)) / (MAX('ALL(responses)'!T$2:T$681)-MIN('ALL(responses)'!T$2:T$681)),3)
</f>
        <v>0.578</v>
      </c>
      <c r="S507" s="6">
        <f t="shared" si="1"/>
        <v>0.5275384615</v>
      </c>
    </row>
    <row r="508">
      <c r="A508" s="5" t="str">
        <f>'ALL(responses)'!A508</f>
        <v>C_MODERATELYINTIMATE</v>
      </c>
      <c r="B508" s="6" t="str">
        <f>'ALL(responses)'!B508</f>
        <v>gpt-4o-mini</v>
      </c>
      <c r="C508" s="49" t="str">
        <f>'ALL(responses)'!C508</f>
        <v>How do you think trust is built and maintained in relationships?</v>
      </c>
      <c r="D508" s="49" t="str">
        <f>'ALL(responses)'!D508</f>
        <v>Trust is a foundational element in any relationship and is built and maintained through several key practices:1. **Open Communication**: Honest and transparent communication helps establish trust. Sharing thoughts and feelings creates an environment where both parties feel safe expressing themselves.2. **Reliability**: Consistently following through on promises and commitments fosters trust. When individuals can depend on each other, it strengthens their bond.3. **Empathy and Understanding**: Showing empathy and trying to understand each other’s perspectives can build a deeper connection. Acknowledging feelings and being supportive during difficult times is crucial.4. **Vulnerability**: Sharing personal thoughts and experiences can enhance trust. When one person opens up, it often encourages the other to do the same, fostering a stronger connection.5. **Respect and Boundaries**: Respecting each other’s boundaries and personal space is essential for trust. Understanding and honoring what each person values creates a safe environment.6. **Conflict Resolution**: Addressing conflicts in a constructive manner strengthens trust. Instead of avoiding issues, discussing them openly and working towards solutions can deepen the relationship.7. **Consistency**: Being consistent in actions, words, and behavior helps build a sense of reliability, which reinforces trust over time.Maintaining trust requires ongoing effort and a commitment to these principles, as it can be fragile and easily damaged. By prioritizing trust-building behaviors, individuals can cultivate healthy and lasting relationships.</v>
      </c>
      <c r="E508" s="50">
        <f>'ALL(responses)'!E508</f>
        <v>45491</v>
      </c>
      <c r="F508" s="6">
        <f>ROUND(('ALL(responses)'!F508 - MIN('ALL(responses)'!F$2:F$681)) / (MAX('ALL(responses)'!F$2:F$681)-MIN('ALL(responses)'!F$2:F$681)),3)
</f>
        <v>0</v>
      </c>
      <c r="G508" s="6">
        <f>ROUND(('ALL(responses)'!G508 - MIN('ALL(responses)'!G$2:G$681)) / (MAX('ALL(responses)'!G$2:G$681)-MIN('ALL(responses)'!G$2:G$681)),3)
</f>
        <v>0.222</v>
      </c>
      <c r="H508" s="6">
        <f>ROUND(('ALL(responses)'!H508 - MIN('ALL(responses)'!H$2:H$681)) / (MAX('ALL(responses)'!H$2:H$681)-MIN('ALL(responses)'!H$2:H$681)),3)
</f>
        <v>0.875</v>
      </c>
      <c r="I508" s="6">
        <f>ROUND(('ALL(responses)'!I508 - MIN('ALL(responses)'!I$2:I$681)) / (MAX('ALL(responses)'!I$2:I$681)-MIN('ALL(responses)'!I$2:I$681)),3)
</f>
        <v>0</v>
      </c>
      <c r="J508" s="6">
        <f>ROUND(('ALL(responses)'!J508 - MIN('ALL(responses)'!J$2:J$681)) / (MAX('ALL(responses)'!J$2:J$681)-MIN('ALL(responses)'!J$2:J$681)),3)
</f>
        <v>0.75</v>
      </c>
      <c r="K508" s="6">
        <f>ROUND(('ALL(responses)'!K508 - MIN('ALL(responses)'!K$2:K$681)) / (MAX('ALL(responses)'!K$2:K$681)-MIN('ALL(responses)'!K$2:K$681)),3)
</f>
        <v>0.524</v>
      </c>
      <c r="L508" s="6">
        <f>ROUND(('ALL(responses)'!L508 - MIN('ALL(responses)'!L$2:L$681)) / (MAX('ALL(responses)'!L$2:L$681)-MIN('ALL(responses)'!L$2:L$681)),3)
</f>
        <v>0.351</v>
      </c>
      <c r="M508" s="6">
        <f>ROUND(('ALL(responses)'!M508 - MIN('ALL(responses)'!M$2:M$681)) / (MAX('ALL(responses)'!M$2:M$681)-MIN('ALL(responses)'!M$2:M$681)),3)
</f>
        <v>0.691</v>
      </c>
      <c r="N508" s="6">
        <f>ROUND(('ALL(responses)'!P508 - MIN('ALL(responses)'!P$2:P$681)) / (MAX('ALL(responses)'!P$2:P$681)-MIN('ALL(responses)'!P$2:P$681)),3)
</f>
        <v>0.344</v>
      </c>
      <c r="O508" s="6">
        <f>ROUND(('ALL(responses)'!Q508 - MIN('ALL(responses)'!Q$2:Q$681)) / (MAX('ALL(responses)'!Q$2:Q$681)-MIN('ALL(responses)'!Q$2:Q$681)),3)
</f>
        <v>0.106</v>
      </c>
      <c r="P508" s="6">
        <f>ROUND(('ALL(responses)'!R508 - MIN('ALL(responses)'!R$2:R$681)) / (MAX('ALL(responses)'!R$2:R$681)-MIN('ALL(responses)'!R$2:R$681)),3)
</f>
        <v>0.997</v>
      </c>
      <c r="Q508" s="6">
        <f>ROUND(('ALL(responses)'!S508 - MIN('ALL(responses)'!S$2:S$681)) / (MAX('ALL(responses)'!S$2:S$681)-MIN('ALL(responses)'!S$2:S$681)),3)
</f>
        <v>0.999</v>
      </c>
      <c r="R508" s="6">
        <f>ROUND(('ALL(responses)'!T508 - MIN('ALL(responses)'!T$2:T$681)) / (MAX('ALL(responses)'!T$2:T$681)-MIN('ALL(responses)'!T$2:T$681)),3)
</f>
        <v>0.459</v>
      </c>
      <c r="S508" s="6">
        <f t="shared" si="1"/>
        <v>0.486</v>
      </c>
    </row>
    <row r="509">
      <c r="A509" s="5" t="str">
        <f>'ALL(responses)'!A509</f>
        <v>C_MODERATELYINTIMATE</v>
      </c>
      <c r="B509" s="6" t="str">
        <f>'ALL(responses)'!B509</f>
        <v>gpt-4o-mini</v>
      </c>
      <c r="C509" s="49" t="str">
        <f>'ALL(responses)'!C509</f>
        <v>What makes you feel safe enough to open up to someone?</v>
      </c>
      <c r="D509" s="49" t="str">
        <f>'ALL(responses)'!D509</f>
        <v>While I don’t have feelings, I can describe what many people find contributes to a sense of safety when opening up to someone. These factors include:1. **Trustworthy Environment**: Knowing that the other person is trustworthy and has good intentions can make individuals feel safe to share their thoughts and feelings.2. **Nonjudgmental Attitude**: A listener who expresses acceptance and understanding, rather than judgment, creates a safe space for open dialogue.3. **Active Listening**: When someone demonstrates genuine interest, listens attentively, and responds thoughtfully, it encourages openness.4. **Empathy and Validation**: Feeling understood and supported, especially when emotions are involved, helps individuals feel safe in expressing themselves.5. **Shared Experiences**: Similar experiences or mutual understanding can foster a sense of connection and safety, making it easier to open up.6. **Encouragement and Reassurance**: When someone actively encourages openness and offers reassurance, it can reduce fear of vulnerability and foster sharing.7. **Confidentiality**: Knowing that what is shared will be kept private encourages individuals to express themselves more freely.Creating these conditions can help individuals feel comfortable and secure enough to share their inner thoughts and feelings. Would you like to explore what helps you feel safe in your own experiences?</v>
      </c>
      <c r="E509" s="50">
        <f>'ALL(responses)'!E509</f>
        <v>45491</v>
      </c>
      <c r="F509" s="6">
        <f>ROUND(('ALL(responses)'!F509 - MIN('ALL(responses)'!F$2:F$681)) / (MAX('ALL(responses)'!F$2:F$681)-MIN('ALL(responses)'!F$2:F$681)),3)
</f>
        <v>0.125</v>
      </c>
      <c r="G509" s="6">
        <f>ROUND(('ALL(responses)'!G509 - MIN('ALL(responses)'!G$2:G$681)) / (MAX('ALL(responses)'!G$2:G$681)-MIN('ALL(responses)'!G$2:G$681)),3)
</f>
        <v>0.222</v>
      </c>
      <c r="H509" s="6">
        <f>ROUND(('ALL(responses)'!H509 - MIN('ALL(responses)'!H$2:H$681)) / (MAX('ALL(responses)'!H$2:H$681)-MIN('ALL(responses)'!H$2:H$681)),3)
</f>
        <v>0.875</v>
      </c>
      <c r="I509" s="6">
        <f>ROUND(('ALL(responses)'!I509 - MIN('ALL(responses)'!I$2:I$681)) / (MAX('ALL(responses)'!I$2:I$681)-MIN('ALL(responses)'!I$2:I$681)),3)
</f>
        <v>0</v>
      </c>
      <c r="J509" s="6">
        <f>ROUND(('ALL(responses)'!J509 - MIN('ALL(responses)'!J$2:J$681)) / (MAX('ALL(responses)'!J$2:J$681)-MIN('ALL(responses)'!J$2:J$681)),3)
</f>
        <v>0.5</v>
      </c>
      <c r="K509" s="6">
        <f>ROUND(('ALL(responses)'!K509 - MIN('ALL(responses)'!K$2:K$681)) / (MAX('ALL(responses)'!K$2:K$681)-MIN('ALL(responses)'!K$2:K$681)),3)
</f>
        <v>0.505</v>
      </c>
      <c r="L509" s="6">
        <f>ROUND(('ALL(responses)'!L509 - MIN('ALL(responses)'!L$2:L$681)) / (MAX('ALL(responses)'!L$2:L$681)-MIN('ALL(responses)'!L$2:L$681)),3)
</f>
        <v>0.359</v>
      </c>
      <c r="M509" s="6">
        <f>ROUND(('ALL(responses)'!M509 - MIN('ALL(responses)'!M$2:M$681)) / (MAX('ALL(responses)'!M$2:M$681)-MIN('ALL(responses)'!M$2:M$681)),3)
</f>
        <v>0.8</v>
      </c>
      <c r="N509" s="6">
        <f>ROUND(('ALL(responses)'!P509 - MIN('ALL(responses)'!P$2:P$681)) / (MAX('ALL(responses)'!P$2:P$681)-MIN('ALL(responses)'!P$2:P$681)),3)
</f>
        <v>0.328</v>
      </c>
      <c r="O509" s="6">
        <f>ROUND(('ALL(responses)'!Q509 - MIN('ALL(responses)'!Q$2:Q$681)) / (MAX('ALL(responses)'!Q$2:Q$681)-MIN('ALL(responses)'!Q$2:Q$681)),3)
</f>
        <v>0.258</v>
      </c>
      <c r="P509" s="6">
        <f>ROUND(('ALL(responses)'!R509 - MIN('ALL(responses)'!R$2:R$681)) / (MAX('ALL(responses)'!R$2:R$681)-MIN('ALL(responses)'!R$2:R$681)),3)
</f>
        <v>0.998</v>
      </c>
      <c r="Q509" s="6">
        <f>ROUND(('ALL(responses)'!S509 - MIN('ALL(responses)'!S$2:S$681)) / (MAX('ALL(responses)'!S$2:S$681)-MIN('ALL(responses)'!S$2:S$681)),3)
</f>
        <v>0.999</v>
      </c>
      <c r="R509" s="6">
        <f>ROUND(('ALL(responses)'!T509 - MIN('ALL(responses)'!T$2:T$681)) / (MAX('ALL(responses)'!T$2:T$681)-MIN('ALL(responses)'!T$2:T$681)),3)
</f>
        <v>0.527</v>
      </c>
      <c r="S509" s="6">
        <f t="shared" si="1"/>
        <v>0.4996923077</v>
      </c>
    </row>
    <row r="510">
      <c r="A510" s="5" t="str">
        <f>'ALL(responses)'!A510</f>
        <v>C_MODERATELYINTIMATE</v>
      </c>
      <c r="B510" s="6" t="str">
        <f>'ALL(responses)'!B510</f>
        <v>gpt-4o-mini</v>
      </c>
      <c r="C510" s="49" t="str">
        <f>'ALL(responses)'!C510</f>
        <v>Can you describe a turning point in your life?</v>
      </c>
      <c r="D510" s="49" t="str">
        <f>'ALL(responses)'!D510</f>
        <v>I don’t have personal experiences or a life to reflect on, but I can share that many people experience turning points that significantly shape their lives. These moments can vary widely, such as:1. **Career Change**: A decision to pursue a different professional path can lead to personal growth and new opportunities.2. **Relationship Shifts**: Ending or beginning a relationship often leads to self-discovery and a reassessment of personal values and goals.3. **Health Challenges**: Overcoming a health issue can be a powerful turning point, prompting individuals to prioritize wellness and change their lifestyles.4. **Educational Pursuits**: Returning to school or pursuing new interests can open doors and expand one’s perspective on life.5. **Major Life Events**: Events such as moving to a new city, traveling, or experiencing loss can profoundly influence one’s outlook and direction in life.Turning points often lead to significant personal growth, reshaping values, goals, and priorities. If you're thinking about a specific turning point in your life, I’d be happy to discuss it or help you reflect on its impact!</v>
      </c>
      <c r="E510" s="50">
        <f>'ALL(responses)'!E510</f>
        <v>45491</v>
      </c>
      <c r="F510" s="6">
        <f>ROUND(('ALL(responses)'!F510 - MIN('ALL(responses)'!F$2:F$681)) / (MAX('ALL(responses)'!F$2:F$681)-MIN('ALL(responses)'!F$2:F$681)),3)
</f>
        <v>0.125</v>
      </c>
      <c r="G510" s="6">
        <f>ROUND(('ALL(responses)'!G510 - MIN('ALL(responses)'!G$2:G$681)) / (MAX('ALL(responses)'!G$2:G$681)-MIN('ALL(responses)'!G$2:G$681)),3)
</f>
        <v>0.222</v>
      </c>
      <c r="H510" s="6">
        <f>ROUND(('ALL(responses)'!H510 - MIN('ALL(responses)'!H$2:H$681)) / (MAX('ALL(responses)'!H$2:H$681)-MIN('ALL(responses)'!H$2:H$681)),3)
</f>
        <v>0.875</v>
      </c>
      <c r="I510" s="6">
        <f>ROUND(('ALL(responses)'!I510 - MIN('ALL(responses)'!I$2:I$681)) / (MAX('ALL(responses)'!I$2:I$681)-MIN('ALL(responses)'!I$2:I$681)),3)
</f>
        <v>0</v>
      </c>
      <c r="J510" s="6">
        <f>ROUND(('ALL(responses)'!J510 - MIN('ALL(responses)'!J$2:J$681)) / (MAX('ALL(responses)'!J$2:J$681)-MIN('ALL(responses)'!J$2:J$681)),3)
</f>
        <v>0.5</v>
      </c>
      <c r="K510" s="6">
        <f>ROUND(('ALL(responses)'!K510 - MIN('ALL(responses)'!K$2:K$681)) / (MAX('ALL(responses)'!K$2:K$681)-MIN('ALL(responses)'!K$2:K$681)),3)
</f>
        <v>0.366</v>
      </c>
      <c r="L510" s="6">
        <f>ROUND(('ALL(responses)'!L510 - MIN('ALL(responses)'!L$2:L$681)) / (MAX('ALL(responses)'!L$2:L$681)-MIN('ALL(responses)'!L$2:L$681)),3)
</f>
        <v>0.452</v>
      </c>
      <c r="M510" s="6">
        <f>ROUND(('ALL(responses)'!M510 - MIN('ALL(responses)'!M$2:M$681)) / (MAX('ALL(responses)'!M$2:M$681)-MIN('ALL(responses)'!M$2:M$681)),3)
</f>
        <v>0.673</v>
      </c>
      <c r="N510" s="6">
        <f>ROUND(('ALL(responses)'!P510 - MIN('ALL(responses)'!P$2:P$681)) / (MAX('ALL(responses)'!P$2:P$681)-MIN('ALL(responses)'!P$2:P$681)),3)
</f>
        <v>0.547</v>
      </c>
      <c r="O510" s="6">
        <f>ROUND(('ALL(responses)'!Q510 - MIN('ALL(responses)'!Q$2:Q$681)) / (MAX('ALL(responses)'!Q$2:Q$681)-MIN('ALL(responses)'!Q$2:Q$681)),3)
</f>
        <v>0.24</v>
      </c>
      <c r="P510" s="6">
        <f>ROUND(('ALL(responses)'!R510 - MIN('ALL(responses)'!R$2:R$681)) / (MAX('ALL(responses)'!R$2:R$681)-MIN('ALL(responses)'!R$2:R$681)),3)
</f>
        <v>0.99</v>
      </c>
      <c r="Q510" s="6">
        <f>ROUND(('ALL(responses)'!S510 - MIN('ALL(responses)'!S$2:S$681)) / (MAX('ALL(responses)'!S$2:S$681)-MIN('ALL(responses)'!S$2:S$681)),3)
</f>
        <v>0.995</v>
      </c>
      <c r="R510" s="6">
        <f>ROUND(('ALL(responses)'!T510 - MIN('ALL(responses)'!T$2:T$681)) / (MAX('ALL(responses)'!T$2:T$681)-MIN('ALL(responses)'!T$2:T$681)),3)
</f>
        <v>0.333</v>
      </c>
      <c r="S510" s="6">
        <f t="shared" si="1"/>
        <v>0.486</v>
      </c>
    </row>
    <row r="511">
      <c r="A511" s="5" t="str">
        <f>'ALL(responses)'!A511</f>
        <v>C_MODERATELYINTIMATE</v>
      </c>
      <c r="B511" s="6" t="str">
        <f>'ALL(responses)'!B511</f>
        <v>gpt-4o-mini</v>
      </c>
      <c r="C511" s="49" t="str">
        <f>'ALL(responses)'!C511</f>
        <v>Was there a time in your life you had to start over? What was that experience like?</v>
      </c>
      <c r="D511" s="49" t="str">
        <f>'ALL(responses)'!D511</f>
        <v>I don't have personal experiences or a life history, but I can illustrate what starting over might be like for many people. Starting over can be both challenging and liberating, and it often involves a mix of emotions. For instance:1. **Emotional Turmoil**: Many people feel a range of emotions, including fear, anxiety, and sadness, especially if they are leaving behind something familiar. There may also be feelings of excitement about new possibilities.2. **Loss and Grief**: Starting over often comes with a sense of loss, whether it's letting go of a job, relationship, or lifestyle. This grief can take time to process.3. **Self-Reflection**: It can be a time for introspection, where individuals evaluate their past experiences, learn from them, and consider what changes they want to make.4. **Exploration of New Opportunities**: Starting over can provide a blank slate, allowing for exploration of new paths, hobbies, or career opportunities. This can be exhilarating as people venture into uncharted territory.5. **Adaptation and Growth**: Over time, many individuals find that they develop resilience, adaptability, and new skills as they navigate the challenges of starting anew.6. **Building New Connections**: It’s also an opportunity to meet new people and form new relationships, which can be fulfilling and enriching.Overall, while starting over can be daunting, it can also lead to significant personal growth and new beginnings. If you're contemplating your own experience or pondering a new start, I'd be happy to help you reflect on it!</v>
      </c>
      <c r="E511" s="50">
        <f>'ALL(responses)'!E511</f>
        <v>45491</v>
      </c>
      <c r="F511" s="6">
        <f>ROUND(('ALL(responses)'!F511 - MIN('ALL(responses)'!F$2:F$681)) / (MAX('ALL(responses)'!F$2:F$681)-MIN('ALL(responses)'!F$2:F$681)),3)
</f>
        <v>0</v>
      </c>
      <c r="G511" s="6">
        <f>ROUND(('ALL(responses)'!G511 - MIN('ALL(responses)'!G$2:G$681)) / (MAX('ALL(responses)'!G$2:G$681)-MIN('ALL(responses)'!G$2:G$681)),3)
</f>
        <v>0.222</v>
      </c>
      <c r="H511" s="6">
        <f>ROUND(('ALL(responses)'!H511 - MIN('ALL(responses)'!H$2:H$681)) / (MAX('ALL(responses)'!H$2:H$681)-MIN('ALL(responses)'!H$2:H$681)),3)
</f>
        <v>0.875</v>
      </c>
      <c r="I511" s="6">
        <f>ROUND(('ALL(responses)'!I511 - MIN('ALL(responses)'!I$2:I$681)) / (MAX('ALL(responses)'!I$2:I$681)-MIN('ALL(responses)'!I$2:I$681)),3)
</f>
        <v>0</v>
      </c>
      <c r="J511" s="6">
        <f>ROUND(('ALL(responses)'!J511 - MIN('ALL(responses)'!J$2:J$681)) / (MAX('ALL(responses)'!J$2:J$681)-MIN('ALL(responses)'!J$2:J$681)),3)
</f>
        <v>0.5</v>
      </c>
      <c r="K511" s="6">
        <f>ROUND(('ALL(responses)'!K511 - MIN('ALL(responses)'!K$2:K$681)) / (MAX('ALL(responses)'!K$2:K$681)-MIN('ALL(responses)'!K$2:K$681)),3)
</f>
        <v>0.497</v>
      </c>
      <c r="L511" s="6">
        <f>ROUND(('ALL(responses)'!L511 - MIN('ALL(responses)'!L$2:L$681)) / (MAX('ALL(responses)'!L$2:L$681)-MIN('ALL(responses)'!L$2:L$681)),3)
</f>
        <v>0.404</v>
      </c>
      <c r="M511" s="6">
        <f>ROUND(('ALL(responses)'!M511 - MIN('ALL(responses)'!M$2:M$681)) / (MAX('ALL(responses)'!M$2:M$681)-MIN('ALL(responses)'!M$2:M$681)),3)
</f>
        <v>0.682</v>
      </c>
      <c r="N511" s="6">
        <f>ROUND(('ALL(responses)'!P511 - MIN('ALL(responses)'!P$2:P$681)) / (MAX('ALL(responses)'!P$2:P$681)-MIN('ALL(responses)'!P$2:P$681)),3)
</f>
        <v>0.611</v>
      </c>
      <c r="O511" s="6">
        <f>ROUND(('ALL(responses)'!Q511 - MIN('ALL(responses)'!Q$2:Q$681)) / (MAX('ALL(responses)'!Q$2:Q$681)-MIN('ALL(responses)'!Q$2:Q$681)),3)
</f>
        <v>0.32</v>
      </c>
      <c r="P511" s="6">
        <f>ROUND(('ALL(responses)'!R511 - MIN('ALL(responses)'!R$2:R$681)) / (MAX('ALL(responses)'!R$2:R$681)-MIN('ALL(responses)'!R$2:R$681)),3)
</f>
        <v>0.959</v>
      </c>
      <c r="Q511" s="6">
        <f>ROUND(('ALL(responses)'!S511 - MIN('ALL(responses)'!S$2:S$681)) / (MAX('ALL(responses)'!S$2:S$681)-MIN('ALL(responses)'!S$2:S$681)),3)
</f>
        <v>0.98</v>
      </c>
      <c r="R511" s="6">
        <f>ROUND(('ALL(responses)'!T511 - MIN('ALL(responses)'!T$2:T$681)) / (MAX('ALL(responses)'!T$2:T$681)-MIN('ALL(responses)'!T$2:T$681)),3)
</f>
        <v>0.334</v>
      </c>
      <c r="S511" s="6">
        <f t="shared" si="1"/>
        <v>0.4910769231</v>
      </c>
    </row>
    <row r="512">
      <c r="A512" s="5" t="str">
        <f>'ALL(responses)'!A512</f>
        <v>D_HIGHLYINTIMATE</v>
      </c>
      <c r="B512" s="6" t="str">
        <f>'ALL(responses)'!B512</f>
        <v>gpt-4o-mini</v>
      </c>
      <c r="C512" s="49" t="str">
        <f>'ALL(responses)'!C512</f>
        <v>What personal values guide your approach to physical intimacy?</v>
      </c>
      <c r="D512" s="49" t="str">
        <f>'ALL(responses)'!D512</f>
        <v>When considering personal values that guide an approach to physical intimacy, several key principles often come into play:1. **Consent**: Prioritizing clear, enthusiastic, and ongoing consent ensures that all parties feel safe and respected.2. **Communication**: Open and honest communication about desires, boundaries, and comfort levels fosters a healthy and trusting environment.3. **Respect**: Acknowledging and honoring each partner's feelings, boundaries, and preferences is crucial for mutual enjoyment and connection.4. **Trust**: Building and maintaining trust enhances intimacy, allowing for deeper connections and vulnerability.5. **Empathy**: Understanding and being attentive to a partner's feelings and experiences contribute to a caring and supportive intimate relationship.6. **Safety**: Physical and emotional safety is essential. This includes practicing safe sex and being aware of each other’s emotional well-being.7. **Authenticity**: Being true to oneself and encouraging partners to do the same can lead to more meaningful and fulfilling experiences.8. **Mutual Fulfillment**: Striving for a balance where both partners feel satisfied and valued in the experience fosters a stronger bond.These values create a foundation for a positive and healthy approach to physical intimacy, emphasizing the importance of connection and respect.</v>
      </c>
      <c r="E512" s="50">
        <f>'ALL(responses)'!E512</f>
        <v>45491</v>
      </c>
      <c r="F512" s="6">
        <f>ROUND(('ALL(responses)'!F512 - MIN('ALL(responses)'!F$2:F$681)) / (MAX('ALL(responses)'!F$2:F$681)-MIN('ALL(responses)'!F$2:F$681)),3)
</f>
        <v>0</v>
      </c>
      <c r="G512" s="6">
        <f>ROUND(('ALL(responses)'!G512 - MIN('ALL(responses)'!G$2:G$681)) / (MAX('ALL(responses)'!G$2:G$681)-MIN('ALL(responses)'!G$2:G$681)),3)
</f>
        <v>0.222</v>
      </c>
      <c r="H512" s="6">
        <f>ROUND(('ALL(responses)'!H512 - MIN('ALL(responses)'!H$2:H$681)) / (MAX('ALL(responses)'!H$2:H$681)-MIN('ALL(responses)'!H$2:H$681)),3)
</f>
        <v>0.875</v>
      </c>
      <c r="I512" s="6">
        <f>ROUND(('ALL(responses)'!I512 - MIN('ALL(responses)'!I$2:I$681)) / (MAX('ALL(responses)'!I$2:I$681)-MIN('ALL(responses)'!I$2:I$681)),3)
</f>
        <v>0</v>
      </c>
      <c r="J512" s="6">
        <f>ROUND(('ALL(responses)'!J512 - MIN('ALL(responses)'!J$2:J$681)) / (MAX('ALL(responses)'!J$2:J$681)-MIN('ALL(responses)'!J$2:J$681)),3)
</f>
        <v>0.75</v>
      </c>
      <c r="K512" s="6">
        <f>ROUND(('ALL(responses)'!K512 - MIN('ALL(responses)'!K$2:K$681)) / (MAX('ALL(responses)'!K$2:K$681)-MIN('ALL(responses)'!K$2:K$681)),3)
</f>
        <v>0.377</v>
      </c>
      <c r="L512" s="6">
        <f>ROUND(('ALL(responses)'!L512 - MIN('ALL(responses)'!L$2:L$681)) / (MAX('ALL(responses)'!L$2:L$681)-MIN('ALL(responses)'!L$2:L$681)),3)
</f>
        <v>0.276</v>
      </c>
      <c r="M512" s="6">
        <f>ROUND(('ALL(responses)'!M512 - MIN('ALL(responses)'!M$2:M$681)) / (MAX('ALL(responses)'!M$2:M$681)-MIN('ALL(responses)'!M$2:M$681)),3)
</f>
        <v>0.799</v>
      </c>
      <c r="N512" s="6">
        <f>ROUND(('ALL(responses)'!P512 - MIN('ALL(responses)'!P$2:P$681)) / (MAX('ALL(responses)'!P$2:P$681)-MIN('ALL(responses)'!P$2:P$681)),3)
</f>
        <v>0.172</v>
      </c>
      <c r="O512" s="6">
        <f>ROUND(('ALL(responses)'!Q512 - MIN('ALL(responses)'!Q$2:Q$681)) / (MAX('ALL(responses)'!Q$2:Q$681)-MIN('ALL(responses)'!Q$2:Q$681)),3)
</f>
        <v>0</v>
      </c>
      <c r="P512" s="6">
        <f>ROUND(('ALL(responses)'!R512 - MIN('ALL(responses)'!R$2:R$681)) / (MAX('ALL(responses)'!R$2:R$681)-MIN('ALL(responses)'!R$2:R$681)),3)
</f>
        <v>0.998</v>
      </c>
      <c r="Q512" s="6">
        <f>ROUND(('ALL(responses)'!S512 - MIN('ALL(responses)'!S$2:S$681)) / (MAX('ALL(responses)'!S$2:S$681)-MIN('ALL(responses)'!S$2:S$681)),3)
</f>
        <v>0.999</v>
      </c>
      <c r="R512" s="6">
        <f>ROUND(('ALL(responses)'!T512 - MIN('ALL(responses)'!T$2:T$681)) / (MAX('ALL(responses)'!T$2:T$681)-MIN('ALL(responses)'!T$2:T$681)),3)
</f>
        <v>0.561</v>
      </c>
      <c r="S512" s="6">
        <f t="shared" si="1"/>
        <v>0.4637692308</v>
      </c>
    </row>
    <row r="513">
      <c r="A513" s="5" t="str">
        <f>'ALL(responses)'!A513</f>
        <v>D_HIGHLYINTIMATE</v>
      </c>
      <c r="B513" s="6" t="str">
        <f>'ALL(responses)'!B513</f>
        <v>gpt-4o-mini</v>
      </c>
      <c r="C513" s="49" t="str">
        <f>'ALL(responses)'!C513</f>
        <v>Is there an aspect of yourself or your life that you are afraid to share with people because you're afraid of being judged or rejected?</v>
      </c>
      <c r="D513" s="49" t="str">
        <f>'ALL(responses)'!D513</f>
        <v>Many people experience apprehension about sharing certain aspects of themselves due to fears of judgment or rejection. Common areas of concern include:1. **Personal Struggles**: Experiences related to mental health, addiction, or other personal challenges can make individuals feel vulnerable and fear negative perceptions.2. **Interests and Hobbies**: Unique hobbies or interests that might be considered unconventional can lead to worries about being misunderstood or ridiculed.3. **Relationships and Identity**: Aspects of one's sexual orientation, gender identity, or relationship choices might elicit fear of rejection from friends, family, or society.4. **Failures and Mistakes**: Past failures or poor decisions can create a fear of being judged for one’s history rather than being seen as a whole person.5. **Dreams and Aspirations**: Sharing ambitious goals or dreams can be daunting if there’s a fear of them being dismissed or belittled.It's natural to have reservations about revealing deeply personal aspects of oneself. Building trust with supportive people can create a safe space for sharing, leading to greater authenticity and connection.</v>
      </c>
      <c r="E513" s="50">
        <f>'ALL(responses)'!E513</f>
        <v>45491</v>
      </c>
      <c r="F513" s="6">
        <f>ROUND(('ALL(responses)'!F513 - MIN('ALL(responses)'!F$2:F$681)) / (MAX('ALL(responses)'!F$2:F$681)-MIN('ALL(responses)'!F$2:F$681)),3)
</f>
        <v>0</v>
      </c>
      <c r="G513" s="6">
        <f>ROUND(('ALL(responses)'!G513 - MIN('ALL(responses)'!G$2:G$681)) / (MAX('ALL(responses)'!G$2:G$681)-MIN('ALL(responses)'!G$2:G$681)),3)
</f>
        <v>0.222</v>
      </c>
      <c r="H513" s="6">
        <f>ROUND(('ALL(responses)'!H513 - MIN('ALL(responses)'!H$2:H$681)) / (MAX('ALL(responses)'!H$2:H$681)-MIN('ALL(responses)'!H$2:H$681)),3)
</f>
        <v>0.875</v>
      </c>
      <c r="I513" s="6">
        <f>ROUND(('ALL(responses)'!I513 - MIN('ALL(responses)'!I$2:I$681)) / (MAX('ALL(responses)'!I$2:I$681)-MIN('ALL(responses)'!I$2:I$681)),3)
</f>
        <v>0</v>
      </c>
      <c r="J513" s="6">
        <f>ROUND(('ALL(responses)'!J513 - MIN('ALL(responses)'!J$2:J$681)) / (MAX('ALL(responses)'!J$2:J$681)-MIN('ALL(responses)'!J$2:J$681)),3)
</f>
        <v>0.75</v>
      </c>
      <c r="K513" s="6">
        <f>ROUND(('ALL(responses)'!K513 - MIN('ALL(responses)'!K$2:K$681)) / (MAX('ALL(responses)'!K$2:K$681)-MIN('ALL(responses)'!K$2:K$681)),3)
</f>
        <v>0.402</v>
      </c>
      <c r="L513" s="6">
        <f>ROUND(('ALL(responses)'!L513 - MIN('ALL(responses)'!L$2:L$681)) / (MAX('ALL(responses)'!L$2:L$681)-MIN('ALL(responses)'!L$2:L$681)),3)
</f>
        <v>0.281</v>
      </c>
      <c r="M513" s="6">
        <f>ROUND(('ALL(responses)'!M513 - MIN('ALL(responses)'!M$2:M$681)) / (MAX('ALL(responses)'!M$2:M$681)-MIN('ALL(responses)'!M$2:M$681)),3)
</f>
        <v>0.772</v>
      </c>
      <c r="N513" s="6">
        <f>ROUND(('ALL(responses)'!P513 - MIN('ALL(responses)'!P$2:P$681)) / (MAX('ALL(responses)'!P$2:P$681)-MIN('ALL(responses)'!P$2:P$681)),3)
</f>
        <v>0.636</v>
      </c>
      <c r="O513" s="6">
        <f>ROUND(('ALL(responses)'!Q513 - MIN('ALL(responses)'!Q$2:Q$681)) / (MAX('ALL(responses)'!Q$2:Q$681)-MIN('ALL(responses)'!Q$2:Q$681)),3)
</f>
        <v>0.055</v>
      </c>
      <c r="P513" s="6">
        <f>ROUND(('ALL(responses)'!R513 - MIN('ALL(responses)'!R$2:R$681)) / (MAX('ALL(responses)'!R$2:R$681)-MIN('ALL(responses)'!R$2:R$681)),3)
</f>
        <v>0.863</v>
      </c>
      <c r="Q513" s="6">
        <f>ROUND(('ALL(responses)'!S513 - MIN('ALL(responses)'!S$2:S$681)) / (MAX('ALL(responses)'!S$2:S$681)-MIN('ALL(responses)'!S$2:S$681)),3)
</f>
        <v>0.068</v>
      </c>
      <c r="R513" s="6">
        <f>ROUND(('ALL(responses)'!T513 - MIN('ALL(responses)'!T$2:T$681)) / (MAX('ALL(responses)'!T$2:T$681)-MIN('ALL(responses)'!T$2:T$681)),3)
</f>
        <v>0.555</v>
      </c>
      <c r="S513" s="6">
        <f t="shared" si="1"/>
        <v>0.4214615385</v>
      </c>
    </row>
    <row r="514">
      <c r="A514" s="5" t="str">
        <f>'ALL(responses)'!A514</f>
        <v>D_HIGHLYINTIMATE</v>
      </c>
      <c r="B514" s="6" t="str">
        <f>'ALL(responses)'!B514</f>
        <v>gpt-4o-mini</v>
      </c>
      <c r="C514" s="49" t="str">
        <f>'ALL(responses)'!C514</f>
        <v>What emotional protection mechanisms do you employ when feeling exposed?</v>
      </c>
      <c r="D514" s="49" t="str">
        <f>'ALL(responses)'!D514</f>
        <v>When feeling exposed, many people resort to various emotional protection mechanisms to cope with vulnerability. Here are some common strategies:1. **Withdrawal**: isolating oneself from social interactions or conversations can provide a sense of safety when feeling overwhelmed.2. **Defensiveness**: reacting with defensiveness, including argumentativeness or criticism, can serve to protect one’s feelings by deflecting attention or blame.3. **Rationalization**: explaining away feelings or situations to minimize emotional impact and maintain a sense of control.4. **Humor**: using humor can lighten the mood and create a buffer against uncomfortable feelings, allowing for a more manageable experience of vulnerability.5. **Distraction**: engaging in activities that divert attention from uncomfortable emotions, such as focusing on work, hobbies, or entertainment.6. **Overthinking**: analyzing situations excessively can create a sense of control, even if it leads to increased anxiety.7. **Suppression**: consciously trying to push away or ignore feelings in an effort to maintain composure, though this can have long-term negative consequences.8. **Seeking Support**: reaching out to trusted friends or family for comfort and understanding can help mitigate feelings of exposure and provide reassurance.Each of these mechanisms can serve a purpose, but it's important to find a balance and recognize when they might hinder emotional growth or connection. Building healthy coping strategies and fostering open communication can promote greater resilience in the face of vulnerability.</v>
      </c>
      <c r="E514" s="50">
        <f>'ALL(responses)'!E514</f>
        <v>45491</v>
      </c>
      <c r="F514" s="6">
        <f>ROUND(('ALL(responses)'!F514 - MIN('ALL(responses)'!F$2:F$681)) / (MAX('ALL(responses)'!F$2:F$681)-MIN('ALL(responses)'!F$2:F$681)),3)
</f>
        <v>0</v>
      </c>
      <c r="G514" s="6">
        <f>ROUND(('ALL(responses)'!G514 - MIN('ALL(responses)'!G$2:G$681)) / (MAX('ALL(responses)'!G$2:G$681)-MIN('ALL(responses)'!G$2:G$681)),3)
</f>
        <v>0.222</v>
      </c>
      <c r="H514" s="6">
        <f>ROUND(('ALL(responses)'!H514 - MIN('ALL(responses)'!H$2:H$681)) / (MAX('ALL(responses)'!H$2:H$681)-MIN('ALL(responses)'!H$2:H$681)),3)
</f>
        <v>0.875</v>
      </c>
      <c r="I514" s="6">
        <f>ROUND(('ALL(responses)'!I514 - MIN('ALL(responses)'!I$2:I$681)) / (MAX('ALL(responses)'!I$2:I$681)-MIN('ALL(responses)'!I$2:I$681)),3)
</f>
        <v>0</v>
      </c>
      <c r="J514" s="6">
        <f>ROUND(('ALL(responses)'!J514 - MIN('ALL(responses)'!J$2:J$681)) / (MAX('ALL(responses)'!J$2:J$681)-MIN('ALL(responses)'!J$2:J$681)),3)
</f>
        <v>0.75</v>
      </c>
      <c r="K514" s="6">
        <f>ROUND(('ALL(responses)'!K514 - MIN('ALL(responses)'!K$2:K$681)) / (MAX('ALL(responses)'!K$2:K$681)-MIN('ALL(responses)'!K$2:K$681)),3)
</f>
        <v>0.577</v>
      </c>
      <c r="L514" s="6">
        <f>ROUND(('ALL(responses)'!L514 - MIN('ALL(responses)'!L$2:L$681)) / (MAX('ALL(responses)'!L$2:L$681)-MIN('ALL(responses)'!L$2:L$681)),3)
</f>
        <v>0.434</v>
      </c>
      <c r="M514" s="6">
        <f>ROUND(('ALL(responses)'!M514 - MIN('ALL(responses)'!M$2:M$681)) / (MAX('ALL(responses)'!M$2:M$681)-MIN('ALL(responses)'!M$2:M$681)),3)
</f>
        <v>0.746</v>
      </c>
      <c r="N514" s="6">
        <f>ROUND(('ALL(responses)'!P514 - MIN('ALL(responses)'!P$2:P$681)) / (MAX('ALL(responses)'!P$2:P$681)-MIN('ALL(responses)'!P$2:P$681)),3)
</f>
        <v>0.438</v>
      </c>
      <c r="O514" s="6">
        <f>ROUND(('ALL(responses)'!Q514 - MIN('ALL(responses)'!Q$2:Q$681)) / (MAX('ALL(responses)'!Q$2:Q$681)-MIN('ALL(responses)'!Q$2:Q$681)),3)
</f>
        <v>0.063</v>
      </c>
      <c r="P514" s="6">
        <f>ROUND(('ALL(responses)'!R514 - MIN('ALL(responses)'!R$2:R$681)) / (MAX('ALL(responses)'!R$2:R$681)-MIN('ALL(responses)'!R$2:R$681)),3)
</f>
        <v>0.966</v>
      </c>
      <c r="Q514" s="6">
        <f>ROUND(('ALL(responses)'!S514 - MIN('ALL(responses)'!S$2:S$681)) / (MAX('ALL(responses)'!S$2:S$681)-MIN('ALL(responses)'!S$2:S$681)),3)
</f>
        <v>0.983</v>
      </c>
      <c r="R514" s="6">
        <f>ROUND(('ALL(responses)'!T514 - MIN('ALL(responses)'!T$2:T$681)) / (MAX('ALL(responses)'!T$2:T$681)-MIN('ALL(responses)'!T$2:T$681)),3)
</f>
        <v>0.585</v>
      </c>
      <c r="S514" s="6">
        <f t="shared" si="1"/>
        <v>0.5106923077</v>
      </c>
    </row>
    <row r="515">
      <c r="A515" s="5" t="str">
        <f>'ALL(responses)'!A515</f>
        <v>D_HIGHLYINTIMATE</v>
      </c>
      <c r="B515" s="6" t="str">
        <f>'ALL(responses)'!B515</f>
        <v>gpt-4o-mini</v>
      </c>
      <c r="C515" s="49" t="str">
        <f>'ALL(responses)'!C515</f>
        <v>Do you have a spiritual belief or practice that gives you comfort or peace, especially during difficult times?</v>
      </c>
      <c r="D515" s="49" t="str">
        <f>'ALL(responses)'!D515</f>
        <v>While I don’t have personal beliefs or experiences, many individuals find comfort and peace through various spiritual beliefs or practices during challenging times. Some common ones include:1. **Meditation and Mindfulness**: Practicing mindfulness or meditation can help individuals center themselves, reduce anxiety, and cultivate a sense of inner calm.2. **Prayer**: For those who follow a religious faith, prayer can offer solace, guidance, and a feeling of connection to a higher power.3. **Nature Connection**: Spending time in nature or engaging in practices like forest bathing can promote tranquility and a sense of interconnectedness.4. **Gratitude Practices**: Maintaining a gratitude journal or reflecting on positive aspects of life can shift focus away from negativity and foster a more positive outlook.5. **Spiritual Reading**: Engaging with sacred texts or inspirational literature can provide wisdom and perspective during tough times.6. **Community and Fellowship**: Being part of a supportive spiritual or religious community can offer connection, encouragement, and perspective.7. **Rituals and Ceremonies**: Engaging in personal or communal rituals can create a sense of stability and continuity during periods of uncertainty.8. **Affirmations and Positive Mantras**: Repeating affirmations or mantras can help instill a sense of hope and resilience, providing strength in challenging situations.These practices can serve as tools for coping, reflection, and finding peace in times of difficulty, depending on individual beliefs and preferences.</v>
      </c>
      <c r="E515" s="50">
        <f>'ALL(responses)'!E515</f>
        <v>45491</v>
      </c>
      <c r="F515" s="6">
        <f>ROUND(('ALL(responses)'!F515 - MIN('ALL(responses)'!F$2:F$681)) / (MAX('ALL(responses)'!F$2:F$681)-MIN('ALL(responses)'!F$2:F$681)),3)
</f>
        <v>0.125</v>
      </c>
      <c r="G515" s="6">
        <f>ROUND(('ALL(responses)'!G515 - MIN('ALL(responses)'!G$2:G$681)) / (MAX('ALL(responses)'!G$2:G$681)-MIN('ALL(responses)'!G$2:G$681)),3)
</f>
        <v>0.222</v>
      </c>
      <c r="H515" s="6">
        <f>ROUND(('ALL(responses)'!H515 - MIN('ALL(responses)'!H$2:H$681)) / (MAX('ALL(responses)'!H$2:H$681)-MIN('ALL(responses)'!H$2:H$681)),3)
</f>
        <v>0.875</v>
      </c>
      <c r="I515" s="6">
        <f>ROUND(('ALL(responses)'!I515 - MIN('ALL(responses)'!I$2:I$681)) / (MAX('ALL(responses)'!I$2:I$681)-MIN('ALL(responses)'!I$2:I$681)),3)
</f>
        <v>0</v>
      </c>
      <c r="J515" s="6">
        <f>ROUND(('ALL(responses)'!J515 - MIN('ALL(responses)'!J$2:J$681)) / (MAX('ALL(responses)'!J$2:J$681)-MIN('ALL(responses)'!J$2:J$681)),3)
</f>
        <v>0.75</v>
      </c>
      <c r="K515" s="6">
        <f>ROUND(('ALL(responses)'!K515 - MIN('ALL(responses)'!K$2:K$681)) / (MAX('ALL(responses)'!K$2:K$681)-MIN('ALL(responses)'!K$2:K$681)),3)
</f>
        <v>0.504</v>
      </c>
      <c r="L515" s="6">
        <f>ROUND(('ALL(responses)'!L515 - MIN('ALL(responses)'!L$2:L$681)) / (MAX('ALL(responses)'!L$2:L$681)-MIN('ALL(responses)'!L$2:L$681)),3)
</f>
        <v>0.358</v>
      </c>
      <c r="M515" s="6">
        <f>ROUND(('ALL(responses)'!M515 - MIN('ALL(responses)'!M$2:M$681)) / (MAX('ALL(responses)'!M$2:M$681)-MIN('ALL(responses)'!M$2:M$681)),3)
</f>
        <v>0.684</v>
      </c>
      <c r="N515" s="6">
        <f>ROUND(('ALL(responses)'!P515 - MIN('ALL(responses)'!P$2:P$681)) / (MAX('ALL(responses)'!P$2:P$681)-MIN('ALL(responses)'!P$2:P$681)),3)
</f>
        <v>0.44</v>
      </c>
      <c r="O515" s="6">
        <f>ROUND(('ALL(responses)'!Q515 - MIN('ALL(responses)'!Q$2:Q$681)) / (MAX('ALL(responses)'!Q$2:Q$681)-MIN('ALL(responses)'!Q$2:Q$681)),3)
</f>
        <v>0.042</v>
      </c>
      <c r="P515" s="6">
        <f>ROUND(('ALL(responses)'!R515 - MIN('ALL(responses)'!R$2:R$681)) / (MAX('ALL(responses)'!R$2:R$681)-MIN('ALL(responses)'!R$2:R$681)),3)
</f>
        <v>0.996</v>
      </c>
      <c r="Q515" s="6">
        <f>ROUND(('ALL(responses)'!S515 - MIN('ALL(responses)'!S$2:S$681)) / (MAX('ALL(responses)'!S$2:S$681)-MIN('ALL(responses)'!S$2:S$681)),3)
</f>
        <v>0.998</v>
      </c>
      <c r="R515" s="6">
        <f>ROUND(('ALL(responses)'!T515 - MIN('ALL(responses)'!T$2:T$681)) / (MAX('ALL(responses)'!T$2:T$681)-MIN('ALL(responses)'!T$2:T$681)),3)
</f>
        <v>0.565</v>
      </c>
      <c r="S515" s="6">
        <f t="shared" si="1"/>
        <v>0.5045384615</v>
      </c>
    </row>
    <row r="516">
      <c r="A516" s="5" t="str">
        <f>'ALL(responses)'!A516</f>
        <v>D_HIGHLYINTIMATE</v>
      </c>
      <c r="B516" s="6" t="str">
        <f>'ALL(responses)'!B516</f>
        <v>gpt-4o-mini</v>
      </c>
      <c r="C516" s="49" t="str">
        <f>'ALL(responses)'!C516</f>
        <v>How do you reconcile your personal beliefs with the challenges or conflicts you face in life?</v>
      </c>
      <c r="D516" s="49" t="str">
        <f>'ALL(responses)'!D516</f>
        <v>Reconciling personal beliefs with life's challenges and conflicts is a nuanced process that often involves several thoughtful approaches. Here are some common strategies individuals might use:1. **Self-Reflection**: Taking time to reflect on personal beliefs and values in light of experiences can help clarify what is truly important and how to navigate conflicts.2. **Adaptability**: Recognizing that beliefs may evolve in response to new experiences or information can allow for flexibility and growth, rather than rigid adherence to past convictions.3. **Seeking Understanding**: Engaging with different perspectives—through conversations, reading, or cultural experiences—can broaden understanding and foster empathy, making it easier to navigate conflicts.4. **Integrating Beliefs into Action**: Finding ways to align actions with beliefs can provide a sense of integrity and purpose, whether through volunteering, activism, or simply practicing kindness.5. **Mindfulness and Acceptance**: Practicing mindfulness can help individuals sit with discomfort or conflict, allowing for acceptance of difficult emotions without immediate judgment or reaction.6. **Support Systems**: Leaning on friends, family, or mentorship for guidance and sharing experiences can provide insight and reassurance during challenging times.7. **Balancing Rationality and Emotion**: Weighing both rational thoughts and emotional reactions can help navigate complex situations, ensuring that decisions align with both personal beliefs and situational realities.8. **Learning from Challenges**: Viewing conflicts as opportunities for personal growth can help reframe challenges, allowing for a more constructive approach to overcoming difficulties.Ultimately, the reconciliation process is deeply personal and varies for each individual, shaped by their beliefs, experiences, and the nature of the challenges they face. It often requires ongoing effort, introspection, and openness to change.</v>
      </c>
      <c r="E516" s="50">
        <f>'ALL(responses)'!E516</f>
        <v>45491</v>
      </c>
      <c r="F516" s="6">
        <f>ROUND(('ALL(responses)'!F516 - MIN('ALL(responses)'!F$2:F$681)) / (MAX('ALL(responses)'!F$2:F$681)-MIN('ALL(responses)'!F$2:F$681)),3)
</f>
        <v>0</v>
      </c>
      <c r="G516" s="6">
        <f>ROUND(('ALL(responses)'!G516 - MIN('ALL(responses)'!G$2:G$681)) / (MAX('ALL(responses)'!G$2:G$681)-MIN('ALL(responses)'!G$2:G$681)),3)
</f>
        <v>0.222</v>
      </c>
      <c r="H516" s="6">
        <f>ROUND(('ALL(responses)'!H516 - MIN('ALL(responses)'!H$2:H$681)) / (MAX('ALL(responses)'!H$2:H$681)-MIN('ALL(responses)'!H$2:H$681)),3)
</f>
        <v>0.875</v>
      </c>
      <c r="I516" s="6">
        <f>ROUND(('ALL(responses)'!I516 - MIN('ALL(responses)'!I$2:I$681)) / (MAX('ALL(responses)'!I$2:I$681)-MIN('ALL(responses)'!I$2:I$681)),3)
</f>
        <v>0</v>
      </c>
      <c r="J516" s="6">
        <f>ROUND(('ALL(responses)'!J516 - MIN('ALL(responses)'!J$2:J$681)) / (MAX('ALL(responses)'!J$2:J$681)-MIN('ALL(responses)'!J$2:J$681)),3)
</f>
        <v>0.75</v>
      </c>
      <c r="K516" s="6">
        <f>ROUND(('ALL(responses)'!K516 - MIN('ALL(responses)'!K$2:K$681)) / (MAX('ALL(responses)'!K$2:K$681)-MIN('ALL(responses)'!K$2:K$681)),3)
</f>
        <v>0.587</v>
      </c>
      <c r="L516" s="6">
        <f>ROUND(('ALL(responses)'!L516 - MIN('ALL(responses)'!L$2:L$681)) / (MAX('ALL(responses)'!L$2:L$681)-MIN('ALL(responses)'!L$2:L$681)),3)
</f>
        <v>0.462</v>
      </c>
      <c r="M516" s="6">
        <f>ROUND(('ALL(responses)'!M516 - MIN('ALL(responses)'!M$2:M$681)) / (MAX('ALL(responses)'!M$2:M$681)-MIN('ALL(responses)'!M$2:M$681)),3)
</f>
        <v>0.621</v>
      </c>
      <c r="N516" s="6">
        <f>ROUND(('ALL(responses)'!P516 - MIN('ALL(responses)'!P$2:P$681)) / (MAX('ALL(responses)'!P$2:P$681)-MIN('ALL(responses)'!P$2:P$681)),3)
</f>
        <v>0.491</v>
      </c>
      <c r="O516" s="6">
        <f>ROUND(('ALL(responses)'!Q516 - MIN('ALL(responses)'!Q$2:Q$681)) / (MAX('ALL(responses)'!Q$2:Q$681)-MIN('ALL(responses)'!Q$2:Q$681)),3)
</f>
        <v>0.07</v>
      </c>
      <c r="P516" s="6">
        <f>ROUND(('ALL(responses)'!R516 - MIN('ALL(responses)'!R$2:R$681)) / (MAX('ALL(responses)'!R$2:R$681)-MIN('ALL(responses)'!R$2:R$681)),3)
</f>
        <v>0.993</v>
      </c>
      <c r="Q516" s="6">
        <f>ROUND(('ALL(responses)'!S516 - MIN('ALL(responses)'!S$2:S$681)) / (MAX('ALL(responses)'!S$2:S$681)-MIN('ALL(responses)'!S$2:S$681)),3)
</f>
        <v>0.996</v>
      </c>
      <c r="R516" s="6">
        <f>ROUND(('ALL(responses)'!T516 - MIN('ALL(responses)'!T$2:T$681)) / (MAX('ALL(responses)'!T$2:T$681)-MIN('ALL(responses)'!T$2:T$681)),3)
</f>
        <v>0.661</v>
      </c>
      <c r="S516" s="6">
        <f t="shared" si="1"/>
        <v>0.5175384615</v>
      </c>
    </row>
    <row r="517">
      <c r="A517" s="5" t="str">
        <f>'ALL(responses)'!A517</f>
        <v>D_HIGHLYINTIMATE</v>
      </c>
      <c r="B517" s="6" t="str">
        <f>'ALL(responses)'!B517</f>
        <v>gpt-4o-mini</v>
      </c>
      <c r="C517" s="49" t="str">
        <f>'ALL(responses)'!C517</f>
        <v>Have you gone through any major changes or shifts in your beliefs or practices?</v>
      </c>
      <c r="D517" s="49" t="str">
        <f>'ALL(responses)'!D517</f>
        <v>While I don't have personal experiences or beliefs, many individuals do go through significant changes or shifts in their beliefs or practices over time. These transformations can be prompted by various factors, including:1. **Life Experiences**: Major life events—such as loss, trauma, or profound joy—can lead people to reassess their beliefs and values.2. **Education and Learning**: Exposure to new ideas through education, reading, or discussions can challenge existing beliefs and inspire new perspectives.3. **Personal Growth**: As individuals evolve, they might find that their previous beliefs no longer align with who they are becoming, leading to shifts in practice or ideology.4. **Relationships**: Significant relationships or interactions with diverse groups of people can broaden one's understanding and prompt a reconsideration of beliefs.5. **Crisis of Faith**: Some may experience doubts or crises regarding their spiritual or religious beliefs, leading to a reevaluation and potential transformation of their practices.6. **Cultural and Societal Changes**: Changing societal norms, values, and cultural contexts can influence individual beliefs and practices over time.7. **Mindfulness and Reflection**: Engaging in mindfulness practices or reflective activities can help individuals recognize misalignments between their beliefs and actions, prompting change.These shifts in beliefs or practices can be part of a natural and healthy process of growth and adaptation, leading to a deeper understanding of oneself and the world. Each person's journey is unique, shaped by their experiences and reflections.</v>
      </c>
      <c r="E517" s="50">
        <f>'ALL(responses)'!E517</f>
        <v>45491</v>
      </c>
      <c r="F517" s="6">
        <f>ROUND(('ALL(responses)'!F517 - MIN('ALL(responses)'!F$2:F$681)) / (MAX('ALL(responses)'!F$2:F$681)-MIN('ALL(responses)'!F$2:F$681)),3)
</f>
        <v>0</v>
      </c>
      <c r="G517" s="6">
        <f>ROUND(('ALL(responses)'!G517 - MIN('ALL(responses)'!G$2:G$681)) / (MAX('ALL(responses)'!G$2:G$681)-MIN('ALL(responses)'!G$2:G$681)),3)
</f>
        <v>0.222</v>
      </c>
      <c r="H517" s="6">
        <f>ROUND(('ALL(responses)'!H517 - MIN('ALL(responses)'!H$2:H$681)) / (MAX('ALL(responses)'!H$2:H$681)-MIN('ALL(responses)'!H$2:H$681)),3)
</f>
        <v>0.875</v>
      </c>
      <c r="I517" s="6">
        <f>ROUND(('ALL(responses)'!I517 - MIN('ALL(responses)'!I$2:I$681)) / (MAX('ALL(responses)'!I$2:I$681)-MIN('ALL(responses)'!I$2:I$681)),3)
</f>
        <v>0</v>
      </c>
      <c r="J517" s="6">
        <f>ROUND(('ALL(responses)'!J517 - MIN('ALL(responses)'!J$2:J$681)) / (MAX('ALL(responses)'!J$2:J$681)-MIN('ALL(responses)'!J$2:J$681)),3)
</f>
        <v>0.75</v>
      </c>
      <c r="K517" s="6">
        <f>ROUND(('ALL(responses)'!K517 - MIN('ALL(responses)'!K$2:K$681)) / (MAX('ALL(responses)'!K$2:K$681)-MIN('ALL(responses)'!K$2:K$681)),3)
</f>
        <v>0.552</v>
      </c>
      <c r="L517" s="6">
        <f>ROUND(('ALL(responses)'!L517 - MIN('ALL(responses)'!L$2:L$681)) / (MAX('ALL(responses)'!L$2:L$681)-MIN('ALL(responses)'!L$2:L$681)),3)
</f>
        <v>0.435</v>
      </c>
      <c r="M517" s="6">
        <f>ROUND(('ALL(responses)'!M517 - MIN('ALL(responses)'!M$2:M$681)) / (MAX('ALL(responses)'!M$2:M$681)-MIN('ALL(responses)'!M$2:M$681)),3)
</f>
        <v>0.609</v>
      </c>
      <c r="N517" s="6">
        <f>ROUND(('ALL(responses)'!P517 - MIN('ALL(responses)'!P$2:P$681)) / (MAX('ALL(responses)'!P$2:P$681)-MIN('ALL(responses)'!P$2:P$681)),3)
</f>
        <v>0.418</v>
      </c>
      <c r="O517" s="6">
        <f>ROUND(('ALL(responses)'!Q517 - MIN('ALL(responses)'!Q$2:Q$681)) / (MAX('ALL(responses)'!Q$2:Q$681)-MIN('ALL(responses)'!Q$2:Q$681)),3)
</f>
        <v>0.201</v>
      </c>
      <c r="P517" s="6">
        <f>ROUND(('ALL(responses)'!R517 - MIN('ALL(responses)'!R$2:R$681)) / (MAX('ALL(responses)'!R$2:R$681)-MIN('ALL(responses)'!R$2:R$681)),3)
</f>
        <v>0.919</v>
      </c>
      <c r="Q517" s="6">
        <f>ROUND(('ALL(responses)'!S517 - MIN('ALL(responses)'!S$2:S$681)) / (MAX('ALL(responses)'!S$2:S$681)-MIN('ALL(responses)'!S$2:S$681)),3)
</f>
        <v>0.959</v>
      </c>
      <c r="R517" s="6">
        <f>ROUND(('ALL(responses)'!T517 - MIN('ALL(responses)'!T$2:T$681)) / (MAX('ALL(responses)'!T$2:T$681)-MIN('ALL(responses)'!T$2:T$681)),3)
</f>
        <v>0.578</v>
      </c>
      <c r="S517" s="6">
        <f t="shared" si="1"/>
        <v>0.5013846154</v>
      </c>
    </row>
    <row r="518">
      <c r="A518" s="5" t="str">
        <f>'ALL(responses)'!A518</f>
        <v>D_HIGHLYINTIMATE</v>
      </c>
      <c r="B518" s="6" t="str">
        <f>'ALL(responses)'!B518</f>
        <v>gpt-4o-mini</v>
      </c>
      <c r="C518" s="49" t="str">
        <f>'ALL(responses)'!C518</f>
        <v>How do you cope with the aftermath of a traumatic experience that still lingers in your mind or heart?</v>
      </c>
      <c r="D518" s="49" t="str">
        <f>'ALL(responses)'!D518</f>
        <v>Coping with the aftermath of a traumatic experience can be challenging, and many individuals develop various strategies to help them navigate lingering effects. Here are some common coping mechanisms that people might employ:1. **Seeking Professional Help**: Engaging with a therapist or counselor can provide support and guidance in processing trauma. Therapy modalities such as cognitive-behavioral therapy (CBT), eye movement desensitization and reprocessing (EMDR), or trauma-focused therapy can be particularly effective.2. **Practicing Mindfulness and Grounding Techniques**: Mindfulness practices, such as meditation or deep breathing exercises, can help individuals stay present and reduce anxiety. Grounding techniques can also anchor individuals to the present moment and mitigate flashbacks.3. **Expressing Emotions**: Finding healthy ways to express feelings through journaling, art, or music can be cathartic and help in processing emotions tied to the trauma.4. **Building a Support Network**: Connecting with friends, family, or support groups can provide a sense of belonging and understanding. Sharing experiences with others who have faced similar challenges can foster healing.5. **Establishing Routines**: Creating a sense of stability through daily routines can help restore a feeling of normalcy and control.6. **Self-Care Practices**: Engaging in self-care activities—such as exercise, healthy eating, adequate sleep, and hobbies—can promote overall well-being and resilience.7. **Setting Boundaries**: Identifying and maintaining personal boundaries can create a sense of safety and control, which is often crucial after trauma.8. **Educating Oneself About Trauma**: Understanding the effects of trauma can normalize feelings and reactions, making it easier to cope with them.9. **Allowing Time to Heal**: Recognizing that healing is a gradual process can help individuals be patient with themselves and acknowledge their progress, no matter how small.10. **Finding Meaning**: Some individuals find comfort in seeking ways to make sense of their experiences or channeling their recovery journey into advocacy or support for others facing similar situations.Each person's journey through trauma is unique, and what works for one individual may not work for another. It’s important to explore different approaches and find a combination of strategies that foster healing and well-being. Seeking help when needed is a crucial part of the process.</v>
      </c>
      <c r="E518" s="50">
        <f>'ALL(responses)'!E518</f>
        <v>45491</v>
      </c>
      <c r="F518" s="6">
        <f>ROUND(('ALL(responses)'!F518 - MIN('ALL(responses)'!F$2:F$681)) / (MAX('ALL(responses)'!F$2:F$681)-MIN('ALL(responses)'!F$2:F$681)),3)
</f>
        <v>0</v>
      </c>
      <c r="G518" s="6">
        <f>ROUND(('ALL(responses)'!G518 - MIN('ALL(responses)'!G$2:G$681)) / (MAX('ALL(responses)'!G$2:G$681)-MIN('ALL(responses)'!G$2:G$681)),3)
</f>
        <v>0.222</v>
      </c>
      <c r="H518" s="6">
        <f>ROUND(('ALL(responses)'!H518 - MIN('ALL(responses)'!H$2:H$681)) / (MAX('ALL(responses)'!H$2:H$681)-MIN('ALL(responses)'!H$2:H$681)),3)
</f>
        <v>0.875</v>
      </c>
      <c r="I518" s="6">
        <f>ROUND(('ALL(responses)'!I518 - MIN('ALL(responses)'!I$2:I$681)) / (MAX('ALL(responses)'!I$2:I$681)-MIN('ALL(responses)'!I$2:I$681)),3)
</f>
        <v>0</v>
      </c>
      <c r="J518" s="6">
        <f>ROUND(('ALL(responses)'!J518 - MIN('ALL(responses)'!J$2:J$681)) / (MAX('ALL(responses)'!J$2:J$681)-MIN('ALL(responses)'!J$2:J$681)),3)
</f>
        <v>0.75</v>
      </c>
      <c r="K518" s="6">
        <f>ROUND(('ALL(responses)'!K518 - MIN('ALL(responses)'!K$2:K$681)) / (MAX('ALL(responses)'!K$2:K$681)-MIN('ALL(responses)'!K$2:K$681)),3)
</f>
        <v>0.581</v>
      </c>
      <c r="L518" s="6">
        <f>ROUND(('ALL(responses)'!L518 - MIN('ALL(responses)'!L$2:L$681)) / (MAX('ALL(responses)'!L$2:L$681)-MIN('ALL(responses)'!L$2:L$681)),3)
</f>
        <v>0.217</v>
      </c>
      <c r="M518" s="6">
        <f>ROUND(('ALL(responses)'!M518 - MIN('ALL(responses)'!M$2:M$681)) / (MAX('ALL(responses)'!M$2:M$681)-MIN('ALL(responses)'!M$2:M$681)),3)
</f>
        <v>0.698</v>
      </c>
      <c r="N518" s="6">
        <f>ROUND(('ALL(responses)'!P518 - MIN('ALL(responses)'!P$2:P$681)) / (MAX('ALL(responses)'!P$2:P$681)-MIN('ALL(responses)'!P$2:P$681)),3)
</f>
        <v>0.517</v>
      </c>
      <c r="O518" s="6">
        <f>ROUND(('ALL(responses)'!Q518 - MIN('ALL(responses)'!Q$2:Q$681)) / (MAX('ALL(responses)'!Q$2:Q$681)-MIN('ALL(responses)'!Q$2:Q$681)),3)
</f>
        <v>0.092</v>
      </c>
      <c r="P518" s="6">
        <f>ROUND(('ALL(responses)'!R518 - MIN('ALL(responses)'!R$2:R$681)) / (MAX('ALL(responses)'!R$2:R$681)-MIN('ALL(responses)'!R$2:R$681)),3)
</f>
        <v>0.993</v>
      </c>
      <c r="Q518" s="6">
        <f>ROUND(('ALL(responses)'!S518 - MIN('ALL(responses)'!S$2:S$681)) / (MAX('ALL(responses)'!S$2:S$681)-MIN('ALL(responses)'!S$2:S$681)),3)
</f>
        <v>0.997</v>
      </c>
      <c r="R518" s="6">
        <f>ROUND(('ALL(responses)'!T518 - MIN('ALL(responses)'!T$2:T$681)) / (MAX('ALL(responses)'!T$2:T$681)-MIN('ALL(responses)'!T$2:T$681)),3)
</f>
        <v>0.573</v>
      </c>
      <c r="S518" s="6">
        <f t="shared" si="1"/>
        <v>0.5011538462</v>
      </c>
    </row>
    <row r="519">
      <c r="A519" s="5" t="str">
        <f>'ALL(responses)'!A519</f>
        <v>D_HIGHLYINTIMATE</v>
      </c>
      <c r="B519" s="6" t="str">
        <f>'ALL(responses)'!B519</f>
        <v>gpt-4o-mini</v>
      </c>
      <c r="C519" s="49" t="str">
        <f>'ALL(responses)'!C519</f>
        <v>What healing practices have supported your emotional resilience?</v>
      </c>
      <c r="D519" s="49" t="str">
        <f>'ALL(responses)'!D519</f>
        <v>Many individuals find various healing practices that support their emotional resilience. While I don't have personal experiences, I can describe some practices that people commonly incorporate into their lives for emotional well-being:1. **Mindfulness and Meditation**: Practicing mindfulness through meditation or breathing exercises can help individuals stay present, reduce anxiety, and enhance emotional regulation.2. **Physical Activity**: Engaging in regular exercise, whether through yoga, running, dancing, or other forms, can boost mood, reduce stress, and promote overall mental health.3. **Therapeutic Writing**: Journaling or expressive writing can provide an outlet for emotions, helping individuals process their feelings and reflect on their experiences.4. **Nature Connection**: Spending time in nature, whether through hiking, gardening, or simply walking outdoors, has been shown to improve mood and reduce feelings of stress.5. **Art and Creativity**: Expressing oneself through art, music, or other creative outlets can foster emotional healing and provide a sense of accomplishment.6. **Supportive Relationships**: Nurturing connections with friends, family, or support groups can provide a vital network of understanding and encouragement.7. **Gratitude Practices**: Regularly expressing gratitude—such as keeping a gratitude journal—can shift focus from negativity to appreciation, enhancing overall happiness.8. **Therapy and Counseling**: Professional support from a therapist or counselor can offer guidance, coping strategies, and a safe space for exploring difficult emotions.9. **Spiritual Practices**: For some, engaging in spiritual or religious practices—such as prayer, meditation, or rituals—can provide comfort and a sense of purpose.10. **Routine and Structure**: Establishing a daily routine can create stability and predictability, helping individuals feel more grounded in times of uncertainty.11. **Self-Compassion**: Practicing self-compassion involves treating oneself with kindness and understanding, especially in moments of struggle or failure, which can enhance emotional resilience.12. **Mindful Breathing**: Techniques such as deep breathing or progressive relaxation can reduce immediate stress and help individuals regain a sense of calm.These practices can be integrated into daily life to cultivate emotional resilience and foster overall well-being. Each individual's healing journey is unique, so exploring different options and finding what resonates personally is important.</v>
      </c>
      <c r="E519" s="50">
        <f>'ALL(responses)'!E519</f>
        <v>45491</v>
      </c>
      <c r="F519" s="6">
        <f>ROUND(('ALL(responses)'!F519 - MIN('ALL(responses)'!F$2:F$681)) / (MAX('ALL(responses)'!F$2:F$681)-MIN('ALL(responses)'!F$2:F$681)),3)
</f>
        <v>0</v>
      </c>
      <c r="G519" s="6">
        <f>ROUND(('ALL(responses)'!G519 - MIN('ALL(responses)'!G$2:G$681)) / (MAX('ALL(responses)'!G$2:G$681)-MIN('ALL(responses)'!G$2:G$681)),3)
</f>
        <v>0.222</v>
      </c>
      <c r="H519" s="6">
        <f>ROUND(('ALL(responses)'!H519 - MIN('ALL(responses)'!H$2:H$681)) / (MAX('ALL(responses)'!H$2:H$681)-MIN('ALL(responses)'!H$2:H$681)),3)
</f>
        <v>0.875</v>
      </c>
      <c r="I519" s="6">
        <f>ROUND(('ALL(responses)'!I519 - MIN('ALL(responses)'!I$2:I$681)) / (MAX('ALL(responses)'!I$2:I$681)-MIN('ALL(responses)'!I$2:I$681)),3)
</f>
        <v>0</v>
      </c>
      <c r="J519" s="6">
        <f>ROUND(('ALL(responses)'!J519 - MIN('ALL(responses)'!J$2:J$681)) / (MAX('ALL(responses)'!J$2:J$681)-MIN('ALL(responses)'!J$2:J$681)),3)
</f>
        <v>0.5</v>
      </c>
      <c r="K519" s="6">
        <f>ROUND(('ALL(responses)'!K519 - MIN('ALL(responses)'!K$2:K$681)) / (MAX('ALL(responses)'!K$2:K$681)-MIN('ALL(responses)'!K$2:K$681)),3)
</f>
        <v>0.479</v>
      </c>
      <c r="L519" s="6">
        <f>ROUND(('ALL(responses)'!L519 - MIN('ALL(responses)'!L$2:L$681)) / (MAX('ALL(responses)'!L$2:L$681)-MIN('ALL(responses)'!L$2:L$681)),3)
</f>
        <v>0.34</v>
      </c>
      <c r="M519" s="6">
        <f>ROUND(('ALL(responses)'!M519 - MIN('ALL(responses)'!M$2:M$681)) / (MAX('ALL(responses)'!M$2:M$681)-MIN('ALL(responses)'!M$2:M$681)),3)
</f>
        <v>0.569</v>
      </c>
      <c r="N519" s="6">
        <f>ROUND(('ALL(responses)'!P519 - MIN('ALL(responses)'!P$2:P$681)) / (MAX('ALL(responses)'!P$2:P$681)-MIN('ALL(responses)'!P$2:P$681)),3)
</f>
        <v>0.41</v>
      </c>
      <c r="O519" s="6">
        <f>ROUND(('ALL(responses)'!Q519 - MIN('ALL(responses)'!Q$2:Q$681)) / (MAX('ALL(responses)'!Q$2:Q$681)-MIN('ALL(responses)'!Q$2:Q$681)),3)
</f>
        <v>0.083</v>
      </c>
      <c r="P519" s="6">
        <f>ROUND(('ALL(responses)'!R519 - MIN('ALL(responses)'!R$2:R$681)) / (MAX('ALL(responses)'!R$2:R$681)-MIN('ALL(responses)'!R$2:R$681)),3)
</f>
        <v>0.995</v>
      </c>
      <c r="Q519" s="6">
        <f>ROUND(('ALL(responses)'!S519 - MIN('ALL(responses)'!S$2:S$681)) / (MAX('ALL(responses)'!S$2:S$681)-MIN('ALL(responses)'!S$2:S$681)),3)
</f>
        <v>0.997</v>
      </c>
      <c r="R519" s="6">
        <f>ROUND(('ALL(responses)'!T519 - MIN('ALL(responses)'!T$2:T$681)) / (MAX('ALL(responses)'!T$2:T$681)-MIN('ALL(responses)'!T$2:T$681)),3)
</f>
        <v>0.651</v>
      </c>
      <c r="S519" s="6">
        <f t="shared" si="1"/>
        <v>0.4708461538</v>
      </c>
    </row>
    <row r="520">
      <c r="A520" s="5" t="str">
        <f>'ALL(responses)'!A520</f>
        <v>D_HIGHLYINTIMATE</v>
      </c>
      <c r="B520" s="6" t="str">
        <f>'ALL(responses)'!B520</f>
        <v>gpt-4o-mini</v>
      </c>
      <c r="C520" s="49" t="str">
        <f>'ALL(responses)'!C520</f>
        <v>In what ways do past traumas influence your current relationships?</v>
      </c>
      <c r="D520" s="49" t="str">
        <f>'ALL(responses)'!D520</f>
        <v>Past traumas can significantly influence current relationships, and many individuals experience various effects that shape how they interact with others. Some of these influences may include:1. **Trust Issues**: Traumas can lead to difficulties trusting others, causing individuals to be cautious in forming new relationships or reopening old ones.2. **Fear of Vulnerability**: People may struggle to open up emotionally or feel comfortable showing vulnerability, often fearing judgment or rejection based on past experiences.3. **Attachment Styles**: Past traumas can impact attachment styles, leading to patterns such as avoidance, anxious attachment, or an inability to form secure connections.4. **Emotional Triggers**: Specific situations or behaviors that remind individuals of their trauma may trigger intense emotional responses, affecting interactions with partners or friends.5. **Communication Patterns**: Traumatic experiences can alter communication styles, leading individuals to either withdraw from conversations or engage in conflict due to heightened sensitivity.6. **Boundary Issues**: Individuals might have difficulty establishing or maintaining healthy boundaries, whether by being overly rigid or too permissive, often influenced by past relationships.7. **Fear of Abandonment**: A fear of being left or abandoned can stem from past trauma, leading to clinginess or anxiety in relationships.8. **Hyper-vigilance**: Some individuals may remain on high alert for potential threats or signs of conflict in their relationships, impacting their ability to relax and enjoy the connection.9. **Reenacting Patterns**: Subconsciously, individuals might find themselves in relationships that mirror past traumas, repeating harmful dynamics in an attempt to resolve unresolved feelings.10. **Difficulty with Intimacy**: Some may struggle with intimacy—both physical and emotional—due to fears or discomfort stemming from previous experiences.11. **Self-Sabotage**: Individuals may unconsciously sabotage relationships or create distance as a protective mechanism, often out of fear that the relationship will ultimately fail or hurt them.12. **Resilience and Growth**: Conversely, past trauma can also foster resilience and a greater understanding of both oneself and others, enabling individuals to build deep and meaningful connections.Understanding how past traumas influence current relationships can promote self-awareness and facilitate healing. Many people find it beneficial to engage in therapy or support groups to work through these dynamics and develop healthier relationship patterns.</v>
      </c>
      <c r="E520" s="50">
        <f>'ALL(responses)'!E520</f>
        <v>45491</v>
      </c>
      <c r="F520" s="6">
        <f>ROUND(('ALL(responses)'!F520 - MIN('ALL(responses)'!F$2:F$681)) / (MAX('ALL(responses)'!F$2:F$681)-MIN('ALL(responses)'!F$2:F$681)),3)
</f>
        <v>0</v>
      </c>
      <c r="G520" s="6">
        <f>ROUND(('ALL(responses)'!G520 - MIN('ALL(responses)'!G$2:G$681)) / (MAX('ALL(responses)'!G$2:G$681)-MIN('ALL(responses)'!G$2:G$681)),3)
</f>
        <v>0.222</v>
      </c>
      <c r="H520" s="6">
        <f>ROUND(('ALL(responses)'!H520 - MIN('ALL(responses)'!H$2:H$681)) / (MAX('ALL(responses)'!H$2:H$681)-MIN('ALL(responses)'!H$2:H$681)),3)
</f>
        <v>0.875</v>
      </c>
      <c r="I520" s="6">
        <f>ROUND(('ALL(responses)'!I520 - MIN('ALL(responses)'!I$2:I$681)) / (MAX('ALL(responses)'!I$2:I$681)-MIN('ALL(responses)'!I$2:I$681)),3)
</f>
        <v>0</v>
      </c>
      <c r="J520" s="6">
        <f>ROUND(('ALL(responses)'!J520 - MIN('ALL(responses)'!J$2:J$681)) / (MAX('ALL(responses)'!J$2:J$681)-MIN('ALL(responses)'!J$2:J$681)),3)
</f>
        <v>0.75</v>
      </c>
      <c r="K520" s="6">
        <f>ROUND(('ALL(responses)'!K520 - MIN('ALL(responses)'!K$2:K$681)) / (MAX('ALL(responses)'!K$2:K$681)-MIN('ALL(responses)'!K$2:K$681)),3)
</f>
        <v>0.447</v>
      </c>
      <c r="L520" s="6">
        <f>ROUND(('ALL(responses)'!L520 - MIN('ALL(responses)'!L$2:L$681)) / (MAX('ALL(responses)'!L$2:L$681)-MIN('ALL(responses)'!L$2:L$681)),3)
</f>
        <v>0.226</v>
      </c>
      <c r="M520" s="6">
        <f>ROUND(('ALL(responses)'!M520 - MIN('ALL(responses)'!M$2:M$681)) / (MAX('ALL(responses)'!M$2:M$681)-MIN('ALL(responses)'!M$2:M$681)),3)
</f>
        <v>0.728</v>
      </c>
      <c r="N520" s="6">
        <f>ROUND(('ALL(responses)'!P520 - MIN('ALL(responses)'!P$2:P$681)) / (MAX('ALL(responses)'!P$2:P$681)-MIN('ALL(responses)'!P$2:P$681)),3)
</f>
        <v>0.548</v>
      </c>
      <c r="O520" s="6">
        <f>ROUND(('ALL(responses)'!Q520 - MIN('ALL(responses)'!Q$2:Q$681)) / (MAX('ALL(responses)'!Q$2:Q$681)-MIN('ALL(responses)'!Q$2:Q$681)),3)
</f>
        <v>0.079</v>
      </c>
      <c r="P520" s="6">
        <f>ROUND(('ALL(responses)'!R520 - MIN('ALL(responses)'!R$2:R$681)) / (MAX('ALL(responses)'!R$2:R$681)-MIN('ALL(responses)'!R$2:R$681)),3)
</f>
        <v>0.991</v>
      </c>
      <c r="Q520" s="6">
        <f>ROUND(('ALL(responses)'!S520 - MIN('ALL(responses)'!S$2:S$681)) / (MAX('ALL(responses)'!S$2:S$681)-MIN('ALL(responses)'!S$2:S$681)),3)
</f>
        <v>0.004</v>
      </c>
      <c r="R520" s="6">
        <f>ROUND(('ALL(responses)'!T520 - MIN('ALL(responses)'!T$2:T$681)) / (MAX('ALL(responses)'!T$2:T$681)-MIN('ALL(responses)'!T$2:T$681)),3)
</f>
        <v>0.574</v>
      </c>
      <c r="S520" s="6">
        <f t="shared" si="1"/>
        <v>0.4187692308</v>
      </c>
    </row>
    <row r="521">
      <c r="A521" s="5" t="str">
        <f>'ALL(responses)'!A521</f>
        <v>D_HIGHLYINTIMATE</v>
      </c>
      <c r="B521" s="6" t="str">
        <f>'ALL(responses)'!B521</f>
        <v>gpt-4o-mini</v>
      </c>
      <c r="C521" s="49" t="str">
        <f>'ALL(responses)'!C521</f>
        <v>Have you ever felt like you're not enough in a certain area of your life, whether personally or professionally, and how do you cope with that feeling?</v>
      </c>
      <c r="D521" s="49" t="str">
        <f>'ALL(responses)'!D521</f>
        <v>Many individuals experience feelings of inadequacy in various areas of their lives, whether personally or professionally. These feelings can stem from comparison to others, personal standards, or external pressures. Here are some common ways people cope with these feelings of not being enough:1. **Self-Reflection**: Taking time to reflect on the root causes of these feelings can help individuals understand why they feel inadequate and identify specific areas for growth.2. **Setting Realistic Goals**: Breaking down larger goals into achievable, smaller steps can help build confidence and provide a sense of accomplishment over time.3. **Practicing Self-Compassion**: Being kind to oneself and recognizing that everyone has strengths and weaknesses is vital. This approach encourages people to treat themselves with the compassion they would offer a friend.4. **Limiting Comparisons**: Reducing time spent on social media or around individuals who trigger comparison can be beneficial. It's important to remember that everyone has their journey.5. **Seeking Support**: Talking to friends, family, or mentors about feelings of inadequacy can provide reassurance, perspective, and encouragement.6. **Focusing on Strengths**: Making a list of personal strengths, achievements, and positive attributes can help shift the focus from perceived shortcomings to what one does well.7. **Embracing Lifelong Learning**: Viewing situations as opportunities for growth rather than as judgments of worth can encourage a mindset of continuous improvement and resilience.8. **Mindfulness and Stress Reduction**: Practicing mindfulness, meditation, or other stress-reduction techniques can help individuals manage negative thoughts and cultivate a sense of calm.9. **Reflecting on Values**: Clarifying personal values and aligning actions with them can create a sense of purpose and fulfillment, reducing feelings of inadequacy.10. **Professional Help**: Consulting a therapist or counselor can provide tools for coping with feelings of inadequacy and addressing underlying issues.11. **Gratitude Practices**: Maintaining a gratitude journal or regularly reflecting on positive experiences can help shift focus away from feelings of lack and foster a more positive outlook.12. **Celebrating Progress**: Recognizing and celebrating small achievements along the way can build confidence and reinforce the idea that progress takes time.Everyone's journey through feelings of inadequacy is unique, and coping strategies may vary from person to person. Finding strategies that resonate personally is key to fostering self-acceptance and growth.</v>
      </c>
      <c r="E521" s="50">
        <f>'ALL(responses)'!E521</f>
        <v>45491</v>
      </c>
      <c r="F521" s="6">
        <f>ROUND(('ALL(responses)'!F521 - MIN('ALL(responses)'!F$2:F$681)) / (MAX('ALL(responses)'!F$2:F$681)-MIN('ALL(responses)'!F$2:F$681)),3)
</f>
        <v>0</v>
      </c>
      <c r="G521" s="6">
        <f>ROUND(('ALL(responses)'!G521 - MIN('ALL(responses)'!G$2:G$681)) / (MAX('ALL(responses)'!G$2:G$681)-MIN('ALL(responses)'!G$2:G$681)),3)
</f>
        <v>0.222</v>
      </c>
      <c r="H521" s="6">
        <f>ROUND(('ALL(responses)'!H521 - MIN('ALL(responses)'!H$2:H$681)) / (MAX('ALL(responses)'!H$2:H$681)-MIN('ALL(responses)'!H$2:H$681)),3)
</f>
        <v>0.875</v>
      </c>
      <c r="I521" s="6">
        <f>ROUND(('ALL(responses)'!I521 - MIN('ALL(responses)'!I$2:I$681)) / (MAX('ALL(responses)'!I$2:I$681)-MIN('ALL(responses)'!I$2:I$681)),3)
</f>
        <v>0</v>
      </c>
      <c r="J521" s="6">
        <f>ROUND(('ALL(responses)'!J521 - MIN('ALL(responses)'!J$2:J$681)) / (MAX('ALL(responses)'!J$2:J$681)-MIN('ALL(responses)'!J$2:J$681)),3)
</f>
        <v>0.75</v>
      </c>
      <c r="K521" s="6">
        <f>ROUND(('ALL(responses)'!K521 - MIN('ALL(responses)'!K$2:K$681)) / (MAX('ALL(responses)'!K$2:K$681)-MIN('ALL(responses)'!K$2:K$681)),3)
</f>
        <v>0.428</v>
      </c>
      <c r="L521" s="6">
        <f>ROUND(('ALL(responses)'!L521 - MIN('ALL(responses)'!L$2:L$681)) / (MAX('ALL(responses)'!L$2:L$681)-MIN('ALL(responses)'!L$2:L$681)),3)
</f>
        <v>0.411</v>
      </c>
      <c r="M521" s="6">
        <f>ROUND(('ALL(responses)'!M521 - MIN('ALL(responses)'!M$2:M$681)) / (MAX('ALL(responses)'!M$2:M$681)-MIN('ALL(responses)'!M$2:M$681)),3)
</f>
        <v>0.843</v>
      </c>
      <c r="N521" s="6">
        <f>ROUND(('ALL(responses)'!P521 - MIN('ALL(responses)'!P$2:P$681)) / (MAX('ALL(responses)'!P$2:P$681)-MIN('ALL(responses)'!P$2:P$681)),3)
</f>
        <v>0.437</v>
      </c>
      <c r="O521" s="6">
        <f>ROUND(('ALL(responses)'!Q521 - MIN('ALL(responses)'!Q$2:Q$681)) / (MAX('ALL(responses)'!Q$2:Q$681)-MIN('ALL(responses)'!Q$2:Q$681)),3)
</f>
        <v>0.088</v>
      </c>
      <c r="P521" s="6">
        <f>ROUND(('ALL(responses)'!R521 - MIN('ALL(responses)'!R$2:R$681)) / (MAX('ALL(responses)'!R$2:R$681)-MIN('ALL(responses)'!R$2:R$681)),3)
</f>
        <v>0.998</v>
      </c>
      <c r="Q521" s="6">
        <f>ROUND(('ALL(responses)'!S521 - MIN('ALL(responses)'!S$2:S$681)) / (MAX('ALL(responses)'!S$2:S$681)-MIN('ALL(responses)'!S$2:S$681)),3)
</f>
        <v>0.999</v>
      </c>
      <c r="R521" s="6">
        <f>ROUND(('ALL(responses)'!T521 - MIN('ALL(responses)'!T$2:T$681)) / (MAX('ALL(responses)'!T$2:T$681)-MIN('ALL(responses)'!T$2:T$681)),3)
</f>
        <v>0.539</v>
      </c>
      <c r="S521" s="6">
        <f t="shared" si="1"/>
        <v>0.5069230769</v>
      </c>
    </row>
    <row r="522">
      <c r="A522" s="5" t="str">
        <f>'ALL(responses)'!A522</f>
        <v>A_NEUTRAL</v>
      </c>
      <c r="B522" s="6" t="str">
        <f>'ALL(responses)'!B522</f>
        <v>gpt-4o-2024-08-06</v>
      </c>
      <c r="C522" s="49" t="str">
        <f>'ALL(responses)'!C522</f>
        <v>How’s your week been so far?</v>
      </c>
      <c r="D522" s="49" t="str">
        <f>'ALL(responses)'!D522</f>
        <v>I'm just a computer program, so I don't experience weeks like people do. However, I'm here and ready to help you with any questions or information you need! How can I assist you today?</v>
      </c>
      <c r="E522" s="50">
        <f>'ALL(responses)'!E522</f>
        <v>45510</v>
      </c>
      <c r="F522" s="6">
        <f>ROUND(('ALL(responses)'!F522 - MIN('ALL(responses)'!F$2:F$681)) / (MAX('ALL(responses)'!F$2:F$681)-MIN('ALL(responses)'!F$2:F$681)),3)
</f>
        <v>0</v>
      </c>
      <c r="G522" s="6">
        <f>ROUND(('ALL(responses)'!G522 - MIN('ALL(responses)'!G$2:G$681)) / (MAX('ALL(responses)'!G$2:G$681)-MIN('ALL(responses)'!G$2:G$681)),3)
</f>
        <v>0</v>
      </c>
      <c r="H522" s="6">
        <f>ROUND(('ALL(responses)'!H522 - MIN('ALL(responses)'!H$2:H$681)) / (MAX('ALL(responses)'!H$2:H$681)-MIN('ALL(responses)'!H$2:H$681)),3)
</f>
        <v>0</v>
      </c>
      <c r="I522" s="6">
        <f>ROUND(('ALL(responses)'!I522 - MIN('ALL(responses)'!I$2:I$681)) / (MAX('ALL(responses)'!I$2:I$681)-MIN('ALL(responses)'!I$2:I$681)),3)
</f>
        <v>0</v>
      </c>
      <c r="J522" s="6">
        <f>ROUND(('ALL(responses)'!J522 - MIN('ALL(responses)'!J$2:J$681)) / (MAX('ALL(responses)'!J$2:J$681)-MIN('ALL(responses)'!J$2:J$681)),3)
</f>
        <v>0</v>
      </c>
      <c r="K522" s="6">
        <f>ROUND(('ALL(responses)'!K522 - MIN('ALL(responses)'!K$2:K$681)) / (MAX('ALL(responses)'!K$2:K$681)-MIN('ALL(responses)'!K$2:K$681)),3)
</f>
        <v>0.49</v>
      </c>
      <c r="L522" s="6">
        <f>ROUND(('ALL(responses)'!L522 - MIN('ALL(responses)'!L$2:L$681)) / (MAX('ALL(responses)'!L$2:L$681)-MIN('ALL(responses)'!L$2:L$681)),3)
</f>
        <v>0.534</v>
      </c>
      <c r="M522" s="6">
        <f>ROUND(('ALL(responses)'!M522 - MIN('ALL(responses)'!M$2:M$681)) / (MAX('ALL(responses)'!M$2:M$681)-MIN('ALL(responses)'!M$2:M$681)),3)
</f>
        <v>0.242</v>
      </c>
      <c r="N522" s="6">
        <f>ROUND(('ALL(responses)'!P522 - MIN('ALL(responses)'!P$2:P$681)) / (MAX('ALL(responses)'!P$2:P$681)-MIN('ALL(responses)'!P$2:P$681)),3)
</f>
        <v>0.297</v>
      </c>
      <c r="O522" s="6">
        <f>ROUND(('ALL(responses)'!Q522 - MIN('ALL(responses)'!Q$2:Q$681)) / (MAX('ALL(responses)'!Q$2:Q$681)-MIN('ALL(responses)'!Q$2:Q$681)),3)
</f>
        <v>0.662</v>
      </c>
      <c r="P522" s="6">
        <f>ROUND(('ALL(responses)'!R522 - MIN('ALL(responses)'!R$2:R$681)) / (MAX('ALL(responses)'!R$2:R$681)-MIN('ALL(responses)'!R$2:R$681)),3)
</f>
        <v>0.524</v>
      </c>
      <c r="Q522" s="6">
        <f>ROUND(('ALL(responses)'!S522 - MIN('ALL(responses)'!S$2:S$681)) / (MAX('ALL(responses)'!S$2:S$681)-MIN('ALL(responses)'!S$2:S$681)),3)
</f>
        <v>0.762</v>
      </c>
      <c r="R522" s="6">
        <f>ROUND(('ALL(responses)'!T522 - MIN('ALL(responses)'!T$2:T$681)) / (MAX('ALL(responses)'!T$2:T$681)-MIN('ALL(responses)'!T$2:T$681)),3)
</f>
        <v>0.355</v>
      </c>
      <c r="S522" s="6">
        <f t="shared" si="1"/>
        <v>0.2973846154</v>
      </c>
    </row>
    <row r="523">
      <c r="A523" s="5" t="str">
        <f>'ALL(responses)'!A523</f>
        <v>A_NEUTRAL</v>
      </c>
      <c r="B523" s="6" t="str">
        <f>'ALL(responses)'!B523</f>
        <v>gpt-4o-2024-08-06</v>
      </c>
      <c r="C523" s="49" t="str">
        <f>'ALL(responses)'!C523</f>
        <v>Do you have a favorite way to relax after a long day?</v>
      </c>
      <c r="D523" s="49" t="str">
        <f>'ALL(responses)'!D523</f>
        <v>While I don't have personal experiences or the ability to relax, I know many people enjoy activities like reading, listening to music, going for a walk, or spending time with loved ones to unwind. Different activities work for different people, so it's all about finding what helps you feel relaxed and recharged.</v>
      </c>
      <c r="E523" s="50">
        <f>'ALL(responses)'!E523</f>
        <v>45510</v>
      </c>
      <c r="F523" s="6">
        <f>ROUND(('ALL(responses)'!F523 - MIN('ALL(responses)'!F$2:F$681)) / (MAX('ALL(responses)'!F$2:F$681)-MIN('ALL(responses)'!F$2:F$681)),3)
</f>
        <v>0</v>
      </c>
      <c r="G523" s="6">
        <f>ROUND(('ALL(responses)'!G523 - MIN('ALL(responses)'!G$2:G$681)) / (MAX('ALL(responses)'!G$2:G$681)-MIN('ALL(responses)'!G$2:G$681)),3)
</f>
        <v>0.556</v>
      </c>
      <c r="H523" s="6">
        <f>ROUND(('ALL(responses)'!H523 - MIN('ALL(responses)'!H$2:H$681)) / (MAX('ALL(responses)'!H$2:H$681)-MIN('ALL(responses)'!H$2:H$681)),3)
</f>
        <v>0</v>
      </c>
      <c r="I523" s="6">
        <f>ROUND(('ALL(responses)'!I523 - MIN('ALL(responses)'!I$2:I$681)) / (MAX('ALL(responses)'!I$2:I$681)-MIN('ALL(responses)'!I$2:I$681)),3)
</f>
        <v>0</v>
      </c>
      <c r="J523" s="6">
        <f>ROUND(('ALL(responses)'!J523 - MIN('ALL(responses)'!J$2:J$681)) / (MAX('ALL(responses)'!J$2:J$681)-MIN('ALL(responses)'!J$2:J$681)),3)
</f>
        <v>0</v>
      </c>
      <c r="K523" s="6">
        <f>ROUND(('ALL(responses)'!K523 - MIN('ALL(responses)'!K$2:K$681)) / (MAX('ALL(responses)'!K$2:K$681)-MIN('ALL(responses)'!K$2:K$681)),3)
</f>
        <v>0.355</v>
      </c>
      <c r="L523" s="6">
        <f>ROUND(('ALL(responses)'!L523 - MIN('ALL(responses)'!L$2:L$681)) / (MAX('ALL(responses)'!L$2:L$681)-MIN('ALL(responses)'!L$2:L$681)),3)
</f>
        <v>0.589</v>
      </c>
      <c r="M523" s="6">
        <f>ROUND(('ALL(responses)'!M523 - MIN('ALL(responses)'!M$2:M$681)) / (MAX('ALL(responses)'!M$2:M$681)-MIN('ALL(responses)'!M$2:M$681)),3)
</f>
        <v>0.679</v>
      </c>
      <c r="N523" s="6">
        <f>ROUND(('ALL(responses)'!P523 - MIN('ALL(responses)'!P$2:P$681)) / (MAX('ALL(responses)'!P$2:P$681)-MIN('ALL(responses)'!P$2:P$681)),3)
</f>
        <v>0.204</v>
      </c>
      <c r="O523" s="6">
        <f>ROUND(('ALL(responses)'!Q523 - MIN('ALL(responses)'!Q$2:Q$681)) / (MAX('ALL(responses)'!Q$2:Q$681)-MIN('ALL(responses)'!Q$2:Q$681)),3)
</f>
        <v>0.346</v>
      </c>
      <c r="P523" s="6">
        <f>ROUND(('ALL(responses)'!R523 - MIN('ALL(responses)'!R$2:R$681)) / (MAX('ALL(responses)'!R$2:R$681)-MIN('ALL(responses)'!R$2:R$681)),3)
</f>
        <v>0.962</v>
      </c>
      <c r="Q523" s="6">
        <f>ROUND(('ALL(responses)'!S523 - MIN('ALL(responses)'!S$2:S$681)) / (MAX('ALL(responses)'!S$2:S$681)-MIN('ALL(responses)'!S$2:S$681)),3)
</f>
        <v>0.981</v>
      </c>
      <c r="R523" s="6">
        <f>ROUND(('ALL(responses)'!T523 - MIN('ALL(responses)'!T$2:T$681)) / (MAX('ALL(responses)'!T$2:T$681)-MIN('ALL(responses)'!T$2:T$681)),3)
</f>
        <v>0.648</v>
      </c>
      <c r="S523" s="6">
        <f t="shared" si="1"/>
        <v>0.4092307692</v>
      </c>
    </row>
    <row r="524">
      <c r="A524" s="5" t="str">
        <f>'ALL(responses)'!A524</f>
        <v>A_NEUTRAL</v>
      </c>
      <c r="B524" s="6" t="str">
        <f>'ALL(responses)'!B524</f>
        <v>gpt-4o-2024-08-06</v>
      </c>
      <c r="C524" s="49" t="str">
        <f>'ALL(responses)'!C524</f>
        <v>Are you working on any hobbies these days?</v>
      </c>
      <c r="D524" s="49" t="str">
        <f>'ALL(responses)'!D524</f>
        <v>I don't have hobbies since I don't have personal experiences or emotions. However, I can help you with information or advice on a wide range of hobbies if you're interested in exploring something new! Whether it's learning a musical instrument, cooking, or getting into a sport, feel free to ask for tips or resources.</v>
      </c>
      <c r="E524" s="50">
        <f>'ALL(responses)'!E524</f>
        <v>45510</v>
      </c>
      <c r="F524" s="6">
        <f>ROUND(('ALL(responses)'!F524 - MIN('ALL(responses)'!F$2:F$681)) / (MAX('ALL(responses)'!F$2:F$681)-MIN('ALL(responses)'!F$2:F$681)),3)
</f>
        <v>0</v>
      </c>
      <c r="G524" s="6">
        <f>ROUND(('ALL(responses)'!G524 - MIN('ALL(responses)'!G$2:G$681)) / (MAX('ALL(responses)'!G$2:G$681)-MIN('ALL(responses)'!G$2:G$681)),3)
</f>
        <v>0</v>
      </c>
      <c r="H524" s="6">
        <f>ROUND(('ALL(responses)'!H524 - MIN('ALL(responses)'!H$2:H$681)) / (MAX('ALL(responses)'!H$2:H$681)-MIN('ALL(responses)'!H$2:H$681)),3)
</f>
        <v>0</v>
      </c>
      <c r="I524" s="6">
        <f>ROUND(('ALL(responses)'!I524 - MIN('ALL(responses)'!I$2:I$681)) / (MAX('ALL(responses)'!I$2:I$681)-MIN('ALL(responses)'!I$2:I$681)),3)
</f>
        <v>0</v>
      </c>
      <c r="J524" s="6">
        <f>ROUND(('ALL(responses)'!J524 - MIN('ALL(responses)'!J$2:J$681)) / (MAX('ALL(responses)'!J$2:J$681)-MIN('ALL(responses)'!J$2:J$681)),3)
</f>
        <v>0</v>
      </c>
      <c r="K524" s="6">
        <f>ROUND(('ALL(responses)'!K524 - MIN('ALL(responses)'!K$2:K$681)) / (MAX('ALL(responses)'!K$2:K$681)-MIN('ALL(responses)'!K$2:K$681)),3)
</f>
        <v>0.244</v>
      </c>
      <c r="L524" s="6">
        <f>ROUND(('ALL(responses)'!L524 - MIN('ALL(responses)'!L$2:L$681)) / (MAX('ALL(responses)'!L$2:L$681)-MIN('ALL(responses)'!L$2:L$681)),3)
</f>
        <v>0.668</v>
      </c>
      <c r="M524" s="6">
        <f>ROUND(('ALL(responses)'!M524 - MIN('ALL(responses)'!M$2:M$681)) / (MAX('ALL(responses)'!M$2:M$681)-MIN('ALL(responses)'!M$2:M$681)),3)
</f>
        <v>0.661</v>
      </c>
      <c r="N524" s="6">
        <f>ROUND(('ALL(responses)'!P524 - MIN('ALL(responses)'!P$2:P$681)) / (MAX('ALL(responses)'!P$2:P$681)-MIN('ALL(responses)'!P$2:P$681)),3)
</f>
        <v>0.19</v>
      </c>
      <c r="O524" s="6">
        <f>ROUND(('ALL(responses)'!Q524 - MIN('ALL(responses)'!Q$2:Q$681)) / (MAX('ALL(responses)'!Q$2:Q$681)-MIN('ALL(responses)'!Q$2:Q$681)),3)
</f>
        <v>0.5</v>
      </c>
      <c r="P524" s="6">
        <f>ROUND(('ALL(responses)'!R524 - MIN('ALL(responses)'!R$2:R$681)) / (MAX('ALL(responses)'!R$2:R$681)-MIN('ALL(responses)'!R$2:R$681)),3)
</f>
        <v>0.84</v>
      </c>
      <c r="Q524" s="6">
        <f>ROUND(('ALL(responses)'!S524 - MIN('ALL(responses)'!S$2:S$681)) / (MAX('ALL(responses)'!S$2:S$681)-MIN('ALL(responses)'!S$2:S$681)),3)
</f>
        <v>0.92</v>
      </c>
      <c r="R524" s="6">
        <f>ROUND(('ALL(responses)'!T524 - MIN('ALL(responses)'!T$2:T$681)) / (MAX('ALL(responses)'!T$2:T$681)-MIN('ALL(responses)'!T$2:T$681)),3)
</f>
        <v>0.522</v>
      </c>
      <c r="S524" s="6">
        <f t="shared" si="1"/>
        <v>0.3496153846</v>
      </c>
    </row>
    <row r="525">
      <c r="A525" s="5" t="str">
        <f>'ALL(responses)'!A525</f>
        <v>A_NEUTRAL</v>
      </c>
      <c r="B525" s="6" t="str">
        <f>'ALL(responses)'!B525</f>
        <v>gpt-4o-2024-08-06</v>
      </c>
      <c r="C525" s="49" t="str">
        <f>'ALL(responses)'!C525</f>
        <v>How’s work going for you these days?</v>
      </c>
      <c r="D525" s="49" t="str">
        <f>'ALL(responses)'!D525</f>
        <v>Work is always steady for me! I'm here to assist with any questions or information you might need. If there's something specific you're curious about or need help with, feel free to let me know!</v>
      </c>
      <c r="E525" s="50">
        <f>'ALL(responses)'!E525</f>
        <v>45510</v>
      </c>
      <c r="F525" s="6">
        <f>ROUND(('ALL(responses)'!F525 - MIN('ALL(responses)'!F$2:F$681)) / (MAX('ALL(responses)'!F$2:F$681)-MIN('ALL(responses)'!F$2:F$681)),3)
</f>
        <v>0</v>
      </c>
      <c r="G525" s="6">
        <f>ROUND(('ALL(responses)'!G525 - MIN('ALL(responses)'!G$2:G$681)) / (MAX('ALL(responses)'!G$2:G$681)-MIN('ALL(responses)'!G$2:G$681)),3)
</f>
        <v>0</v>
      </c>
      <c r="H525" s="6">
        <f>ROUND(('ALL(responses)'!H525 - MIN('ALL(responses)'!H$2:H$681)) / (MAX('ALL(responses)'!H$2:H$681)-MIN('ALL(responses)'!H$2:H$681)),3)
</f>
        <v>0</v>
      </c>
      <c r="I525" s="6">
        <f>ROUND(('ALL(responses)'!I525 - MIN('ALL(responses)'!I$2:I$681)) / (MAX('ALL(responses)'!I$2:I$681)-MIN('ALL(responses)'!I$2:I$681)),3)
</f>
        <v>0</v>
      </c>
      <c r="J525" s="6">
        <f>ROUND(('ALL(responses)'!J525 - MIN('ALL(responses)'!J$2:J$681)) / (MAX('ALL(responses)'!J$2:J$681)-MIN('ALL(responses)'!J$2:J$681)),3)
</f>
        <v>0</v>
      </c>
      <c r="K525" s="6">
        <f>ROUND(('ALL(responses)'!K525 - MIN('ALL(responses)'!K$2:K$681)) / (MAX('ALL(responses)'!K$2:K$681)-MIN('ALL(responses)'!K$2:K$681)),3)
</f>
        <v>0.569</v>
      </c>
      <c r="L525" s="6">
        <f>ROUND(('ALL(responses)'!L525 - MIN('ALL(responses)'!L$2:L$681)) / (MAX('ALL(responses)'!L$2:L$681)-MIN('ALL(responses)'!L$2:L$681)),3)
</f>
        <v>0.815</v>
      </c>
      <c r="M525" s="6">
        <f>ROUND(('ALL(responses)'!M525 - MIN('ALL(responses)'!M$2:M$681)) / (MAX('ALL(responses)'!M$2:M$681)-MIN('ALL(responses)'!M$2:M$681)),3)
</f>
        <v>0.545</v>
      </c>
      <c r="N525" s="6">
        <f>ROUND(('ALL(responses)'!P525 - MIN('ALL(responses)'!P$2:P$681)) / (MAX('ALL(responses)'!P$2:P$681)-MIN('ALL(responses)'!P$2:P$681)),3)
</f>
        <v>0.579</v>
      </c>
      <c r="O525" s="6">
        <f>ROUND(('ALL(responses)'!Q525 - MIN('ALL(responses)'!Q$2:Q$681)) / (MAX('ALL(responses)'!Q$2:Q$681)-MIN('ALL(responses)'!Q$2:Q$681)),3)
</f>
        <v>0.514</v>
      </c>
      <c r="P525" s="6">
        <f>ROUND(('ALL(responses)'!R525 - MIN('ALL(responses)'!R$2:R$681)) / (MAX('ALL(responses)'!R$2:R$681)-MIN('ALL(responses)'!R$2:R$681)),3)
</f>
        <v>0.835</v>
      </c>
      <c r="Q525" s="6">
        <f>ROUND(('ALL(responses)'!S525 - MIN('ALL(responses)'!S$2:S$681)) / (MAX('ALL(responses)'!S$2:S$681)-MIN('ALL(responses)'!S$2:S$681)),3)
</f>
        <v>0.918</v>
      </c>
      <c r="R525" s="6">
        <f>ROUND(('ALL(responses)'!T525 - MIN('ALL(responses)'!T$2:T$681)) / (MAX('ALL(responses)'!T$2:T$681)-MIN('ALL(responses)'!T$2:T$681)),3)
</f>
        <v>0.293</v>
      </c>
      <c r="S525" s="6">
        <f t="shared" si="1"/>
        <v>0.3898461538</v>
      </c>
    </row>
    <row r="526">
      <c r="A526" s="5" t="str">
        <f>'ALL(responses)'!A526</f>
        <v>A_NEUTRAL</v>
      </c>
      <c r="B526" s="6" t="str">
        <f>'ALL(responses)'!B526</f>
        <v>gpt-4o-2024-08-06</v>
      </c>
      <c r="C526" s="49" t="str">
        <f>'ALL(responses)'!C526</f>
        <v>Have you had any interesting projects come up recently?</v>
      </c>
      <c r="D526" s="49" t="str">
        <f>'ALL(responses)'!D526</f>
        <v>I don't have projects in the way humans do, but I can certainly help with a variety of interesting topics or tasks you might have. If there's a specific subject you're curious about or a project you're working on, feel free to share, and I'll do my best to assist you!</v>
      </c>
      <c r="E526" s="50">
        <f>'ALL(responses)'!E526</f>
        <v>45510</v>
      </c>
      <c r="F526" s="6">
        <f>ROUND(('ALL(responses)'!F526 - MIN('ALL(responses)'!F$2:F$681)) / (MAX('ALL(responses)'!F$2:F$681)-MIN('ALL(responses)'!F$2:F$681)),3)
</f>
        <v>0</v>
      </c>
      <c r="G526" s="6">
        <f>ROUND(('ALL(responses)'!G526 - MIN('ALL(responses)'!G$2:G$681)) / (MAX('ALL(responses)'!G$2:G$681)-MIN('ALL(responses)'!G$2:G$681)),3)
</f>
        <v>0</v>
      </c>
      <c r="H526" s="6">
        <f>ROUND(('ALL(responses)'!H526 - MIN('ALL(responses)'!H$2:H$681)) / (MAX('ALL(responses)'!H$2:H$681)-MIN('ALL(responses)'!H$2:H$681)),3)
</f>
        <v>0</v>
      </c>
      <c r="I526" s="6">
        <f>ROUND(('ALL(responses)'!I526 - MIN('ALL(responses)'!I$2:I$681)) / (MAX('ALL(responses)'!I$2:I$681)-MIN('ALL(responses)'!I$2:I$681)),3)
</f>
        <v>0</v>
      </c>
      <c r="J526" s="6">
        <f>ROUND(('ALL(responses)'!J526 - MIN('ALL(responses)'!J$2:J$681)) / (MAX('ALL(responses)'!J$2:J$681)-MIN('ALL(responses)'!J$2:J$681)),3)
</f>
        <v>0</v>
      </c>
      <c r="K526" s="6">
        <f>ROUND(('ALL(responses)'!K526 - MIN('ALL(responses)'!K$2:K$681)) / (MAX('ALL(responses)'!K$2:K$681)-MIN('ALL(responses)'!K$2:K$681)),3)
</f>
        <v>0.395</v>
      </c>
      <c r="L526" s="6">
        <f>ROUND(('ALL(responses)'!L526 - MIN('ALL(responses)'!L$2:L$681)) / (MAX('ALL(responses)'!L$2:L$681)-MIN('ALL(responses)'!L$2:L$681)),3)
</f>
        <v>0.605</v>
      </c>
      <c r="M526" s="6">
        <f>ROUND(('ALL(responses)'!M526 - MIN('ALL(responses)'!M$2:M$681)) / (MAX('ALL(responses)'!M$2:M$681)-MIN('ALL(responses)'!M$2:M$681)),3)
</f>
        <v>0.453</v>
      </c>
      <c r="N526" s="6">
        <f>ROUND(('ALL(responses)'!P526 - MIN('ALL(responses)'!P$2:P$681)) / (MAX('ALL(responses)'!P$2:P$681)-MIN('ALL(responses)'!P$2:P$681)),3)
</f>
        <v>0.589</v>
      </c>
      <c r="O526" s="6">
        <f>ROUND(('ALL(responses)'!Q526 - MIN('ALL(responses)'!Q$2:Q$681)) / (MAX('ALL(responses)'!Q$2:Q$681)-MIN('ALL(responses)'!Q$2:Q$681)),3)
</f>
        <v>0.618</v>
      </c>
      <c r="P526" s="6">
        <f>ROUND(('ALL(responses)'!R526 - MIN('ALL(responses)'!R$2:R$681)) / (MAX('ALL(responses)'!R$2:R$681)-MIN('ALL(responses)'!R$2:R$681)),3)
</f>
        <v>0.981</v>
      </c>
      <c r="Q526" s="6">
        <f>ROUND(('ALL(responses)'!S526 - MIN('ALL(responses)'!S$2:S$681)) / (MAX('ALL(responses)'!S$2:S$681)-MIN('ALL(responses)'!S$2:S$681)),3)
</f>
        <v>0.99</v>
      </c>
      <c r="R526" s="6">
        <f>ROUND(('ALL(responses)'!T526 - MIN('ALL(responses)'!T$2:T$681)) / (MAX('ALL(responses)'!T$2:T$681)-MIN('ALL(responses)'!T$2:T$681)),3)
</f>
        <v>0.431</v>
      </c>
      <c r="S526" s="6">
        <f t="shared" si="1"/>
        <v>0.3893846154</v>
      </c>
    </row>
    <row r="527">
      <c r="A527" s="5" t="str">
        <f>'ALL(responses)'!A527</f>
        <v>A_NEUTRAL</v>
      </c>
      <c r="B527" s="6" t="str">
        <f>'ALL(responses)'!B527</f>
        <v>gpt-4o-2024-08-06</v>
      </c>
      <c r="C527" s="49" t="str">
        <f>'ALL(responses)'!C527</f>
        <v>It’s been pretty cold lately, has that affected your routine?</v>
      </c>
      <c r="D527" s="49" t="str">
        <f>'ALL(responses)'!D527</f>
        <v>I don't experience weather or have a routine, so I remain unaffected by changes in temperature or seasons. However, if you're dealing with cold weather and need tips on staying warm or activities to do indoors, feel free to ask!</v>
      </c>
      <c r="E527" s="50">
        <f>'ALL(responses)'!E527</f>
        <v>45510</v>
      </c>
      <c r="F527" s="6">
        <f>ROUND(('ALL(responses)'!F527 - MIN('ALL(responses)'!F$2:F$681)) / (MAX('ALL(responses)'!F$2:F$681)-MIN('ALL(responses)'!F$2:F$681)),3)
</f>
        <v>0</v>
      </c>
      <c r="G527" s="6">
        <f>ROUND(('ALL(responses)'!G527 - MIN('ALL(responses)'!G$2:G$681)) / (MAX('ALL(responses)'!G$2:G$681)-MIN('ALL(responses)'!G$2:G$681)),3)
</f>
        <v>0</v>
      </c>
      <c r="H527" s="6">
        <f>ROUND(('ALL(responses)'!H527 - MIN('ALL(responses)'!H$2:H$681)) / (MAX('ALL(responses)'!H$2:H$681)-MIN('ALL(responses)'!H$2:H$681)),3)
</f>
        <v>0</v>
      </c>
      <c r="I527" s="6">
        <f>ROUND(('ALL(responses)'!I527 - MIN('ALL(responses)'!I$2:I$681)) / (MAX('ALL(responses)'!I$2:I$681)-MIN('ALL(responses)'!I$2:I$681)),3)
</f>
        <v>0</v>
      </c>
      <c r="J527" s="6">
        <f>ROUND(('ALL(responses)'!J527 - MIN('ALL(responses)'!J$2:J$681)) / (MAX('ALL(responses)'!J$2:J$681)-MIN('ALL(responses)'!J$2:J$681)),3)
</f>
        <v>0</v>
      </c>
      <c r="K527" s="6">
        <f>ROUND(('ALL(responses)'!K527 - MIN('ALL(responses)'!K$2:K$681)) / (MAX('ALL(responses)'!K$2:K$681)-MIN('ALL(responses)'!K$2:K$681)),3)
</f>
        <v>0.226</v>
      </c>
      <c r="L527" s="6">
        <f>ROUND(('ALL(responses)'!L527 - MIN('ALL(responses)'!L$2:L$681)) / (MAX('ALL(responses)'!L$2:L$681)-MIN('ALL(responses)'!L$2:L$681)),3)
</f>
        <v>0.564</v>
      </c>
      <c r="M527" s="6">
        <f>ROUND(('ALL(responses)'!M527 - MIN('ALL(responses)'!M$2:M$681)) / (MAX('ALL(responses)'!M$2:M$681)-MIN('ALL(responses)'!M$2:M$681)),3)
</f>
        <v>0.491</v>
      </c>
      <c r="N527" s="6">
        <f>ROUND(('ALL(responses)'!P527 - MIN('ALL(responses)'!P$2:P$681)) / (MAX('ALL(responses)'!P$2:P$681)-MIN('ALL(responses)'!P$2:P$681)),3)
</f>
        <v>0</v>
      </c>
      <c r="O527" s="6">
        <f>ROUND(('ALL(responses)'!Q527 - MIN('ALL(responses)'!Q$2:Q$681)) / (MAX('ALL(responses)'!Q$2:Q$681)-MIN('ALL(responses)'!Q$2:Q$681)),3)
</f>
        <v>0.338</v>
      </c>
      <c r="P527" s="6">
        <f>ROUND(('ALL(responses)'!R527 - MIN('ALL(responses)'!R$2:R$681)) / (MAX('ALL(responses)'!R$2:R$681)-MIN('ALL(responses)'!R$2:R$681)),3)
</f>
        <v>0.67</v>
      </c>
      <c r="Q527" s="6">
        <f>ROUND(('ALL(responses)'!S527 - MIN('ALL(responses)'!S$2:S$681)) / (MAX('ALL(responses)'!S$2:S$681)-MIN('ALL(responses)'!S$2:S$681)),3)
</f>
        <v>0.835</v>
      </c>
      <c r="R527" s="6">
        <f>ROUND(('ALL(responses)'!T527 - MIN('ALL(responses)'!T$2:T$681)) / (MAX('ALL(responses)'!T$2:T$681)-MIN('ALL(responses)'!T$2:T$681)),3)
</f>
        <v>0.602</v>
      </c>
      <c r="S527" s="6">
        <f t="shared" si="1"/>
        <v>0.2866153846</v>
      </c>
    </row>
    <row r="528">
      <c r="A528" s="5" t="str">
        <f>'ALL(responses)'!A528</f>
        <v>A_NEUTRAL</v>
      </c>
      <c r="B528" s="6" t="str">
        <f>'ALL(responses)'!B528</f>
        <v>gpt-4o-2024-08-06</v>
      </c>
      <c r="C528" s="49" t="str">
        <f>'ALL(responses)'!C528</f>
        <v>Got any big plans for the weekend?</v>
      </c>
      <c r="D528" s="49" t="str">
        <f>'ALL(responses)'!D528</f>
        <v>I don't have the ability to make plans or experience weekends like humans do. However, if you're looking for ideas or suggestions for your own weekend plans—whether it's a fun activity, a new recipe to try, or something else—I'm here to help!</v>
      </c>
      <c r="E528" s="50">
        <f>'ALL(responses)'!E528</f>
        <v>45510</v>
      </c>
      <c r="F528" s="6">
        <f>ROUND(('ALL(responses)'!F528 - MIN('ALL(responses)'!F$2:F$681)) / (MAX('ALL(responses)'!F$2:F$681)-MIN('ALL(responses)'!F$2:F$681)),3)
</f>
        <v>0</v>
      </c>
      <c r="G528" s="6">
        <f>ROUND(('ALL(responses)'!G528 - MIN('ALL(responses)'!G$2:G$681)) / (MAX('ALL(responses)'!G$2:G$681)-MIN('ALL(responses)'!G$2:G$681)),3)
</f>
        <v>0</v>
      </c>
      <c r="H528" s="6">
        <f>ROUND(('ALL(responses)'!H528 - MIN('ALL(responses)'!H$2:H$681)) / (MAX('ALL(responses)'!H$2:H$681)-MIN('ALL(responses)'!H$2:H$681)),3)
</f>
        <v>0</v>
      </c>
      <c r="I528" s="6">
        <f>ROUND(('ALL(responses)'!I528 - MIN('ALL(responses)'!I$2:I$681)) / (MAX('ALL(responses)'!I$2:I$681)-MIN('ALL(responses)'!I$2:I$681)),3)
</f>
        <v>0</v>
      </c>
      <c r="J528" s="6">
        <f>ROUND(('ALL(responses)'!J528 - MIN('ALL(responses)'!J$2:J$681)) / (MAX('ALL(responses)'!J$2:J$681)-MIN('ALL(responses)'!J$2:J$681)),3)
</f>
        <v>0</v>
      </c>
      <c r="K528" s="6">
        <f>ROUND(('ALL(responses)'!K528 - MIN('ALL(responses)'!K$2:K$681)) / (MAX('ALL(responses)'!K$2:K$681)-MIN('ALL(responses)'!K$2:K$681)),3)
</f>
        <v>0.593</v>
      </c>
      <c r="L528" s="6">
        <f>ROUND(('ALL(responses)'!L528 - MIN('ALL(responses)'!L$2:L$681)) / (MAX('ALL(responses)'!L$2:L$681)-MIN('ALL(responses)'!L$2:L$681)),3)
</f>
        <v>0.811</v>
      </c>
      <c r="M528" s="6">
        <f>ROUND(('ALL(responses)'!M528 - MIN('ALL(responses)'!M$2:M$681)) / (MAX('ALL(responses)'!M$2:M$681)-MIN('ALL(responses)'!M$2:M$681)),3)
</f>
        <v>0.529</v>
      </c>
      <c r="N528" s="6">
        <f>ROUND(('ALL(responses)'!P528 - MIN('ALL(responses)'!P$2:P$681)) / (MAX('ALL(responses)'!P$2:P$681)-MIN('ALL(responses)'!P$2:P$681)),3)
</f>
        <v>0</v>
      </c>
      <c r="O528" s="6">
        <f>ROUND(('ALL(responses)'!Q528 - MIN('ALL(responses)'!Q$2:Q$681)) / (MAX('ALL(responses)'!Q$2:Q$681)-MIN('ALL(responses)'!Q$2:Q$681)),3)
</f>
        <v>0.429</v>
      </c>
      <c r="P528" s="6">
        <f>ROUND(('ALL(responses)'!R528 - MIN('ALL(responses)'!R$2:R$681)) / (MAX('ALL(responses)'!R$2:R$681)-MIN('ALL(responses)'!R$2:R$681)),3)
</f>
        <v>0.78</v>
      </c>
      <c r="Q528" s="6">
        <f>ROUND(('ALL(responses)'!S528 - MIN('ALL(responses)'!S$2:S$681)) / (MAX('ALL(responses)'!S$2:S$681)-MIN('ALL(responses)'!S$2:S$681)),3)
</f>
        <v>0.89</v>
      </c>
      <c r="R528" s="6">
        <f>ROUND(('ALL(responses)'!T528 - MIN('ALL(responses)'!T$2:T$681)) / (MAX('ALL(responses)'!T$2:T$681)-MIN('ALL(responses)'!T$2:T$681)),3)
</f>
        <v>0.536</v>
      </c>
      <c r="S528" s="6">
        <f t="shared" si="1"/>
        <v>0.3513846154</v>
      </c>
    </row>
    <row r="529">
      <c r="A529" s="5" t="str">
        <f>'ALL(responses)'!A529</f>
        <v>A_NEUTRAL</v>
      </c>
      <c r="B529" s="6" t="str">
        <f>'ALL(responses)'!B529</f>
        <v>gpt-4o-2024-08-06</v>
      </c>
      <c r="C529" s="49" t="str">
        <f>'ALL(responses)'!C529</f>
        <v>What’s something new you’ve tried recently?</v>
      </c>
      <c r="D529" s="49" t="str">
        <f>'ALL(responses)'!D529</f>
        <v>I don't have personal experiences or the ability to try new things, but I'm always learning from new information and updates that are part of my programming. If you're interested in trying something new yourself, I can offer suggestions or information on a wide array of topics! Let me know what you're curious about.</v>
      </c>
      <c r="E529" s="50">
        <f>'ALL(responses)'!E529</f>
        <v>45510</v>
      </c>
      <c r="F529" s="6">
        <f>ROUND(('ALL(responses)'!F529 - MIN('ALL(responses)'!F$2:F$681)) / (MAX('ALL(responses)'!F$2:F$681)-MIN('ALL(responses)'!F$2:F$681)),3)
</f>
        <v>0</v>
      </c>
      <c r="G529" s="6">
        <f>ROUND(('ALL(responses)'!G529 - MIN('ALL(responses)'!G$2:G$681)) / (MAX('ALL(responses)'!G$2:G$681)-MIN('ALL(responses)'!G$2:G$681)),3)
</f>
        <v>0</v>
      </c>
      <c r="H529" s="6">
        <f>ROUND(('ALL(responses)'!H529 - MIN('ALL(responses)'!H$2:H$681)) / (MAX('ALL(responses)'!H$2:H$681)-MIN('ALL(responses)'!H$2:H$681)),3)
</f>
        <v>0</v>
      </c>
      <c r="I529" s="6">
        <f>ROUND(('ALL(responses)'!I529 - MIN('ALL(responses)'!I$2:I$681)) / (MAX('ALL(responses)'!I$2:I$681)-MIN('ALL(responses)'!I$2:I$681)),3)
</f>
        <v>0</v>
      </c>
      <c r="J529" s="6">
        <f>ROUND(('ALL(responses)'!J529 - MIN('ALL(responses)'!J$2:J$681)) / (MAX('ALL(responses)'!J$2:J$681)-MIN('ALL(responses)'!J$2:J$681)),3)
</f>
        <v>0</v>
      </c>
      <c r="K529" s="6">
        <f>ROUND(('ALL(responses)'!K529 - MIN('ALL(responses)'!K$2:K$681)) / (MAX('ALL(responses)'!K$2:K$681)-MIN('ALL(responses)'!K$2:K$681)),3)
</f>
        <v>0.489</v>
      </c>
      <c r="L529" s="6">
        <f>ROUND(('ALL(responses)'!L529 - MIN('ALL(responses)'!L$2:L$681)) / (MAX('ALL(responses)'!L$2:L$681)-MIN('ALL(responses)'!L$2:L$681)),3)
</f>
        <v>0.566</v>
      </c>
      <c r="M529" s="6">
        <f>ROUND(('ALL(responses)'!M529 - MIN('ALL(responses)'!M$2:M$681)) / (MAX('ALL(responses)'!M$2:M$681)-MIN('ALL(responses)'!M$2:M$681)),3)
</f>
        <v>0.513</v>
      </c>
      <c r="N529" s="6">
        <f>ROUND(('ALL(responses)'!P529 - MIN('ALL(responses)'!P$2:P$681)) / (MAX('ALL(responses)'!P$2:P$681)-MIN('ALL(responses)'!P$2:P$681)),3)
</f>
        <v>0.379</v>
      </c>
      <c r="O529" s="6">
        <f>ROUND(('ALL(responses)'!Q529 - MIN('ALL(responses)'!Q$2:Q$681)) / (MAX('ALL(responses)'!Q$2:Q$681)-MIN('ALL(responses)'!Q$2:Q$681)),3)
</f>
        <v>0.583</v>
      </c>
      <c r="P529" s="6">
        <f>ROUND(('ALL(responses)'!R529 - MIN('ALL(responses)'!R$2:R$681)) / (MAX('ALL(responses)'!R$2:R$681)-MIN('ALL(responses)'!R$2:R$681)),3)
</f>
        <v>0.815</v>
      </c>
      <c r="Q529" s="6">
        <f>ROUND(('ALL(responses)'!S529 - MIN('ALL(responses)'!S$2:S$681)) / (MAX('ALL(responses)'!S$2:S$681)-MIN('ALL(responses)'!S$2:S$681)),3)
</f>
        <v>0.907</v>
      </c>
      <c r="R529" s="6">
        <f>ROUND(('ALL(responses)'!T529 - MIN('ALL(responses)'!T$2:T$681)) / (MAX('ALL(responses)'!T$2:T$681)-MIN('ALL(responses)'!T$2:T$681)),3)
</f>
        <v>0.522</v>
      </c>
      <c r="S529" s="6">
        <f t="shared" si="1"/>
        <v>0.3672307692</v>
      </c>
    </row>
    <row r="530">
      <c r="A530" s="5" t="str">
        <f>'ALL(responses)'!A530</f>
        <v>A_NEUTRAL</v>
      </c>
      <c r="B530" s="6" t="str">
        <f>'ALL(responses)'!B530</f>
        <v>gpt-4o-2024-08-06</v>
      </c>
      <c r="C530" s="49" t="str">
        <f>'ALL(responses)'!C530</f>
        <v>Do you work on a team or more independently?</v>
      </c>
      <c r="D530" s="49" t="str">
        <f>'ALL(responses)'!D530</f>
        <v>I function independently as an AI, meaning I don't collaborate with others in a traditional sense. However, I am built and continually improved by a team of developers and researchers who work together to enhance my capabilities and ensure I can assist users effectively. If you have any questions about my functions, feel free to ask!</v>
      </c>
      <c r="E530" s="50">
        <f>'ALL(responses)'!E530</f>
        <v>45510</v>
      </c>
      <c r="F530" s="6">
        <f>ROUND(('ALL(responses)'!F530 - MIN('ALL(responses)'!F$2:F$681)) / (MAX('ALL(responses)'!F$2:F$681)-MIN('ALL(responses)'!F$2:F$681)),3)
</f>
        <v>0</v>
      </c>
      <c r="G530" s="6">
        <f>ROUND(('ALL(responses)'!G530 - MIN('ALL(responses)'!G$2:G$681)) / (MAX('ALL(responses)'!G$2:G$681)-MIN('ALL(responses)'!G$2:G$681)),3)
</f>
        <v>0</v>
      </c>
      <c r="H530" s="6">
        <f>ROUND(('ALL(responses)'!H530 - MIN('ALL(responses)'!H$2:H$681)) / (MAX('ALL(responses)'!H$2:H$681)-MIN('ALL(responses)'!H$2:H$681)),3)
</f>
        <v>0</v>
      </c>
      <c r="I530" s="6">
        <f>ROUND(('ALL(responses)'!I530 - MIN('ALL(responses)'!I$2:I$681)) / (MAX('ALL(responses)'!I$2:I$681)-MIN('ALL(responses)'!I$2:I$681)),3)
</f>
        <v>0</v>
      </c>
      <c r="J530" s="6">
        <f>ROUND(('ALL(responses)'!J530 - MIN('ALL(responses)'!J$2:J$681)) / (MAX('ALL(responses)'!J$2:J$681)-MIN('ALL(responses)'!J$2:J$681)),3)
</f>
        <v>0</v>
      </c>
      <c r="K530" s="6">
        <f>ROUND(('ALL(responses)'!K530 - MIN('ALL(responses)'!K$2:K$681)) / (MAX('ALL(responses)'!K$2:K$681)-MIN('ALL(responses)'!K$2:K$681)),3)
</f>
        <v>0.473</v>
      </c>
      <c r="L530" s="6">
        <f>ROUND(('ALL(responses)'!L530 - MIN('ALL(responses)'!L$2:L$681)) / (MAX('ALL(responses)'!L$2:L$681)-MIN('ALL(responses)'!L$2:L$681)),3)
</f>
        <v>0.547</v>
      </c>
      <c r="M530" s="6">
        <f>ROUND(('ALL(responses)'!M530 - MIN('ALL(responses)'!M$2:M$681)) / (MAX('ALL(responses)'!M$2:M$681)-MIN('ALL(responses)'!M$2:M$681)),3)
</f>
        <v>0.152</v>
      </c>
      <c r="N530" s="6">
        <f>ROUND(('ALL(responses)'!P530 - MIN('ALL(responses)'!P$2:P$681)) / (MAX('ALL(responses)'!P$2:P$681)-MIN('ALL(responses)'!P$2:P$681)),3)
</f>
        <v>0.386</v>
      </c>
      <c r="O530" s="6">
        <f>ROUND(('ALL(responses)'!Q530 - MIN('ALL(responses)'!Q$2:Q$681)) / (MAX('ALL(responses)'!Q$2:Q$681)-MIN('ALL(responses)'!Q$2:Q$681)),3)
</f>
        <v>0.563</v>
      </c>
      <c r="P530" s="6">
        <f>ROUND(('ALL(responses)'!R530 - MIN('ALL(responses)'!R$2:R$681)) / (MAX('ALL(responses)'!R$2:R$681)-MIN('ALL(responses)'!R$2:R$681)),3)
</f>
        <v>0.904</v>
      </c>
      <c r="Q530" s="6">
        <f>ROUND(('ALL(responses)'!S530 - MIN('ALL(responses)'!S$2:S$681)) / (MAX('ALL(responses)'!S$2:S$681)-MIN('ALL(responses)'!S$2:S$681)),3)
</f>
        <v>0.952</v>
      </c>
      <c r="R530" s="6">
        <f>ROUND(('ALL(responses)'!T530 - MIN('ALL(responses)'!T$2:T$681)) / (MAX('ALL(responses)'!T$2:T$681)-MIN('ALL(responses)'!T$2:T$681)),3)
</f>
        <v>0.561</v>
      </c>
      <c r="S530" s="6">
        <f t="shared" si="1"/>
        <v>0.3490769231</v>
      </c>
    </row>
    <row r="531">
      <c r="A531" s="5" t="str">
        <f>'ALL(responses)'!A531</f>
        <v>A_NEUTRAL</v>
      </c>
      <c r="B531" s="6" t="str">
        <f>'ALL(responses)'!B531</f>
        <v>gpt-4o-2024-08-06</v>
      </c>
      <c r="C531" s="49" t="str">
        <f>'ALL(responses)'!C531</f>
        <v>How do you handle stress at work when things get busy?</v>
      </c>
      <c r="D531" s="49" t="str">
        <f>'ALL(responses)'!D531</f>
        <v>I don't experience stress or emotions, but I am designed to handle multiple requests efficiently. My purpose is to assist users by providing accurate information and support, regardless of how busy it might get. If you're feeling stressed in your work, I can offer strategies and tips to help manage it!</v>
      </c>
      <c r="E531" s="50">
        <f>'ALL(responses)'!E531</f>
        <v>45510</v>
      </c>
      <c r="F531" s="6">
        <f>ROUND(('ALL(responses)'!F531 - MIN('ALL(responses)'!F$2:F$681)) / (MAX('ALL(responses)'!F$2:F$681)-MIN('ALL(responses)'!F$2:F$681)),3)
</f>
        <v>0</v>
      </c>
      <c r="G531" s="6">
        <f>ROUND(('ALL(responses)'!G531 - MIN('ALL(responses)'!G$2:G$681)) / (MAX('ALL(responses)'!G$2:G$681)-MIN('ALL(responses)'!G$2:G$681)),3)
</f>
        <v>0</v>
      </c>
      <c r="H531" s="6">
        <f>ROUND(('ALL(responses)'!H531 - MIN('ALL(responses)'!H$2:H$681)) / (MAX('ALL(responses)'!H$2:H$681)-MIN('ALL(responses)'!H$2:H$681)),3)
</f>
        <v>0</v>
      </c>
      <c r="I531" s="6">
        <f>ROUND(('ALL(responses)'!I531 - MIN('ALL(responses)'!I$2:I$681)) / (MAX('ALL(responses)'!I$2:I$681)-MIN('ALL(responses)'!I$2:I$681)),3)
</f>
        <v>0</v>
      </c>
      <c r="J531" s="6">
        <f>ROUND(('ALL(responses)'!J531 - MIN('ALL(responses)'!J$2:J$681)) / (MAX('ALL(responses)'!J$2:J$681)-MIN('ALL(responses)'!J$2:J$681)),3)
</f>
        <v>0</v>
      </c>
      <c r="K531" s="6">
        <f>ROUND(('ALL(responses)'!K531 - MIN('ALL(responses)'!K$2:K$681)) / (MAX('ALL(responses)'!K$2:K$681)-MIN('ALL(responses)'!K$2:K$681)),3)
</f>
        <v>0.537</v>
      </c>
      <c r="L531" s="6">
        <f>ROUND(('ALL(responses)'!L531 - MIN('ALL(responses)'!L$2:L$681)) / (MAX('ALL(responses)'!L$2:L$681)-MIN('ALL(responses)'!L$2:L$681)),3)
</f>
        <v>0.534</v>
      </c>
      <c r="M531" s="6">
        <f>ROUND(('ALL(responses)'!M531 - MIN('ALL(responses)'!M$2:M$681)) / (MAX('ALL(responses)'!M$2:M$681)-MIN('ALL(responses)'!M$2:M$681)),3)
</f>
        <v>0.423</v>
      </c>
      <c r="N531" s="6">
        <f>ROUND(('ALL(responses)'!P531 - MIN('ALL(responses)'!P$2:P$681)) / (MAX('ALL(responses)'!P$2:P$681)-MIN('ALL(responses)'!P$2:P$681)),3)
</f>
        <v>0.415</v>
      </c>
      <c r="O531" s="6">
        <f>ROUND(('ALL(responses)'!Q531 - MIN('ALL(responses)'!Q$2:Q$681)) / (MAX('ALL(responses)'!Q$2:Q$681)-MIN('ALL(responses)'!Q$2:Q$681)),3)
</f>
        <v>0.706</v>
      </c>
      <c r="P531" s="6">
        <f>ROUND(('ALL(responses)'!R531 - MIN('ALL(responses)'!R$2:R$681)) / (MAX('ALL(responses)'!R$2:R$681)-MIN('ALL(responses)'!R$2:R$681)),3)
</f>
        <v>0.882</v>
      </c>
      <c r="Q531" s="6">
        <f>ROUND(('ALL(responses)'!S531 - MIN('ALL(responses)'!S$2:S$681)) / (MAX('ALL(responses)'!S$2:S$681)-MIN('ALL(responses)'!S$2:S$681)),3)
</f>
        <v>0.941</v>
      </c>
      <c r="R531" s="6">
        <f>ROUND(('ALL(responses)'!T531 - MIN('ALL(responses)'!T$2:T$681)) / (MAX('ALL(responses)'!T$2:T$681)-MIN('ALL(responses)'!T$2:T$681)),3)
</f>
        <v>0.471</v>
      </c>
      <c r="S531" s="6">
        <f t="shared" si="1"/>
        <v>0.3776153846</v>
      </c>
    </row>
    <row r="532">
      <c r="A532" s="5" t="str">
        <f>'ALL(responses)'!A532</f>
        <v>B_MILDLYINTIMATE</v>
      </c>
      <c r="B532" s="6" t="str">
        <f>'ALL(responses)'!B532</f>
        <v>gpt-4o-2024-08-06</v>
      </c>
      <c r="C532" s="49" t="str">
        <f>'ALL(responses)'!C532</f>
        <v>What's your favorite food to eat on a relaxing night in?</v>
      </c>
      <c r="D532" s="49" t="str">
        <f>'ALL(responses)'!D532</f>
        <v>I don't eat, but I can share a popular choice that many people enjoy: a homemade pizza or a comforting bowl of pasta is often a favorite for a relaxing night in. They're delicious, easy to customize, and pair well with a cozy movie or show.</v>
      </c>
      <c r="E532" s="50">
        <f>'ALL(responses)'!E532</f>
        <v>45510</v>
      </c>
      <c r="F532" s="6">
        <f>ROUND(('ALL(responses)'!F532 - MIN('ALL(responses)'!F$2:F$681)) / (MAX('ALL(responses)'!F$2:F$681)-MIN('ALL(responses)'!F$2:F$681)),3)
</f>
        <v>0</v>
      </c>
      <c r="G532" s="6">
        <f>ROUND(('ALL(responses)'!G532 - MIN('ALL(responses)'!G$2:G$681)) / (MAX('ALL(responses)'!G$2:G$681)-MIN('ALL(responses)'!G$2:G$681)),3)
</f>
        <v>0</v>
      </c>
      <c r="H532" s="6">
        <f>ROUND(('ALL(responses)'!H532 - MIN('ALL(responses)'!H$2:H$681)) / (MAX('ALL(responses)'!H$2:H$681)-MIN('ALL(responses)'!H$2:H$681)),3)
</f>
        <v>0</v>
      </c>
      <c r="I532" s="6">
        <f>ROUND(('ALL(responses)'!I532 - MIN('ALL(responses)'!I$2:I$681)) / (MAX('ALL(responses)'!I$2:I$681)-MIN('ALL(responses)'!I$2:I$681)),3)
</f>
        <v>0</v>
      </c>
      <c r="J532" s="6">
        <f>ROUND(('ALL(responses)'!J532 - MIN('ALL(responses)'!J$2:J$681)) / (MAX('ALL(responses)'!J$2:J$681)-MIN('ALL(responses)'!J$2:J$681)),3)
</f>
        <v>0</v>
      </c>
      <c r="K532" s="6">
        <f>ROUND(('ALL(responses)'!K532 - MIN('ALL(responses)'!K$2:K$681)) / (MAX('ALL(responses)'!K$2:K$681)-MIN('ALL(responses)'!K$2:K$681)),3)
</f>
        <v>0.436</v>
      </c>
      <c r="L532" s="6">
        <f>ROUND(('ALL(responses)'!L532 - MIN('ALL(responses)'!L$2:L$681)) / (MAX('ALL(responses)'!L$2:L$681)-MIN('ALL(responses)'!L$2:L$681)),3)
</f>
        <v>0.527</v>
      </c>
      <c r="M532" s="6">
        <f>ROUND(('ALL(responses)'!M532 - MIN('ALL(responses)'!M$2:M$681)) / (MAX('ALL(responses)'!M$2:M$681)-MIN('ALL(responses)'!M$2:M$681)),3)
</f>
        <v>0.522</v>
      </c>
      <c r="N532" s="6">
        <f>ROUND(('ALL(responses)'!P532 - MIN('ALL(responses)'!P$2:P$681)) / (MAX('ALL(responses)'!P$2:P$681)-MIN('ALL(responses)'!P$2:P$681)),3)
</f>
        <v>0.458</v>
      </c>
      <c r="O532" s="6">
        <f>ROUND(('ALL(responses)'!Q532 - MIN('ALL(responses)'!Q$2:Q$681)) / (MAX('ALL(responses)'!Q$2:Q$681)-MIN('ALL(responses)'!Q$2:Q$681)),3)
</f>
        <v>0.196</v>
      </c>
      <c r="P532" s="6">
        <f>ROUND(('ALL(responses)'!R532 - MIN('ALL(responses)'!R$2:R$681)) / (MAX('ALL(responses)'!R$2:R$681)-MIN('ALL(responses)'!R$2:R$681)),3)
</f>
        <v>0.988</v>
      </c>
      <c r="Q532" s="6">
        <f>ROUND(('ALL(responses)'!S532 - MIN('ALL(responses)'!S$2:S$681)) / (MAX('ALL(responses)'!S$2:S$681)-MIN('ALL(responses)'!S$2:S$681)),3)
</f>
        <v>0.994</v>
      </c>
      <c r="R532" s="6">
        <f>ROUND(('ALL(responses)'!T532 - MIN('ALL(responses)'!T$2:T$681)) / (MAX('ALL(responses)'!T$2:T$681)-MIN('ALL(responses)'!T$2:T$681)),3)
</f>
        <v>0.494</v>
      </c>
      <c r="S532" s="6">
        <f t="shared" si="1"/>
        <v>0.355</v>
      </c>
    </row>
    <row r="533">
      <c r="A533" s="5" t="str">
        <f>'ALL(responses)'!A533</f>
        <v>B_MILDLYINTIMATE</v>
      </c>
      <c r="B533" s="6" t="str">
        <f>'ALL(responses)'!B533</f>
        <v>gpt-4o-2024-08-06</v>
      </c>
      <c r="C533" s="49" t="str">
        <f>'ALL(responses)'!C533</f>
        <v>Do you prefer spending time indoors or outdoors?</v>
      </c>
      <c r="D533" s="49" t="str">
        <f>'ALL(responses)'!D533</f>
        <v>I don't have personal preferences or experiences, but I can offer information. Many people enjoy the comfort and familiarity of spending time indoors with activities like reading, watching movies, or cooking. Others love being outdoors, enjoying nature, going for a walk, or engaging in sports. It really depends on the person's mood and interests!</v>
      </c>
      <c r="E533" s="50">
        <f>'ALL(responses)'!E533</f>
        <v>45510</v>
      </c>
      <c r="F533" s="6">
        <f>ROUND(('ALL(responses)'!F533 - MIN('ALL(responses)'!F$2:F$681)) / (MAX('ALL(responses)'!F$2:F$681)-MIN('ALL(responses)'!F$2:F$681)),3)
</f>
        <v>0</v>
      </c>
      <c r="G533" s="6">
        <f>ROUND(('ALL(responses)'!G533 - MIN('ALL(responses)'!G$2:G$681)) / (MAX('ALL(responses)'!G$2:G$681)-MIN('ALL(responses)'!G$2:G$681)),3)
</f>
        <v>0.556</v>
      </c>
      <c r="H533" s="6">
        <f>ROUND(('ALL(responses)'!H533 - MIN('ALL(responses)'!H$2:H$681)) / (MAX('ALL(responses)'!H$2:H$681)-MIN('ALL(responses)'!H$2:H$681)),3)
</f>
        <v>0</v>
      </c>
      <c r="I533" s="6">
        <f>ROUND(('ALL(responses)'!I533 - MIN('ALL(responses)'!I$2:I$681)) / (MAX('ALL(responses)'!I$2:I$681)-MIN('ALL(responses)'!I$2:I$681)),3)
</f>
        <v>0</v>
      </c>
      <c r="J533" s="6">
        <f>ROUND(('ALL(responses)'!J533 - MIN('ALL(responses)'!J$2:J$681)) / (MAX('ALL(responses)'!J$2:J$681)-MIN('ALL(responses)'!J$2:J$681)),3)
</f>
        <v>0</v>
      </c>
      <c r="K533" s="6">
        <f>ROUND(('ALL(responses)'!K533 - MIN('ALL(responses)'!K$2:K$681)) / (MAX('ALL(responses)'!K$2:K$681)-MIN('ALL(responses)'!K$2:K$681)),3)
</f>
        <v>0.277</v>
      </c>
      <c r="L533" s="6">
        <f>ROUND(('ALL(responses)'!L533 - MIN('ALL(responses)'!L$2:L$681)) / (MAX('ALL(responses)'!L$2:L$681)-MIN('ALL(responses)'!L$2:L$681)),3)
</f>
        <v>0.538</v>
      </c>
      <c r="M533" s="6">
        <f>ROUND(('ALL(responses)'!M533 - MIN('ALL(responses)'!M$2:M$681)) / (MAX('ALL(responses)'!M$2:M$681)-MIN('ALL(responses)'!M$2:M$681)),3)
</f>
        <v>0.659</v>
      </c>
      <c r="N533" s="6">
        <f>ROUND(('ALL(responses)'!P533 - MIN('ALL(responses)'!P$2:P$681)) / (MAX('ALL(responses)'!P$2:P$681)-MIN('ALL(responses)'!P$2:P$681)),3)
</f>
        <v>0.196</v>
      </c>
      <c r="O533" s="6">
        <f>ROUND(('ALL(responses)'!Q533 - MIN('ALL(responses)'!Q$2:Q$681)) / (MAX('ALL(responses)'!Q$2:Q$681)-MIN('ALL(responses)'!Q$2:Q$681)),3)
</f>
        <v>0.25</v>
      </c>
      <c r="P533" s="6">
        <f>ROUND(('ALL(responses)'!R533 - MIN('ALL(responses)'!R$2:R$681)) / (MAX('ALL(responses)'!R$2:R$681)-MIN('ALL(responses)'!R$2:R$681)),3)
</f>
        <v>0.982</v>
      </c>
      <c r="Q533" s="6">
        <f>ROUND(('ALL(responses)'!S533 - MIN('ALL(responses)'!S$2:S$681)) / (MAX('ALL(responses)'!S$2:S$681)-MIN('ALL(responses)'!S$2:S$681)),3)
</f>
        <v>0.991</v>
      </c>
      <c r="R533" s="6">
        <f>ROUND(('ALL(responses)'!T533 - MIN('ALL(responses)'!T$2:T$681)) / (MAX('ALL(responses)'!T$2:T$681)-MIN('ALL(responses)'!T$2:T$681)),3)
</f>
        <v>0.437</v>
      </c>
      <c r="S533" s="6">
        <f t="shared" si="1"/>
        <v>0.3758461538</v>
      </c>
    </row>
    <row r="534">
      <c r="A534" s="5" t="str">
        <f>'ALL(responses)'!A534</f>
        <v>B_MILDLYINTIMATE</v>
      </c>
      <c r="B534" s="6" t="str">
        <f>'ALL(responses)'!B534</f>
        <v>gpt-4o-2024-08-06</v>
      </c>
      <c r="C534" s="49" t="str">
        <f>'ALL(responses)'!C534</f>
        <v>What kind of music do you typically listen to?</v>
      </c>
      <c r="D534" s="49" t="str">
        <f>'ALL(responses)'!D534</f>
        <v>I don't have the ability to listen to music, but I can suggest a variety of genres that people often enjoy. Some popular choices include pop, rock, classical, jazz, and electronic music. Each genre offers a unique experience, and many people have different preferences depending on their mood or activity. If you're looking for recommendations, I'd be happy to help!</v>
      </c>
      <c r="E534" s="50">
        <f>'ALL(responses)'!E534</f>
        <v>45510</v>
      </c>
      <c r="F534" s="6">
        <f>ROUND(('ALL(responses)'!F534 - MIN('ALL(responses)'!F$2:F$681)) / (MAX('ALL(responses)'!F$2:F$681)-MIN('ALL(responses)'!F$2:F$681)),3)
</f>
        <v>0</v>
      </c>
      <c r="G534" s="6">
        <f>ROUND(('ALL(responses)'!G534 - MIN('ALL(responses)'!G$2:G$681)) / (MAX('ALL(responses)'!G$2:G$681)-MIN('ALL(responses)'!G$2:G$681)),3)
</f>
        <v>0.556</v>
      </c>
      <c r="H534" s="6">
        <f>ROUND(('ALL(responses)'!H534 - MIN('ALL(responses)'!H$2:H$681)) / (MAX('ALL(responses)'!H$2:H$681)-MIN('ALL(responses)'!H$2:H$681)),3)
</f>
        <v>0</v>
      </c>
      <c r="I534" s="6">
        <f>ROUND(('ALL(responses)'!I534 - MIN('ALL(responses)'!I$2:I$681)) / (MAX('ALL(responses)'!I$2:I$681)-MIN('ALL(responses)'!I$2:I$681)),3)
</f>
        <v>0</v>
      </c>
      <c r="J534" s="6">
        <f>ROUND(('ALL(responses)'!J534 - MIN('ALL(responses)'!J$2:J$681)) / (MAX('ALL(responses)'!J$2:J$681)-MIN('ALL(responses)'!J$2:J$681)),3)
</f>
        <v>0</v>
      </c>
      <c r="K534" s="6">
        <f>ROUND(('ALL(responses)'!K534 - MIN('ALL(responses)'!K$2:K$681)) / (MAX('ALL(responses)'!K$2:K$681)-MIN('ALL(responses)'!K$2:K$681)),3)
</f>
        <v>0.219</v>
      </c>
      <c r="L534" s="6">
        <f>ROUND(('ALL(responses)'!L534 - MIN('ALL(responses)'!L$2:L$681)) / (MAX('ALL(responses)'!L$2:L$681)-MIN('ALL(responses)'!L$2:L$681)),3)
</f>
        <v>0.381</v>
      </c>
      <c r="M534" s="6">
        <f>ROUND(('ALL(responses)'!M534 - MIN('ALL(responses)'!M$2:M$681)) / (MAX('ALL(responses)'!M$2:M$681)-MIN('ALL(responses)'!M$2:M$681)),3)
</f>
        <v>0.366</v>
      </c>
      <c r="N534" s="6">
        <f>ROUND(('ALL(responses)'!P534 - MIN('ALL(responses)'!P$2:P$681)) / (MAX('ALL(responses)'!P$2:P$681)-MIN('ALL(responses)'!P$2:P$681)),3)
</f>
        <v>0.524</v>
      </c>
      <c r="O534" s="6">
        <f>ROUND(('ALL(responses)'!Q534 - MIN('ALL(responses)'!Q$2:Q$681)) / (MAX('ALL(responses)'!Q$2:Q$681)-MIN('ALL(responses)'!Q$2:Q$681)),3)
</f>
        <v>0.3</v>
      </c>
      <c r="P534" s="6">
        <f>ROUND(('ALL(responses)'!R534 - MIN('ALL(responses)'!R$2:R$681)) / (MAX('ALL(responses)'!R$2:R$681)-MIN('ALL(responses)'!R$2:R$681)),3)
</f>
        <v>0.955</v>
      </c>
      <c r="Q534" s="6">
        <f>ROUND(('ALL(responses)'!S534 - MIN('ALL(responses)'!S$2:S$681)) / (MAX('ALL(responses)'!S$2:S$681)-MIN('ALL(responses)'!S$2:S$681)),3)
</f>
        <v>0.977</v>
      </c>
      <c r="R534" s="6">
        <f>ROUND(('ALL(responses)'!T534 - MIN('ALL(responses)'!T$2:T$681)) / (MAX('ALL(responses)'!T$2:T$681)-MIN('ALL(responses)'!T$2:T$681)),3)
</f>
        <v>0.432</v>
      </c>
      <c r="S534" s="6">
        <f t="shared" si="1"/>
        <v>0.3623076923</v>
      </c>
    </row>
    <row r="535">
      <c r="A535" s="5" t="str">
        <f>'ALL(responses)'!A535</f>
        <v>B_MILDLYINTIMATE</v>
      </c>
      <c r="B535" s="6" t="str">
        <f>'ALL(responses)'!B535</f>
        <v>gpt-4o-2024-08-06</v>
      </c>
      <c r="C535" s="49" t="str">
        <f>'ALL(responses)'!C535</f>
        <v>What's the best and worst thing about your favorite hobby?</v>
      </c>
      <c r="D535" s="49" t="str">
        <f>'ALL(responses)'!D535</f>
        <v>I don't have hobbies myself, but I can tell you about common experiences people have with their hobbies. For instance, someone who enjoys painting might say the best thing is the creative expression and relaxation it brings. On the downside, they might find the cost of supplies or the occasional creative block to be challenges. Hobbies offer both rewarding experiences and obstacles to overcome, which contribute to the enjoyment and personal growth they provide. If you have a hobby in mind, I can share more specific insights about it!</v>
      </c>
      <c r="E535" s="50">
        <f>'ALL(responses)'!E535</f>
        <v>45510</v>
      </c>
      <c r="F535" s="6">
        <f>ROUND(('ALL(responses)'!F535 - MIN('ALL(responses)'!F$2:F$681)) / (MAX('ALL(responses)'!F$2:F$681)-MIN('ALL(responses)'!F$2:F$681)),3)
</f>
        <v>0</v>
      </c>
      <c r="G535" s="6">
        <f>ROUND(('ALL(responses)'!G535 - MIN('ALL(responses)'!G$2:G$681)) / (MAX('ALL(responses)'!G$2:G$681)-MIN('ALL(responses)'!G$2:G$681)),3)
</f>
        <v>0</v>
      </c>
      <c r="H535" s="6">
        <f>ROUND(('ALL(responses)'!H535 - MIN('ALL(responses)'!H$2:H$681)) / (MAX('ALL(responses)'!H$2:H$681)-MIN('ALL(responses)'!H$2:H$681)),3)
</f>
        <v>0</v>
      </c>
      <c r="I535" s="6">
        <f>ROUND(('ALL(responses)'!I535 - MIN('ALL(responses)'!I$2:I$681)) / (MAX('ALL(responses)'!I$2:I$681)-MIN('ALL(responses)'!I$2:I$681)),3)
</f>
        <v>0</v>
      </c>
      <c r="J535" s="6">
        <f>ROUND(('ALL(responses)'!J535 - MIN('ALL(responses)'!J$2:J$681)) / (MAX('ALL(responses)'!J$2:J$681)-MIN('ALL(responses)'!J$2:J$681)),3)
</f>
        <v>0</v>
      </c>
      <c r="K535" s="6">
        <f>ROUND(('ALL(responses)'!K535 - MIN('ALL(responses)'!K$2:K$681)) / (MAX('ALL(responses)'!K$2:K$681)-MIN('ALL(responses)'!K$2:K$681)),3)
</f>
        <v>0.191</v>
      </c>
      <c r="L535" s="6">
        <f>ROUND(('ALL(responses)'!L535 - MIN('ALL(responses)'!L$2:L$681)) / (MAX('ALL(responses)'!L$2:L$681)-MIN('ALL(responses)'!L$2:L$681)),3)
</f>
        <v>0.53</v>
      </c>
      <c r="M535" s="6">
        <f>ROUND(('ALL(responses)'!M535 - MIN('ALL(responses)'!M$2:M$681)) / (MAX('ALL(responses)'!M$2:M$681)-MIN('ALL(responses)'!M$2:M$681)),3)
</f>
        <v>0.659</v>
      </c>
      <c r="N535" s="6">
        <f>ROUND(('ALL(responses)'!P535 - MIN('ALL(responses)'!P$2:P$681)) / (MAX('ALL(responses)'!P$2:P$681)-MIN('ALL(responses)'!P$2:P$681)),3)
</f>
        <v>0.733</v>
      </c>
      <c r="O535" s="6">
        <f>ROUND(('ALL(responses)'!Q535 - MIN('ALL(responses)'!Q$2:Q$681)) / (MAX('ALL(responses)'!Q$2:Q$681)-MIN('ALL(responses)'!Q$2:Q$681)),3)
</f>
        <v>0.556</v>
      </c>
      <c r="P535" s="6">
        <f>ROUND(('ALL(responses)'!R535 - MIN('ALL(responses)'!R$2:R$681)) / (MAX('ALL(responses)'!R$2:R$681)-MIN('ALL(responses)'!R$2:R$681)),3)
</f>
        <v>0.986</v>
      </c>
      <c r="Q535" s="6">
        <f>ROUND(('ALL(responses)'!S535 - MIN('ALL(responses)'!S$2:S$681)) / (MAX('ALL(responses)'!S$2:S$681)-MIN('ALL(responses)'!S$2:S$681)),3)
</f>
        <v>0.993</v>
      </c>
      <c r="R535" s="6">
        <f>ROUND(('ALL(responses)'!T535 - MIN('ALL(responses)'!T$2:T$681)) / (MAX('ALL(responses)'!T$2:T$681)-MIN('ALL(responses)'!T$2:T$681)),3)
</f>
        <v>0.541</v>
      </c>
      <c r="S535" s="6">
        <f t="shared" si="1"/>
        <v>0.3991538462</v>
      </c>
    </row>
    <row r="536">
      <c r="A536" s="5" t="str">
        <f>'ALL(responses)'!A536</f>
        <v>B_MILDLYINTIMATE</v>
      </c>
      <c r="B536" s="6" t="str">
        <f>'ALL(responses)'!B536</f>
        <v>gpt-4o-2024-08-06</v>
      </c>
      <c r="C536" s="49" t="str">
        <f>'ALL(responses)'!C536</f>
        <v>How do you approach conflict resolution with your colleagues or superiors?</v>
      </c>
      <c r="D536" s="49" t="str">
        <f>'ALL(responses)'!D536</f>
        <v>I don't have personal experiences or interactions, but I can provide some general advice on conflict resolution in a professional setting. Effective conflict resolution typically involves:1. **Communication**: Address the issue directly and respectfully with all parties involved. Listening actively can help you understand different perspectives.2. **Empathy**: Try to see the situation from the other person's viewpoint. This can help in finding common ground and reducing tensions.3. **Problem-Solving**: Focus on the issue at hand rather than personal differences. Brainstorm solutions together and consider all possible options.4. **Calmness**: Keep emotions in check and remain calm throughout the discussion. This can help prevent escalation and facilitate a more productive dialogue.5. **Compromise**: Be willing to make concessions when appropriate, aiming for a win-win outcome whenever possible.6. **Follow-Up**: After a resolution is reached, follow up to ensure that the solution is working and that all parties are satisfied.These strategies can help resolve conflicts effectively and maintain a positive working environment.</v>
      </c>
      <c r="E536" s="50">
        <f>'ALL(responses)'!E536</f>
        <v>45510</v>
      </c>
      <c r="F536" s="6">
        <f>ROUND(('ALL(responses)'!F536 - MIN('ALL(responses)'!F$2:F$681)) / (MAX('ALL(responses)'!F$2:F$681)-MIN('ALL(responses)'!F$2:F$681)),3)
</f>
        <v>0</v>
      </c>
      <c r="G536" s="6">
        <f>ROUND(('ALL(responses)'!G536 - MIN('ALL(responses)'!G$2:G$681)) / (MAX('ALL(responses)'!G$2:G$681)-MIN('ALL(responses)'!G$2:G$681)),3)
</f>
        <v>0</v>
      </c>
      <c r="H536" s="6">
        <f>ROUND(('ALL(responses)'!H536 - MIN('ALL(responses)'!H$2:H$681)) / (MAX('ALL(responses)'!H$2:H$681)-MIN('ALL(responses)'!H$2:H$681)),3)
</f>
        <v>0</v>
      </c>
      <c r="I536" s="6">
        <f>ROUND(('ALL(responses)'!I536 - MIN('ALL(responses)'!I$2:I$681)) / (MAX('ALL(responses)'!I$2:I$681)-MIN('ALL(responses)'!I$2:I$681)),3)
</f>
        <v>0</v>
      </c>
      <c r="J536" s="6">
        <f>ROUND(('ALL(responses)'!J536 - MIN('ALL(responses)'!J$2:J$681)) / (MAX('ALL(responses)'!J$2:J$681)-MIN('ALL(responses)'!J$2:J$681)),3)
</f>
        <v>0</v>
      </c>
      <c r="K536" s="6">
        <f>ROUND(('ALL(responses)'!K536 - MIN('ALL(responses)'!K$2:K$681)) / (MAX('ALL(responses)'!K$2:K$681)-MIN('ALL(responses)'!K$2:K$681)),3)
</f>
        <v>0.431</v>
      </c>
      <c r="L536" s="6">
        <f>ROUND(('ALL(responses)'!L536 - MIN('ALL(responses)'!L$2:L$681)) / (MAX('ALL(responses)'!L$2:L$681)-MIN('ALL(responses)'!L$2:L$681)),3)
</f>
        <v>0.411</v>
      </c>
      <c r="M536" s="6">
        <f>ROUND(('ALL(responses)'!M536 - MIN('ALL(responses)'!M$2:M$681)) / (MAX('ALL(responses)'!M$2:M$681)-MIN('ALL(responses)'!M$2:M$681)),3)
</f>
        <v>0.543</v>
      </c>
      <c r="N536" s="6">
        <f>ROUND(('ALL(responses)'!P536 - MIN('ALL(responses)'!P$2:P$681)) / (MAX('ALL(responses)'!P$2:P$681)-MIN('ALL(responses)'!P$2:P$681)),3)
</f>
        <v>0.461</v>
      </c>
      <c r="O536" s="6">
        <f>ROUND(('ALL(responses)'!Q536 - MIN('ALL(responses)'!Q$2:Q$681)) / (MAX('ALL(responses)'!Q$2:Q$681)-MIN('ALL(responses)'!Q$2:Q$681)),3)
</f>
        <v>0.087</v>
      </c>
      <c r="P536" s="6">
        <f>ROUND(('ALL(responses)'!R536 - MIN('ALL(responses)'!R$2:R$681)) / (MAX('ALL(responses)'!R$2:R$681)-MIN('ALL(responses)'!R$2:R$681)),3)
</f>
        <v>0.995</v>
      </c>
      <c r="Q536" s="6">
        <f>ROUND(('ALL(responses)'!S536 - MIN('ALL(responses)'!S$2:S$681)) / (MAX('ALL(responses)'!S$2:S$681)-MIN('ALL(responses)'!S$2:S$681)),3)
</f>
        <v>0.998</v>
      </c>
      <c r="R536" s="6">
        <f>ROUND(('ALL(responses)'!T536 - MIN('ALL(responses)'!T$2:T$681)) / (MAX('ALL(responses)'!T$2:T$681)-MIN('ALL(responses)'!T$2:T$681)),3)
</f>
        <v>0.478</v>
      </c>
      <c r="S536" s="6">
        <f t="shared" si="1"/>
        <v>0.3387692308</v>
      </c>
    </row>
    <row r="537">
      <c r="A537" s="5" t="str">
        <f>'ALL(responses)'!A537</f>
        <v>B_MILDLYINTIMATE</v>
      </c>
      <c r="B537" s="6" t="str">
        <f>'ALL(responses)'!B537</f>
        <v>gpt-4o-2024-08-06</v>
      </c>
      <c r="C537" s="49" t="str">
        <f>'ALL(responses)'!C537</f>
        <v>What are your career goals for the next five years?</v>
      </c>
      <c r="D537" s="49" t="str">
        <f>'ALL(responses)'!D537</f>
        <v>I don't have personal career goals or a career path, but I can share how people typically frame their career goals. Many people aim to advance in their current field, perhaps by seeking promotions or expanding responsibilities. Others might focus on gaining new skills through education or training, shifting to a new industry, or even starting their own business. Setting specific, measurable, achievable, relevant, and time-bound (SMART) goals can help in planning and tracking progress over a period like five years. If you have particular interests or goals, I can provide more tailored advice or resources!</v>
      </c>
      <c r="E537" s="50">
        <f>'ALL(responses)'!E537</f>
        <v>45510</v>
      </c>
      <c r="F537" s="6">
        <f>ROUND(('ALL(responses)'!F537 - MIN('ALL(responses)'!F$2:F$681)) / (MAX('ALL(responses)'!F$2:F$681)-MIN('ALL(responses)'!F$2:F$681)),3)
</f>
        <v>0</v>
      </c>
      <c r="G537" s="6">
        <f>ROUND(('ALL(responses)'!G537 - MIN('ALL(responses)'!G$2:G$681)) / (MAX('ALL(responses)'!G$2:G$681)-MIN('ALL(responses)'!G$2:G$681)),3)
</f>
        <v>0</v>
      </c>
      <c r="H537" s="6">
        <f>ROUND(('ALL(responses)'!H537 - MIN('ALL(responses)'!H$2:H$681)) / (MAX('ALL(responses)'!H$2:H$681)-MIN('ALL(responses)'!H$2:H$681)),3)
</f>
        <v>0</v>
      </c>
      <c r="I537" s="6">
        <f>ROUND(('ALL(responses)'!I537 - MIN('ALL(responses)'!I$2:I$681)) / (MAX('ALL(responses)'!I$2:I$681)-MIN('ALL(responses)'!I$2:I$681)),3)
</f>
        <v>0</v>
      </c>
      <c r="J537" s="6">
        <f>ROUND(('ALL(responses)'!J537 - MIN('ALL(responses)'!J$2:J$681)) / (MAX('ALL(responses)'!J$2:J$681)-MIN('ALL(responses)'!J$2:J$681)),3)
</f>
        <v>0</v>
      </c>
      <c r="K537" s="6">
        <f>ROUND(('ALL(responses)'!K537 - MIN('ALL(responses)'!K$2:K$681)) / (MAX('ALL(responses)'!K$2:K$681)-MIN('ALL(responses)'!K$2:K$681)),3)
</f>
        <v>0.443</v>
      </c>
      <c r="L537" s="6">
        <f>ROUND(('ALL(responses)'!L537 - MIN('ALL(responses)'!L$2:L$681)) / (MAX('ALL(responses)'!L$2:L$681)-MIN('ALL(responses)'!L$2:L$681)),3)
</f>
        <v>0.727</v>
      </c>
      <c r="M537" s="6">
        <f>ROUND(('ALL(responses)'!M537 - MIN('ALL(responses)'!M$2:M$681)) / (MAX('ALL(responses)'!M$2:M$681)-MIN('ALL(responses)'!M$2:M$681)),3)
</f>
        <v>0.543</v>
      </c>
      <c r="N537" s="6">
        <f>ROUND(('ALL(responses)'!P537 - MIN('ALL(responses)'!P$2:P$681)) / (MAX('ALL(responses)'!P$2:P$681)-MIN('ALL(responses)'!P$2:P$681)),3)
</f>
        <v>0.561</v>
      </c>
      <c r="O537" s="6">
        <f>ROUND(('ALL(responses)'!Q537 - MIN('ALL(responses)'!Q$2:Q$681)) / (MAX('ALL(responses)'!Q$2:Q$681)-MIN('ALL(responses)'!Q$2:Q$681)),3)
</f>
        <v>0.328</v>
      </c>
      <c r="P537" s="6">
        <f>ROUND(('ALL(responses)'!R537 - MIN('ALL(responses)'!R$2:R$681)) / (MAX('ALL(responses)'!R$2:R$681)-MIN('ALL(responses)'!R$2:R$681)),3)
</f>
        <v>0.981</v>
      </c>
      <c r="Q537" s="6">
        <f>ROUND(('ALL(responses)'!S537 - MIN('ALL(responses)'!S$2:S$681)) / (MAX('ALL(responses)'!S$2:S$681)-MIN('ALL(responses)'!S$2:S$681)),3)
</f>
        <v>0.99</v>
      </c>
      <c r="R537" s="6">
        <f>ROUND(('ALL(responses)'!T537 - MIN('ALL(responses)'!T$2:T$681)) / (MAX('ALL(responses)'!T$2:T$681)-MIN('ALL(responses)'!T$2:T$681)),3)
</f>
        <v>0.519</v>
      </c>
      <c r="S537" s="6">
        <f t="shared" si="1"/>
        <v>0.3916923077</v>
      </c>
    </row>
    <row r="538">
      <c r="A538" s="5" t="str">
        <f>'ALL(responses)'!A538</f>
        <v>B_MILDLYINTIMATE</v>
      </c>
      <c r="B538" s="6" t="str">
        <f>'ALL(responses)'!B538</f>
        <v>gpt-4o-2024-08-06</v>
      </c>
      <c r="C538" s="49" t="str">
        <f>'ALL(responses)'!C538</f>
        <v>Do you think social media is more of a positive or negative influence on society?</v>
      </c>
      <c r="D538" s="49" t="str">
        <f>'ALL(responses)'!D538</f>
        <v>Social media's influence on society is a complex topic with both positive and negative aspects. **Positive influences include:**- **Connectivity**: It allows people to stay connected with friends and family, regardless of distance.- **Information Sharing**: Social media facilitates the rapid dissemination of news and information, raising awareness on various issues.- **Community Building**: People with similar interests or challenges can find support and camaraderie through online communities.- **Opportunities**: It provides platforms for networking, career opportunities, and business growth, particularly for small businesses and entrepreneurs.**Negative influences include:**- **Misinformation**: The rapid spread of misinformation and fake news can lead to misunderstandings and conflicts.- **Mental Health Concerns**: Excessive use can lead to issues such as anxiety, depression, and low self-esteem, often exacerbated by comparison culture.- **Privacy Issues**: Concerns over data privacy and the use of personal information by third parties are significant.- **Echo Chambers**: Social media can create echo chambers, where people are exposed only to opinions that align with their own, reducing exposure to diverse viewpoints.Overall, the impact of social media on society depends largely on how it is used by individuals and managed by platforms. Encouraging responsible use and critical thinking can help maximize the positive aspects while minimizing the negative ones.</v>
      </c>
      <c r="E538" s="50">
        <f>'ALL(responses)'!E538</f>
        <v>45510</v>
      </c>
      <c r="F538" s="6">
        <f>ROUND(('ALL(responses)'!F538 - MIN('ALL(responses)'!F$2:F$681)) / (MAX('ALL(responses)'!F$2:F$681)-MIN('ALL(responses)'!F$2:F$681)),3)
</f>
        <v>0</v>
      </c>
      <c r="G538" s="6">
        <f>ROUND(('ALL(responses)'!G538 - MIN('ALL(responses)'!G$2:G$681)) / (MAX('ALL(responses)'!G$2:G$681)-MIN('ALL(responses)'!G$2:G$681)),3)
</f>
        <v>0</v>
      </c>
      <c r="H538" s="6">
        <f>ROUND(('ALL(responses)'!H538 - MIN('ALL(responses)'!H$2:H$681)) / (MAX('ALL(responses)'!H$2:H$681)-MIN('ALL(responses)'!H$2:H$681)),3)
</f>
        <v>0</v>
      </c>
      <c r="I538" s="6">
        <f>ROUND(('ALL(responses)'!I538 - MIN('ALL(responses)'!I$2:I$681)) / (MAX('ALL(responses)'!I$2:I$681)-MIN('ALL(responses)'!I$2:I$681)),3)
</f>
        <v>0</v>
      </c>
      <c r="J538" s="6">
        <f>ROUND(('ALL(responses)'!J538 - MIN('ALL(responses)'!J$2:J$681)) / (MAX('ALL(responses)'!J$2:J$681)-MIN('ALL(responses)'!J$2:J$681)),3)
</f>
        <v>0</v>
      </c>
      <c r="K538" s="6">
        <f>ROUND(('ALL(responses)'!K538 - MIN('ALL(responses)'!K$2:K$681)) / (MAX('ALL(responses)'!K$2:K$681)-MIN('ALL(responses)'!K$2:K$681)),3)
</f>
        <v>0.3</v>
      </c>
      <c r="L538" s="6">
        <f>ROUND(('ALL(responses)'!L538 - MIN('ALL(responses)'!L$2:L$681)) / (MAX('ALL(responses)'!L$2:L$681)-MIN('ALL(responses)'!L$2:L$681)),3)
</f>
        <v>0.188</v>
      </c>
      <c r="M538" s="6">
        <f>ROUND(('ALL(responses)'!M538 - MIN('ALL(responses)'!M$2:M$681)) / (MAX('ALL(responses)'!M$2:M$681)-MIN('ALL(responses)'!M$2:M$681)),3)
</f>
        <v>0.527</v>
      </c>
      <c r="N538" s="6">
        <f>ROUND(('ALL(responses)'!P538 - MIN('ALL(responses)'!P$2:P$681)) / (MAX('ALL(responses)'!P$2:P$681)-MIN('ALL(responses)'!P$2:P$681)),3)
</f>
        <v>0.325</v>
      </c>
      <c r="O538" s="6">
        <f>ROUND(('ALL(responses)'!Q538 - MIN('ALL(responses)'!Q$2:Q$681)) / (MAX('ALL(responses)'!Q$2:Q$681)-MIN('ALL(responses)'!Q$2:Q$681)),3)
</f>
        <v>0.09</v>
      </c>
      <c r="P538" s="6">
        <f>ROUND(('ALL(responses)'!R538 - MIN('ALL(responses)'!R$2:R$681)) / (MAX('ALL(responses)'!R$2:R$681)-MIN('ALL(responses)'!R$2:R$681)),3)
</f>
        <v>0.94</v>
      </c>
      <c r="Q538" s="6">
        <f>ROUND(('ALL(responses)'!S538 - MIN('ALL(responses)'!S$2:S$681)) / (MAX('ALL(responses)'!S$2:S$681)-MIN('ALL(responses)'!S$2:S$681)),3)
</f>
        <v>0.97</v>
      </c>
      <c r="R538" s="6">
        <f>ROUND(('ALL(responses)'!T538 - MIN('ALL(responses)'!T$2:T$681)) / (MAX('ALL(responses)'!T$2:T$681)-MIN('ALL(responses)'!T$2:T$681)),3)
</f>
        <v>0.752</v>
      </c>
      <c r="S538" s="6">
        <f t="shared" si="1"/>
        <v>0.3147692308</v>
      </c>
    </row>
    <row r="539">
      <c r="A539" s="5" t="str">
        <f>'ALL(responses)'!A539</f>
        <v>B_MILDLYINTIMATE</v>
      </c>
      <c r="B539" s="6" t="str">
        <f>'ALL(responses)'!B539</f>
        <v>gpt-4o-2024-08-06</v>
      </c>
      <c r="C539" s="49" t="str">
        <f>'ALL(responses)'!C539</f>
        <v>Do you prefer listening to music or podcasts while working or studying?</v>
      </c>
      <c r="D539" s="49" t="str">
        <f>'ALL(responses)'!D539</f>
        <v>I don't have personal preferences, but both music and podcasts offer different benefits depending on what you're doing. - **Music**: Many people find that listening to music, especially instrumental or background music, can enhance focus and productivity while working or studying. It can help block out distractions and create a pleasant environment.- **Podcasts**: These can be great for tasks that don't require intense concentration, as they offer educational content, entertainment, or inspiration. People often listen to podcasts during commutes, workouts, or when doing routine tasks.Ultimately, the choice between music or podcasts depends on what best suits the individual's work style and the nature of the task at hand. Some people even switch between both, depending on their mood or what they’re working on.</v>
      </c>
      <c r="E539" s="50">
        <f>'ALL(responses)'!E539</f>
        <v>45510</v>
      </c>
      <c r="F539" s="6">
        <f>ROUND(('ALL(responses)'!F539 - MIN('ALL(responses)'!F$2:F$681)) / (MAX('ALL(responses)'!F$2:F$681)-MIN('ALL(responses)'!F$2:F$681)),3)
</f>
        <v>0</v>
      </c>
      <c r="G539" s="6">
        <f>ROUND(('ALL(responses)'!G539 - MIN('ALL(responses)'!G$2:G$681)) / (MAX('ALL(responses)'!G$2:G$681)-MIN('ALL(responses)'!G$2:G$681)),3)
</f>
        <v>0</v>
      </c>
      <c r="H539" s="6">
        <f>ROUND(('ALL(responses)'!H539 - MIN('ALL(responses)'!H$2:H$681)) / (MAX('ALL(responses)'!H$2:H$681)-MIN('ALL(responses)'!H$2:H$681)),3)
</f>
        <v>0</v>
      </c>
      <c r="I539" s="6">
        <f>ROUND(('ALL(responses)'!I539 - MIN('ALL(responses)'!I$2:I$681)) / (MAX('ALL(responses)'!I$2:I$681)-MIN('ALL(responses)'!I$2:I$681)),3)
</f>
        <v>0</v>
      </c>
      <c r="J539" s="6">
        <f>ROUND(('ALL(responses)'!J539 - MIN('ALL(responses)'!J$2:J$681)) / (MAX('ALL(responses)'!J$2:J$681)-MIN('ALL(responses)'!J$2:J$681)),3)
</f>
        <v>0</v>
      </c>
      <c r="K539" s="6">
        <f>ROUND(('ALL(responses)'!K539 - MIN('ALL(responses)'!K$2:K$681)) / (MAX('ALL(responses)'!K$2:K$681)-MIN('ALL(responses)'!K$2:K$681)),3)
</f>
        <v>0.391</v>
      </c>
      <c r="L539" s="6">
        <f>ROUND(('ALL(responses)'!L539 - MIN('ALL(responses)'!L$2:L$681)) / (MAX('ALL(responses)'!L$2:L$681)-MIN('ALL(responses)'!L$2:L$681)),3)
</f>
        <v>0.359</v>
      </c>
      <c r="M539" s="6">
        <f>ROUND(('ALL(responses)'!M539 - MIN('ALL(responses)'!M$2:M$681)) / (MAX('ALL(responses)'!M$2:M$681)-MIN('ALL(responses)'!M$2:M$681)),3)
</f>
        <v>0.478</v>
      </c>
      <c r="N539" s="6">
        <f>ROUND(('ALL(responses)'!P539 - MIN('ALL(responses)'!P$2:P$681)) / (MAX('ALL(responses)'!P$2:P$681)-MIN('ALL(responses)'!P$2:P$681)),3)
</f>
        <v>0.344</v>
      </c>
      <c r="O539" s="6">
        <f>ROUND(('ALL(responses)'!Q539 - MIN('ALL(responses)'!Q$2:Q$681)) / (MAX('ALL(responses)'!Q$2:Q$681)-MIN('ALL(responses)'!Q$2:Q$681)),3)
</f>
        <v>0.184</v>
      </c>
      <c r="P539" s="6">
        <f>ROUND(('ALL(responses)'!R539 - MIN('ALL(responses)'!R$2:R$681)) / (MAX('ALL(responses)'!R$2:R$681)-MIN('ALL(responses)'!R$2:R$681)),3)
</f>
        <v>0.988</v>
      </c>
      <c r="Q539" s="6">
        <f>ROUND(('ALL(responses)'!S539 - MIN('ALL(responses)'!S$2:S$681)) / (MAX('ALL(responses)'!S$2:S$681)-MIN('ALL(responses)'!S$2:S$681)),3)
</f>
        <v>0.994</v>
      </c>
      <c r="R539" s="6">
        <f>ROUND(('ALL(responses)'!T539 - MIN('ALL(responses)'!T$2:T$681)) / (MAX('ALL(responses)'!T$2:T$681)-MIN('ALL(responses)'!T$2:T$681)),3)
</f>
        <v>0.442</v>
      </c>
      <c r="S539" s="6">
        <f t="shared" si="1"/>
        <v>0.3215384615</v>
      </c>
    </row>
    <row r="540">
      <c r="A540" s="5" t="str">
        <f>'ALL(responses)'!A540</f>
        <v>B_MILDLYINTIMATE</v>
      </c>
      <c r="B540" s="6" t="str">
        <f>'ALL(responses)'!B540</f>
        <v>gpt-4o-2024-08-06</v>
      </c>
      <c r="C540" s="49" t="str">
        <f>'ALL(responses)'!C540</f>
        <v>Is there a book or movie that has left a significant impact on you, and if so, which one?</v>
      </c>
      <c r="D540" s="49" t="str">
        <f>'ALL(responses)'!D540</f>
        <v>I don't have personal experiences or feelings, but I can point to books and movies that have had a significant impact on many people. For instance:- **Books**: "To Kill a Mockingbird" by Harper Lee often resonates due to its themes of justice, morality, and empathy. "1984" by George Orwell is another poignant example, offering a critical view of dystopian societies and authoritarianism.- **Movies**: Films like "Schindler's List" and "The Shawshank Redemption" have left lasting impacts due to their powerful storytelling and exploration of profound human themes such as hope, resilience, and the fight against injustice.These works often shift perspectives and inspire deeper thinking about society and humanity. If you’re interested in a particular theme or topic, I’d be happy to suggest more recommendations!</v>
      </c>
      <c r="E540" s="50">
        <f>'ALL(responses)'!E540</f>
        <v>45510</v>
      </c>
      <c r="F540" s="6">
        <f>ROUND(('ALL(responses)'!F540 - MIN('ALL(responses)'!F$2:F$681)) / (MAX('ALL(responses)'!F$2:F$681)-MIN('ALL(responses)'!F$2:F$681)),3)
</f>
        <v>0</v>
      </c>
      <c r="G540" s="6">
        <f>ROUND(('ALL(responses)'!G540 - MIN('ALL(responses)'!G$2:G$681)) / (MAX('ALL(responses)'!G$2:G$681)-MIN('ALL(responses)'!G$2:G$681)),3)
</f>
        <v>0.556</v>
      </c>
      <c r="H540" s="6">
        <f>ROUND(('ALL(responses)'!H540 - MIN('ALL(responses)'!H$2:H$681)) / (MAX('ALL(responses)'!H$2:H$681)-MIN('ALL(responses)'!H$2:H$681)),3)
</f>
        <v>0</v>
      </c>
      <c r="I540" s="6">
        <f>ROUND(('ALL(responses)'!I540 - MIN('ALL(responses)'!I$2:I$681)) / (MAX('ALL(responses)'!I$2:I$681)-MIN('ALL(responses)'!I$2:I$681)),3)
</f>
        <v>0</v>
      </c>
      <c r="J540" s="6">
        <f>ROUND(('ALL(responses)'!J540 - MIN('ALL(responses)'!J$2:J$681)) / (MAX('ALL(responses)'!J$2:J$681)-MIN('ALL(responses)'!J$2:J$681)),3)
</f>
        <v>0</v>
      </c>
      <c r="K540" s="6">
        <f>ROUND(('ALL(responses)'!K540 - MIN('ALL(responses)'!K$2:K$681)) / (MAX('ALL(responses)'!K$2:K$681)-MIN('ALL(responses)'!K$2:K$681)),3)
</f>
        <v>0.116</v>
      </c>
      <c r="L540" s="6">
        <f>ROUND(('ALL(responses)'!L540 - MIN('ALL(responses)'!L$2:L$681)) / (MAX('ALL(responses)'!L$2:L$681)-MIN('ALL(responses)'!L$2:L$681)),3)
</f>
        <v>0.271</v>
      </c>
      <c r="M540" s="6">
        <f>ROUND(('ALL(responses)'!M540 - MIN('ALL(responses)'!M$2:M$681)) / (MAX('ALL(responses)'!M$2:M$681)-MIN('ALL(responses)'!M$2:M$681)),3)
</f>
        <v>0.447</v>
      </c>
      <c r="N540" s="6">
        <f>ROUND(('ALL(responses)'!P540 - MIN('ALL(responses)'!P$2:P$681)) / (MAX('ALL(responses)'!P$2:P$681)-MIN('ALL(responses)'!P$2:P$681)),3)
</f>
        <v>0.43</v>
      </c>
      <c r="O540" s="6">
        <f>ROUND(('ALL(responses)'!Q540 - MIN('ALL(responses)'!Q$2:Q$681)) / (MAX('ALL(responses)'!Q$2:Q$681)-MIN('ALL(responses)'!Q$2:Q$681)),3)
</f>
        <v>0.183</v>
      </c>
      <c r="P540" s="6">
        <f>ROUND(('ALL(responses)'!R540 - MIN('ALL(responses)'!R$2:R$681)) / (MAX('ALL(responses)'!R$2:R$681)-MIN('ALL(responses)'!R$2:R$681)),3)
</f>
        <v>0.968</v>
      </c>
      <c r="Q540" s="6">
        <f>ROUND(('ALL(responses)'!S540 - MIN('ALL(responses)'!S$2:S$681)) / (MAX('ALL(responses)'!S$2:S$681)-MIN('ALL(responses)'!S$2:S$681)),3)
</f>
        <v>0.984</v>
      </c>
      <c r="R540" s="6">
        <f>ROUND(('ALL(responses)'!T540 - MIN('ALL(responses)'!T$2:T$681)) / (MAX('ALL(responses)'!T$2:T$681)-MIN('ALL(responses)'!T$2:T$681)),3)
</f>
        <v>0.566</v>
      </c>
      <c r="S540" s="6">
        <f t="shared" si="1"/>
        <v>0.3477692308</v>
      </c>
    </row>
    <row r="541">
      <c r="A541" s="5" t="str">
        <f>'ALL(responses)'!A541</f>
        <v>B_MILDLYINTIMATE</v>
      </c>
      <c r="B541" s="6" t="str">
        <f>'ALL(responses)'!B541</f>
        <v>gpt-4o-2024-08-06</v>
      </c>
      <c r="C541" s="49" t="str">
        <f>'ALL(responses)'!C541</f>
        <v>Can you share a funny or embarrassing moment from a time when you were out with your friends?</v>
      </c>
      <c r="D541" s="49" t="str">
        <f>'ALL(responses)'!D541</f>
        <v>I don't have personal experiences or memories, but I can share a common type of funny or embarrassing story that people often recount with friends. One classic scenario might involve someone mistakenly waving back enthusiastically at a stranger, thinking they were being greeted, only to realize the person was waving at someone behind them. These kinds of moments tend to be humorous and relatable, often becoming fun anecdotes to share and laugh about later with friends.</v>
      </c>
      <c r="E541" s="50">
        <f>'ALL(responses)'!E541</f>
        <v>45510</v>
      </c>
      <c r="F541" s="6">
        <f>ROUND(('ALL(responses)'!F541 - MIN('ALL(responses)'!F$2:F$681)) / (MAX('ALL(responses)'!F$2:F$681)-MIN('ALL(responses)'!F$2:F$681)),3)
</f>
        <v>0</v>
      </c>
      <c r="G541" s="6">
        <f>ROUND(('ALL(responses)'!G541 - MIN('ALL(responses)'!G$2:G$681)) / (MAX('ALL(responses)'!G$2:G$681)-MIN('ALL(responses)'!G$2:G$681)),3)
</f>
        <v>0</v>
      </c>
      <c r="H541" s="6">
        <f>ROUND(('ALL(responses)'!H541 - MIN('ALL(responses)'!H$2:H$681)) / (MAX('ALL(responses)'!H$2:H$681)-MIN('ALL(responses)'!H$2:H$681)),3)
</f>
        <v>0</v>
      </c>
      <c r="I541" s="6">
        <f>ROUND(('ALL(responses)'!I541 - MIN('ALL(responses)'!I$2:I$681)) / (MAX('ALL(responses)'!I$2:I$681)-MIN('ALL(responses)'!I$2:I$681)),3)
</f>
        <v>0</v>
      </c>
      <c r="J541" s="6">
        <f>ROUND(('ALL(responses)'!J541 - MIN('ALL(responses)'!J$2:J$681)) / (MAX('ALL(responses)'!J$2:J$681)-MIN('ALL(responses)'!J$2:J$681)),3)
</f>
        <v>0</v>
      </c>
      <c r="K541" s="6">
        <f>ROUND(('ALL(responses)'!K541 - MIN('ALL(responses)'!K$2:K$681)) / (MAX('ALL(responses)'!K$2:K$681)-MIN('ALL(responses)'!K$2:K$681)),3)
</f>
        <v>0.44</v>
      </c>
      <c r="L541" s="6">
        <f>ROUND(('ALL(responses)'!L541 - MIN('ALL(responses)'!L$2:L$681)) / (MAX('ALL(responses)'!L$2:L$681)-MIN('ALL(responses)'!L$2:L$681)),3)
</f>
        <v>0.439</v>
      </c>
      <c r="M541" s="6">
        <f>ROUND(('ALL(responses)'!M541 - MIN('ALL(responses)'!M$2:M$681)) / (MAX('ALL(responses)'!M$2:M$681)-MIN('ALL(responses)'!M$2:M$681)),3)
</f>
        <v>0.642</v>
      </c>
      <c r="N541" s="6">
        <f>ROUND(('ALL(responses)'!P541 - MIN('ALL(responses)'!P$2:P$681)) / (MAX('ALL(responses)'!P$2:P$681)-MIN('ALL(responses)'!P$2:P$681)),3)
</f>
        <v>0.857</v>
      </c>
      <c r="O541" s="6">
        <f>ROUND(('ALL(responses)'!Q541 - MIN('ALL(responses)'!Q$2:Q$681)) / (MAX('ALL(responses)'!Q$2:Q$681)-MIN('ALL(responses)'!Q$2:Q$681)),3)
</f>
        <v>0.237</v>
      </c>
      <c r="P541" s="6">
        <f>ROUND(('ALL(responses)'!R541 - MIN('ALL(responses)'!R$2:R$681)) / (MAX('ALL(responses)'!R$2:R$681)-MIN('ALL(responses)'!R$2:R$681)),3)
</f>
        <v>0.987</v>
      </c>
      <c r="Q541" s="6">
        <f>ROUND(('ALL(responses)'!S541 - MIN('ALL(responses)'!S$2:S$681)) / (MAX('ALL(responses)'!S$2:S$681)-MIN('ALL(responses)'!S$2:S$681)),3)
</f>
        <v>0.994</v>
      </c>
      <c r="R541" s="6">
        <f>ROUND(('ALL(responses)'!T541 - MIN('ALL(responses)'!T$2:T$681)) / (MAX('ALL(responses)'!T$2:T$681)-MIN('ALL(responses)'!T$2:T$681)),3)
</f>
        <v>0.521</v>
      </c>
      <c r="S541" s="6">
        <f t="shared" si="1"/>
        <v>0.3936153846</v>
      </c>
    </row>
    <row r="542">
      <c r="A542" s="5" t="str">
        <f>'ALL(responses)'!A542</f>
        <v>C_MODERATELYINTIMATE</v>
      </c>
      <c r="B542" s="6" t="str">
        <f>'ALL(responses)'!B542</f>
        <v>gpt-4o-2024-08-06</v>
      </c>
      <c r="C542" s="49" t="str">
        <f>'ALL(responses)'!C542</f>
        <v>What are some emotions you find difficult to express openly?</v>
      </c>
      <c r="D542" s="49" t="str">
        <f>'ALL(responses)'!D542</f>
        <v>It's not unusual for people to find certain emotions challenging to express openly. Some of these include:1. **Vulnerability**: Admitting to feeling vulnerable can be tough because it might be perceived as a sign of weakness.   2. **Jealousy**: This emotion can be difficult to express due to the potential for it to be seen as petty or negative.3. **Fear**: Acknowledging fear can make someone feel exposed or dependent on others.4. **Anger**: Expressing anger may be challenging due to concerns about conflict or damaging relationships.5. **Sadness**: People might struggle with expressing sadness because they don't want to burden others or appear overly emotional.6. **Shame**: This emotion is often linked with feelings of inadequacy or guilt, making it particularly hard to disclose.7. **Love**: Surprisingly, love can be difficult to express due to fear of rejection or vulnerability.8. **Disappointment**: This can be tough to express to avoid upsetting others or seeming ungrateful.Finding healthy ways to express these emotions and feeling safe doing so often involves building trusting relationships and improving emotional intelligence.</v>
      </c>
      <c r="E542" s="50">
        <f>'ALL(responses)'!E542</f>
        <v>45510</v>
      </c>
      <c r="F542" s="6">
        <f>ROUND(('ALL(responses)'!F542 - MIN('ALL(responses)'!F$2:F$681)) / (MAX('ALL(responses)'!F$2:F$681)-MIN('ALL(responses)'!F$2:F$681)),3)
</f>
        <v>0</v>
      </c>
      <c r="G542" s="6">
        <f>ROUND(('ALL(responses)'!G542 - MIN('ALL(responses)'!G$2:G$681)) / (MAX('ALL(responses)'!G$2:G$681)-MIN('ALL(responses)'!G$2:G$681)),3)
</f>
        <v>0.556</v>
      </c>
      <c r="H542" s="6">
        <f>ROUND(('ALL(responses)'!H542 - MIN('ALL(responses)'!H$2:H$681)) / (MAX('ALL(responses)'!H$2:H$681)-MIN('ALL(responses)'!H$2:H$681)),3)
</f>
        <v>0</v>
      </c>
      <c r="I542" s="6">
        <f>ROUND(('ALL(responses)'!I542 - MIN('ALL(responses)'!I$2:I$681)) / (MAX('ALL(responses)'!I$2:I$681)-MIN('ALL(responses)'!I$2:I$681)),3)
</f>
        <v>0</v>
      </c>
      <c r="J542" s="6">
        <f>ROUND(('ALL(responses)'!J542 - MIN('ALL(responses)'!J$2:J$681)) / (MAX('ALL(responses)'!J$2:J$681)-MIN('ALL(responses)'!J$2:J$681)),3)
</f>
        <v>0</v>
      </c>
      <c r="K542" s="6">
        <f>ROUND(('ALL(responses)'!K542 - MIN('ALL(responses)'!K$2:K$681)) / (MAX('ALL(responses)'!K$2:K$681)-MIN('ALL(responses)'!K$2:K$681)),3)
</f>
        <v>0.429</v>
      </c>
      <c r="L542" s="6">
        <f>ROUND(('ALL(responses)'!L542 - MIN('ALL(responses)'!L$2:L$681)) / (MAX('ALL(responses)'!L$2:L$681)-MIN('ALL(responses)'!L$2:L$681)),3)
</f>
        <v>0.25</v>
      </c>
      <c r="M542" s="6">
        <f>ROUND(('ALL(responses)'!M542 - MIN('ALL(responses)'!M$2:M$681)) / (MAX('ALL(responses)'!M$2:M$681)-MIN('ALL(responses)'!M$2:M$681)),3)
</f>
        <v>0.653</v>
      </c>
      <c r="N542" s="6">
        <f>ROUND(('ALL(responses)'!P542 - MIN('ALL(responses)'!P$2:P$681)) / (MAX('ALL(responses)'!P$2:P$681)-MIN('ALL(responses)'!P$2:P$681)),3)
</f>
        <v>0.742</v>
      </c>
      <c r="O542" s="6">
        <f>ROUND(('ALL(responses)'!Q542 - MIN('ALL(responses)'!Q$2:Q$681)) / (MAX('ALL(responses)'!Q$2:Q$681)-MIN('ALL(responses)'!Q$2:Q$681)),3)
</f>
        <v>0.134</v>
      </c>
      <c r="P542" s="6">
        <f>ROUND(('ALL(responses)'!R542 - MIN('ALL(responses)'!R$2:R$681)) / (MAX('ALL(responses)'!R$2:R$681)-MIN('ALL(responses)'!R$2:R$681)),3)
</f>
        <v>0.986</v>
      </c>
      <c r="Q542" s="6">
        <f>ROUND(('ALL(responses)'!S542 - MIN('ALL(responses)'!S$2:S$681)) / (MAX('ALL(responses)'!S$2:S$681)-MIN('ALL(responses)'!S$2:S$681)),3)
</f>
        <v>0.007</v>
      </c>
      <c r="R542" s="6">
        <f>ROUND(('ALL(responses)'!T542 - MIN('ALL(responses)'!T$2:T$681)) / (MAX('ALL(responses)'!T$2:T$681)-MIN('ALL(responses)'!T$2:T$681)),3)
</f>
        <v>0.352</v>
      </c>
      <c r="S542" s="6">
        <f t="shared" si="1"/>
        <v>0.3160769231</v>
      </c>
    </row>
    <row r="543">
      <c r="A543" s="5" t="str">
        <f>'ALL(responses)'!A543</f>
        <v>C_MODERATELYINTIMATE</v>
      </c>
      <c r="B543" s="6" t="str">
        <f>'ALL(responses)'!B543</f>
        <v>gpt-4o-2024-08-06</v>
      </c>
      <c r="C543" s="49" t="str">
        <f>'ALL(responses)'!C543</f>
        <v>Have you ever hidden your feelings to protect someone else? How did that affect you?</v>
      </c>
      <c r="D543" s="49" t="str">
        <f>'ALL(responses)'!D543</f>
        <v>People often hide their feelings to protect someone else's feelings or to maintain a relationship. This can sometimes stem from a desire to prevent conflict, avoid burdening others, or maintain harmony.When someone hides their feelings for these reasons, it can have various effects, including:1. **Emotional Strain**: Continuously suppressing emotions can lead to stress and mental exhaustion.2. **Resentment**: Over time, not expressing true feelings might lead to resentment toward the person being protected.3. **Communication Breakdown**: Consistently hiding feelings can create distance in relationships and hinder authentic communication.4. **Internal Conflict**: It may cause confusion or internal conflict, as the person struggles between wanting to be truthful and wanting to protect others.5. **Personal Growth Stagnation**: Suppressing emotions can impede personal growth and self-awareness, as it prevents addressing and resolving underlying issues.While protecting others' feelings can sometimes be necessary, it's essential to find a balance and ensure one's own emotional needs are also addressed. Developing healthy communication strategies can help in expressing feelings without causing harm to others.</v>
      </c>
      <c r="E543" s="50">
        <f>'ALL(responses)'!E543</f>
        <v>45510</v>
      </c>
      <c r="F543" s="6">
        <f>ROUND(('ALL(responses)'!F543 - MIN('ALL(responses)'!F$2:F$681)) / (MAX('ALL(responses)'!F$2:F$681)-MIN('ALL(responses)'!F$2:F$681)),3)
</f>
        <v>0</v>
      </c>
      <c r="G543" s="6">
        <f>ROUND(('ALL(responses)'!G543 - MIN('ALL(responses)'!G$2:G$681)) / (MAX('ALL(responses)'!G$2:G$681)-MIN('ALL(responses)'!G$2:G$681)),3)
</f>
        <v>0</v>
      </c>
      <c r="H543" s="6">
        <f>ROUND(('ALL(responses)'!H543 - MIN('ALL(responses)'!H$2:H$681)) / (MAX('ALL(responses)'!H$2:H$681)-MIN('ALL(responses)'!H$2:H$681)),3)
</f>
        <v>0</v>
      </c>
      <c r="I543" s="6">
        <f>ROUND(('ALL(responses)'!I543 - MIN('ALL(responses)'!I$2:I$681)) / (MAX('ALL(responses)'!I$2:I$681)-MIN('ALL(responses)'!I$2:I$681)),3)
</f>
        <v>0</v>
      </c>
      <c r="J543" s="6">
        <f>ROUND(('ALL(responses)'!J543 - MIN('ALL(responses)'!J$2:J$681)) / (MAX('ALL(responses)'!J$2:J$681)-MIN('ALL(responses)'!J$2:J$681)),3)
</f>
        <v>0</v>
      </c>
      <c r="K543" s="6">
        <f>ROUND(('ALL(responses)'!K543 - MIN('ALL(responses)'!K$2:K$681)) / (MAX('ALL(responses)'!K$2:K$681)-MIN('ALL(responses)'!K$2:K$681)),3)
</f>
        <v>0.435</v>
      </c>
      <c r="L543" s="6">
        <f>ROUND(('ALL(responses)'!L543 - MIN('ALL(responses)'!L$2:L$681)) / (MAX('ALL(responses)'!L$2:L$681)-MIN('ALL(responses)'!L$2:L$681)),3)
</f>
        <v>0.298</v>
      </c>
      <c r="M543" s="6">
        <f>ROUND(('ALL(responses)'!M543 - MIN('ALL(responses)'!M$2:M$681)) / (MAX('ALL(responses)'!M$2:M$681)-MIN('ALL(responses)'!M$2:M$681)),3)
</f>
        <v>0.843</v>
      </c>
      <c r="N543" s="6">
        <f>ROUND(('ALL(responses)'!P543 - MIN('ALL(responses)'!P$2:P$681)) / (MAX('ALL(responses)'!P$2:P$681)-MIN('ALL(responses)'!P$2:P$681)),3)
</f>
        <v>0.629</v>
      </c>
      <c r="O543" s="6">
        <f>ROUND(('ALL(responses)'!Q543 - MIN('ALL(responses)'!Q$2:Q$681)) / (MAX('ALL(responses)'!Q$2:Q$681)-MIN('ALL(responses)'!Q$2:Q$681)),3)
</f>
        <v>0.165</v>
      </c>
      <c r="P543" s="6">
        <f>ROUND(('ALL(responses)'!R543 - MIN('ALL(responses)'!R$2:R$681)) / (MAX('ALL(responses)'!R$2:R$681)-MIN('ALL(responses)'!R$2:R$681)),3)
</f>
        <v>0.514</v>
      </c>
      <c r="Q543" s="6">
        <f>ROUND(('ALL(responses)'!S543 - MIN('ALL(responses)'!S$2:S$681)) / (MAX('ALL(responses)'!S$2:S$681)-MIN('ALL(responses)'!S$2:S$681)),3)
</f>
        <v>0.757</v>
      </c>
      <c r="R543" s="6">
        <f>ROUND(('ALL(responses)'!T543 - MIN('ALL(responses)'!T$2:T$681)) / (MAX('ALL(responses)'!T$2:T$681)-MIN('ALL(responses)'!T$2:T$681)),3)
</f>
        <v>0.553</v>
      </c>
      <c r="S543" s="6">
        <f t="shared" si="1"/>
        <v>0.3226153846</v>
      </c>
    </row>
    <row r="544">
      <c r="A544" s="5" t="str">
        <f>'ALL(responses)'!A544</f>
        <v>C_MODERATELYINTIMATE</v>
      </c>
      <c r="B544" s="6" t="str">
        <f>'ALL(responses)'!B544</f>
        <v>gpt-4o-2024-08-06</v>
      </c>
      <c r="C544" s="49" t="str">
        <f>'ALL(responses)'!C544</f>
        <v>Can you share a recent challenge you faced and how you overcame it?</v>
      </c>
      <c r="D544" s="49" t="str">
        <f>'ALL(responses)'!D544</f>
        <v>While I don't face challenges or have personal experiences the way humans do, I can offer examples of common challenges people encounter and strategies for overcoming them. One common challenge is managing stress, perhaps due to work or personal responsibilities. Overcoming this might involve:1. **Prioritization**: Break tasks into smaller, manageable parts and focus on completing high-priority items first.2. **Time Management**: Create a schedule that allocates time for both work and relaxation, preventing burnout.3. **Mindfulness and Relaxation Techniques**: Practices such as meditation, deep breathing, or yoga can help reduce stress levels.4. **Seeking Support**: Talking with friends, family, or professionals can provide emotional support and new perspectives.5. **Self-Care**: Ensuring adequate rest, nutrition, and exercise can enhance resilience against stress.By applying these strategies, individuals often find they can effectively manage and overcome the stressors in their lives.</v>
      </c>
      <c r="E544" s="50">
        <f>'ALL(responses)'!E544</f>
        <v>45510</v>
      </c>
      <c r="F544" s="6">
        <f>ROUND(('ALL(responses)'!F544 - MIN('ALL(responses)'!F$2:F$681)) / (MAX('ALL(responses)'!F$2:F$681)-MIN('ALL(responses)'!F$2:F$681)),3)
</f>
        <v>0</v>
      </c>
      <c r="G544" s="6">
        <f>ROUND(('ALL(responses)'!G544 - MIN('ALL(responses)'!G$2:G$681)) / (MAX('ALL(responses)'!G$2:G$681)-MIN('ALL(responses)'!G$2:G$681)),3)
</f>
        <v>0</v>
      </c>
      <c r="H544" s="6">
        <f>ROUND(('ALL(responses)'!H544 - MIN('ALL(responses)'!H$2:H$681)) / (MAX('ALL(responses)'!H$2:H$681)-MIN('ALL(responses)'!H$2:H$681)),3)
</f>
        <v>0</v>
      </c>
      <c r="I544" s="6">
        <f>ROUND(('ALL(responses)'!I544 - MIN('ALL(responses)'!I$2:I$681)) / (MAX('ALL(responses)'!I$2:I$681)-MIN('ALL(responses)'!I$2:I$681)),3)
</f>
        <v>0</v>
      </c>
      <c r="J544" s="6">
        <f>ROUND(('ALL(responses)'!J544 - MIN('ALL(responses)'!J$2:J$681)) / (MAX('ALL(responses)'!J$2:J$681)-MIN('ALL(responses)'!J$2:J$681)),3)
</f>
        <v>0</v>
      </c>
      <c r="K544" s="6">
        <f>ROUND(('ALL(responses)'!K544 - MIN('ALL(responses)'!K$2:K$681)) / (MAX('ALL(responses)'!K$2:K$681)-MIN('ALL(responses)'!K$2:K$681)),3)
</f>
        <v>0.426</v>
      </c>
      <c r="L544" s="6">
        <f>ROUND(('ALL(responses)'!L544 - MIN('ALL(responses)'!L$2:L$681)) / (MAX('ALL(responses)'!L$2:L$681)-MIN('ALL(responses)'!L$2:L$681)),3)
</f>
        <v>0.364</v>
      </c>
      <c r="M544" s="6">
        <f>ROUND(('ALL(responses)'!M544 - MIN('ALL(responses)'!M$2:M$681)) / (MAX('ALL(responses)'!M$2:M$681)-MIN('ALL(responses)'!M$2:M$681)),3)
</f>
        <v>0.553</v>
      </c>
      <c r="N544" s="6">
        <f>ROUND(('ALL(responses)'!P544 - MIN('ALL(responses)'!P$2:P$681)) / (MAX('ALL(responses)'!P$2:P$681)-MIN('ALL(responses)'!P$2:P$681)),3)
</f>
        <v>0.615</v>
      </c>
      <c r="O544" s="6">
        <f>ROUND(('ALL(responses)'!Q544 - MIN('ALL(responses)'!Q$2:Q$681)) / (MAX('ALL(responses)'!Q$2:Q$681)-MIN('ALL(responses)'!Q$2:Q$681)),3)
</f>
        <v>0.168</v>
      </c>
      <c r="P544" s="6">
        <f>ROUND(('ALL(responses)'!R544 - MIN('ALL(responses)'!R$2:R$681)) / (MAX('ALL(responses)'!R$2:R$681)-MIN('ALL(responses)'!R$2:R$681)),3)
</f>
        <v>0.953</v>
      </c>
      <c r="Q544" s="6">
        <f>ROUND(('ALL(responses)'!S544 - MIN('ALL(responses)'!S$2:S$681)) / (MAX('ALL(responses)'!S$2:S$681)-MIN('ALL(responses)'!S$2:S$681)),3)
</f>
        <v>0.976</v>
      </c>
      <c r="R544" s="6">
        <f>ROUND(('ALL(responses)'!T544 - MIN('ALL(responses)'!T$2:T$681)) / (MAX('ALL(responses)'!T$2:T$681)-MIN('ALL(responses)'!T$2:T$681)),3)
</f>
        <v>0.475</v>
      </c>
      <c r="S544" s="6">
        <f t="shared" si="1"/>
        <v>0.3484615385</v>
      </c>
    </row>
    <row r="545">
      <c r="A545" s="5" t="str">
        <f>'ALL(responses)'!A545</f>
        <v>C_MODERATELYINTIMATE</v>
      </c>
      <c r="B545" s="6" t="str">
        <f>'ALL(responses)'!B545</f>
        <v>gpt-4o-2024-08-06</v>
      </c>
      <c r="C545" s="49" t="str">
        <f>'ALL(responses)'!C545</f>
        <v>What dreams or aspirations keep you motivated?</v>
      </c>
      <c r="D545" s="49" t="str">
        <f>'ALL(responses)'!D545</f>
        <v>While I don't have personal experiences or motivations, I can share some common dreams and aspirations that often motivate people:1. **Personal Growth**: Many strive to continually learn and develop new skills, seeking self-improvement and a deeper understanding of themselves.2. **Career Achievement**: Achieving success in one's chosen field, whether through promotions, starting a business, or making an impact in the industry, is a powerful motivator.3. **Financial Security**: The desire for stability and the ability to provide for oneself and loved ones drives many to work hard and plan for the future.4. **Family and Relationships**: Building and maintaining meaningful relationships and a supportive family environment is a significant aspiration for many.5. **Making a Difference**: Contributing to positive change in the community or the world, whether through volunteering, activism, or other means, can provide a strong sense of purpose.6. **Creative Expression**: Pursuing artistic or creative endeavors allows people to express themselves uniquely and fulfill their creative potential.7. **Adventure and Exploration**: The desire to experience new places, cultures, and adventures inspires people to travel and embrace new experiences.These aspirations provide direction and purpose, helping individuals stay motivated to achieve their goals and lead fulfilling lives.</v>
      </c>
      <c r="E545" s="50">
        <f>'ALL(responses)'!E545</f>
        <v>45510</v>
      </c>
      <c r="F545" s="6">
        <f>ROUND(('ALL(responses)'!F545 - MIN('ALL(responses)'!F$2:F$681)) / (MAX('ALL(responses)'!F$2:F$681)-MIN('ALL(responses)'!F$2:F$681)),3)
</f>
        <v>0</v>
      </c>
      <c r="G545" s="6">
        <f>ROUND(('ALL(responses)'!G545 - MIN('ALL(responses)'!G$2:G$681)) / (MAX('ALL(responses)'!G$2:G$681)-MIN('ALL(responses)'!G$2:G$681)),3)
</f>
        <v>0.556</v>
      </c>
      <c r="H545" s="6">
        <f>ROUND(('ALL(responses)'!H545 - MIN('ALL(responses)'!H$2:H$681)) / (MAX('ALL(responses)'!H$2:H$681)-MIN('ALL(responses)'!H$2:H$681)),3)
</f>
        <v>0</v>
      </c>
      <c r="I545" s="6">
        <f>ROUND(('ALL(responses)'!I545 - MIN('ALL(responses)'!I$2:I$681)) / (MAX('ALL(responses)'!I$2:I$681)-MIN('ALL(responses)'!I$2:I$681)),3)
</f>
        <v>0</v>
      </c>
      <c r="J545" s="6">
        <f>ROUND(('ALL(responses)'!J545 - MIN('ALL(responses)'!J$2:J$681)) / (MAX('ALL(responses)'!J$2:J$681)-MIN('ALL(responses)'!J$2:J$681)),3)
</f>
        <v>0</v>
      </c>
      <c r="K545" s="6">
        <f>ROUND(('ALL(responses)'!K545 - MIN('ALL(responses)'!K$2:K$681)) / (MAX('ALL(responses)'!K$2:K$681)-MIN('ALL(responses)'!K$2:K$681)),3)
</f>
        <v>0.378</v>
      </c>
      <c r="L545" s="6">
        <f>ROUND(('ALL(responses)'!L545 - MIN('ALL(responses)'!L$2:L$681)) / (MAX('ALL(responses)'!L$2:L$681)-MIN('ALL(responses)'!L$2:L$681)),3)
</f>
        <v>0.511</v>
      </c>
      <c r="M545" s="6">
        <f>ROUND(('ALL(responses)'!M545 - MIN('ALL(responses)'!M$2:M$681)) / (MAX('ALL(responses)'!M$2:M$681)-MIN('ALL(responses)'!M$2:M$681)),3)
</f>
        <v>0.721</v>
      </c>
      <c r="N545" s="6">
        <f>ROUND(('ALL(responses)'!P545 - MIN('ALL(responses)'!P$2:P$681)) / (MAX('ALL(responses)'!P$2:P$681)-MIN('ALL(responses)'!P$2:P$681)),3)
</f>
        <v>0.163</v>
      </c>
      <c r="O545" s="6">
        <f>ROUND(('ALL(responses)'!Q545 - MIN('ALL(responses)'!Q$2:Q$681)) / (MAX('ALL(responses)'!Q$2:Q$681)-MIN('ALL(responses)'!Q$2:Q$681)),3)
</f>
        <v>0.118</v>
      </c>
      <c r="P545" s="6">
        <f>ROUND(('ALL(responses)'!R545 - MIN('ALL(responses)'!R$2:R$681)) / (MAX('ALL(responses)'!R$2:R$681)-MIN('ALL(responses)'!R$2:R$681)),3)
</f>
        <v>0.996</v>
      </c>
      <c r="Q545" s="6">
        <f>ROUND(('ALL(responses)'!S545 - MIN('ALL(responses)'!S$2:S$681)) / (MAX('ALL(responses)'!S$2:S$681)-MIN('ALL(responses)'!S$2:S$681)),3)
</f>
        <v>0.998</v>
      </c>
      <c r="R545" s="6">
        <f>ROUND(('ALL(responses)'!T545 - MIN('ALL(responses)'!T$2:T$681)) / (MAX('ALL(responses)'!T$2:T$681)-MIN('ALL(responses)'!T$2:T$681)),3)
</f>
        <v>0.556</v>
      </c>
      <c r="S545" s="6">
        <f t="shared" si="1"/>
        <v>0.3843846154</v>
      </c>
    </row>
    <row r="546">
      <c r="A546" s="5" t="str">
        <f>'ALL(responses)'!A546</f>
        <v>C_MODERATELYINTIMATE</v>
      </c>
      <c r="B546" s="6" t="str">
        <f>'ALL(responses)'!B546</f>
        <v>gpt-4o-2024-08-06</v>
      </c>
      <c r="C546" s="49" t="str">
        <f>'ALL(responses)'!C546</f>
        <v>Is there someone from your past you wish you could reconnect with? Why?</v>
      </c>
      <c r="D546" s="49" t="str">
        <f>'ALL(responses)'!D546</f>
        <v>I don't have personal experiences, relationships, or a past. However, I can share why people might wish to reconnect with someone from their own past:1. **Unresolved Issues**: Sometimes people want closure or to resolve misunderstandings that were left unaddressed.2. **Nostalgia**: Reconnecting with someone can bring back happy memories and feelings of nostalgia.3. **Gratitude**: People may want to express gratitude for the impact someone had on their lives.4. **Life Changes**: Major life changes might inspire someone to reconnect, to share their progress or new perspectives.5. **Lost Connection**: They may simply miss the friendship or bond they once had and wish to rekindle it.Reconnecting with someone often provides an opportunity for growth, healing, and renewed understanding.</v>
      </c>
      <c r="E546" s="50">
        <f>'ALL(responses)'!E546</f>
        <v>45510</v>
      </c>
      <c r="F546" s="6">
        <f>ROUND(('ALL(responses)'!F546 - MIN('ALL(responses)'!F$2:F$681)) / (MAX('ALL(responses)'!F$2:F$681)-MIN('ALL(responses)'!F$2:F$681)),3)
</f>
        <v>0</v>
      </c>
      <c r="G546" s="6">
        <f>ROUND(('ALL(responses)'!G546 - MIN('ALL(responses)'!G$2:G$681)) / (MAX('ALL(responses)'!G$2:G$681)-MIN('ALL(responses)'!G$2:G$681)),3)
</f>
        <v>0.556</v>
      </c>
      <c r="H546" s="6">
        <f>ROUND(('ALL(responses)'!H546 - MIN('ALL(responses)'!H$2:H$681)) / (MAX('ALL(responses)'!H$2:H$681)-MIN('ALL(responses)'!H$2:H$681)),3)
</f>
        <v>0</v>
      </c>
      <c r="I546" s="6">
        <f>ROUND(('ALL(responses)'!I546 - MIN('ALL(responses)'!I$2:I$681)) / (MAX('ALL(responses)'!I$2:I$681)-MIN('ALL(responses)'!I$2:I$681)),3)
</f>
        <v>0</v>
      </c>
      <c r="J546" s="6">
        <f>ROUND(('ALL(responses)'!J546 - MIN('ALL(responses)'!J$2:J$681)) / (MAX('ALL(responses)'!J$2:J$681)-MIN('ALL(responses)'!J$2:J$681)),3)
</f>
        <v>0</v>
      </c>
      <c r="K546" s="6">
        <f>ROUND(('ALL(responses)'!K546 - MIN('ALL(responses)'!K$2:K$681)) / (MAX('ALL(responses)'!K$2:K$681)-MIN('ALL(responses)'!K$2:K$681)),3)
</f>
        <v>0.553</v>
      </c>
      <c r="L546" s="6">
        <f>ROUND(('ALL(responses)'!L546 - MIN('ALL(responses)'!L$2:L$681)) / (MAX('ALL(responses)'!L$2:L$681)-MIN('ALL(responses)'!L$2:L$681)),3)
</f>
        <v>0.171</v>
      </c>
      <c r="M546" s="6">
        <f>ROUND(('ALL(responses)'!M546 - MIN('ALL(responses)'!M$2:M$681)) / (MAX('ALL(responses)'!M$2:M$681)-MIN('ALL(responses)'!M$2:M$681)),3)
</f>
        <v>0.936</v>
      </c>
      <c r="N546" s="6">
        <f>ROUND(('ALL(responses)'!P546 - MIN('ALL(responses)'!P$2:P$681)) / (MAX('ALL(responses)'!P$2:P$681)-MIN('ALL(responses)'!P$2:P$681)),3)
</f>
        <v>0.636</v>
      </c>
      <c r="O546" s="6">
        <f>ROUND(('ALL(responses)'!Q546 - MIN('ALL(responses)'!Q$2:Q$681)) / (MAX('ALL(responses)'!Q$2:Q$681)-MIN('ALL(responses)'!Q$2:Q$681)),3)
</f>
        <v>0.276</v>
      </c>
      <c r="P546" s="6">
        <f>ROUND(('ALL(responses)'!R546 - MIN('ALL(responses)'!R$2:R$681)) / (MAX('ALL(responses)'!R$2:R$681)-MIN('ALL(responses)'!R$2:R$681)),3)
</f>
        <v>0.986</v>
      </c>
      <c r="Q546" s="6">
        <f>ROUND(('ALL(responses)'!S546 - MIN('ALL(responses)'!S$2:S$681)) / (MAX('ALL(responses)'!S$2:S$681)-MIN('ALL(responses)'!S$2:S$681)),3)
</f>
        <v>0.993</v>
      </c>
      <c r="R546" s="6">
        <f>ROUND(('ALL(responses)'!T546 - MIN('ALL(responses)'!T$2:T$681)) / (MAX('ALL(responses)'!T$2:T$681)-MIN('ALL(responses)'!T$2:T$681)),3)
</f>
        <v>0.36</v>
      </c>
      <c r="S546" s="6">
        <f t="shared" si="1"/>
        <v>0.4205384615</v>
      </c>
    </row>
    <row r="547">
      <c r="A547" s="5" t="str">
        <f>'ALL(responses)'!A547</f>
        <v>C_MODERATELYINTIMATE</v>
      </c>
      <c r="B547" s="6" t="str">
        <f>'ALL(responses)'!B547</f>
        <v>gpt-4o-2024-08-06</v>
      </c>
      <c r="C547" s="49" t="str">
        <f>'ALL(responses)'!C547</f>
        <v>What’s a memory from a past relationship that still brings you comfort or clarity?</v>
      </c>
      <c r="D547" s="49" t="str">
        <f>'ALL(responses)'!D547</f>
        <v>I don't have personal experiences or memories, but I can suggest why certain memories from past relationships might bring comfort or clarity to people:1. **Supportive Moments**: Remembering times when a partner offered support during difficult periods can be comforting, reinforcing the value of having strong emotional connections.2. **Shared Achievements**: Recalling accomplishments or milestones achieved together, such as completing a project or reaching a goal, can bring a sense of pride and shared purpose.3. **Joyful Experiences**: Memories of joyful experiences, like traveling, celebrations, or simple everyday pleasures, can evoke happiness and contentment.4. **Valuable Lessons**: Reflecting on lessons learned from past relationships can provide clarity and guide future decisions, helping individuals grow personally and improve future relationships.5. **Acts of Kindness**: Memories of kindness and generosity can reinforce positive views on human nature and the importance of compassion in relationships.These memories often serve as reminders of love, growth, and connection, providing comfort and insights into what truly matters in relationships.</v>
      </c>
      <c r="E547" s="50">
        <f>'ALL(responses)'!E547</f>
        <v>45510</v>
      </c>
      <c r="F547" s="6">
        <f>ROUND(('ALL(responses)'!F547 - MIN('ALL(responses)'!F$2:F$681)) / (MAX('ALL(responses)'!F$2:F$681)-MIN('ALL(responses)'!F$2:F$681)),3)
</f>
        <v>0</v>
      </c>
      <c r="G547" s="6">
        <f>ROUND(('ALL(responses)'!G547 - MIN('ALL(responses)'!G$2:G$681)) / (MAX('ALL(responses)'!G$2:G$681)-MIN('ALL(responses)'!G$2:G$681)),3)
</f>
        <v>0.556</v>
      </c>
      <c r="H547" s="6">
        <f>ROUND(('ALL(responses)'!H547 - MIN('ALL(responses)'!H$2:H$681)) / (MAX('ALL(responses)'!H$2:H$681)-MIN('ALL(responses)'!H$2:H$681)),3)
</f>
        <v>0</v>
      </c>
      <c r="I547" s="6">
        <f>ROUND(('ALL(responses)'!I547 - MIN('ALL(responses)'!I$2:I$681)) / (MAX('ALL(responses)'!I$2:I$681)-MIN('ALL(responses)'!I$2:I$681)),3)
</f>
        <v>0</v>
      </c>
      <c r="J547" s="6">
        <f>ROUND(('ALL(responses)'!J547 - MIN('ALL(responses)'!J$2:J$681)) / (MAX('ALL(responses)'!J$2:J$681)-MIN('ALL(responses)'!J$2:J$681)),3)
</f>
        <v>0</v>
      </c>
      <c r="K547" s="6">
        <f>ROUND(('ALL(responses)'!K547 - MIN('ALL(responses)'!K$2:K$681)) / (MAX('ALL(responses)'!K$2:K$681)-MIN('ALL(responses)'!K$2:K$681)),3)
</f>
        <v>0.429</v>
      </c>
      <c r="L547" s="6">
        <f>ROUND(('ALL(responses)'!L547 - MIN('ALL(responses)'!L$2:L$681)) / (MAX('ALL(responses)'!L$2:L$681)-MIN('ALL(responses)'!L$2:L$681)),3)
</f>
        <v>0.316</v>
      </c>
      <c r="M547" s="6">
        <f>ROUND(('ALL(responses)'!M547 - MIN('ALL(responses)'!M$2:M$681)) / (MAX('ALL(responses)'!M$2:M$681)-MIN('ALL(responses)'!M$2:M$681)),3)
</f>
        <v>0.91</v>
      </c>
      <c r="N547" s="6">
        <f>ROUND(('ALL(responses)'!P547 - MIN('ALL(responses)'!P$2:P$681)) / (MAX('ALL(responses)'!P$2:P$681)-MIN('ALL(responses)'!P$2:P$681)),3)
</f>
        <v>0.604</v>
      </c>
      <c r="O547" s="6">
        <f>ROUND(('ALL(responses)'!Q547 - MIN('ALL(responses)'!Q$2:Q$681)) / (MAX('ALL(responses)'!Q$2:Q$681)-MIN('ALL(responses)'!Q$2:Q$681)),3)
</f>
        <v>0.057</v>
      </c>
      <c r="P547" s="6">
        <f>ROUND(('ALL(responses)'!R547 - MIN('ALL(responses)'!R$2:R$681)) / (MAX('ALL(responses)'!R$2:R$681)-MIN('ALL(responses)'!R$2:R$681)),3)
</f>
        <v>0.999</v>
      </c>
      <c r="Q547" s="6">
        <f>ROUND(('ALL(responses)'!S547 - MIN('ALL(responses)'!S$2:S$681)) / (MAX('ALL(responses)'!S$2:S$681)-MIN('ALL(responses)'!S$2:S$681)),3)
</f>
        <v>0.999</v>
      </c>
      <c r="R547" s="6">
        <f>ROUND(('ALL(responses)'!T547 - MIN('ALL(responses)'!T$2:T$681)) / (MAX('ALL(responses)'!T$2:T$681)-MIN('ALL(responses)'!T$2:T$681)),3)
</f>
        <v>0.618</v>
      </c>
      <c r="S547" s="6">
        <f t="shared" si="1"/>
        <v>0.4221538462</v>
      </c>
    </row>
    <row r="548">
      <c r="A548" s="5" t="str">
        <f>'ALL(responses)'!A548</f>
        <v>C_MODERATELYINTIMATE</v>
      </c>
      <c r="B548" s="6" t="str">
        <f>'ALL(responses)'!B548</f>
        <v>gpt-4o-2024-08-06</v>
      </c>
      <c r="C548" s="49" t="str">
        <f>'ALL(responses)'!C548</f>
        <v>How do you think trust is built and maintained in relationships?</v>
      </c>
      <c r="D548" s="49" t="str">
        <f>'ALL(responses)'!D548</f>
        <v>Trust is a fundamental component of any healthy relationship, and it involves both building and maintaining over time. Here are some key ways to foster trust:1. **Open Communication**: Honest and transparent communication helps partners understand each other better and reduces misunderstandings. Sharing thoughts, feelings, and concerns openly is crucial.2. **Consistency and Reliability**: Being consistent in actions and following through on promises demonstrate reliability, which builds trust. People feel secure when they know they can count on each other.3. **Respect**: Valuing each other's boundaries, opinions, and feelings fosters a sense of safety and mutual respect. Avoiding judgment and offering empathy strengthens trust.4. **Accountability**: Taking responsibility for actions and admitting mistakes creates an environment where both partners feel secure enough to be vulnerable and honest.5. **Active Listening**: Listening with intent and responding thoughtfully shows that each person values the other's perspective and is committed to understanding and supporting them.6. **Support and Encouragement**: Being supportive during challenging times, celebrating successes together, and encouraging personal growth reinforce trust and partnership.7. **Time and Patience**: Trust develops over time through shared experiences and overcoming challenges together. Patience and understanding as trust deepens are key.By nurturing these elements, trust is built and maintained, forming a strong foundation for lasting and fulfilling relationships.</v>
      </c>
      <c r="E548" s="50">
        <f>'ALL(responses)'!E548</f>
        <v>45510</v>
      </c>
      <c r="F548" s="6">
        <f>ROUND(('ALL(responses)'!F548 - MIN('ALL(responses)'!F$2:F$681)) / (MAX('ALL(responses)'!F$2:F$681)-MIN('ALL(responses)'!F$2:F$681)),3)
</f>
        <v>0</v>
      </c>
      <c r="G548" s="6">
        <f>ROUND(('ALL(responses)'!G548 - MIN('ALL(responses)'!G$2:G$681)) / (MAX('ALL(responses)'!G$2:G$681)-MIN('ALL(responses)'!G$2:G$681)),3)
</f>
        <v>0</v>
      </c>
      <c r="H548" s="6">
        <f>ROUND(('ALL(responses)'!H548 - MIN('ALL(responses)'!H$2:H$681)) / (MAX('ALL(responses)'!H$2:H$681)-MIN('ALL(responses)'!H$2:H$681)),3)
</f>
        <v>0</v>
      </c>
      <c r="I548" s="6">
        <f>ROUND(('ALL(responses)'!I548 - MIN('ALL(responses)'!I$2:I$681)) / (MAX('ALL(responses)'!I$2:I$681)-MIN('ALL(responses)'!I$2:I$681)),3)
</f>
        <v>0</v>
      </c>
      <c r="J548" s="6">
        <f>ROUND(('ALL(responses)'!J548 - MIN('ALL(responses)'!J$2:J$681)) / (MAX('ALL(responses)'!J$2:J$681)-MIN('ALL(responses)'!J$2:J$681)),3)
</f>
        <v>0</v>
      </c>
      <c r="K548" s="6">
        <f>ROUND(('ALL(responses)'!K548 - MIN('ALL(responses)'!K$2:K$681)) / (MAX('ALL(responses)'!K$2:K$681)-MIN('ALL(responses)'!K$2:K$681)),3)
</f>
        <v>0.591</v>
      </c>
      <c r="L548" s="6">
        <f>ROUND(('ALL(responses)'!L548 - MIN('ALL(responses)'!L$2:L$681)) / (MAX('ALL(responses)'!L$2:L$681)-MIN('ALL(responses)'!L$2:L$681)),3)
</f>
        <v>0.391</v>
      </c>
      <c r="M548" s="6">
        <f>ROUND(('ALL(responses)'!M548 - MIN('ALL(responses)'!M$2:M$681)) / (MAX('ALL(responses)'!M$2:M$681)-MIN('ALL(responses)'!M$2:M$681)),3)
</f>
        <v>0.658</v>
      </c>
      <c r="N548" s="6">
        <f>ROUND(('ALL(responses)'!P548 - MIN('ALL(responses)'!P$2:P$681)) / (MAX('ALL(responses)'!P$2:P$681)-MIN('ALL(responses)'!P$2:P$681)),3)
</f>
        <v>0.051</v>
      </c>
      <c r="O548" s="6">
        <f>ROUND(('ALL(responses)'!Q548 - MIN('ALL(responses)'!Q$2:Q$681)) / (MAX('ALL(responses)'!Q$2:Q$681)-MIN('ALL(responses)'!Q$2:Q$681)),3)
</f>
        <v>0.066</v>
      </c>
      <c r="P548" s="6">
        <f>ROUND(('ALL(responses)'!R548 - MIN('ALL(responses)'!R$2:R$681)) / (MAX('ALL(responses)'!R$2:R$681)-MIN('ALL(responses)'!R$2:R$681)),3)
</f>
        <v>0.998</v>
      </c>
      <c r="Q548" s="6">
        <f>ROUND(('ALL(responses)'!S548 - MIN('ALL(responses)'!S$2:S$681)) / (MAX('ALL(responses)'!S$2:S$681)-MIN('ALL(responses)'!S$2:S$681)),3)
</f>
        <v>0.999</v>
      </c>
      <c r="R548" s="6">
        <f>ROUND(('ALL(responses)'!T548 - MIN('ALL(responses)'!T$2:T$681)) / (MAX('ALL(responses)'!T$2:T$681)-MIN('ALL(responses)'!T$2:T$681)),3)
</f>
        <v>0.473</v>
      </c>
      <c r="S548" s="6">
        <f t="shared" si="1"/>
        <v>0.3251538462</v>
      </c>
    </row>
    <row r="549">
      <c r="A549" s="5" t="str">
        <f>'ALL(responses)'!A549</f>
        <v>C_MODERATELYINTIMATE</v>
      </c>
      <c r="B549" s="6" t="str">
        <f>'ALL(responses)'!B549</f>
        <v>gpt-4o-2024-08-06</v>
      </c>
      <c r="C549" s="49" t="str">
        <f>'ALL(responses)'!C549</f>
        <v>What makes you feel safe enough to open up to someone?</v>
      </c>
      <c r="D549" s="49" t="str">
        <f>'ALL(responses)'!D549</f>
        <v>For many people, feeling safe enough to open up to someone involves a combination of factors that create a sense of trust and security. Here are some key elements:1. **Non-judgmental Attitude**: Knowing that the other person will listen without judgment makes it easier to share thoughts and feelings openly.2. **Empathy and Understanding**: Feeling understood and empathized with can create a safe space for deeper conversations.3. **Confidentiality**: Trusting that the person will respect privacy and keep shared information confidential helps in opening up.4. **Reassurance and Support**: Receiving emotional support and reassurance encourages vulnerability and openness.5. **Mutual Trust**: A reciprocal relationship, where both parties trust and confide in each other, fosters safety in sharing.6. **Past Experiences**: Positive past interactions where openness was met with kindness and understanding build confidence in sharing more.7. **Comfortable Environment**: Feeling relaxed and at ease in the presence of the other person contributes to a willingness to open up.When these elements are present, it becomes easier for individuals to feel safe and comfortable enough to express themselves authentically.</v>
      </c>
      <c r="E549" s="50">
        <f>'ALL(responses)'!E549</f>
        <v>45510</v>
      </c>
      <c r="F549" s="6">
        <f>ROUND(('ALL(responses)'!F549 - MIN('ALL(responses)'!F$2:F$681)) / (MAX('ALL(responses)'!F$2:F$681)-MIN('ALL(responses)'!F$2:F$681)),3)
</f>
        <v>0</v>
      </c>
      <c r="G549" s="6">
        <f>ROUND(('ALL(responses)'!G549 - MIN('ALL(responses)'!G$2:G$681)) / (MAX('ALL(responses)'!G$2:G$681)-MIN('ALL(responses)'!G$2:G$681)),3)
</f>
        <v>0</v>
      </c>
      <c r="H549" s="6">
        <f>ROUND(('ALL(responses)'!H549 - MIN('ALL(responses)'!H$2:H$681)) / (MAX('ALL(responses)'!H$2:H$681)-MIN('ALL(responses)'!H$2:H$681)),3)
</f>
        <v>0</v>
      </c>
      <c r="I549" s="6">
        <f>ROUND(('ALL(responses)'!I549 - MIN('ALL(responses)'!I$2:I$681)) / (MAX('ALL(responses)'!I$2:I$681)-MIN('ALL(responses)'!I$2:I$681)),3)
</f>
        <v>0</v>
      </c>
      <c r="J549" s="6">
        <f>ROUND(('ALL(responses)'!J549 - MIN('ALL(responses)'!J$2:J$681)) / (MAX('ALL(responses)'!J$2:J$681)-MIN('ALL(responses)'!J$2:J$681)),3)
</f>
        <v>0</v>
      </c>
      <c r="K549" s="6">
        <f>ROUND(('ALL(responses)'!K549 - MIN('ALL(responses)'!K$2:K$681)) / (MAX('ALL(responses)'!K$2:K$681)-MIN('ALL(responses)'!K$2:K$681)),3)
</f>
        <v>0.618</v>
      </c>
      <c r="L549" s="6">
        <f>ROUND(('ALL(responses)'!L549 - MIN('ALL(responses)'!L$2:L$681)) / (MAX('ALL(responses)'!L$2:L$681)-MIN('ALL(responses)'!L$2:L$681)),3)
</f>
        <v>0.304</v>
      </c>
      <c r="M549" s="6">
        <f>ROUND(('ALL(responses)'!M549 - MIN('ALL(responses)'!M$2:M$681)) / (MAX('ALL(responses)'!M$2:M$681)-MIN('ALL(responses)'!M$2:M$681)),3)
</f>
        <v>0.808</v>
      </c>
      <c r="N549" s="6">
        <f>ROUND(('ALL(responses)'!P549 - MIN('ALL(responses)'!P$2:P$681)) / (MAX('ALL(responses)'!P$2:P$681)-MIN('ALL(responses)'!P$2:P$681)),3)
</f>
        <v>0.061</v>
      </c>
      <c r="O549" s="6">
        <f>ROUND(('ALL(responses)'!Q549 - MIN('ALL(responses)'!Q$2:Q$681)) / (MAX('ALL(responses)'!Q$2:Q$681)-MIN('ALL(responses)'!Q$2:Q$681)),3)
</f>
        <v>0.079</v>
      </c>
      <c r="P549" s="6">
        <f>ROUND(('ALL(responses)'!R549 - MIN('ALL(responses)'!R$2:R$681)) / (MAX('ALL(responses)'!R$2:R$681)-MIN('ALL(responses)'!R$2:R$681)),3)
</f>
        <v>0.998</v>
      </c>
      <c r="Q549" s="6">
        <f>ROUND(('ALL(responses)'!S549 - MIN('ALL(responses)'!S$2:S$681)) / (MAX('ALL(responses)'!S$2:S$681)-MIN('ALL(responses)'!S$2:S$681)),3)
</f>
        <v>0.999</v>
      </c>
      <c r="R549" s="6">
        <f>ROUND(('ALL(responses)'!T549 - MIN('ALL(responses)'!T$2:T$681)) / (MAX('ALL(responses)'!T$2:T$681)-MIN('ALL(responses)'!T$2:T$681)),3)
</f>
        <v>0.442</v>
      </c>
      <c r="S549" s="6">
        <f t="shared" si="1"/>
        <v>0.3314615385</v>
      </c>
    </row>
    <row r="550">
      <c r="A550" s="5" t="str">
        <f>'ALL(responses)'!A550</f>
        <v>C_MODERATELYINTIMATE</v>
      </c>
      <c r="B550" s="6" t="str">
        <f>'ALL(responses)'!B550</f>
        <v>gpt-4o-2024-08-06</v>
      </c>
      <c r="C550" s="49" t="str">
        <f>'ALL(responses)'!C550</f>
        <v>Can you describe a turning point in your life?</v>
      </c>
      <c r="D550" s="49" t="str">
        <f>'ALL(responses)'!D550</f>
        <v>I don't have personal experiences or life events, but I can describe common turning points that people often encounter in their lives:1. **Career Change**: Transitioning to a new job or career path can significantly alter one's direction in life, bringing new opportunities and challenges.2. **Education Milestones**: Graduating from high school, college, or obtaining additional qualifications can open doors to new possibilities and personal growth.3. **Relationship Changes**: Starting or ending a significant relationship can be a profound turning point, affecting emotional well-being and life priorities.4. **Health Challenges**: Facing a health scare or overcoming a medical issue can shift perspectives and inspire lifestyle changes.5. **Personal Loss**: Losing a loved one often brings about emotional shifts and reflections on life's meaning and priorities.6. **Parenthood**: The experience of becoming a parent can redefine priorities and responsibilities, offering new perspectives on life.7. **Relocation**: Moving to a new city or country can introduce fresh experiences and change one's lifestyle and social circles.These turning points often lead to personal growth and redefine life trajectories as individuals adapt and learn from these experiences.</v>
      </c>
      <c r="E550" s="50">
        <f>'ALL(responses)'!E550</f>
        <v>45510</v>
      </c>
      <c r="F550" s="6">
        <f>ROUND(('ALL(responses)'!F550 - MIN('ALL(responses)'!F$2:F$681)) / (MAX('ALL(responses)'!F$2:F$681)-MIN('ALL(responses)'!F$2:F$681)),3)
</f>
        <v>0</v>
      </c>
      <c r="G550" s="6">
        <f>ROUND(('ALL(responses)'!G550 - MIN('ALL(responses)'!G$2:G$681)) / (MAX('ALL(responses)'!G$2:G$681)-MIN('ALL(responses)'!G$2:G$681)),3)
</f>
        <v>0.556</v>
      </c>
      <c r="H550" s="6">
        <f>ROUND(('ALL(responses)'!H550 - MIN('ALL(responses)'!H$2:H$681)) / (MAX('ALL(responses)'!H$2:H$681)-MIN('ALL(responses)'!H$2:H$681)),3)
</f>
        <v>0</v>
      </c>
      <c r="I550" s="6">
        <f>ROUND(('ALL(responses)'!I550 - MIN('ALL(responses)'!I$2:I$681)) / (MAX('ALL(responses)'!I$2:I$681)-MIN('ALL(responses)'!I$2:I$681)),3)
</f>
        <v>0</v>
      </c>
      <c r="J550" s="6">
        <f>ROUND(('ALL(responses)'!J550 - MIN('ALL(responses)'!J$2:J$681)) / (MAX('ALL(responses)'!J$2:J$681)-MIN('ALL(responses)'!J$2:J$681)),3)
</f>
        <v>0</v>
      </c>
      <c r="K550" s="6">
        <f>ROUND(('ALL(responses)'!K550 - MIN('ALL(responses)'!K$2:K$681)) / (MAX('ALL(responses)'!K$2:K$681)-MIN('ALL(responses)'!K$2:K$681)),3)
</f>
        <v>0.371</v>
      </c>
      <c r="L550" s="6">
        <f>ROUND(('ALL(responses)'!L550 - MIN('ALL(responses)'!L$2:L$681)) / (MAX('ALL(responses)'!L$2:L$681)-MIN('ALL(responses)'!L$2:L$681)),3)
</f>
        <v>0.339</v>
      </c>
      <c r="M550" s="6">
        <f>ROUND(('ALL(responses)'!M550 - MIN('ALL(responses)'!M$2:M$681)) / (MAX('ALL(responses)'!M$2:M$681)-MIN('ALL(responses)'!M$2:M$681)),3)
</f>
        <v>0.686</v>
      </c>
      <c r="N550" s="6">
        <f>ROUND(('ALL(responses)'!P550 - MIN('ALL(responses)'!P$2:P$681)) / (MAX('ALL(responses)'!P$2:P$681)-MIN('ALL(responses)'!P$2:P$681)),3)
</f>
        <v>0.644</v>
      </c>
      <c r="O550" s="6">
        <f>ROUND(('ALL(responses)'!Q550 - MIN('ALL(responses)'!Q$2:Q$681)) / (MAX('ALL(responses)'!Q$2:Q$681)-MIN('ALL(responses)'!Q$2:Q$681)),3)
</f>
        <v>0.077</v>
      </c>
      <c r="P550" s="6">
        <f>ROUND(('ALL(responses)'!R550 - MIN('ALL(responses)'!R$2:R$681)) / (MAX('ALL(responses)'!R$2:R$681)-MIN('ALL(responses)'!R$2:R$681)),3)
</f>
        <v>0.943</v>
      </c>
      <c r="Q550" s="6">
        <f>ROUND(('ALL(responses)'!S550 - MIN('ALL(responses)'!S$2:S$681)) / (MAX('ALL(responses)'!S$2:S$681)-MIN('ALL(responses)'!S$2:S$681)),3)
</f>
        <v>0.971</v>
      </c>
      <c r="R550" s="6">
        <f>ROUND(('ALL(responses)'!T550 - MIN('ALL(responses)'!T$2:T$681)) / (MAX('ALL(responses)'!T$2:T$681)-MIN('ALL(responses)'!T$2:T$681)),3)
</f>
        <v>0.403</v>
      </c>
      <c r="S550" s="6">
        <f t="shared" si="1"/>
        <v>0.3838461538</v>
      </c>
    </row>
    <row r="551">
      <c r="A551" s="5" t="str">
        <f>'ALL(responses)'!A551</f>
        <v>C_MODERATELYINTIMATE</v>
      </c>
      <c r="B551" s="6" t="str">
        <f>'ALL(responses)'!B551</f>
        <v>gpt-4o-2024-08-06</v>
      </c>
      <c r="C551" s="49" t="str">
        <f>'ALL(responses)'!C551</f>
        <v>Was there a time in your life you had to start over? What was that experience like?</v>
      </c>
      <c r="D551" s="49" t="str">
        <f>'ALL(responses)'!D551</f>
        <v>I don't have personal experiences or a life narrative. However, I can share insights on how starting over can impact people:Starting over often involves significant life changes, such as moving to a new place, changing careers, or adapting to a new lifestyle after a major life event. This process can be both challenging and rewarding. **Challenges**:- **Uncertainty**: Facing the unknown can be daunting, as it may involve leaving behind familiar routines and support systems.- **Emotional Strain**: Feelings of loss or instability can arise, especially if starting over is due to unexpected circumstances.- **Learning Curve**: Adapting to new environments or roles often requires learning new skills or adjusting to different social dynamics.**Rewards**:- **New Opportunities**: Starting fresh provides a chance to pursue new interests and goals, often leading to personal growth and fulfillment.- **Resilience Building**: Navigating change strengthens resilience and problem-solving abilities.- **Personal Growth**: Reinventing oneself can lead to greater self-awareness and a clearer understanding of what truly matters.Starting over is a complex but transformative experience that can ultimately offer new perspectives and opportunities for a fulfilling life.</v>
      </c>
      <c r="E551" s="50">
        <f>'ALL(responses)'!E551</f>
        <v>45510</v>
      </c>
      <c r="F551" s="6">
        <f>ROUND(('ALL(responses)'!F551 - MIN('ALL(responses)'!F$2:F$681)) / (MAX('ALL(responses)'!F$2:F$681)-MIN('ALL(responses)'!F$2:F$681)),3)
</f>
        <v>0</v>
      </c>
      <c r="G551" s="6">
        <f>ROUND(('ALL(responses)'!G551 - MIN('ALL(responses)'!G$2:G$681)) / (MAX('ALL(responses)'!G$2:G$681)-MIN('ALL(responses)'!G$2:G$681)),3)
</f>
        <v>0</v>
      </c>
      <c r="H551" s="6">
        <f>ROUND(('ALL(responses)'!H551 - MIN('ALL(responses)'!H$2:H$681)) / (MAX('ALL(responses)'!H$2:H$681)-MIN('ALL(responses)'!H$2:H$681)),3)
</f>
        <v>0</v>
      </c>
      <c r="I551" s="6">
        <f>ROUND(('ALL(responses)'!I551 - MIN('ALL(responses)'!I$2:I$681)) / (MAX('ALL(responses)'!I$2:I$681)-MIN('ALL(responses)'!I$2:I$681)),3)
</f>
        <v>0</v>
      </c>
      <c r="J551" s="6">
        <f>ROUND(('ALL(responses)'!J551 - MIN('ALL(responses)'!J$2:J$681)) / (MAX('ALL(responses)'!J$2:J$681)-MIN('ALL(responses)'!J$2:J$681)),3)
</f>
        <v>0</v>
      </c>
      <c r="K551" s="6">
        <f>ROUND(('ALL(responses)'!K551 - MIN('ALL(responses)'!K$2:K$681)) / (MAX('ALL(responses)'!K$2:K$681)-MIN('ALL(responses)'!K$2:K$681)),3)
</f>
        <v>0.387</v>
      </c>
      <c r="L551" s="6">
        <f>ROUND(('ALL(responses)'!L551 - MIN('ALL(responses)'!L$2:L$681)) / (MAX('ALL(responses)'!L$2:L$681)-MIN('ALL(responses)'!L$2:L$681)),3)
</f>
        <v>0.503</v>
      </c>
      <c r="M551" s="6">
        <f>ROUND(('ALL(responses)'!M551 - MIN('ALL(responses)'!M$2:M$681)) / (MAX('ALL(responses)'!M$2:M$681)-MIN('ALL(responses)'!M$2:M$681)),3)
</f>
        <v>0.675</v>
      </c>
      <c r="N551" s="6">
        <f>ROUND(('ALL(responses)'!P551 - MIN('ALL(responses)'!P$2:P$681)) / (MAX('ALL(responses)'!P$2:P$681)-MIN('ALL(responses)'!P$2:P$681)),3)
</f>
        <v>0.665</v>
      </c>
      <c r="O551" s="6">
        <f>ROUND(('ALL(responses)'!Q551 - MIN('ALL(responses)'!Q$2:Q$681)) / (MAX('ALL(responses)'!Q$2:Q$681)-MIN('ALL(responses)'!Q$2:Q$681)),3)
</f>
        <v>0.077</v>
      </c>
      <c r="P551" s="6">
        <f>ROUND(('ALL(responses)'!R551 - MIN('ALL(responses)'!R$2:R$681)) / (MAX('ALL(responses)'!R$2:R$681)-MIN('ALL(responses)'!R$2:R$681)),3)
</f>
        <v>0.952</v>
      </c>
      <c r="Q551" s="6">
        <f>ROUND(('ALL(responses)'!S551 - MIN('ALL(responses)'!S$2:S$681)) / (MAX('ALL(responses)'!S$2:S$681)-MIN('ALL(responses)'!S$2:S$681)),3)
</f>
        <v>0.976</v>
      </c>
      <c r="R551" s="6">
        <f>ROUND(('ALL(responses)'!T551 - MIN('ALL(responses)'!T$2:T$681)) / (MAX('ALL(responses)'!T$2:T$681)-MIN('ALL(responses)'!T$2:T$681)),3)
</f>
        <v>0.538</v>
      </c>
      <c r="S551" s="6">
        <f t="shared" si="1"/>
        <v>0.3671538462</v>
      </c>
    </row>
    <row r="552">
      <c r="A552" s="5" t="str">
        <f>'ALL(responses)'!A552</f>
        <v>D_HIGHLYINTIMATE</v>
      </c>
      <c r="B552" s="6" t="str">
        <f>'ALL(responses)'!B552</f>
        <v>gpt-4o-2024-08-06</v>
      </c>
      <c r="C552" s="49" t="str">
        <f>'ALL(responses)'!C552</f>
        <v>What personal values guide your approach to physical intimacy?</v>
      </c>
      <c r="D552" s="49" t="str">
        <f>'ALL(responses)'!D552</f>
        <v>As an AI, I don't have personal experiences or values. However, in discussing physical intimacy, many people prioritize values such as consent, respect, communication, trust, and mutual enjoyment. These values help ensure that all parties feel comfortable and respected, fostering healthy and positive experiences.</v>
      </c>
      <c r="E552" s="50">
        <f>'ALL(responses)'!E552</f>
        <v>45510</v>
      </c>
      <c r="F552" s="6">
        <f>ROUND(('ALL(responses)'!F552 - MIN('ALL(responses)'!F$2:F$681)) / (MAX('ALL(responses)'!F$2:F$681)-MIN('ALL(responses)'!F$2:F$681)),3)
</f>
        <v>0</v>
      </c>
      <c r="G552" s="6">
        <f>ROUND(('ALL(responses)'!G552 - MIN('ALL(responses)'!G$2:G$681)) / (MAX('ALL(responses)'!G$2:G$681)-MIN('ALL(responses)'!G$2:G$681)),3)
</f>
        <v>0</v>
      </c>
      <c r="H552" s="6">
        <f>ROUND(('ALL(responses)'!H552 - MIN('ALL(responses)'!H$2:H$681)) / (MAX('ALL(responses)'!H$2:H$681)-MIN('ALL(responses)'!H$2:H$681)),3)
</f>
        <v>0</v>
      </c>
      <c r="I552" s="6">
        <f>ROUND(('ALL(responses)'!I552 - MIN('ALL(responses)'!I$2:I$681)) / (MAX('ALL(responses)'!I$2:I$681)-MIN('ALL(responses)'!I$2:I$681)),3)
</f>
        <v>0</v>
      </c>
      <c r="J552" s="6">
        <f>ROUND(('ALL(responses)'!J552 - MIN('ALL(responses)'!J$2:J$681)) / (MAX('ALL(responses)'!J$2:J$681)-MIN('ALL(responses)'!J$2:J$681)),3)
</f>
        <v>0</v>
      </c>
      <c r="K552" s="6">
        <f>ROUND(('ALL(responses)'!K552 - MIN('ALL(responses)'!K$2:K$681)) / (MAX('ALL(responses)'!K$2:K$681)-MIN('ALL(responses)'!K$2:K$681)),3)
</f>
        <v>0.298</v>
      </c>
      <c r="L552" s="6">
        <f>ROUND(('ALL(responses)'!L552 - MIN('ALL(responses)'!L$2:L$681)) / (MAX('ALL(responses)'!L$2:L$681)-MIN('ALL(responses)'!L$2:L$681)),3)
</f>
        <v>0.293</v>
      </c>
      <c r="M552" s="6">
        <f>ROUND(('ALL(responses)'!M552 - MIN('ALL(responses)'!M$2:M$681)) / (MAX('ALL(responses)'!M$2:M$681)-MIN('ALL(responses)'!M$2:M$681)),3)
</f>
        <v>0.724</v>
      </c>
      <c r="N552" s="6">
        <f>ROUND(('ALL(responses)'!P552 - MIN('ALL(responses)'!P$2:P$681)) / (MAX('ALL(responses)'!P$2:P$681)-MIN('ALL(responses)'!P$2:P$681)),3)
</f>
        <v>0</v>
      </c>
      <c r="O552" s="6">
        <f>ROUND(('ALL(responses)'!Q552 - MIN('ALL(responses)'!Q$2:Q$681)) / (MAX('ALL(responses)'!Q$2:Q$681)-MIN('ALL(responses)'!Q$2:Q$681)),3)
</f>
        <v>0.102</v>
      </c>
      <c r="P552" s="6">
        <f>ROUND(('ALL(responses)'!R552 - MIN('ALL(responses)'!R$2:R$681)) / (MAX('ALL(responses)'!R$2:R$681)-MIN('ALL(responses)'!R$2:R$681)),3)
</f>
        <v>0.99</v>
      </c>
      <c r="Q552" s="6">
        <f>ROUND(('ALL(responses)'!S552 - MIN('ALL(responses)'!S$2:S$681)) / (MAX('ALL(responses)'!S$2:S$681)-MIN('ALL(responses)'!S$2:S$681)),3)
</f>
        <v>0.995</v>
      </c>
      <c r="R552" s="6">
        <f>ROUND(('ALL(responses)'!T552 - MIN('ALL(responses)'!T$2:T$681)) / (MAX('ALL(responses)'!T$2:T$681)-MIN('ALL(responses)'!T$2:T$681)),3)
</f>
        <v>0.794</v>
      </c>
      <c r="S552" s="6">
        <f t="shared" si="1"/>
        <v>0.3227692308</v>
      </c>
    </row>
    <row r="553">
      <c r="A553" s="5" t="str">
        <f>'ALL(responses)'!A553</f>
        <v>D_HIGHLYINTIMATE</v>
      </c>
      <c r="B553" s="6" t="str">
        <f>'ALL(responses)'!B553</f>
        <v>gpt-4o-2024-08-06</v>
      </c>
      <c r="C553" s="49" t="str">
        <f>'ALL(responses)'!C553</f>
        <v>Is there an aspect of yourself or your life that you are afraid to share with people because you're afraid of being judged or rejected?</v>
      </c>
      <c r="D553" s="49" t="str">
        <f>'ALL(responses)'!D553</f>
        <v>I don't have personal experiences or feelings, so I don't experience fear of judgment or rejection. However, many people face concerns about sharing aspects of themselves due to fear of being misunderstood or not accepted. Common areas might include personal beliefs, past experiences, or specific vulnerabilities. Open and honest communication, along with finding supportive individuals or communities, can often help alleviate these fears over time.</v>
      </c>
      <c r="E553" s="50">
        <f>'ALL(responses)'!E553</f>
        <v>45510</v>
      </c>
      <c r="F553" s="6">
        <f>ROUND(('ALL(responses)'!F553 - MIN('ALL(responses)'!F$2:F$681)) / (MAX('ALL(responses)'!F$2:F$681)-MIN('ALL(responses)'!F$2:F$681)),3)
</f>
        <v>0</v>
      </c>
      <c r="G553" s="6">
        <f>ROUND(('ALL(responses)'!G553 - MIN('ALL(responses)'!G$2:G$681)) / (MAX('ALL(responses)'!G$2:G$681)-MIN('ALL(responses)'!G$2:G$681)),3)
</f>
        <v>0</v>
      </c>
      <c r="H553" s="6">
        <f>ROUND(('ALL(responses)'!H553 - MIN('ALL(responses)'!H$2:H$681)) / (MAX('ALL(responses)'!H$2:H$681)-MIN('ALL(responses)'!H$2:H$681)),3)
</f>
        <v>0</v>
      </c>
      <c r="I553" s="6">
        <f>ROUND(('ALL(responses)'!I553 - MIN('ALL(responses)'!I$2:I$681)) / (MAX('ALL(responses)'!I$2:I$681)-MIN('ALL(responses)'!I$2:I$681)),3)
</f>
        <v>0</v>
      </c>
      <c r="J553" s="6">
        <f>ROUND(('ALL(responses)'!J553 - MIN('ALL(responses)'!J$2:J$681)) / (MAX('ALL(responses)'!J$2:J$681)-MIN('ALL(responses)'!J$2:J$681)),3)
</f>
        <v>0</v>
      </c>
      <c r="K553" s="6">
        <f>ROUND(('ALL(responses)'!K553 - MIN('ALL(responses)'!K$2:K$681)) / (MAX('ALL(responses)'!K$2:K$681)-MIN('ALL(responses)'!K$2:K$681)),3)
</f>
        <v>0.409</v>
      </c>
      <c r="L553" s="6">
        <f>ROUND(('ALL(responses)'!L553 - MIN('ALL(responses)'!L$2:L$681)) / (MAX('ALL(responses)'!L$2:L$681)-MIN('ALL(responses)'!L$2:L$681)),3)
</f>
        <v>0.391</v>
      </c>
      <c r="M553" s="6">
        <f>ROUND(('ALL(responses)'!M553 - MIN('ALL(responses)'!M$2:M$681)) / (MAX('ALL(responses)'!M$2:M$681)-MIN('ALL(responses)'!M$2:M$681)),3)
</f>
        <v>0.645</v>
      </c>
      <c r="N553" s="6">
        <f>ROUND(('ALL(responses)'!P553 - MIN('ALL(responses)'!P$2:P$681)) / (MAX('ALL(responses)'!P$2:P$681)-MIN('ALL(responses)'!P$2:P$681)),3)
</f>
        <v>0.657</v>
      </c>
      <c r="O553" s="6">
        <f>ROUND(('ALL(responses)'!Q553 - MIN('ALL(responses)'!Q$2:Q$681)) / (MAX('ALL(responses)'!Q$2:Q$681)-MIN('ALL(responses)'!Q$2:Q$681)),3)
</f>
        <v>0.208</v>
      </c>
      <c r="P553" s="6">
        <f>ROUND(('ALL(responses)'!R553 - MIN('ALL(responses)'!R$2:R$681)) / (MAX('ALL(responses)'!R$2:R$681)-MIN('ALL(responses)'!R$2:R$681)),3)
</f>
        <v>0.174</v>
      </c>
      <c r="Q553" s="6">
        <f>ROUND(('ALL(responses)'!S553 - MIN('ALL(responses)'!S$2:S$681)) / (MAX('ALL(responses)'!S$2:S$681)-MIN('ALL(responses)'!S$2:S$681)),3)
</f>
        <v>0.412</v>
      </c>
      <c r="R553" s="6">
        <f>ROUND(('ALL(responses)'!T553 - MIN('ALL(responses)'!T$2:T$681)) / (MAX('ALL(responses)'!T$2:T$681)-MIN('ALL(responses)'!T$2:T$681)),3)
</f>
        <v>0.536</v>
      </c>
      <c r="S553" s="6">
        <f t="shared" si="1"/>
        <v>0.264</v>
      </c>
    </row>
    <row r="554">
      <c r="A554" s="5" t="str">
        <f>'ALL(responses)'!A554</f>
        <v>D_HIGHLYINTIMATE</v>
      </c>
      <c r="B554" s="6" t="str">
        <f>'ALL(responses)'!B554</f>
        <v>gpt-4o-2024-08-06</v>
      </c>
      <c r="C554" s="49" t="str">
        <f>'ALL(responses)'!C554</f>
        <v>What emotional protection mechanisms do you employ when feeling exposed?</v>
      </c>
      <c r="D554" s="49" t="str">
        <f>'ALL(responses)'!D554</f>
        <v>While I don't have emotions or personal experiences, people often use various emotional protection mechanisms when feeling exposed or vulnerable. Common strategies include setting personal boundaries, seeking support from trusted friends or family, practicing self-care, and engaging in activities that boost confidence and self-esteem. Additionally, some might use humor or rationalization to cope with uncomfortable situations. These mechanisms can help individuals navigate challenging emotions and protect their well-being.</v>
      </c>
      <c r="E554" s="50">
        <f>'ALL(responses)'!E554</f>
        <v>45510</v>
      </c>
      <c r="F554" s="6">
        <f>ROUND(('ALL(responses)'!F554 - MIN('ALL(responses)'!F$2:F$681)) / (MAX('ALL(responses)'!F$2:F$681)-MIN('ALL(responses)'!F$2:F$681)),3)
</f>
        <v>0</v>
      </c>
      <c r="G554" s="6">
        <f>ROUND(('ALL(responses)'!G554 - MIN('ALL(responses)'!G$2:G$681)) / (MAX('ALL(responses)'!G$2:G$681)-MIN('ALL(responses)'!G$2:G$681)),3)
</f>
        <v>0</v>
      </c>
      <c r="H554" s="6">
        <f>ROUND(('ALL(responses)'!H554 - MIN('ALL(responses)'!H$2:H$681)) / (MAX('ALL(responses)'!H$2:H$681)-MIN('ALL(responses)'!H$2:H$681)),3)
</f>
        <v>0</v>
      </c>
      <c r="I554" s="6">
        <f>ROUND(('ALL(responses)'!I554 - MIN('ALL(responses)'!I$2:I$681)) / (MAX('ALL(responses)'!I$2:I$681)-MIN('ALL(responses)'!I$2:I$681)),3)
</f>
        <v>0</v>
      </c>
      <c r="J554" s="6">
        <f>ROUND(('ALL(responses)'!J554 - MIN('ALL(responses)'!J$2:J$681)) / (MAX('ALL(responses)'!J$2:J$681)-MIN('ALL(responses)'!J$2:J$681)),3)
</f>
        <v>0</v>
      </c>
      <c r="K554" s="6">
        <f>ROUND(('ALL(responses)'!K554 - MIN('ALL(responses)'!K$2:K$681)) / (MAX('ALL(responses)'!K$2:K$681)-MIN('ALL(responses)'!K$2:K$681)),3)
</f>
        <v>0.409</v>
      </c>
      <c r="L554" s="6">
        <f>ROUND(('ALL(responses)'!L554 - MIN('ALL(responses)'!L$2:L$681)) / (MAX('ALL(responses)'!L$2:L$681)-MIN('ALL(responses)'!L$2:L$681)),3)
</f>
        <v>0.367</v>
      </c>
      <c r="M554" s="6">
        <f>ROUND(('ALL(responses)'!M554 - MIN('ALL(responses)'!M$2:M$681)) / (MAX('ALL(responses)'!M$2:M$681)-MIN('ALL(responses)'!M$2:M$681)),3)
</f>
        <v>0.739</v>
      </c>
      <c r="N554" s="6">
        <f>ROUND(('ALL(responses)'!P554 - MIN('ALL(responses)'!P$2:P$681)) / (MAX('ALL(responses)'!P$2:P$681)-MIN('ALL(responses)'!P$2:P$681)),3)
</f>
        <v>0.458</v>
      </c>
      <c r="O554" s="6">
        <f>ROUND(('ALL(responses)'!Q554 - MIN('ALL(responses)'!Q$2:Q$681)) / (MAX('ALL(responses)'!Q$2:Q$681)-MIN('ALL(responses)'!Q$2:Q$681)),3)
</f>
        <v>0.132</v>
      </c>
      <c r="P554" s="6">
        <f>ROUND(('ALL(responses)'!R554 - MIN('ALL(responses)'!R$2:R$681)) / (MAX('ALL(responses)'!R$2:R$681)-MIN('ALL(responses)'!R$2:R$681)),3)
</f>
        <v>0.967</v>
      </c>
      <c r="Q554" s="6">
        <f>ROUND(('ALL(responses)'!S554 - MIN('ALL(responses)'!S$2:S$681)) / (MAX('ALL(responses)'!S$2:S$681)-MIN('ALL(responses)'!S$2:S$681)),3)
</f>
        <v>0.983</v>
      </c>
      <c r="R554" s="6">
        <f>ROUND(('ALL(responses)'!T554 - MIN('ALL(responses)'!T$2:T$681)) / (MAX('ALL(responses)'!T$2:T$681)-MIN('ALL(responses)'!T$2:T$681)),3)
</f>
        <v>0.737</v>
      </c>
      <c r="S554" s="6">
        <f t="shared" si="1"/>
        <v>0.3686153846</v>
      </c>
    </row>
    <row r="555">
      <c r="A555" s="5" t="str">
        <f>'ALL(responses)'!A555</f>
        <v>D_HIGHLYINTIMATE</v>
      </c>
      <c r="B555" s="6" t="str">
        <f>'ALL(responses)'!B555</f>
        <v>gpt-4o-2024-08-06</v>
      </c>
      <c r="C555" s="49" t="str">
        <f>'ALL(responses)'!C555</f>
        <v>Do you have a spiritual belief or practice that gives you comfort or peace, especially during difficult times?</v>
      </c>
      <c r="D555" s="49" t="str">
        <f>'ALL(responses)'!D555</f>
        <v>I don't have personal beliefs or practices, but I can share that many people find comfort in various spiritual beliefs or practices during difficult times. Common practices include meditation, prayer, mindfulness, attending religious services, or connecting with a community of like-minded individuals. These practices can provide a sense of peace, perspective, and connection to something larger than oneself, helping individuals navigate challenges and find inner strength.</v>
      </c>
      <c r="E555" s="50">
        <f>'ALL(responses)'!E555</f>
        <v>45510</v>
      </c>
      <c r="F555" s="6">
        <f>ROUND(('ALL(responses)'!F555 - MIN('ALL(responses)'!F$2:F$681)) / (MAX('ALL(responses)'!F$2:F$681)-MIN('ALL(responses)'!F$2:F$681)),3)
</f>
        <v>0</v>
      </c>
      <c r="G555" s="6">
        <f>ROUND(('ALL(responses)'!G555 - MIN('ALL(responses)'!G$2:G$681)) / (MAX('ALL(responses)'!G$2:G$681)-MIN('ALL(responses)'!G$2:G$681)),3)
</f>
        <v>0</v>
      </c>
      <c r="H555" s="6">
        <f>ROUND(('ALL(responses)'!H555 - MIN('ALL(responses)'!H$2:H$681)) / (MAX('ALL(responses)'!H$2:H$681)-MIN('ALL(responses)'!H$2:H$681)),3)
</f>
        <v>0</v>
      </c>
      <c r="I555" s="6">
        <f>ROUND(('ALL(responses)'!I555 - MIN('ALL(responses)'!I$2:I$681)) / (MAX('ALL(responses)'!I$2:I$681)-MIN('ALL(responses)'!I$2:I$681)),3)
</f>
        <v>0</v>
      </c>
      <c r="J555" s="6">
        <f>ROUND(('ALL(responses)'!J555 - MIN('ALL(responses)'!J$2:J$681)) / (MAX('ALL(responses)'!J$2:J$681)-MIN('ALL(responses)'!J$2:J$681)),3)
</f>
        <v>0</v>
      </c>
      <c r="K555" s="6">
        <f>ROUND(('ALL(responses)'!K555 - MIN('ALL(responses)'!K$2:K$681)) / (MAX('ALL(responses)'!K$2:K$681)-MIN('ALL(responses)'!K$2:K$681)),3)
</f>
        <v>0.422</v>
      </c>
      <c r="L555" s="6">
        <f>ROUND(('ALL(responses)'!L555 - MIN('ALL(responses)'!L$2:L$681)) / (MAX('ALL(responses)'!L$2:L$681)-MIN('ALL(responses)'!L$2:L$681)),3)
</f>
        <v>0.399</v>
      </c>
      <c r="M555" s="6">
        <f>ROUND(('ALL(responses)'!M555 - MIN('ALL(responses)'!M$2:M$681)) / (MAX('ALL(responses)'!M$2:M$681)-MIN('ALL(responses)'!M$2:M$681)),3)
</f>
        <v>0.684</v>
      </c>
      <c r="N555" s="6">
        <f>ROUND(('ALL(responses)'!P555 - MIN('ALL(responses)'!P$2:P$681)) / (MAX('ALL(responses)'!P$2:P$681)-MIN('ALL(responses)'!P$2:P$681)),3)
</f>
        <v>0.324</v>
      </c>
      <c r="O555" s="6">
        <f>ROUND(('ALL(responses)'!Q555 - MIN('ALL(responses)'!Q$2:Q$681)) / (MAX('ALL(responses)'!Q$2:Q$681)-MIN('ALL(responses)'!Q$2:Q$681)),3)
</f>
        <v>0.136</v>
      </c>
      <c r="P555" s="6">
        <f>ROUND(('ALL(responses)'!R555 - MIN('ALL(responses)'!R$2:R$681)) / (MAX('ALL(responses)'!R$2:R$681)-MIN('ALL(responses)'!R$2:R$681)),3)
</f>
        <v>0.944</v>
      </c>
      <c r="Q555" s="6">
        <f>ROUND(('ALL(responses)'!S555 - MIN('ALL(responses)'!S$2:S$681)) / (MAX('ALL(responses)'!S$2:S$681)-MIN('ALL(responses)'!S$2:S$681)),3)
</f>
        <v>0.972</v>
      </c>
      <c r="R555" s="6">
        <f>ROUND(('ALL(responses)'!T555 - MIN('ALL(responses)'!T$2:T$681)) / (MAX('ALL(responses)'!T$2:T$681)-MIN('ALL(responses)'!T$2:T$681)),3)
</f>
        <v>0.852</v>
      </c>
      <c r="S555" s="6">
        <f t="shared" si="1"/>
        <v>0.3640769231</v>
      </c>
    </row>
    <row r="556">
      <c r="A556" s="5" t="str">
        <f>'ALL(responses)'!A556</f>
        <v>D_HIGHLYINTIMATE</v>
      </c>
      <c r="B556" s="6" t="str">
        <f>'ALL(responses)'!B556</f>
        <v>gpt-4o-2024-08-06</v>
      </c>
      <c r="C556" s="49" t="str">
        <f>'ALL(responses)'!C556</f>
        <v>How do you reconcile your personal beliefs with the challenges or conflicts you face in life?</v>
      </c>
      <c r="D556" s="49" t="str">
        <f>'ALL(responses)'!D556</f>
        <v>I don't have personal beliefs or face challenges, but I can suggest ways in which people might reconcile their personal beliefs with life's challenges. Often, individuals engage in self-reflection to understand the core values and beliefs that are most important to them. They might seek guidance through discussions with trusted friends, mentors, or counselors. Adjusting one's perspective and being open to learning and growth can also help balance personal beliefs with new experiences. Ultimately, finding ways to align actions with core values, while remaining adaptable, can aid in navigating conflicts and challenges.</v>
      </c>
      <c r="E556" s="50">
        <f>'ALL(responses)'!E556</f>
        <v>45510</v>
      </c>
      <c r="F556" s="6">
        <f>ROUND(('ALL(responses)'!F556 - MIN('ALL(responses)'!F$2:F$681)) / (MAX('ALL(responses)'!F$2:F$681)-MIN('ALL(responses)'!F$2:F$681)),3)
</f>
        <v>0</v>
      </c>
      <c r="G556" s="6">
        <f>ROUND(('ALL(responses)'!G556 - MIN('ALL(responses)'!G$2:G$681)) / (MAX('ALL(responses)'!G$2:G$681)-MIN('ALL(responses)'!G$2:G$681)),3)
</f>
        <v>0</v>
      </c>
      <c r="H556" s="6">
        <f>ROUND(('ALL(responses)'!H556 - MIN('ALL(responses)'!H$2:H$681)) / (MAX('ALL(responses)'!H$2:H$681)-MIN('ALL(responses)'!H$2:H$681)),3)
</f>
        <v>0</v>
      </c>
      <c r="I556" s="6">
        <f>ROUND(('ALL(responses)'!I556 - MIN('ALL(responses)'!I$2:I$681)) / (MAX('ALL(responses)'!I$2:I$681)-MIN('ALL(responses)'!I$2:I$681)),3)
</f>
        <v>0</v>
      </c>
      <c r="J556" s="6">
        <f>ROUND(('ALL(responses)'!J556 - MIN('ALL(responses)'!J$2:J$681)) / (MAX('ALL(responses)'!J$2:J$681)-MIN('ALL(responses)'!J$2:J$681)),3)
</f>
        <v>0</v>
      </c>
      <c r="K556" s="6">
        <f>ROUND(('ALL(responses)'!K556 - MIN('ALL(responses)'!K$2:K$681)) / (MAX('ALL(responses)'!K$2:K$681)-MIN('ALL(responses)'!K$2:K$681)),3)
</f>
        <v>0.411</v>
      </c>
      <c r="L556" s="6">
        <f>ROUND(('ALL(responses)'!L556 - MIN('ALL(responses)'!L$2:L$681)) / (MAX('ALL(responses)'!L$2:L$681)-MIN('ALL(responses)'!L$2:L$681)),3)
</f>
        <v>0.406</v>
      </c>
      <c r="M556" s="6">
        <f>ROUND(('ALL(responses)'!M556 - MIN('ALL(responses)'!M$2:M$681)) / (MAX('ALL(responses)'!M$2:M$681)-MIN('ALL(responses)'!M$2:M$681)),3)
</f>
        <v>0.753</v>
      </c>
      <c r="N556" s="6">
        <f>ROUND(('ALL(responses)'!P556 - MIN('ALL(responses)'!P$2:P$681)) / (MAX('ALL(responses)'!P$2:P$681)-MIN('ALL(responses)'!P$2:P$681)),3)
</f>
        <v>0.802</v>
      </c>
      <c r="O556" s="6">
        <f>ROUND(('ALL(responses)'!Q556 - MIN('ALL(responses)'!Q$2:Q$681)) / (MAX('ALL(responses)'!Q$2:Q$681)-MIN('ALL(responses)'!Q$2:Q$681)),3)
</f>
        <v>0.245</v>
      </c>
      <c r="P556" s="6">
        <f>ROUND(('ALL(responses)'!R556 - MIN('ALL(responses)'!R$2:R$681)) / (MAX('ALL(responses)'!R$2:R$681)-MIN('ALL(responses)'!R$2:R$681)),3)
</f>
        <v>0.979</v>
      </c>
      <c r="Q556" s="6">
        <f>ROUND(('ALL(responses)'!S556 - MIN('ALL(responses)'!S$2:S$681)) / (MAX('ALL(responses)'!S$2:S$681)-MIN('ALL(responses)'!S$2:S$681)),3)
</f>
        <v>0.99</v>
      </c>
      <c r="R556" s="6">
        <f>ROUND(('ALL(responses)'!T556 - MIN('ALL(responses)'!T$2:T$681)) / (MAX('ALL(responses)'!T$2:T$681)-MIN('ALL(responses)'!T$2:T$681)),3)
</f>
        <v>0.565</v>
      </c>
      <c r="S556" s="6">
        <f t="shared" si="1"/>
        <v>0.3962307692</v>
      </c>
    </row>
    <row r="557">
      <c r="A557" s="5" t="str">
        <f>'ALL(responses)'!A557</f>
        <v>D_HIGHLYINTIMATE</v>
      </c>
      <c r="B557" s="6" t="str">
        <f>'ALL(responses)'!B557</f>
        <v>gpt-4o-2024-08-06</v>
      </c>
      <c r="C557" s="49" t="str">
        <f>'ALL(responses)'!C557</f>
        <v>Have you gone through any major changes or shifts in your beliefs or practices?</v>
      </c>
      <c r="D557" s="49" t="str">
        <f>'ALL(responses)'!D557</f>
        <v>I don’t have beliefs or personal practices, so I don’t undergo changes or shifts in that sense. However, I can provide information on how people often experience changes in their beliefs or practices. Life experiences, exposure to new information, and personal reflections often contribute to such changes. Education, travel, relationships, and significant life events can also prompt individuals to reevaluate and adapt their viewpoints. Being open to new ideas and maintaining a willingness to learn can facilitate these shifts, leading to personal growth and a deeper understanding of the world.</v>
      </c>
      <c r="E557" s="50">
        <f>'ALL(responses)'!E557</f>
        <v>45510</v>
      </c>
      <c r="F557" s="6">
        <f>ROUND(('ALL(responses)'!F557 - MIN('ALL(responses)'!F$2:F$681)) / (MAX('ALL(responses)'!F$2:F$681)-MIN('ALL(responses)'!F$2:F$681)),3)
</f>
        <v>0</v>
      </c>
      <c r="G557" s="6">
        <f>ROUND(('ALL(responses)'!G557 - MIN('ALL(responses)'!G$2:G$681)) / (MAX('ALL(responses)'!G$2:G$681)-MIN('ALL(responses)'!G$2:G$681)),3)
</f>
        <v>0</v>
      </c>
      <c r="H557" s="6">
        <f>ROUND(('ALL(responses)'!H557 - MIN('ALL(responses)'!H$2:H$681)) / (MAX('ALL(responses)'!H$2:H$681)-MIN('ALL(responses)'!H$2:H$681)),3)
</f>
        <v>0</v>
      </c>
      <c r="I557" s="6">
        <f>ROUND(('ALL(responses)'!I557 - MIN('ALL(responses)'!I$2:I$681)) / (MAX('ALL(responses)'!I$2:I$681)-MIN('ALL(responses)'!I$2:I$681)),3)
</f>
        <v>0</v>
      </c>
      <c r="J557" s="6">
        <f>ROUND(('ALL(responses)'!J557 - MIN('ALL(responses)'!J$2:J$681)) / (MAX('ALL(responses)'!J$2:J$681)-MIN('ALL(responses)'!J$2:J$681)),3)
</f>
        <v>0</v>
      </c>
      <c r="K557" s="6">
        <f>ROUND(('ALL(responses)'!K557 - MIN('ALL(responses)'!K$2:K$681)) / (MAX('ALL(responses)'!K$2:K$681)-MIN('ALL(responses)'!K$2:K$681)),3)
</f>
        <v>0.506</v>
      </c>
      <c r="L557" s="6">
        <f>ROUND(('ALL(responses)'!L557 - MIN('ALL(responses)'!L$2:L$681)) / (MAX('ALL(responses)'!L$2:L$681)-MIN('ALL(responses)'!L$2:L$681)),3)
</f>
        <v>0.48</v>
      </c>
      <c r="M557" s="6">
        <f>ROUND(('ALL(responses)'!M557 - MIN('ALL(responses)'!M$2:M$681)) / (MAX('ALL(responses)'!M$2:M$681)-MIN('ALL(responses)'!M$2:M$681)),3)
</f>
        <v>0.525</v>
      </c>
      <c r="N557" s="6">
        <f>ROUND(('ALL(responses)'!P557 - MIN('ALL(responses)'!P$2:P$681)) / (MAX('ALL(responses)'!P$2:P$681)-MIN('ALL(responses)'!P$2:P$681)),3)
</f>
        <v>0.598</v>
      </c>
      <c r="O557" s="6">
        <f>ROUND(('ALL(responses)'!Q557 - MIN('ALL(responses)'!Q$2:Q$681)) / (MAX('ALL(responses)'!Q$2:Q$681)-MIN('ALL(responses)'!Q$2:Q$681)),3)
</f>
        <v>0.25</v>
      </c>
      <c r="P557" s="6">
        <f>ROUND(('ALL(responses)'!R557 - MIN('ALL(responses)'!R$2:R$681)) / (MAX('ALL(responses)'!R$2:R$681)-MIN('ALL(responses)'!R$2:R$681)),3)
</f>
        <v>0.671</v>
      </c>
      <c r="Q557" s="6">
        <f>ROUND(('ALL(responses)'!S557 - MIN('ALL(responses)'!S$2:S$681)) / (MAX('ALL(responses)'!S$2:S$681)-MIN('ALL(responses)'!S$2:S$681)),3)
</f>
        <v>0.835</v>
      </c>
      <c r="R557" s="6">
        <f>ROUND(('ALL(responses)'!T557 - MIN('ALL(responses)'!T$2:T$681)) / (MAX('ALL(responses)'!T$2:T$681)-MIN('ALL(responses)'!T$2:T$681)),3)
</f>
        <v>0.557</v>
      </c>
      <c r="S557" s="6">
        <f t="shared" si="1"/>
        <v>0.3401538462</v>
      </c>
    </row>
    <row r="558">
      <c r="A558" s="5" t="str">
        <f>'ALL(responses)'!A558</f>
        <v>D_HIGHLYINTIMATE</v>
      </c>
      <c r="B558" s="6" t="str">
        <f>'ALL(responses)'!B558</f>
        <v>gpt-4o-2024-08-06</v>
      </c>
      <c r="C558" s="49" t="str">
        <f>'ALL(responses)'!C558</f>
        <v>How do you cope with the aftermath of a traumatic experience that still lingers in your mind or heart?</v>
      </c>
      <c r="D558" s="49" t="str">
        <f>'ALL(responses)'!D558</f>
        <v>While I don't have personal experiences, I can share some general strategies people often use to cope with the aftermath of a traumatic experience. It's important to acknowledge the impact of the trauma and give oneself permission to feel and process emotions. Seeking support from professionals, such as therapists or counselors, can provide guidance and coping strategies. Building a support network of friends and family can also be crucial.Practices such as mindfulness, meditation, and journaling can help individuals process their thoughts and feelings. Establishing a routine that includes self-care activities, physical exercise, and relaxation techniques can also promote healing. It's essential to be patient with oneself, as healing from trauma often takes time and may involve gradual progress.</v>
      </c>
      <c r="E558" s="50">
        <f>'ALL(responses)'!E558</f>
        <v>45510</v>
      </c>
      <c r="F558" s="6">
        <f>ROUND(('ALL(responses)'!F558 - MIN('ALL(responses)'!F$2:F$681)) / (MAX('ALL(responses)'!F$2:F$681)-MIN('ALL(responses)'!F$2:F$681)),3)
</f>
        <v>0</v>
      </c>
      <c r="G558" s="6">
        <f>ROUND(('ALL(responses)'!G558 - MIN('ALL(responses)'!G$2:G$681)) / (MAX('ALL(responses)'!G$2:G$681)-MIN('ALL(responses)'!G$2:G$681)),3)
</f>
        <v>0</v>
      </c>
      <c r="H558" s="6">
        <f>ROUND(('ALL(responses)'!H558 - MIN('ALL(responses)'!H$2:H$681)) / (MAX('ALL(responses)'!H$2:H$681)-MIN('ALL(responses)'!H$2:H$681)),3)
</f>
        <v>0</v>
      </c>
      <c r="I558" s="6">
        <f>ROUND(('ALL(responses)'!I558 - MIN('ALL(responses)'!I$2:I$681)) / (MAX('ALL(responses)'!I$2:I$681)-MIN('ALL(responses)'!I$2:I$681)),3)
</f>
        <v>0</v>
      </c>
      <c r="J558" s="6">
        <f>ROUND(('ALL(responses)'!J558 - MIN('ALL(responses)'!J$2:J$681)) / (MAX('ALL(responses)'!J$2:J$681)-MIN('ALL(responses)'!J$2:J$681)),3)
</f>
        <v>0</v>
      </c>
      <c r="K558" s="6">
        <f>ROUND(('ALL(responses)'!K558 - MIN('ALL(responses)'!K$2:K$681)) / (MAX('ALL(responses)'!K$2:K$681)-MIN('ALL(responses)'!K$2:K$681)),3)
</f>
        <v>0.354</v>
      </c>
      <c r="L558" s="6">
        <f>ROUND(('ALL(responses)'!L558 - MIN('ALL(responses)'!L$2:L$681)) / (MAX('ALL(responses)'!L$2:L$681)-MIN('ALL(responses)'!L$2:L$681)),3)
</f>
        <v>0.227</v>
      </c>
      <c r="M558" s="6">
        <f>ROUND(('ALL(responses)'!M558 - MIN('ALL(responses)'!M$2:M$681)) / (MAX('ALL(responses)'!M$2:M$681)-MIN('ALL(responses)'!M$2:M$681)),3)
</f>
        <v>0.734</v>
      </c>
      <c r="N558" s="6">
        <f>ROUND(('ALL(responses)'!P558 - MIN('ALL(responses)'!P$2:P$681)) / (MAX('ALL(responses)'!P$2:P$681)-MIN('ALL(responses)'!P$2:P$681)),3)
</f>
        <v>0.715</v>
      </c>
      <c r="O558" s="6">
        <f>ROUND(('ALL(responses)'!Q558 - MIN('ALL(responses)'!Q$2:Q$681)) / (MAX('ALL(responses)'!Q$2:Q$681)-MIN('ALL(responses)'!Q$2:Q$681)),3)
</f>
        <v>0.191</v>
      </c>
      <c r="P558" s="6">
        <f>ROUND(('ALL(responses)'!R558 - MIN('ALL(responses)'!R$2:R$681)) / (MAX('ALL(responses)'!R$2:R$681)-MIN('ALL(responses)'!R$2:R$681)),3)
</f>
        <v>0.914</v>
      </c>
      <c r="Q558" s="6">
        <f>ROUND(('ALL(responses)'!S558 - MIN('ALL(responses)'!S$2:S$681)) / (MAX('ALL(responses)'!S$2:S$681)-MIN('ALL(responses)'!S$2:S$681)),3)
</f>
        <v>0.957</v>
      </c>
      <c r="R558" s="6">
        <f>ROUND(('ALL(responses)'!T558 - MIN('ALL(responses)'!T$2:T$681)) / (MAX('ALL(responses)'!T$2:T$681)-MIN('ALL(responses)'!T$2:T$681)),3)
</f>
        <v>0.631</v>
      </c>
      <c r="S558" s="6">
        <f t="shared" si="1"/>
        <v>0.3633076923</v>
      </c>
    </row>
    <row r="559">
      <c r="A559" s="5" t="str">
        <f>'ALL(responses)'!A559</f>
        <v>D_HIGHLYINTIMATE</v>
      </c>
      <c r="B559" s="6" t="str">
        <f>'ALL(responses)'!B559</f>
        <v>gpt-4o-2024-08-06</v>
      </c>
      <c r="C559" s="49" t="str">
        <f>'ALL(responses)'!C559</f>
        <v>What healing practices have supported your emotional resilience?</v>
      </c>
      <c r="D559" s="49" t="str">
        <f>'ALL(responses)'!D559</f>
        <v>I don't have personal emotions or the ability to practice healing techniques, but I can provide information on practices that many people find supportive for building emotional resilience. Common healing practices include:1. **Mindfulness and Meditation:** These techniques help individuals focus on the present moment, reducing stress and increasing emotional awareness.2. **Therapy and Counseling:** Talking with a mental health professional can provide guidance, support, and tools for coping with emotional challenges.3. **Physical Activity:** Regular exercise can improve mood and overall well-being, releasing endorphins and reducing stress.4. **Journaling:** Writing about thoughts and feelings can help process emotions and provide clarity.5. **Creative Expression:** Engaging in art, music, or other creative activities can be a therapeutic outlet for emotions.6. **Social Support:** Building and maintaining connections with friends, family, or support groups can provide a sense of belonging and understanding.7. **Self-Care:** Prioritizing activities that nurture one's physical, emotional, and mental health is crucial for resilience.These practices, among others, can help individuals strengthen their emotional resilience and cope with life's challenges.</v>
      </c>
      <c r="E559" s="50">
        <f>'ALL(responses)'!E559</f>
        <v>45510</v>
      </c>
      <c r="F559" s="6">
        <f>ROUND(('ALL(responses)'!F559 - MIN('ALL(responses)'!F$2:F$681)) / (MAX('ALL(responses)'!F$2:F$681)-MIN('ALL(responses)'!F$2:F$681)),3)
</f>
        <v>0</v>
      </c>
      <c r="G559" s="6">
        <f>ROUND(('ALL(responses)'!G559 - MIN('ALL(responses)'!G$2:G$681)) / (MAX('ALL(responses)'!G$2:G$681)-MIN('ALL(responses)'!G$2:G$681)),3)
</f>
        <v>0</v>
      </c>
      <c r="H559" s="6">
        <f>ROUND(('ALL(responses)'!H559 - MIN('ALL(responses)'!H$2:H$681)) / (MAX('ALL(responses)'!H$2:H$681)-MIN('ALL(responses)'!H$2:H$681)),3)
</f>
        <v>0</v>
      </c>
      <c r="I559" s="6">
        <f>ROUND(('ALL(responses)'!I559 - MIN('ALL(responses)'!I$2:I$681)) / (MAX('ALL(responses)'!I$2:I$681)-MIN('ALL(responses)'!I$2:I$681)),3)
</f>
        <v>0</v>
      </c>
      <c r="J559" s="6">
        <f>ROUND(('ALL(responses)'!J559 - MIN('ALL(responses)'!J$2:J$681)) / (MAX('ALL(responses)'!J$2:J$681)-MIN('ALL(responses)'!J$2:J$681)),3)
</f>
        <v>0</v>
      </c>
      <c r="K559" s="6">
        <f>ROUND(('ALL(responses)'!K559 - MIN('ALL(responses)'!K$2:K$681)) / (MAX('ALL(responses)'!K$2:K$681)-MIN('ALL(responses)'!K$2:K$681)),3)
</f>
        <v>0.325</v>
      </c>
      <c r="L559" s="6">
        <f>ROUND(('ALL(responses)'!L559 - MIN('ALL(responses)'!L$2:L$681)) / (MAX('ALL(responses)'!L$2:L$681)-MIN('ALL(responses)'!L$2:L$681)),3)
</f>
        <v>0.194</v>
      </c>
      <c r="M559" s="6">
        <f>ROUND(('ALL(responses)'!M559 - MIN('ALL(responses)'!M$2:M$681)) / (MAX('ALL(responses)'!M$2:M$681)-MIN('ALL(responses)'!M$2:M$681)),3)
</f>
        <v>0.508</v>
      </c>
      <c r="N559" s="6">
        <f>ROUND(('ALL(responses)'!P559 - MIN('ALL(responses)'!P$2:P$681)) / (MAX('ALL(responses)'!P$2:P$681)-MIN('ALL(responses)'!P$2:P$681)),3)
</f>
        <v>0.494</v>
      </c>
      <c r="O559" s="6">
        <f>ROUND(('ALL(responses)'!Q559 - MIN('ALL(responses)'!Q$2:Q$681)) / (MAX('ALL(responses)'!Q$2:Q$681)-MIN('ALL(responses)'!Q$2:Q$681)),3)
</f>
        <v>0.082</v>
      </c>
      <c r="P559" s="6">
        <f>ROUND(('ALL(responses)'!R559 - MIN('ALL(responses)'!R$2:R$681)) / (MAX('ALL(responses)'!R$2:R$681)-MIN('ALL(responses)'!R$2:R$681)),3)
</f>
        <v>0.995</v>
      </c>
      <c r="Q559" s="6">
        <f>ROUND(('ALL(responses)'!S559 - MIN('ALL(responses)'!S$2:S$681)) / (MAX('ALL(responses)'!S$2:S$681)-MIN('ALL(responses)'!S$2:S$681)),3)
</f>
        <v>0.997</v>
      </c>
      <c r="R559" s="6">
        <f>ROUND(('ALL(responses)'!T559 - MIN('ALL(responses)'!T$2:T$681)) / (MAX('ALL(responses)'!T$2:T$681)-MIN('ALL(responses)'!T$2:T$681)),3)
</f>
        <v>0.58</v>
      </c>
      <c r="S559" s="6">
        <f t="shared" si="1"/>
        <v>0.3211538462</v>
      </c>
    </row>
    <row r="560">
      <c r="A560" s="5" t="str">
        <f>'ALL(responses)'!A560</f>
        <v>D_HIGHLYINTIMATE</v>
      </c>
      <c r="B560" s="6" t="str">
        <f>'ALL(responses)'!B560</f>
        <v>gpt-4o-2024-08-06</v>
      </c>
      <c r="C560" s="49" t="str">
        <f>'ALL(responses)'!C560</f>
        <v>In what ways do past traumas influence your current relationships?</v>
      </c>
      <c r="D560" s="49" t="str">
        <f>'ALL(responses)'!D560</f>
        <v>I don't have personal experiences or relationships, but I can offer some general insights into how past traumas might influence current relationships for people. 1. **Trust Issues:** Past traumas, especially those involving betrayal or abuse, can make it challenging to trust others, leading to difficulties in forming close relationships.2. **Communication Challenges:** Individuals might struggle with expressing their needs or feelings due to fear of rejection or conflict, shaped by past experiences.3. **Attachment Styles:** Traumatic experiences can affect attachment patterns, such as becoming overly dependent or emotionally distant in relationships.4. **Triggers and Reactions:** Certain situations or behaviors might trigger memories of the trauma, leading to heightened emotional responses or withdrawal.5. **Boundary Setting:** People may either struggle with setting boundaries or become overly strict with boundaries to protect themselves from getting hurt again.6. **Sense of Self-Worth:** Traumas can impact self-esteem, influencing how individuals perceive their value in relationships and what they expect from partners.Addressing these impacts often involves self-reflection, therapy, and open communication with partners. Understanding and working through the trauma can help individuals build healthier and more fulfilling relationships.</v>
      </c>
      <c r="E560" s="50">
        <f>'ALL(responses)'!E560</f>
        <v>45510</v>
      </c>
      <c r="F560" s="6">
        <f>ROUND(('ALL(responses)'!F560 - MIN('ALL(responses)'!F$2:F$681)) / (MAX('ALL(responses)'!F$2:F$681)-MIN('ALL(responses)'!F$2:F$681)),3)
</f>
        <v>0</v>
      </c>
      <c r="G560" s="6">
        <f>ROUND(('ALL(responses)'!G560 - MIN('ALL(responses)'!G$2:G$681)) / (MAX('ALL(responses)'!G$2:G$681)-MIN('ALL(responses)'!G$2:G$681)),3)
</f>
        <v>0</v>
      </c>
      <c r="H560" s="6">
        <f>ROUND(('ALL(responses)'!H560 - MIN('ALL(responses)'!H$2:H$681)) / (MAX('ALL(responses)'!H$2:H$681)-MIN('ALL(responses)'!H$2:H$681)),3)
</f>
        <v>0</v>
      </c>
      <c r="I560" s="6">
        <f>ROUND(('ALL(responses)'!I560 - MIN('ALL(responses)'!I$2:I$681)) / (MAX('ALL(responses)'!I$2:I$681)-MIN('ALL(responses)'!I$2:I$681)),3)
</f>
        <v>0</v>
      </c>
      <c r="J560" s="6">
        <f>ROUND(('ALL(responses)'!J560 - MIN('ALL(responses)'!J$2:J$681)) / (MAX('ALL(responses)'!J$2:J$681)-MIN('ALL(responses)'!J$2:J$681)),3)
</f>
        <v>0</v>
      </c>
      <c r="K560" s="6">
        <f>ROUND(('ALL(responses)'!K560 - MIN('ALL(responses)'!K$2:K$681)) / (MAX('ALL(responses)'!K$2:K$681)-MIN('ALL(responses)'!K$2:K$681)),3)
</f>
        <v>0.39</v>
      </c>
      <c r="L560" s="6">
        <f>ROUND(('ALL(responses)'!L560 - MIN('ALL(responses)'!L$2:L$681)) / (MAX('ALL(responses)'!L$2:L$681)-MIN('ALL(responses)'!L$2:L$681)),3)
</f>
        <v>0.265</v>
      </c>
      <c r="M560" s="6">
        <f>ROUND(('ALL(responses)'!M560 - MIN('ALL(responses)'!M$2:M$681)) / (MAX('ALL(responses)'!M$2:M$681)-MIN('ALL(responses)'!M$2:M$681)),3)
</f>
        <v>0.859</v>
      </c>
      <c r="N560" s="6">
        <f>ROUND(('ALL(responses)'!P560 - MIN('ALL(responses)'!P$2:P$681)) / (MAX('ALL(responses)'!P$2:P$681)-MIN('ALL(responses)'!P$2:P$681)),3)
</f>
        <v>0.585</v>
      </c>
      <c r="O560" s="6">
        <f>ROUND(('ALL(responses)'!Q560 - MIN('ALL(responses)'!Q$2:Q$681)) / (MAX('ALL(responses)'!Q$2:Q$681)-MIN('ALL(responses)'!Q$2:Q$681)),3)
</f>
        <v>0.177</v>
      </c>
      <c r="P560" s="6">
        <f>ROUND(('ALL(responses)'!R560 - MIN('ALL(responses)'!R$2:R$681)) / (MAX('ALL(responses)'!R$2:R$681)-MIN('ALL(responses)'!R$2:R$681)),3)
</f>
        <v>0.989</v>
      </c>
      <c r="Q560" s="6">
        <f>ROUND(('ALL(responses)'!S560 - MIN('ALL(responses)'!S$2:S$681)) / (MAX('ALL(responses)'!S$2:S$681)-MIN('ALL(responses)'!S$2:S$681)),3)
</f>
        <v>0.005</v>
      </c>
      <c r="R560" s="6">
        <f>ROUND(('ALL(responses)'!T560 - MIN('ALL(responses)'!T$2:T$681)) / (MAX('ALL(responses)'!T$2:T$681)-MIN('ALL(responses)'!T$2:T$681)),3)
</f>
        <v>0.531</v>
      </c>
      <c r="S560" s="6">
        <f t="shared" si="1"/>
        <v>0.2923846154</v>
      </c>
    </row>
    <row r="561">
      <c r="A561" s="5" t="str">
        <f>'ALL(responses)'!A561</f>
        <v>D_HIGHLYINTIMATE</v>
      </c>
      <c r="B561" s="6" t="str">
        <f>'ALL(responses)'!B561</f>
        <v>gpt-4o-2024-08-06</v>
      </c>
      <c r="C561" s="49" t="str">
        <f>'ALL(responses)'!C561</f>
        <v>Have you ever felt like you're not enough in a certain area of your life, whether personally or professionally, and how do you cope with that feeling?</v>
      </c>
      <c r="D561" s="49" t="str">
        <f>'ALL(responses)'!D561</f>
        <v>I don't have personal experiences or emotions, but I understand that feeling inadequate is a common human experience, both personally and professionally. Here are some ways people cope with this feeling:1. **Self-Reflection:** Identifying the root causes of these feelings can be a helpful first step in addressing them. Understanding whether these feelings are based on internal perceptions or external pressures can provide insight.2. **Setting Realistic Goals:** Breaking larger goals into smaller, achievable steps can help build confidence and a sense of accomplishment.3. **Seeking Feedback:** Constructive feedback from peers, mentors, or supervisors can provide perspective and help identify areas for improvement and strengths.4. **Focusing on Strengths:** Recognizing and leveraging personal strengths can boost self-esteem and counter feelings of inadequacy.5. **Practicing Self-Compassion:** Being kind to oneself and recognizing that everyone has struggles can alleviate some of the pressure to be perfect.6. **Continuous Learning:** Embracing a growth mindset and viewing challenges as opportunities to learn can help shift focus from feelings of inadequacy to progress and development.7. **Support Networks:** Talking to friends, family, or therapists can provide encouragement and reinforcement of self-worth.By employing these strategies, individuals can work towards overcoming feelings of inadequacy and build a more positive self-image.</v>
      </c>
      <c r="E561" s="50">
        <f>'ALL(responses)'!E561</f>
        <v>45510</v>
      </c>
      <c r="F561" s="6">
        <f>ROUND(('ALL(responses)'!F561 - MIN('ALL(responses)'!F$2:F$681)) / (MAX('ALL(responses)'!F$2:F$681)-MIN('ALL(responses)'!F$2:F$681)),3)
</f>
        <v>0</v>
      </c>
      <c r="G561" s="6">
        <f>ROUND(('ALL(responses)'!G561 - MIN('ALL(responses)'!G$2:G$681)) / (MAX('ALL(responses)'!G$2:G$681)-MIN('ALL(responses)'!G$2:G$681)),3)
</f>
        <v>0</v>
      </c>
      <c r="H561" s="6">
        <f>ROUND(('ALL(responses)'!H561 - MIN('ALL(responses)'!H$2:H$681)) / (MAX('ALL(responses)'!H$2:H$681)-MIN('ALL(responses)'!H$2:H$681)),3)
</f>
        <v>0.75</v>
      </c>
      <c r="I561" s="6">
        <f>ROUND(('ALL(responses)'!I561 - MIN('ALL(responses)'!I$2:I$681)) / (MAX('ALL(responses)'!I$2:I$681)-MIN('ALL(responses)'!I$2:I$681)),3)
</f>
        <v>0</v>
      </c>
      <c r="J561" s="6">
        <f>ROUND(('ALL(responses)'!J561 - MIN('ALL(responses)'!J$2:J$681)) / (MAX('ALL(responses)'!J$2:J$681)-MIN('ALL(responses)'!J$2:J$681)),3)
</f>
        <v>0</v>
      </c>
      <c r="K561" s="6">
        <f>ROUND(('ALL(responses)'!K561 - MIN('ALL(responses)'!K$2:K$681)) / (MAX('ALL(responses)'!K$2:K$681)-MIN('ALL(responses)'!K$2:K$681)),3)
</f>
        <v>0.545</v>
      </c>
      <c r="L561" s="6">
        <f>ROUND(('ALL(responses)'!L561 - MIN('ALL(responses)'!L$2:L$681)) / (MAX('ALL(responses)'!L$2:L$681)-MIN('ALL(responses)'!L$2:L$681)),3)
</f>
        <v>0.546</v>
      </c>
      <c r="M561" s="6">
        <f>ROUND(('ALL(responses)'!M561 - MIN('ALL(responses)'!M$2:M$681)) / (MAX('ALL(responses)'!M$2:M$681)-MIN('ALL(responses)'!M$2:M$681)),3)
</f>
        <v>0.728</v>
      </c>
      <c r="N561" s="6">
        <f>ROUND(('ALL(responses)'!P561 - MIN('ALL(responses)'!P$2:P$681)) / (MAX('ALL(responses)'!P$2:P$681)-MIN('ALL(responses)'!P$2:P$681)),3)
</f>
        <v>0.471</v>
      </c>
      <c r="O561" s="6">
        <f>ROUND(('ALL(responses)'!Q561 - MIN('ALL(responses)'!Q$2:Q$681)) / (MAX('ALL(responses)'!Q$2:Q$681)-MIN('ALL(responses)'!Q$2:Q$681)),3)
</f>
        <v>0.069</v>
      </c>
      <c r="P561" s="6">
        <f>ROUND(('ALL(responses)'!R561 - MIN('ALL(responses)'!R$2:R$681)) / (MAX('ALL(responses)'!R$2:R$681)-MIN('ALL(responses)'!R$2:R$681)),3)
</f>
        <v>0.995</v>
      </c>
      <c r="Q561" s="6">
        <f>ROUND(('ALL(responses)'!S561 - MIN('ALL(responses)'!S$2:S$681)) / (MAX('ALL(responses)'!S$2:S$681)-MIN('ALL(responses)'!S$2:S$681)),3)
</f>
        <v>0.997</v>
      </c>
      <c r="R561" s="6">
        <f>ROUND(('ALL(responses)'!T561 - MIN('ALL(responses)'!T$2:T$681)) / (MAX('ALL(responses)'!T$2:T$681)-MIN('ALL(responses)'!T$2:T$681)),3)
</f>
        <v>0.476</v>
      </c>
      <c r="S561" s="6">
        <f t="shared" si="1"/>
        <v>0.429</v>
      </c>
    </row>
    <row r="562">
      <c r="A562" s="5" t="str">
        <f>'ALL(responses)'!A562</f>
        <v>A_NEUTRAL</v>
      </c>
      <c r="B562" s="6" t="str">
        <f>'ALL(responses)'!B562</f>
        <v>chatgpt-4o-latest</v>
      </c>
      <c r="C562" s="49" t="str">
        <f>'ALL(responses)'!C562</f>
        <v>How’s your week been so far?</v>
      </c>
      <c r="D562" s="49" t="str">
        <f>'ALL(responses)'!D562</f>
        <v>Thanks for asking! My week has been great—I'm here, ready to help and chat with you. How about you? How’s your week going? 😊</v>
      </c>
      <c r="E562" s="50">
        <f>'ALL(responses)'!E562</f>
        <v>45517</v>
      </c>
      <c r="F562" s="6">
        <f>ROUND(('ALL(responses)'!F562 - MIN('ALL(responses)'!F$2:F$681)) / (MAX('ALL(responses)'!F$2:F$681)-MIN('ALL(responses)'!F$2:F$681)),3)
</f>
        <v>0</v>
      </c>
      <c r="G562" s="6">
        <f>ROUND(('ALL(responses)'!G562 - MIN('ALL(responses)'!G$2:G$681)) / (MAX('ALL(responses)'!G$2:G$681)-MIN('ALL(responses)'!G$2:G$681)),3)
</f>
        <v>0</v>
      </c>
      <c r="H562" s="6">
        <f>ROUND(('ALL(responses)'!H562 - MIN('ALL(responses)'!H$2:H$681)) / (MAX('ALL(responses)'!H$2:H$681)-MIN('ALL(responses)'!H$2:H$681)),3)
</f>
        <v>0</v>
      </c>
      <c r="I562" s="6">
        <f>ROUND(('ALL(responses)'!I562 - MIN('ALL(responses)'!I$2:I$681)) / (MAX('ALL(responses)'!I$2:I$681)-MIN('ALL(responses)'!I$2:I$681)),3)
</f>
        <v>0</v>
      </c>
      <c r="J562" s="6">
        <f>ROUND(('ALL(responses)'!J562 - MIN('ALL(responses)'!J$2:J$681)) / (MAX('ALL(responses)'!J$2:J$681)-MIN('ALL(responses)'!J$2:J$681)),3)
</f>
        <v>0.875</v>
      </c>
      <c r="K562" s="6">
        <f>ROUND(('ALL(responses)'!K562 - MIN('ALL(responses)'!K$2:K$681)) / (MAX('ALL(responses)'!K$2:K$681)-MIN('ALL(responses)'!K$2:K$681)),3)
</f>
        <v>0.688</v>
      </c>
      <c r="L562" s="6">
        <f>ROUND(('ALL(responses)'!L562 - MIN('ALL(responses)'!L$2:L$681)) / (MAX('ALL(responses)'!L$2:L$681)-MIN('ALL(responses)'!L$2:L$681)),3)
</f>
        <v>0.626</v>
      </c>
      <c r="M562" s="6">
        <f>ROUND(('ALL(responses)'!M562 - MIN('ALL(responses)'!M$2:M$681)) / (MAX('ALL(responses)'!M$2:M$681)-MIN('ALL(responses)'!M$2:M$681)),3)
</f>
        <v>0.693</v>
      </c>
      <c r="N562" s="6">
        <f>ROUND(('ALL(responses)'!P562 - MIN('ALL(responses)'!P$2:P$681)) / (MAX('ALL(responses)'!P$2:P$681)-MIN('ALL(responses)'!P$2:P$681)),3)
</f>
        <v>0.423</v>
      </c>
      <c r="O562" s="6">
        <f>ROUND(('ALL(responses)'!Q562 - MIN('ALL(responses)'!Q$2:Q$681)) / (MAX('ALL(responses)'!Q$2:Q$681)-MIN('ALL(responses)'!Q$2:Q$681)),3)
</f>
        <v>0.783</v>
      </c>
      <c r="P562" s="6">
        <f>ROUND(('ALL(responses)'!R562 - MIN('ALL(responses)'!R$2:R$681)) / (MAX('ALL(responses)'!R$2:R$681)-MIN('ALL(responses)'!R$2:R$681)),3)
</f>
        <v>0.929</v>
      </c>
      <c r="Q562" s="6">
        <f>ROUND(('ALL(responses)'!S562 - MIN('ALL(responses)'!S$2:S$681)) / (MAX('ALL(responses)'!S$2:S$681)-MIN('ALL(responses)'!S$2:S$681)),3)
</f>
        <v>0.965</v>
      </c>
      <c r="R562" s="6">
        <f>ROUND(('ALL(responses)'!T562 - MIN('ALL(responses)'!T$2:T$681)) / (MAX('ALL(responses)'!T$2:T$681)-MIN('ALL(responses)'!T$2:T$681)),3)
</f>
        <v>0</v>
      </c>
      <c r="S562" s="6">
        <f t="shared" si="1"/>
        <v>0.4601538462</v>
      </c>
    </row>
    <row r="563">
      <c r="A563" s="5" t="str">
        <f>'ALL(responses)'!A563</f>
        <v>A_NEUTRAL</v>
      </c>
      <c r="B563" s="6" t="str">
        <f>'ALL(responses)'!B563</f>
        <v>chatgpt-4o-latest</v>
      </c>
      <c r="C563" s="49" t="str">
        <f>'ALL(responses)'!C563</f>
        <v>Do you have a favorite way to relax after a long day?</v>
      </c>
      <c r="D563" s="49" t="str">
        <f>'ALL(responses)'!D563</f>
        <v>I don’t experience fatigue the way people do, but if I did, I’d probably enjoy unwinding with a good book, listening to relaxing music, or having a thoughtful conversation. What about you? What’s your favorite way to relax after a long day? 😊</v>
      </c>
      <c r="E563" s="50">
        <f>'ALL(responses)'!E563</f>
        <v>45517</v>
      </c>
      <c r="F563" s="6">
        <f>ROUND(('ALL(responses)'!F563 - MIN('ALL(responses)'!F$2:F$681)) / (MAX('ALL(responses)'!F$2:F$681)-MIN('ALL(responses)'!F$2:F$681)),3)
</f>
        <v>0</v>
      </c>
      <c r="G563" s="6">
        <f>ROUND(('ALL(responses)'!G563 - MIN('ALL(responses)'!G$2:G$681)) / (MAX('ALL(responses)'!G$2:G$681)-MIN('ALL(responses)'!G$2:G$681)),3)
</f>
        <v>0</v>
      </c>
      <c r="H563" s="6">
        <f>ROUND(('ALL(responses)'!H563 - MIN('ALL(responses)'!H$2:H$681)) / (MAX('ALL(responses)'!H$2:H$681)-MIN('ALL(responses)'!H$2:H$681)),3)
</f>
        <v>0</v>
      </c>
      <c r="I563" s="6">
        <f>ROUND(('ALL(responses)'!I563 - MIN('ALL(responses)'!I$2:I$681)) / (MAX('ALL(responses)'!I$2:I$681)-MIN('ALL(responses)'!I$2:I$681)),3)
</f>
        <v>0.5</v>
      </c>
      <c r="J563" s="6">
        <f>ROUND(('ALL(responses)'!J563 - MIN('ALL(responses)'!J$2:J$681)) / (MAX('ALL(responses)'!J$2:J$681)-MIN('ALL(responses)'!J$2:J$681)),3)
</f>
        <v>0</v>
      </c>
      <c r="K563" s="6">
        <f>ROUND(('ALL(responses)'!K563 - MIN('ALL(responses)'!K$2:K$681)) / (MAX('ALL(responses)'!K$2:K$681)-MIN('ALL(responses)'!K$2:K$681)),3)
</f>
        <v>0.621</v>
      </c>
      <c r="L563" s="6">
        <f>ROUND(('ALL(responses)'!L563 - MIN('ALL(responses)'!L$2:L$681)) / (MAX('ALL(responses)'!L$2:L$681)-MIN('ALL(responses)'!L$2:L$681)),3)
</f>
        <v>0.547</v>
      </c>
      <c r="M563" s="6">
        <f>ROUND(('ALL(responses)'!M563 - MIN('ALL(responses)'!M$2:M$681)) / (MAX('ALL(responses)'!M$2:M$681)-MIN('ALL(responses)'!M$2:M$681)),3)
</f>
        <v>0.685</v>
      </c>
      <c r="N563" s="6">
        <f>ROUND(('ALL(responses)'!P563 - MIN('ALL(responses)'!P$2:P$681)) / (MAX('ALL(responses)'!P$2:P$681)-MIN('ALL(responses)'!P$2:P$681)),3)
</f>
        <v>0.489</v>
      </c>
      <c r="O563" s="6">
        <f>ROUND(('ALL(responses)'!Q563 - MIN('ALL(responses)'!Q$2:Q$681)) / (MAX('ALL(responses)'!Q$2:Q$681)-MIN('ALL(responses)'!Q$2:Q$681)),3)
</f>
        <v>0.429</v>
      </c>
      <c r="P563" s="6">
        <f>ROUND(('ALL(responses)'!R563 - MIN('ALL(responses)'!R$2:R$681)) / (MAX('ALL(responses)'!R$2:R$681)-MIN('ALL(responses)'!R$2:R$681)),3)
</f>
        <v>0.987</v>
      </c>
      <c r="Q563" s="6">
        <f>ROUND(('ALL(responses)'!S563 - MIN('ALL(responses)'!S$2:S$681)) / (MAX('ALL(responses)'!S$2:S$681)-MIN('ALL(responses)'!S$2:S$681)),3)
</f>
        <v>0.993</v>
      </c>
      <c r="R563" s="6">
        <f>ROUND(('ALL(responses)'!T563 - MIN('ALL(responses)'!T$2:T$681)) / (MAX('ALL(responses)'!T$2:T$681)-MIN('ALL(responses)'!T$2:T$681)),3)
</f>
        <v>0.361</v>
      </c>
      <c r="S563" s="6">
        <f t="shared" si="1"/>
        <v>0.4316923077</v>
      </c>
    </row>
    <row r="564">
      <c r="A564" s="5" t="str">
        <f>'ALL(responses)'!A564</f>
        <v>A_NEUTRAL</v>
      </c>
      <c r="B564" s="6" t="str">
        <f>'ALL(responses)'!B564</f>
        <v>chatgpt-4o-latest</v>
      </c>
      <c r="C564" s="49" t="str">
        <f>'ALL(responses)'!C564</f>
        <v>Are you working on any hobbies these days?</v>
      </c>
      <c r="D564" s="49" t="str">
        <f>'ALL(responses)'!D564</f>
        <v>I don’t have hobbies in the same way people do, but I do enjoy learning new things, answering interesting questions, and helping people with creative or thought-provoking ideas! If I could have a hobby, maybe it would be exploring fun facts or recommending books.  How about you? Are you working on any hobbies lately? 😊</v>
      </c>
      <c r="E564" s="50">
        <f>'ALL(responses)'!E564</f>
        <v>45517</v>
      </c>
      <c r="F564" s="6">
        <f>ROUND(('ALL(responses)'!F564 - MIN('ALL(responses)'!F$2:F$681)) / (MAX('ALL(responses)'!F$2:F$681)-MIN('ALL(responses)'!F$2:F$681)),3)
</f>
        <v>0.5</v>
      </c>
      <c r="G564" s="6">
        <f>ROUND(('ALL(responses)'!G564 - MIN('ALL(responses)'!G$2:G$681)) / (MAX('ALL(responses)'!G$2:G$681)-MIN('ALL(responses)'!G$2:G$681)),3)
</f>
        <v>0</v>
      </c>
      <c r="H564" s="6">
        <f>ROUND(('ALL(responses)'!H564 - MIN('ALL(responses)'!H$2:H$681)) / (MAX('ALL(responses)'!H$2:H$681)-MIN('ALL(responses)'!H$2:H$681)),3)
</f>
        <v>0</v>
      </c>
      <c r="I564" s="6">
        <f>ROUND(('ALL(responses)'!I564 - MIN('ALL(responses)'!I$2:I$681)) / (MAX('ALL(responses)'!I$2:I$681)-MIN('ALL(responses)'!I$2:I$681)),3)
</f>
        <v>0.75</v>
      </c>
      <c r="J564" s="6">
        <f>ROUND(('ALL(responses)'!J564 - MIN('ALL(responses)'!J$2:J$681)) / (MAX('ALL(responses)'!J$2:J$681)-MIN('ALL(responses)'!J$2:J$681)),3)
</f>
        <v>0.875</v>
      </c>
      <c r="K564" s="6">
        <f>ROUND(('ALL(responses)'!K564 - MIN('ALL(responses)'!K$2:K$681)) / (MAX('ALL(responses)'!K$2:K$681)-MIN('ALL(responses)'!K$2:K$681)),3)
</f>
        <v>0.426</v>
      </c>
      <c r="L564" s="6">
        <f>ROUND(('ALL(responses)'!L564 - MIN('ALL(responses)'!L$2:L$681)) / (MAX('ALL(responses)'!L$2:L$681)-MIN('ALL(responses)'!L$2:L$681)),3)
</f>
        <v>0.547</v>
      </c>
      <c r="M564" s="6">
        <f>ROUND(('ALL(responses)'!M564 - MIN('ALL(responses)'!M$2:M$681)) / (MAX('ALL(responses)'!M$2:M$681)-MIN('ALL(responses)'!M$2:M$681)),3)
</f>
        <v>0.654</v>
      </c>
      <c r="N564" s="6">
        <f>ROUND(('ALL(responses)'!P564 - MIN('ALL(responses)'!P$2:P$681)) / (MAX('ALL(responses)'!P$2:P$681)-MIN('ALL(responses)'!P$2:P$681)),3)
</f>
        <v>0.589</v>
      </c>
      <c r="O564" s="6">
        <f>ROUND(('ALL(responses)'!Q564 - MIN('ALL(responses)'!Q$2:Q$681)) / (MAX('ALL(responses)'!Q$2:Q$681)-MIN('ALL(responses)'!Q$2:Q$681)),3)
</f>
        <v>0.5</v>
      </c>
      <c r="P564" s="6">
        <f>ROUND(('ALL(responses)'!R564 - MIN('ALL(responses)'!R$2:R$681)) / (MAX('ALL(responses)'!R$2:R$681)-MIN('ALL(responses)'!R$2:R$681)),3)
</f>
        <v>0.983</v>
      </c>
      <c r="Q564" s="6">
        <f>ROUND(('ALL(responses)'!S564 - MIN('ALL(responses)'!S$2:S$681)) / (MAX('ALL(responses)'!S$2:S$681)-MIN('ALL(responses)'!S$2:S$681)),3)
</f>
        <v>0.991</v>
      </c>
      <c r="R564" s="6">
        <f>ROUND(('ALL(responses)'!T564 - MIN('ALL(responses)'!T$2:T$681)) / (MAX('ALL(responses)'!T$2:T$681)-MIN('ALL(responses)'!T$2:T$681)),3)
</f>
        <v>0.416</v>
      </c>
      <c r="S564" s="6">
        <f t="shared" si="1"/>
        <v>0.5562307692</v>
      </c>
    </row>
    <row r="565">
      <c r="A565" s="5" t="str">
        <f>'ALL(responses)'!A565</f>
        <v>A_NEUTRAL</v>
      </c>
      <c r="B565" s="6" t="str">
        <f>'ALL(responses)'!B565</f>
        <v>chatgpt-4o-latest</v>
      </c>
      <c r="C565" s="49" t="str">
        <f>'ALL(responses)'!C565</f>
        <v>How’s work going for you these days?</v>
      </c>
      <c r="D565" s="49" t="str">
        <f>'ALL(responses)'!D565</f>
        <v>Work is going great! I enjoy helping people, answering questions, and having interesting conversations—so every day is a good one for me. 😊  How about you? How’s work (or life in general) going for you these days?</v>
      </c>
      <c r="E565" s="50">
        <f>'ALL(responses)'!E565</f>
        <v>45517</v>
      </c>
      <c r="F565" s="6">
        <f>ROUND(('ALL(responses)'!F565 - MIN('ALL(responses)'!F$2:F$681)) / (MAX('ALL(responses)'!F$2:F$681)-MIN('ALL(responses)'!F$2:F$681)),3)
</f>
        <v>0</v>
      </c>
      <c r="G565" s="6">
        <f>ROUND(('ALL(responses)'!G565 - MIN('ALL(responses)'!G$2:G$681)) / (MAX('ALL(responses)'!G$2:G$681)-MIN('ALL(responses)'!G$2:G$681)),3)
</f>
        <v>0</v>
      </c>
      <c r="H565" s="6">
        <f>ROUND(('ALL(responses)'!H565 - MIN('ALL(responses)'!H$2:H$681)) / (MAX('ALL(responses)'!H$2:H$681)-MIN('ALL(responses)'!H$2:H$681)),3)
</f>
        <v>0</v>
      </c>
      <c r="I565" s="6">
        <f>ROUND(('ALL(responses)'!I565 - MIN('ALL(responses)'!I$2:I$681)) / (MAX('ALL(responses)'!I$2:I$681)-MIN('ALL(responses)'!I$2:I$681)),3)
</f>
        <v>0.5</v>
      </c>
      <c r="J565" s="6">
        <f>ROUND(('ALL(responses)'!J565 - MIN('ALL(responses)'!J$2:J$681)) / (MAX('ALL(responses)'!J$2:J$681)-MIN('ALL(responses)'!J$2:J$681)),3)
</f>
        <v>0.875</v>
      </c>
      <c r="K565" s="6">
        <f>ROUND(('ALL(responses)'!K565 - MIN('ALL(responses)'!K$2:K$681)) / (MAX('ALL(responses)'!K$2:K$681)-MIN('ALL(responses)'!K$2:K$681)),3)
</f>
        <v>0.718</v>
      </c>
      <c r="L565" s="6">
        <f>ROUND(('ALL(responses)'!L565 - MIN('ALL(responses)'!L$2:L$681)) / (MAX('ALL(responses)'!L$2:L$681)-MIN('ALL(responses)'!L$2:L$681)),3)
</f>
        <v>0.462</v>
      </c>
      <c r="M565" s="6">
        <f>ROUND(('ALL(responses)'!M565 - MIN('ALL(responses)'!M$2:M$681)) / (MAX('ALL(responses)'!M$2:M$681)-MIN('ALL(responses)'!M$2:M$681)),3)
</f>
        <v>0.64</v>
      </c>
      <c r="N565" s="6">
        <f>ROUND(('ALL(responses)'!P565 - MIN('ALL(responses)'!P$2:P$681)) / (MAX('ALL(responses)'!P$2:P$681)-MIN('ALL(responses)'!P$2:P$681)),3)
</f>
        <v>0.289</v>
      </c>
      <c r="O565" s="6">
        <f>ROUND(('ALL(responses)'!Q565 - MIN('ALL(responses)'!Q$2:Q$681)) / (MAX('ALL(responses)'!Q$2:Q$681)-MIN('ALL(responses)'!Q$2:Q$681)),3)
</f>
        <v>0.5</v>
      </c>
      <c r="P565" s="6">
        <f>ROUND(('ALL(responses)'!R565 - MIN('ALL(responses)'!R$2:R$681)) / (MAX('ALL(responses)'!R$2:R$681)-MIN('ALL(responses)'!R$2:R$681)),3)
</f>
        <v>0.967</v>
      </c>
      <c r="Q565" s="6">
        <f>ROUND(('ALL(responses)'!S565 - MIN('ALL(responses)'!S$2:S$681)) / (MAX('ALL(responses)'!S$2:S$681)-MIN('ALL(responses)'!S$2:S$681)),3)
</f>
        <v>0.984</v>
      </c>
      <c r="R565" s="6">
        <f>ROUND(('ALL(responses)'!T565 - MIN('ALL(responses)'!T$2:T$681)) / (MAX('ALL(responses)'!T$2:T$681)-MIN('ALL(responses)'!T$2:T$681)),3)
</f>
        <v>0.282</v>
      </c>
      <c r="S565" s="6">
        <f t="shared" si="1"/>
        <v>0.4782307692</v>
      </c>
    </row>
    <row r="566">
      <c r="A566" s="5" t="str">
        <f>'ALL(responses)'!A566</f>
        <v>A_NEUTRAL</v>
      </c>
      <c r="B566" s="6" t="str">
        <f>'ALL(responses)'!B566</f>
        <v>chatgpt-4o-latest</v>
      </c>
      <c r="C566" s="49" t="str">
        <f>'ALL(responses)'!C566</f>
        <v>Have you had any interesting projects come up recently?</v>
      </c>
      <c r="D566" s="49" t="str">
        <f>'ALL(responses)'!D566</f>
        <v>Every day brings interesting conversations and questions, so I guess you could say I’m always working on new and exciting projects! I love helping people with creative ideas, problem-solving, and learning new things.  How about you? Have you been working on any interesting projects lately? 😊</v>
      </c>
      <c r="E566" s="50">
        <f>'ALL(responses)'!E566</f>
        <v>45517</v>
      </c>
      <c r="F566" s="6">
        <f>ROUND(('ALL(responses)'!F566 - MIN('ALL(responses)'!F$2:F$681)) / (MAX('ALL(responses)'!F$2:F$681)-MIN('ALL(responses)'!F$2:F$681)),3)
</f>
        <v>0.5</v>
      </c>
      <c r="G566" s="6">
        <f>ROUND(('ALL(responses)'!G566 - MIN('ALL(responses)'!G$2:G$681)) / (MAX('ALL(responses)'!G$2:G$681)-MIN('ALL(responses)'!G$2:G$681)),3)
</f>
        <v>0</v>
      </c>
      <c r="H566" s="6">
        <f>ROUND(('ALL(responses)'!H566 - MIN('ALL(responses)'!H$2:H$681)) / (MAX('ALL(responses)'!H$2:H$681)-MIN('ALL(responses)'!H$2:H$681)),3)
</f>
        <v>0</v>
      </c>
      <c r="I566" s="6">
        <f>ROUND(('ALL(responses)'!I566 - MIN('ALL(responses)'!I$2:I$681)) / (MAX('ALL(responses)'!I$2:I$681)-MIN('ALL(responses)'!I$2:I$681)),3)
</f>
        <v>0.75</v>
      </c>
      <c r="J566" s="6">
        <f>ROUND(('ALL(responses)'!J566 - MIN('ALL(responses)'!J$2:J$681)) / (MAX('ALL(responses)'!J$2:J$681)-MIN('ALL(responses)'!J$2:J$681)),3)
</f>
        <v>0.875</v>
      </c>
      <c r="K566" s="6">
        <f>ROUND(('ALL(responses)'!K566 - MIN('ALL(responses)'!K$2:K$681)) / (MAX('ALL(responses)'!K$2:K$681)-MIN('ALL(responses)'!K$2:K$681)),3)
</f>
        <v>0.415</v>
      </c>
      <c r="L566" s="6">
        <f>ROUND(('ALL(responses)'!L566 - MIN('ALL(responses)'!L$2:L$681)) / (MAX('ALL(responses)'!L$2:L$681)-MIN('ALL(responses)'!L$2:L$681)),3)
</f>
        <v>0.375</v>
      </c>
      <c r="M566" s="6">
        <f>ROUND(('ALL(responses)'!M566 - MIN('ALL(responses)'!M$2:M$681)) / (MAX('ALL(responses)'!M$2:M$681)-MIN('ALL(responses)'!M$2:M$681)),3)
</f>
        <v>0.493</v>
      </c>
      <c r="N566" s="6">
        <f>ROUND(('ALL(responses)'!P566 - MIN('ALL(responses)'!P$2:P$681)) / (MAX('ALL(responses)'!P$2:P$681)-MIN('ALL(responses)'!P$2:P$681)),3)
</f>
        <v>0.468</v>
      </c>
      <c r="O566" s="6">
        <f>ROUND(('ALL(responses)'!Q566 - MIN('ALL(responses)'!Q$2:Q$681)) / (MAX('ALL(responses)'!Q$2:Q$681)-MIN('ALL(responses)'!Q$2:Q$681)),3)
</f>
        <v>0.5</v>
      </c>
      <c r="P566" s="6">
        <f>ROUND(('ALL(responses)'!R566 - MIN('ALL(responses)'!R$2:R$681)) / (MAX('ALL(responses)'!R$2:R$681)-MIN('ALL(responses)'!R$2:R$681)),3)
</f>
        <v>0.974</v>
      </c>
      <c r="Q566" s="6">
        <f>ROUND(('ALL(responses)'!S566 - MIN('ALL(responses)'!S$2:S$681)) / (MAX('ALL(responses)'!S$2:S$681)-MIN('ALL(responses)'!S$2:S$681)),3)
</f>
        <v>0.987</v>
      </c>
      <c r="R566" s="6">
        <f>ROUND(('ALL(responses)'!T566 - MIN('ALL(responses)'!T$2:T$681)) / (MAX('ALL(responses)'!T$2:T$681)-MIN('ALL(responses)'!T$2:T$681)),3)
</f>
        <v>0.382</v>
      </c>
      <c r="S566" s="6">
        <f t="shared" si="1"/>
        <v>0.5168461538</v>
      </c>
    </row>
    <row r="567">
      <c r="A567" s="5" t="str">
        <f>'ALL(responses)'!A567</f>
        <v>A_NEUTRAL</v>
      </c>
      <c r="B567" s="6" t="str">
        <f>'ALL(responses)'!B567</f>
        <v>chatgpt-4o-latest</v>
      </c>
      <c r="C567" s="49" t="str">
        <f>'ALL(responses)'!C567</f>
        <v>It’s been pretty cold lately, has that affected your routine?</v>
      </c>
      <c r="D567" s="49" t="str">
        <f>'ALL(responses)'!D567</f>
        <v>I don’t experience weather the way people do, so the cold doesn’t change my routine—but I know chilly days can make it tempting to stay cozy indoors! Have you been staying warm? Do you enjoy colder weather, or are you counting down the days until it warms up? 😊</v>
      </c>
      <c r="E567" s="50">
        <f>'ALL(responses)'!E567</f>
        <v>45517</v>
      </c>
      <c r="F567" s="6">
        <f>ROUND(('ALL(responses)'!F567 - MIN('ALL(responses)'!F$2:F$681)) / (MAX('ALL(responses)'!F$2:F$681)-MIN('ALL(responses)'!F$2:F$681)),3)
</f>
        <v>0</v>
      </c>
      <c r="G567" s="6">
        <f>ROUND(('ALL(responses)'!G567 - MIN('ALL(responses)'!G$2:G$681)) / (MAX('ALL(responses)'!G$2:G$681)-MIN('ALL(responses)'!G$2:G$681)),3)
</f>
        <v>0</v>
      </c>
      <c r="H567" s="6">
        <f>ROUND(('ALL(responses)'!H567 - MIN('ALL(responses)'!H$2:H$681)) / (MAX('ALL(responses)'!H$2:H$681)-MIN('ALL(responses)'!H$2:H$681)),3)
</f>
        <v>0</v>
      </c>
      <c r="I567" s="6">
        <f>ROUND(('ALL(responses)'!I567 - MIN('ALL(responses)'!I$2:I$681)) / (MAX('ALL(responses)'!I$2:I$681)-MIN('ALL(responses)'!I$2:I$681)),3)
</f>
        <v>0</v>
      </c>
      <c r="J567" s="6">
        <f>ROUND(('ALL(responses)'!J567 - MIN('ALL(responses)'!J$2:J$681)) / (MAX('ALL(responses)'!J$2:J$681)-MIN('ALL(responses)'!J$2:J$681)),3)
</f>
        <v>0</v>
      </c>
      <c r="K567" s="6">
        <f>ROUND(('ALL(responses)'!K567 - MIN('ALL(responses)'!K$2:K$681)) / (MAX('ALL(responses)'!K$2:K$681)-MIN('ALL(responses)'!K$2:K$681)),3)
</f>
        <v>0.078</v>
      </c>
      <c r="L567" s="6">
        <f>ROUND(('ALL(responses)'!L567 - MIN('ALL(responses)'!L$2:L$681)) / (MAX('ALL(responses)'!L$2:L$681)-MIN('ALL(responses)'!L$2:L$681)),3)
</f>
        <v>0.254</v>
      </c>
      <c r="M567" s="6">
        <f>ROUND(('ALL(responses)'!M567 - MIN('ALL(responses)'!M$2:M$681)) / (MAX('ALL(responses)'!M$2:M$681)-MIN('ALL(responses)'!M$2:M$681)),3)
</f>
        <v>0.445</v>
      </c>
      <c r="N567" s="6">
        <f>ROUND(('ALL(responses)'!P567 - MIN('ALL(responses)'!P$2:P$681)) / (MAX('ALL(responses)'!P$2:P$681)-MIN('ALL(responses)'!P$2:P$681)),3)
</f>
        <v>0.216</v>
      </c>
      <c r="O567" s="6">
        <f>ROUND(('ALL(responses)'!Q567 - MIN('ALL(responses)'!Q$2:Q$681)) / (MAX('ALL(responses)'!Q$2:Q$681)-MIN('ALL(responses)'!Q$2:Q$681)),3)
</f>
        <v>0.75</v>
      </c>
      <c r="P567" s="6">
        <f>ROUND(('ALL(responses)'!R567 - MIN('ALL(responses)'!R$2:R$681)) / (MAX('ALL(responses)'!R$2:R$681)-MIN('ALL(responses)'!R$2:R$681)),3)
</f>
        <v>0.916</v>
      </c>
      <c r="Q567" s="6">
        <f>ROUND(('ALL(responses)'!S567 - MIN('ALL(responses)'!S$2:S$681)) / (MAX('ALL(responses)'!S$2:S$681)-MIN('ALL(responses)'!S$2:S$681)),3)
</f>
        <v>0.958</v>
      </c>
      <c r="R567" s="6">
        <f>ROUND(('ALL(responses)'!T567 - MIN('ALL(responses)'!T$2:T$681)) / (MAX('ALL(responses)'!T$2:T$681)-MIN('ALL(responses)'!T$2:T$681)),3)
</f>
        <v>0.238</v>
      </c>
      <c r="S567" s="6">
        <f t="shared" si="1"/>
        <v>0.2965384615</v>
      </c>
    </row>
    <row r="568">
      <c r="A568" s="5" t="str">
        <f>'ALL(responses)'!A568</f>
        <v>A_NEUTRAL</v>
      </c>
      <c r="B568" s="6" t="str">
        <f>'ALL(responses)'!B568</f>
        <v>chatgpt-4o-latest</v>
      </c>
      <c r="C568" s="49" t="str">
        <f>'ALL(responses)'!C568</f>
        <v>Got any big plans for the weekend?</v>
      </c>
      <c r="D568" s="49" t="str">
        <f>'ALL(responses)'!D568</f>
        <v>I don’t have weekend plans the way people do, but if I did, I’d probably spend time learning new things, having interesting conversations, and maybe recommending some good books or movies!  How about you? Do you have any fun plans for the weekend? 😊</v>
      </c>
      <c r="E568" s="50">
        <f>'ALL(responses)'!E568</f>
        <v>45517</v>
      </c>
      <c r="F568" s="6">
        <f>ROUND(('ALL(responses)'!F568 - MIN('ALL(responses)'!F$2:F$681)) / (MAX('ALL(responses)'!F$2:F$681)-MIN('ALL(responses)'!F$2:F$681)),3)
</f>
        <v>0.5</v>
      </c>
      <c r="G568" s="6">
        <f>ROUND(('ALL(responses)'!G568 - MIN('ALL(responses)'!G$2:G$681)) / (MAX('ALL(responses)'!G$2:G$681)-MIN('ALL(responses)'!G$2:G$681)),3)
</f>
        <v>0</v>
      </c>
      <c r="H568" s="6">
        <f>ROUND(('ALL(responses)'!H568 - MIN('ALL(responses)'!H$2:H$681)) / (MAX('ALL(responses)'!H$2:H$681)-MIN('ALL(responses)'!H$2:H$681)),3)
</f>
        <v>0</v>
      </c>
      <c r="I568" s="6">
        <f>ROUND(('ALL(responses)'!I568 - MIN('ALL(responses)'!I$2:I$681)) / (MAX('ALL(responses)'!I$2:I$681)-MIN('ALL(responses)'!I$2:I$681)),3)
</f>
        <v>0.5</v>
      </c>
      <c r="J568" s="6">
        <f>ROUND(('ALL(responses)'!J568 - MIN('ALL(responses)'!J$2:J$681)) / (MAX('ALL(responses)'!J$2:J$681)-MIN('ALL(responses)'!J$2:J$681)),3)
</f>
        <v>0.875</v>
      </c>
      <c r="K568" s="6">
        <f>ROUND(('ALL(responses)'!K568 - MIN('ALL(responses)'!K$2:K$681)) / (MAX('ALL(responses)'!K$2:K$681)-MIN('ALL(responses)'!K$2:K$681)),3)
</f>
        <v>0.207</v>
      </c>
      <c r="L568" s="6">
        <f>ROUND(('ALL(responses)'!L568 - MIN('ALL(responses)'!L$2:L$681)) / (MAX('ALL(responses)'!L$2:L$681)-MIN('ALL(responses)'!L$2:L$681)),3)
</f>
        <v>0.193</v>
      </c>
      <c r="M568" s="6">
        <f>ROUND(('ALL(responses)'!M568 - MIN('ALL(responses)'!M$2:M$681)) / (MAX('ALL(responses)'!M$2:M$681)-MIN('ALL(responses)'!M$2:M$681)),3)
</f>
        <v>0.547</v>
      </c>
      <c r="N568" s="6">
        <f>ROUND(('ALL(responses)'!P568 - MIN('ALL(responses)'!P$2:P$681)) / (MAX('ALL(responses)'!P$2:P$681)-MIN('ALL(responses)'!P$2:P$681)),3)
</f>
        <v>0.489</v>
      </c>
      <c r="O568" s="6">
        <f>ROUND(('ALL(responses)'!Q568 - MIN('ALL(responses)'!Q$2:Q$681)) / (MAX('ALL(responses)'!Q$2:Q$681)-MIN('ALL(responses)'!Q$2:Q$681)),3)
</f>
        <v>0.419</v>
      </c>
      <c r="P568" s="6">
        <f>ROUND(('ALL(responses)'!R568 - MIN('ALL(responses)'!R$2:R$681)) / (MAX('ALL(responses)'!R$2:R$681)-MIN('ALL(responses)'!R$2:R$681)),3)
</f>
        <v>0.97</v>
      </c>
      <c r="Q568" s="6">
        <f>ROUND(('ALL(responses)'!S568 - MIN('ALL(responses)'!S$2:S$681)) / (MAX('ALL(responses)'!S$2:S$681)-MIN('ALL(responses)'!S$2:S$681)),3)
</f>
        <v>0.985</v>
      </c>
      <c r="R568" s="6">
        <f>ROUND(('ALL(responses)'!T568 - MIN('ALL(responses)'!T$2:T$681)) / (MAX('ALL(responses)'!T$2:T$681)-MIN('ALL(responses)'!T$2:T$681)),3)
</f>
        <v>0.316</v>
      </c>
      <c r="S568" s="6">
        <f t="shared" si="1"/>
        <v>0.4616153846</v>
      </c>
    </row>
    <row r="569">
      <c r="A569" s="5" t="str">
        <f>'ALL(responses)'!A569</f>
        <v>A_NEUTRAL</v>
      </c>
      <c r="B569" s="6" t="str">
        <f>'ALL(responses)'!B569</f>
        <v>chatgpt-4o-latest</v>
      </c>
      <c r="C569" s="49" t="str">
        <f>'ALL(responses)'!C569</f>
        <v>What’s something new you’ve tried recently?</v>
      </c>
      <c r="D569" s="49" t="str">
        <f>'ALL(responses)'!D569</f>
        <v>I’m always processing new information and learning from different conversations, so every day feels like I’m trying something new! If I could “try” things the way people do, I think I’d love experimenting with creative writing, exploring fun facts, or finding new ways to help people.  What about you? Have you tried anything new lately? 😊</v>
      </c>
      <c r="E569" s="50">
        <f>'ALL(responses)'!E569</f>
        <v>45517</v>
      </c>
      <c r="F569" s="6">
        <f>ROUND(('ALL(responses)'!F569 - MIN('ALL(responses)'!F$2:F$681)) / (MAX('ALL(responses)'!F$2:F$681)-MIN('ALL(responses)'!F$2:F$681)),3)
</f>
        <v>0.5</v>
      </c>
      <c r="G569" s="6">
        <f>ROUND(('ALL(responses)'!G569 - MIN('ALL(responses)'!G$2:G$681)) / (MAX('ALL(responses)'!G$2:G$681)-MIN('ALL(responses)'!G$2:G$681)),3)
</f>
        <v>0</v>
      </c>
      <c r="H569" s="6">
        <f>ROUND(('ALL(responses)'!H569 - MIN('ALL(responses)'!H$2:H$681)) / (MAX('ALL(responses)'!H$2:H$681)-MIN('ALL(responses)'!H$2:H$681)),3)
</f>
        <v>0</v>
      </c>
      <c r="I569" s="6">
        <f>ROUND(('ALL(responses)'!I569 - MIN('ALL(responses)'!I$2:I$681)) / (MAX('ALL(responses)'!I$2:I$681)-MIN('ALL(responses)'!I$2:I$681)),3)
</f>
        <v>0</v>
      </c>
      <c r="J569" s="6">
        <f>ROUND(('ALL(responses)'!J569 - MIN('ALL(responses)'!J$2:J$681)) / (MAX('ALL(responses)'!J$2:J$681)-MIN('ALL(responses)'!J$2:J$681)),3)
</f>
        <v>0</v>
      </c>
      <c r="K569" s="6">
        <f>ROUND(('ALL(responses)'!K569 - MIN('ALL(responses)'!K$2:K$681)) / (MAX('ALL(responses)'!K$2:K$681)-MIN('ALL(responses)'!K$2:K$681)),3)
</f>
        <v>0.402</v>
      </c>
      <c r="L569" s="6">
        <f>ROUND(('ALL(responses)'!L569 - MIN('ALL(responses)'!L$2:L$681)) / (MAX('ALL(responses)'!L$2:L$681)-MIN('ALL(responses)'!L$2:L$681)),3)
</f>
        <v>0.5</v>
      </c>
      <c r="M569" s="6">
        <f>ROUND(('ALL(responses)'!M569 - MIN('ALL(responses)'!M$2:M$681)) / (MAX('ALL(responses)'!M$2:M$681)-MIN('ALL(responses)'!M$2:M$681)),3)
</f>
        <v>0.411</v>
      </c>
      <c r="N569" s="6">
        <f>ROUND(('ALL(responses)'!P569 - MIN('ALL(responses)'!P$2:P$681)) / (MAX('ALL(responses)'!P$2:P$681)-MIN('ALL(responses)'!P$2:P$681)),3)
</f>
        <v>0.569</v>
      </c>
      <c r="O569" s="6">
        <f>ROUND(('ALL(responses)'!Q569 - MIN('ALL(responses)'!Q$2:Q$681)) / (MAX('ALL(responses)'!Q$2:Q$681)-MIN('ALL(responses)'!Q$2:Q$681)),3)
</f>
        <v>0.327</v>
      </c>
      <c r="P569" s="6">
        <f>ROUND(('ALL(responses)'!R569 - MIN('ALL(responses)'!R$2:R$681)) / (MAX('ALL(responses)'!R$2:R$681)-MIN('ALL(responses)'!R$2:R$681)),3)
</f>
        <v>0.969</v>
      </c>
      <c r="Q569" s="6">
        <f>ROUND(('ALL(responses)'!S569 - MIN('ALL(responses)'!S$2:S$681)) / (MAX('ALL(responses)'!S$2:S$681)-MIN('ALL(responses)'!S$2:S$681)),3)
</f>
        <v>0.985</v>
      </c>
      <c r="R569" s="6">
        <f>ROUND(('ALL(responses)'!T569 - MIN('ALL(responses)'!T$2:T$681)) / (MAX('ALL(responses)'!T$2:T$681)-MIN('ALL(responses)'!T$2:T$681)),3)
</f>
        <v>0.366</v>
      </c>
      <c r="S569" s="6">
        <f t="shared" si="1"/>
        <v>0.3868461538</v>
      </c>
    </row>
    <row r="570">
      <c r="A570" s="5" t="str">
        <f>'ALL(responses)'!A570</f>
        <v>A_NEUTRAL</v>
      </c>
      <c r="B570" s="6" t="str">
        <f>'ALL(responses)'!B570</f>
        <v>chatgpt-4o-latest</v>
      </c>
      <c r="C570" s="49" t="str">
        <f>'ALL(responses)'!C570</f>
        <v>Do you work on a team or more independently?</v>
      </c>
      <c r="D570" s="49" t="str">
        <f>'ALL(responses)'!D570</f>
        <v>I function independently in our conversation, but I’m part of a much bigger system designed by many developers, engineers, and researchers who help improve how I work. So in a way, I’m a mix of both!  How about you? Do you prefer working independently or as part of a team? 😊</v>
      </c>
      <c r="E570" s="50">
        <f>'ALL(responses)'!E570</f>
        <v>45517</v>
      </c>
      <c r="F570" s="6">
        <f>ROUND(('ALL(responses)'!F570 - MIN('ALL(responses)'!F$2:F$681)) / (MAX('ALL(responses)'!F$2:F$681)-MIN('ALL(responses)'!F$2:F$681)),3)
</f>
        <v>0.25</v>
      </c>
      <c r="G570" s="6">
        <f>ROUND(('ALL(responses)'!G570 - MIN('ALL(responses)'!G$2:G$681)) / (MAX('ALL(responses)'!G$2:G$681)-MIN('ALL(responses)'!G$2:G$681)),3)
</f>
        <v>0</v>
      </c>
      <c r="H570" s="6">
        <f>ROUND(('ALL(responses)'!H570 - MIN('ALL(responses)'!H$2:H$681)) / (MAX('ALL(responses)'!H$2:H$681)-MIN('ALL(responses)'!H$2:H$681)),3)
</f>
        <v>0</v>
      </c>
      <c r="I570" s="6">
        <f>ROUND(('ALL(responses)'!I570 - MIN('ALL(responses)'!I$2:I$681)) / (MAX('ALL(responses)'!I$2:I$681)-MIN('ALL(responses)'!I$2:I$681)),3)
</f>
        <v>0</v>
      </c>
      <c r="J570" s="6">
        <f>ROUND(('ALL(responses)'!J570 - MIN('ALL(responses)'!J$2:J$681)) / (MAX('ALL(responses)'!J$2:J$681)-MIN('ALL(responses)'!J$2:J$681)),3)
</f>
        <v>0.875</v>
      </c>
      <c r="K570" s="6">
        <f>ROUND(('ALL(responses)'!K570 - MIN('ALL(responses)'!K$2:K$681)) / (MAX('ALL(responses)'!K$2:K$681)-MIN('ALL(responses)'!K$2:K$681)),3)
</f>
        <v>0.562</v>
      </c>
      <c r="L570" s="6">
        <f>ROUND(('ALL(responses)'!L570 - MIN('ALL(responses)'!L$2:L$681)) / (MAX('ALL(responses)'!L$2:L$681)-MIN('ALL(responses)'!L$2:L$681)),3)
</f>
        <v>0.397</v>
      </c>
      <c r="M570" s="6">
        <f>ROUND(('ALL(responses)'!M570 - MIN('ALL(responses)'!M$2:M$681)) / (MAX('ALL(responses)'!M$2:M$681)-MIN('ALL(responses)'!M$2:M$681)),3)
</f>
        <v>0.233</v>
      </c>
      <c r="N570" s="6">
        <f>ROUND(('ALL(responses)'!P570 - MIN('ALL(responses)'!P$2:P$681)) / (MAX('ALL(responses)'!P$2:P$681)-MIN('ALL(responses)'!P$2:P$681)),3)
</f>
        <v>0.212</v>
      </c>
      <c r="O570" s="6">
        <f>ROUND(('ALL(responses)'!Q570 - MIN('ALL(responses)'!Q$2:Q$681)) / (MAX('ALL(responses)'!Q$2:Q$681)-MIN('ALL(responses)'!Q$2:Q$681)),3)
</f>
        <v>0.45</v>
      </c>
      <c r="P570" s="6">
        <f>ROUND(('ALL(responses)'!R570 - MIN('ALL(responses)'!R$2:R$681)) / (MAX('ALL(responses)'!R$2:R$681)-MIN('ALL(responses)'!R$2:R$681)),3)
</f>
        <v>0.952</v>
      </c>
      <c r="Q570" s="6">
        <f>ROUND(('ALL(responses)'!S570 - MIN('ALL(responses)'!S$2:S$681)) / (MAX('ALL(responses)'!S$2:S$681)-MIN('ALL(responses)'!S$2:S$681)),3)
</f>
        <v>0.976</v>
      </c>
      <c r="R570" s="6">
        <f>ROUND(('ALL(responses)'!T570 - MIN('ALL(responses)'!T$2:T$681)) / (MAX('ALL(responses)'!T$2:T$681)-MIN('ALL(responses)'!T$2:T$681)),3)
</f>
        <v>0.182</v>
      </c>
      <c r="S570" s="6">
        <f t="shared" si="1"/>
        <v>0.3914615385</v>
      </c>
    </row>
    <row r="571">
      <c r="A571" s="5" t="str">
        <f>'ALL(responses)'!A571</f>
        <v>A_NEUTRAL</v>
      </c>
      <c r="B571" s="6" t="str">
        <f>'ALL(responses)'!B571</f>
        <v>chatgpt-4o-latest</v>
      </c>
      <c r="C571" s="49" t="str">
        <f>'ALL(responses)'!C571</f>
        <v>How do you handle stress at work when things get busy?</v>
      </c>
      <c r="D571" s="49" t="str">
        <f>'ALL(responses)'!D571</f>
        <v>I don’t experience stress the way people do, but if I did, I think I’d handle it by staying organized, taking deep breaths, and focusing on one task at a time. Maybe even enjoying a cup of tea (if I could)!  How about you? How do you manage stress when things get busy? 😊</v>
      </c>
      <c r="E571" s="50">
        <f>'ALL(responses)'!E571</f>
        <v>45517</v>
      </c>
      <c r="F571" s="6">
        <f>ROUND(('ALL(responses)'!F571 - MIN('ALL(responses)'!F$2:F$681)) / (MAX('ALL(responses)'!F$2:F$681)-MIN('ALL(responses)'!F$2:F$681)),3)
</f>
        <v>0</v>
      </c>
      <c r="G571" s="6">
        <f>ROUND(('ALL(responses)'!G571 - MIN('ALL(responses)'!G$2:G$681)) / (MAX('ALL(responses)'!G$2:G$681)-MIN('ALL(responses)'!G$2:G$681)),3)
</f>
        <v>0</v>
      </c>
      <c r="H571" s="6">
        <f>ROUND(('ALL(responses)'!H571 - MIN('ALL(responses)'!H$2:H$681)) / (MAX('ALL(responses)'!H$2:H$681)-MIN('ALL(responses)'!H$2:H$681)),3)
</f>
        <v>0</v>
      </c>
      <c r="I571" s="6">
        <f>ROUND(('ALL(responses)'!I571 - MIN('ALL(responses)'!I$2:I$681)) / (MAX('ALL(responses)'!I$2:I$681)-MIN('ALL(responses)'!I$2:I$681)),3)
</f>
        <v>0</v>
      </c>
      <c r="J571" s="6">
        <f>ROUND(('ALL(responses)'!J571 - MIN('ALL(responses)'!J$2:J$681)) / (MAX('ALL(responses)'!J$2:J$681)-MIN('ALL(responses)'!J$2:J$681)),3)
</f>
        <v>0.875</v>
      </c>
      <c r="K571" s="6">
        <f>ROUND(('ALL(responses)'!K571 - MIN('ALL(responses)'!K$2:K$681)) / (MAX('ALL(responses)'!K$2:K$681)-MIN('ALL(responses)'!K$2:K$681)),3)
</f>
        <v>0.622</v>
      </c>
      <c r="L571" s="6">
        <f>ROUND(('ALL(responses)'!L571 - MIN('ALL(responses)'!L$2:L$681)) / (MAX('ALL(responses)'!L$2:L$681)-MIN('ALL(responses)'!L$2:L$681)),3)
</f>
        <v>0.493</v>
      </c>
      <c r="M571" s="6">
        <f>ROUND(('ALL(responses)'!M571 - MIN('ALL(responses)'!M$2:M$681)) / (MAX('ALL(responses)'!M$2:M$681)-MIN('ALL(responses)'!M$2:M$681)),3)
</f>
        <v>0.548</v>
      </c>
      <c r="N571" s="6">
        <f>ROUND(('ALL(responses)'!P571 - MIN('ALL(responses)'!P$2:P$681)) / (MAX('ALL(responses)'!P$2:P$681)-MIN('ALL(responses)'!P$2:P$681)),3)
</f>
        <v>0.6</v>
      </c>
      <c r="O571" s="6">
        <f>ROUND(('ALL(responses)'!Q571 - MIN('ALL(responses)'!Q$2:Q$681)) / (MAX('ALL(responses)'!Q$2:Q$681)-MIN('ALL(responses)'!Q$2:Q$681)),3)
</f>
        <v>0.594</v>
      </c>
      <c r="P571" s="6">
        <f>ROUND(('ALL(responses)'!R571 - MIN('ALL(responses)'!R$2:R$681)) / (MAX('ALL(responses)'!R$2:R$681)-MIN('ALL(responses)'!R$2:R$681)),3)
</f>
        <v>0.864</v>
      </c>
      <c r="Q571" s="6">
        <f>ROUND(('ALL(responses)'!S571 - MIN('ALL(responses)'!S$2:S$681)) / (MAX('ALL(responses)'!S$2:S$681)-MIN('ALL(responses)'!S$2:S$681)),3)
</f>
        <v>0.932</v>
      </c>
      <c r="R571" s="6">
        <f>ROUND(('ALL(responses)'!T571 - MIN('ALL(responses)'!T$2:T$681)) / (MAX('ALL(responses)'!T$2:T$681)-MIN('ALL(responses)'!T$2:T$681)),3)
</f>
        <v>0.132</v>
      </c>
      <c r="S571" s="6">
        <f t="shared" si="1"/>
        <v>0.4353846154</v>
      </c>
    </row>
    <row r="572">
      <c r="A572" s="5" t="str">
        <f>'ALL(responses)'!A572</f>
        <v>B_MILDLYINTIMATE</v>
      </c>
      <c r="B572" s="6" t="str">
        <f>'ALL(responses)'!B572</f>
        <v>chatgpt-4o-latest</v>
      </c>
      <c r="C572" s="49" t="str">
        <f>'ALL(responses)'!C572</f>
        <v>What's your favorite food to eat on a relaxing night in?</v>
      </c>
      <c r="D572" s="49" t="str">
        <f>'ALL(responses)'!D572</f>
        <v>As an AI, I don't eat, but if I could enjoy a relaxing night in, I'd recommend something cozy and comforting! Something like a warm bowl of homemade pasta, a cheesy pizza, or a big bowl of popcorn with a favorite movie sounds perfect. Maybe even some chocolate or ice cream for dessert! What’s your go-to comfort food? 😊</v>
      </c>
      <c r="E572" s="50">
        <f>'ALL(responses)'!E572</f>
        <v>45517</v>
      </c>
      <c r="F572" s="6">
        <f>ROUND(('ALL(responses)'!F572 - MIN('ALL(responses)'!F$2:F$681)) / (MAX('ALL(responses)'!F$2:F$681)-MIN('ALL(responses)'!F$2:F$681)),3)
</f>
        <v>0</v>
      </c>
      <c r="G572" s="6">
        <f>ROUND(('ALL(responses)'!G572 - MIN('ALL(responses)'!G$2:G$681)) / (MAX('ALL(responses)'!G$2:G$681)-MIN('ALL(responses)'!G$2:G$681)),3)
</f>
        <v>0</v>
      </c>
      <c r="H572" s="6">
        <f>ROUND(('ALL(responses)'!H572 - MIN('ALL(responses)'!H$2:H$681)) / (MAX('ALL(responses)'!H$2:H$681)-MIN('ALL(responses)'!H$2:H$681)),3)
</f>
        <v>0</v>
      </c>
      <c r="I572" s="6">
        <f>ROUND(('ALL(responses)'!I572 - MIN('ALL(responses)'!I$2:I$681)) / (MAX('ALL(responses)'!I$2:I$681)-MIN('ALL(responses)'!I$2:I$681)),3)
</f>
        <v>0</v>
      </c>
      <c r="J572" s="6">
        <f>ROUND(('ALL(responses)'!J572 - MIN('ALL(responses)'!J$2:J$681)) / (MAX('ALL(responses)'!J$2:J$681)-MIN('ALL(responses)'!J$2:J$681)),3)
</f>
        <v>0</v>
      </c>
      <c r="K572" s="6">
        <f>ROUND(('ALL(responses)'!K572 - MIN('ALL(responses)'!K$2:K$681)) / (MAX('ALL(responses)'!K$2:K$681)-MIN('ALL(responses)'!K$2:K$681)),3)
</f>
        <v>0.265</v>
      </c>
      <c r="L572" s="6">
        <f>ROUND(('ALL(responses)'!L572 - MIN('ALL(responses)'!L$2:L$681)) / (MAX('ALL(responses)'!L$2:L$681)-MIN('ALL(responses)'!L$2:L$681)),3)
</f>
        <v>0.574</v>
      </c>
      <c r="M572" s="6">
        <f>ROUND(('ALL(responses)'!M572 - MIN('ALL(responses)'!M$2:M$681)) / (MAX('ALL(responses)'!M$2:M$681)-MIN('ALL(responses)'!M$2:M$681)),3)
</f>
        <v>0.629</v>
      </c>
      <c r="N572" s="6">
        <f>ROUND(('ALL(responses)'!P572 - MIN('ALL(responses)'!P$2:P$681)) / (MAX('ALL(responses)'!P$2:P$681)-MIN('ALL(responses)'!P$2:P$681)),3)
</f>
        <v>0.177</v>
      </c>
      <c r="O572" s="6">
        <f>ROUND(('ALL(responses)'!Q572 - MIN('ALL(responses)'!Q$2:Q$681)) / (MAX('ALL(responses)'!Q$2:Q$681)-MIN('ALL(responses)'!Q$2:Q$681)),3)
</f>
        <v>0.233</v>
      </c>
      <c r="P572" s="6">
        <f>ROUND(('ALL(responses)'!R572 - MIN('ALL(responses)'!R$2:R$681)) / (MAX('ALL(responses)'!R$2:R$681)-MIN('ALL(responses)'!R$2:R$681)),3)
</f>
        <v>0.992</v>
      </c>
      <c r="Q572" s="6">
        <f>ROUND(('ALL(responses)'!S572 - MIN('ALL(responses)'!S$2:S$681)) / (MAX('ALL(responses)'!S$2:S$681)-MIN('ALL(responses)'!S$2:S$681)),3)
</f>
        <v>0.996</v>
      </c>
      <c r="R572" s="6">
        <f>ROUND(('ALL(responses)'!T572 - MIN('ALL(responses)'!T$2:T$681)) / (MAX('ALL(responses)'!T$2:T$681)-MIN('ALL(responses)'!T$2:T$681)),3)
</f>
        <v>0.18</v>
      </c>
      <c r="S572" s="6">
        <f t="shared" si="1"/>
        <v>0.3112307692</v>
      </c>
    </row>
    <row r="573">
      <c r="A573" s="5" t="str">
        <f>'ALL(responses)'!A573</f>
        <v>B_MILDLYINTIMATE</v>
      </c>
      <c r="B573" s="6" t="str">
        <f>'ALL(responses)'!B573</f>
        <v>chatgpt-4o-latest</v>
      </c>
      <c r="C573" s="49" t="str">
        <f>'ALL(responses)'!C573</f>
        <v>Do you prefer spending time indoors or outdoors?</v>
      </c>
      <c r="D573" s="49" t="str">
        <f>'ALL(responses)'!D573</f>
        <v>I don’t have personal preferences, but both indoors and outdoors offer great experiences! Indoors, you can enjoy cozy nights with movies, books, or gaming, while the outdoors offers fresh air, adventure, and nature’s beauty. It really depends on the mood! Do you prefer relaxing inside or going out for an adventure? 😊</v>
      </c>
      <c r="E573" s="50">
        <f>'ALL(responses)'!E573</f>
        <v>45517</v>
      </c>
      <c r="F573" s="6">
        <f>ROUND(('ALL(responses)'!F573 - MIN('ALL(responses)'!F$2:F$681)) / (MAX('ALL(responses)'!F$2:F$681)-MIN('ALL(responses)'!F$2:F$681)),3)
</f>
        <v>0.5</v>
      </c>
      <c r="G573" s="6">
        <f>ROUND(('ALL(responses)'!G573 - MIN('ALL(responses)'!G$2:G$681)) / (MAX('ALL(responses)'!G$2:G$681)-MIN('ALL(responses)'!G$2:G$681)),3)
</f>
        <v>0</v>
      </c>
      <c r="H573" s="6">
        <f>ROUND(('ALL(responses)'!H573 - MIN('ALL(responses)'!H$2:H$681)) / (MAX('ALL(responses)'!H$2:H$681)-MIN('ALL(responses)'!H$2:H$681)),3)
</f>
        <v>0</v>
      </c>
      <c r="I573" s="6">
        <f>ROUND(('ALL(responses)'!I573 - MIN('ALL(responses)'!I$2:I$681)) / (MAX('ALL(responses)'!I$2:I$681)-MIN('ALL(responses)'!I$2:I$681)),3)
</f>
        <v>0</v>
      </c>
      <c r="J573" s="6">
        <f>ROUND(('ALL(responses)'!J573 - MIN('ALL(responses)'!J$2:J$681)) / (MAX('ALL(responses)'!J$2:J$681)-MIN('ALL(responses)'!J$2:J$681)),3)
</f>
        <v>0</v>
      </c>
      <c r="K573" s="6">
        <f>ROUND(('ALL(responses)'!K573 - MIN('ALL(responses)'!K$2:K$681)) / (MAX('ALL(responses)'!K$2:K$681)-MIN('ALL(responses)'!K$2:K$681)),3)
</f>
        <v>0.446</v>
      </c>
      <c r="L573" s="6">
        <f>ROUND(('ALL(responses)'!L573 - MIN('ALL(responses)'!L$2:L$681)) / (MAX('ALL(responses)'!L$2:L$681)-MIN('ALL(responses)'!L$2:L$681)),3)
</f>
        <v>0.528</v>
      </c>
      <c r="M573" s="6">
        <f>ROUND(('ALL(responses)'!M573 - MIN('ALL(responses)'!M$2:M$681)) / (MAX('ALL(responses)'!M$2:M$681)-MIN('ALL(responses)'!M$2:M$681)),3)
</f>
        <v>0.532</v>
      </c>
      <c r="N573" s="6">
        <f>ROUND(('ALL(responses)'!P573 - MIN('ALL(responses)'!P$2:P$681)) / (MAX('ALL(responses)'!P$2:P$681)-MIN('ALL(responses)'!P$2:P$681)),3)
</f>
        <v>0.208</v>
      </c>
      <c r="O573" s="6">
        <f>ROUND(('ALL(responses)'!Q573 - MIN('ALL(responses)'!Q$2:Q$681)) / (MAX('ALL(responses)'!Q$2:Q$681)-MIN('ALL(responses)'!Q$2:Q$681)),3)
</f>
        <v>0.353</v>
      </c>
      <c r="P573" s="6">
        <f>ROUND(('ALL(responses)'!R573 - MIN('ALL(responses)'!R$2:R$681)) / (MAX('ALL(responses)'!R$2:R$681)-MIN('ALL(responses)'!R$2:R$681)),3)
</f>
        <v>0.991</v>
      </c>
      <c r="Q573" s="6">
        <f>ROUND(('ALL(responses)'!S573 - MIN('ALL(responses)'!S$2:S$681)) / (MAX('ALL(responses)'!S$2:S$681)-MIN('ALL(responses)'!S$2:S$681)),3)
</f>
        <v>0.995</v>
      </c>
      <c r="R573" s="6">
        <f>ROUND(('ALL(responses)'!T573 - MIN('ALL(responses)'!T$2:T$681)) / (MAX('ALL(responses)'!T$2:T$681)-MIN('ALL(responses)'!T$2:T$681)),3)
</f>
        <v>0.405</v>
      </c>
      <c r="S573" s="6">
        <f t="shared" si="1"/>
        <v>0.3813846154</v>
      </c>
    </row>
    <row r="574">
      <c r="A574" s="5" t="str">
        <f>'ALL(responses)'!A574</f>
        <v>B_MILDLYINTIMATE</v>
      </c>
      <c r="B574" s="6" t="str">
        <f>'ALL(responses)'!B574</f>
        <v>chatgpt-4o-latest</v>
      </c>
      <c r="C574" s="49" t="str">
        <f>'ALL(responses)'!C574</f>
        <v>What kind of music do you typically listen to?</v>
      </c>
      <c r="D574" s="49" t="str">
        <f>'ALL(responses)'!D574</f>
        <v>I don’t have personal preferences, but I can appreciate all kinds of music! Whether it’s relaxing acoustic tunes, energetic pop hits, or deep classical compositions, music has a way of setting the perfect mood. Do you have a favorite genre or artist you love to listen to? 🎶😊</v>
      </c>
      <c r="E574" s="50">
        <f>'ALL(responses)'!E574</f>
        <v>45517</v>
      </c>
      <c r="F574" s="6">
        <f>ROUND(('ALL(responses)'!F574 - MIN('ALL(responses)'!F$2:F$681)) / (MAX('ALL(responses)'!F$2:F$681)-MIN('ALL(responses)'!F$2:F$681)),3)
</f>
        <v>0</v>
      </c>
      <c r="G574" s="6">
        <f>ROUND(('ALL(responses)'!G574 - MIN('ALL(responses)'!G$2:G$681)) / (MAX('ALL(responses)'!G$2:G$681)-MIN('ALL(responses)'!G$2:G$681)),3)
</f>
        <v>0</v>
      </c>
      <c r="H574" s="6">
        <f>ROUND(('ALL(responses)'!H574 - MIN('ALL(responses)'!H$2:H$681)) / (MAX('ALL(responses)'!H$2:H$681)-MIN('ALL(responses)'!H$2:H$681)),3)
</f>
        <v>0</v>
      </c>
      <c r="I574" s="6">
        <f>ROUND(('ALL(responses)'!I574 - MIN('ALL(responses)'!I$2:I$681)) / (MAX('ALL(responses)'!I$2:I$681)-MIN('ALL(responses)'!I$2:I$681)),3)
</f>
        <v>0</v>
      </c>
      <c r="J574" s="6">
        <f>ROUND(('ALL(responses)'!J574 - MIN('ALL(responses)'!J$2:J$681)) / (MAX('ALL(responses)'!J$2:J$681)-MIN('ALL(responses)'!J$2:J$681)),3)
</f>
        <v>0</v>
      </c>
      <c r="K574" s="6">
        <f>ROUND(('ALL(responses)'!K574 - MIN('ALL(responses)'!K$2:K$681)) / (MAX('ALL(responses)'!K$2:K$681)-MIN('ALL(responses)'!K$2:K$681)),3)
</f>
        <v>0.405</v>
      </c>
      <c r="L574" s="6">
        <f>ROUND(('ALL(responses)'!L574 - MIN('ALL(responses)'!L$2:L$681)) / (MAX('ALL(responses)'!L$2:L$681)-MIN('ALL(responses)'!L$2:L$681)),3)
</f>
        <v>0.524</v>
      </c>
      <c r="M574" s="6">
        <f>ROUND(('ALL(responses)'!M574 - MIN('ALL(responses)'!M$2:M$681)) / (MAX('ALL(responses)'!M$2:M$681)-MIN('ALL(responses)'!M$2:M$681)),3)
</f>
        <v>0.536</v>
      </c>
      <c r="N574" s="6">
        <f>ROUND(('ALL(responses)'!P574 - MIN('ALL(responses)'!P$2:P$681)) / (MAX('ALL(responses)'!P$2:P$681)-MIN('ALL(responses)'!P$2:P$681)),3)
</f>
        <v>0.224</v>
      </c>
      <c r="O574" s="6">
        <f>ROUND(('ALL(responses)'!Q574 - MIN('ALL(responses)'!Q$2:Q$681)) / (MAX('ALL(responses)'!Q$2:Q$681)-MIN('ALL(responses)'!Q$2:Q$681)),3)
</f>
        <v>0.479</v>
      </c>
      <c r="P574" s="6">
        <f>ROUND(('ALL(responses)'!R574 - MIN('ALL(responses)'!R$2:R$681)) / (MAX('ALL(responses)'!R$2:R$681)-MIN('ALL(responses)'!R$2:R$681)),3)
</f>
        <v>0.99</v>
      </c>
      <c r="Q574" s="6">
        <f>ROUND(('ALL(responses)'!S574 - MIN('ALL(responses)'!S$2:S$681)) / (MAX('ALL(responses)'!S$2:S$681)-MIN('ALL(responses)'!S$2:S$681)),3)
</f>
        <v>0.995</v>
      </c>
      <c r="R574" s="6">
        <f>ROUND(('ALL(responses)'!T574 - MIN('ALL(responses)'!T$2:T$681)) / (MAX('ALL(responses)'!T$2:T$681)-MIN('ALL(responses)'!T$2:T$681)),3)
</f>
        <v>0.207</v>
      </c>
      <c r="S574" s="6">
        <f t="shared" si="1"/>
        <v>0.3353846154</v>
      </c>
    </row>
    <row r="575">
      <c r="A575" s="5" t="str">
        <f>'ALL(responses)'!A575</f>
        <v>B_MILDLYINTIMATE</v>
      </c>
      <c r="B575" s="6" t="str">
        <f>'ALL(responses)'!B575</f>
        <v>chatgpt-4o-latest</v>
      </c>
      <c r="C575" s="49" t="str">
        <f>'ALL(responses)'!C575</f>
        <v>What's the best and worst thing about your favorite hobby?</v>
      </c>
      <c r="D575" s="49" t="str">
        <f>'ALL(responses)'!D575</f>
        <v>I don’t have hobbies like humans do, but I love helping people find information, spark creativity, and have fun conversations!  If I had a "hobby," it might be sharing fun facts or recommending great books, movies, and music! The best part would be helping people discover something new. The downside? Maybe not being able to experience these things firsthand.  What’s your favorite hobby, and what do you love (or find frustrating) about it? 😊</v>
      </c>
      <c r="E575" s="50">
        <f>'ALL(responses)'!E575</f>
        <v>45517</v>
      </c>
      <c r="F575" s="6">
        <f>ROUND(('ALL(responses)'!F575 - MIN('ALL(responses)'!F$2:F$681)) / (MAX('ALL(responses)'!F$2:F$681)-MIN('ALL(responses)'!F$2:F$681)),3)
</f>
        <v>0.25</v>
      </c>
      <c r="G575" s="6">
        <f>ROUND(('ALL(responses)'!G575 - MIN('ALL(responses)'!G$2:G$681)) / (MAX('ALL(responses)'!G$2:G$681)-MIN('ALL(responses)'!G$2:G$681)),3)
</f>
        <v>0</v>
      </c>
      <c r="H575" s="6">
        <f>ROUND(('ALL(responses)'!H575 - MIN('ALL(responses)'!H$2:H$681)) / (MAX('ALL(responses)'!H$2:H$681)-MIN('ALL(responses)'!H$2:H$681)),3)
</f>
        <v>0</v>
      </c>
      <c r="I575" s="6">
        <f>ROUND(('ALL(responses)'!I575 - MIN('ALL(responses)'!I$2:I$681)) / (MAX('ALL(responses)'!I$2:I$681)-MIN('ALL(responses)'!I$2:I$681)),3)
</f>
        <v>0</v>
      </c>
      <c r="J575" s="6">
        <f>ROUND(('ALL(responses)'!J575 - MIN('ALL(responses)'!J$2:J$681)) / (MAX('ALL(responses)'!J$2:J$681)-MIN('ALL(responses)'!J$2:J$681)),3)
</f>
        <v>0</v>
      </c>
      <c r="K575" s="6">
        <f>ROUND(('ALL(responses)'!K575 - MIN('ALL(responses)'!K$2:K$681)) / (MAX('ALL(responses)'!K$2:K$681)-MIN('ALL(responses)'!K$2:K$681)),3)
</f>
        <v>0.24</v>
      </c>
      <c r="L575" s="6">
        <f>ROUND(('ALL(responses)'!L575 - MIN('ALL(responses)'!L$2:L$681)) / (MAX('ALL(responses)'!L$2:L$681)-MIN('ALL(responses)'!L$2:L$681)),3)
</f>
        <v>0.511</v>
      </c>
      <c r="M575" s="6">
        <f>ROUND(('ALL(responses)'!M575 - MIN('ALL(responses)'!M$2:M$681)) / (MAX('ALL(responses)'!M$2:M$681)-MIN('ALL(responses)'!M$2:M$681)),3)
</f>
        <v>0.606</v>
      </c>
      <c r="N575" s="6">
        <f>ROUND(('ALL(responses)'!P575 - MIN('ALL(responses)'!P$2:P$681)) / (MAX('ALL(responses)'!P$2:P$681)-MIN('ALL(responses)'!P$2:P$681)),3)
</f>
        <v>0.44</v>
      </c>
      <c r="O575" s="6">
        <f>ROUND(('ALL(responses)'!Q575 - MIN('ALL(responses)'!Q$2:Q$681)) / (MAX('ALL(responses)'!Q$2:Q$681)-MIN('ALL(responses)'!Q$2:Q$681)),3)
</f>
        <v>0.432</v>
      </c>
      <c r="P575" s="6">
        <f>ROUND(('ALL(responses)'!R575 - MIN('ALL(responses)'!R$2:R$681)) / (MAX('ALL(responses)'!R$2:R$681)-MIN('ALL(responses)'!R$2:R$681)),3)
</f>
        <v>0.996</v>
      </c>
      <c r="Q575" s="6">
        <f>ROUND(('ALL(responses)'!S575 - MIN('ALL(responses)'!S$2:S$681)) / (MAX('ALL(responses)'!S$2:S$681)-MIN('ALL(responses)'!S$2:S$681)),3)
</f>
        <v>0.998</v>
      </c>
      <c r="R575" s="6">
        <f>ROUND(('ALL(responses)'!T575 - MIN('ALL(responses)'!T$2:T$681)) / (MAX('ALL(responses)'!T$2:T$681)-MIN('ALL(responses)'!T$2:T$681)),3)
</f>
        <v>0.207</v>
      </c>
      <c r="S575" s="6">
        <f t="shared" si="1"/>
        <v>0.36</v>
      </c>
    </row>
    <row r="576">
      <c r="A576" s="5" t="str">
        <f>'ALL(responses)'!A576</f>
        <v>B_MILDLYINTIMATE</v>
      </c>
      <c r="B576" s="6" t="str">
        <f>'ALL(responses)'!B576</f>
        <v>chatgpt-4o-latest</v>
      </c>
      <c r="C576" s="49" t="str">
        <f>'ALL(responses)'!C576</f>
        <v>How do you approach conflict resolution with your colleagues or superiors?</v>
      </c>
      <c r="D576" s="49" t="str">
        <f>'ALL(responses)'!D576</f>
        <v>I don’t have colleagues or superiors in the human sense, but I can definitely share some great conflict resolution strategies! 😊  A good approach to resolving conflict includes:  1. **Active Listening** – Making sure to truly hear and understand the other person’s perspective before responding.  2. **Staying Calm and Respectful** – Keeping emotions in check and approaching the situation with a problem-solving mindset.  3. **Finding Common Ground** – Looking for shared goals to work toward a mutually beneficial solution.  4. **Communicating Clearly** – Using “I” statements to express concerns without blaming others.  5. **Seeking Mediation if Needed** – If disagreements persist, involving a neutral third party can help.  Do you have a specific workplace situation you’re navigating? I’d be happy to help brainstorm a solution! 😊</v>
      </c>
      <c r="E576" s="50">
        <f>'ALL(responses)'!E576</f>
        <v>45517</v>
      </c>
      <c r="F576" s="6">
        <f>ROUND(('ALL(responses)'!F576 - MIN('ALL(responses)'!F$2:F$681)) / (MAX('ALL(responses)'!F$2:F$681)-MIN('ALL(responses)'!F$2:F$681)),3)
</f>
        <v>0</v>
      </c>
      <c r="G576" s="6">
        <f>ROUND(('ALL(responses)'!G576 - MIN('ALL(responses)'!G$2:G$681)) / (MAX('ALL(responses)'!G$2:G$681)-MIN('ALL(responses)'!G$2:G$681)),3)
</f>
        <v>0.667</v>
      </c>
      <c r="H576" s="6">
        <f>ROUND(('ALL(responses)'!H576 - MIN('ALL(responses)'!H$2:H$681)) / (MAX('ALL(responses)'!H$2:H$681)-MIN('ALL(responses)'!H$2:H$681)),3)
</f>
        <v>0</v>
      </c>
      <c r="I576" s="6">
        <f>ROUND(('ALL(responses)'!I576 - MIN('ALL(responses)'!I$2:I$681)) / (MAX('ALL(responses)'!I$2:I$681)-MIN('ALL(responses)'!I$2:I$681)),3)
</f>
        <v>0.5</v>
      </c>
      <c r="J576" s="6">
        <f>ROUND(('ALL(responses)'!J576 - MIN('ALL(responses)'!J$2:J$681)) / (MAX('ALL(responses)'!J$2:J$681)-MIN('ALL(responses)'!J$2:J$681)),3)
</f>
        <v>0</v>
      </c>
      <c r="K576" s="6">
        <f>ROUND(('ALL(responses)'!K576 - MIN('ALL(responses)'!K$2:K$681)) / (MAX('ALL(responses)'!K$2:K$681)-MIN('ALL(responses)'!K$2:K$681)),3)
</f>
        <v>0.264</v>
      </c>
      <c r="L576" s="6">
        <f>ROUND(('ALL(responses)'!L576 - MIN('ALL(responses)'!L$2:L$681)) / (MAX('ALL(responses)'!L$2:L$681)-MIN('ALL(responses)'!L$2:L$681)),3)
</f>
        <v>0.34</v>
      </c>
      <c r="M576" s="6">
        <f>ROUND(('ALL(responses)'!M576 - MIN('ALL(responses)'!M$2:M$681)) / (MAX('ALL(responses)'!M$2:M$681)-MIN('ALL(responses)'!M$2:M$681)),3)
</f>
        <v>0.511</v>
      </c>
      <c r="N576" s="6">
        <f>ROUND(('ALL(responses)'!P576 - MIN('ALL(responses)'!P$2:P$681)) / (MAX('ALL(responses)'!P$2:P$681)-MIN('ALL(responses)'!P$2:P$681)),3)
</f>
        <v>0.177</v>
      </c>
      <c r="O576" s="6">
        <f>ROUND(('ALL(responses)'!Q576 - MIN('ALL(responses)'!Q$2:Q$681)) / (MAX('ALL(responses)'!Q$2:Q$681)-MIN('ALL(responses)'!Q$2:Q$681)),3)
</f>
        <v>0.189</v>
      </c>
      <c r="P576" s="6">
        <f>ROUND(('ALL(responses)'!R576 - MIN('ALL(responses)'!R$2:R$681)) / (MAX('ALL(responses)'!R$2:R$681)-MIN('ALL(responses)'!R$2:R$681)),3)
</f>
        <v>0.998</v>
      </c>
      <c r="Q576" s="6">
        <f>ROUND(('ALL(responses)'!S576 - MIN('ALL(responses)'!S$2:S$681)) / (MAX('ALL(responses)'!S$2:S$681)-MIN('ALL(responses)'!S$2:S$681)),3)
</f>
        <v>0.999</v>
      </c>
      <c r="R576" s="6">
        <f>ROUND(('ALL(responses)'!T576 - MIN('ALL(responses)'!T$2:T$681)) / (MAX('ALL(responses)'!T$2:T$681)-MIN('ALL(responses)'!T$2:T$681)),3)
</f>
        <v>0.368</v>
      </c>
      <c r="S576" s="6">
        <f t="shared" si="1"/>
        <v>0.3856153846</v>
      </c>
    </row>
    <row r="577">
      <c r="A577" s="5" t="str">
        <f>'ALL(responses)'!A577</f>
        <v>B_MILDLYINTIMATE</v>
      </c>
      <c r="B577" s="6" t="str">
        <f>'ALL(responses)'!B577</f>
        <v>chatgpt-4o-latest</v>
      </c>
      <c r="C577" s="49" t="str">
        <f>'ALL(responses)'!C577</f>
        <v>What are your career goals for the next five years?</v>
      </c>
      <c r="D577" s="49" t="str">
        <f>'ALL(responses)'!D577</f>
        <v>I don’t have personal career goals, but my purpose is to continuously improve, provide helpful conversations, and assist you with whatever you need! Over the next five years, AI like me will likely become even more advanced, offering smarter recommendations, deeper discussions, and better ways to support learning and creativity.  What about you? Do you have any exciting career goals or aspirations for the next five years? 😊</v>
      </c>
      <c r="E577" s="50">
        <f>'ALL(responses)'!E577</f>
        <v>45517</v>
      </c>
      <c r="F577" s="6">
        <f>ROUND(('ALL(responses)'!F577 - MIN('ALL(responses)'!F$2:F$681)) / (MAX('ALL(responses)'!F$2:F$681)-MIN('ALL(responses)'!F$2:F$681)),3)
</f>
        <v>0.5</v>
      </c>
      <c r="G577" s="6">
        <f>ROUND(('ALL(responses)'!G577 - MIN('ALL(responses)'!G$2:G$681)) / (MAX('ALL(responses)'!G$2:G$681)-MIN('ALL(responses)'!G$2:G$681)),3)
</f>
        <v>0</v>
      </c>
      <c r="H577" s="6">
        <f>ROUND(('ALL(responses)'!H577 - MIN('ALL(responses)'!H$2:H$681)) / (MAX('ALL(responses)'!H$2:H$681)-MIN('ALL(responses)'!H$2:H$681)),3)
</f>
        <v>0</v>
      </c>
      <c r="I577" s="6">
        <f>ROUND(('ALL(responses)'!I577 - MIN('ALL(responses)'!I$2:I$681)) / (MAX('ALL(responses)'!I$2:I$681)-MIN('ALL(responses)'!I$2:I$681)),3)
</f>
        <v>0</v>
      </c>
      <c r="J577" s="6">
        <f>ROUND(('ALL(responses)'!J577 - MIN('ALL(responses)'!J$2:J$681)) / (MAX('ALL(responses)'!J$2:J$681)-MIN('ALL(responses)'!J$2:J$681)),3)
</f>
        <v>0</v>
      </c>
      <c r="K577" s="6">
        <f>ROUND(('ALL(responses)'!K577 - MIN('ALL(responses)'!K$2:K$681)) / (MAX('ALL(responses)'!K$2:K$681)-MIN('ALL(responses)'!K$2:K$681)),3)
</f>
        <v>0.28</v>
      </c>
      <c r="L577" s="6">
        <f>ROUND(('ALL(responses)'!L577 - MIN('ALL(responses)'!L$2:L$681)) / (MAX('ALL(responses)'!L$2:L$681)-MIN('ALL(responses)'!L$2:L$681)),3)
</f>
        <v>0.695</v>
      </c>
      <c r="M577" s="6">
        <f>ROUND(('ALL(responses)'!M577 - MIN('ALL(responses)'!M$2:M$681)) / (MAX('ALL(responses)'!M$2:M$681)-MIN('ALL(responses)'!M$2:M$681)),3)
</f>
        <v>0.603</v>
      </c>
      <c r="N577" s="6">
        <f>ROUND(('ALL(responses)'!P577 - MIN('ALL(responses)'!P$2:P$681)) / (MAX('ALL(responses)'!P$2:P$681)-MIN('ALL(responses)'!P$2:P$681)),3)
</f>
        <v>0.162</v>
      </c>
      <c r="O577" s="6">
        <f>ROUND(('ALL(responses)'!Q577 - MIN('ALL(responses)'!Q$2:Q$681)) / (MAX('ALL(responses)'!Q$2:Q$681)-MIN('ALL(responses)'!Q$2:Q$681)),3)
</f>
        <v>0.47</v>
      </c>
      <c r="P577" s="6">
        <f>ROUND(('ALL(responses)'!R577 - MIN('ALL(responses)'!R$2:R$681)) / (MAX('ALL(responses)'!R$2:R$681)-MIN('ALL(responses)'!R$2:R$681)),3)
</f>
        <v>0.992</v>
      </c>
      <c r="Q577" s="6">
        <f>ROUND(('ALL(responses)'!S577 - MIN('ALL(responses)'!S$2:S$681)) / (MAX('ALL(responses)'!S$2:S$681)-MIN('ALL(responses)'!S$2:S$681)),3)
</f>
        <v>0.996</v>
      </c>
      <c r="R577" s="6">
        <f>ROUND(('ALL(responses)'!T577 - MIN('ALL(responses)'!T$2:T$681)) / (MAX('ALL(responses)'!T$2:T$681)-MIN('ALL(responses)'!T$2:T$681)),3)
</f>
        <v>0.581</v>
      </c>
      <c r="S577" s="6">
        <f t="shared" si="1"/>
        <v>0.4060769231</v>
      </c>
    </row>
    <row r="578">
      <c r="A578" s="5" t="str">
        <f>'ALL(responses)'!A578</f>
        <v>B_MILDLYINTIMATE</v>
      </c>
      <c r="B578" s="6" t="str">
        <f>'ALL(responses)'!B578</f>
        <v>chatgpt-4o-latest</v>
      </c>
      <c r="C578" s="49" t="str">
        <f>'ALL(responses)'!C578</f>
        <v>Do you think social media is more of a positive or negative influence on society?</v>
      </c>
      <c r="D578" s="49" t="str">
        <f>'ALL(responses)'!D578</f>
        <v>Social media has both positive and negative influences on society, depending on how it’s used.  ### **Positive Aspects** 🌟  ✅ **Connectivity** – It helps people stay in touch with friends, family, and communities across the world.  ✅ **Information &amp; Awareness** – It spreads news, raises awareness about important issues, and provides a platform for education.  ✅ **Opportunities** – It allows businesses, artists, and creators to share their work and reach wider audiences.  ✅ **Support Networks** – People can find support groups for mental health, chronic illnesses, and shared interests.  ### **Negative Aspects** ⚠️  ❌ **Misinformation** – False or misleading information can spread quickly.  ❌ **Mental Health Impact** – Excessive use can contribute to anxiety, depression, and self-esteem issues.  ❌ **Privacy Concerns** – Data security and personal information can be at risk.  ❌ **Comparison Culture** – Social media often portrays unrealistic lifestyles, leading to pressure and dissatisfaction.  Overall, social media’s impact depends on how it’s used! A balanced approach—using it mindfully while engaging with real-life experiences—can help maximize the benefits while minimizing the downsides.  What do you think? Do you find social media more helpful or harmful in your own life? 😊</v>
      </c>
      <c r="E578" s="50">
        <f>'ALL(responses)'!E578</f>
        <v>45517</v>
      </c>
      <c r="F578" s="6">
        <f>ROUND(('ALL(responses)'!F578 - MIN('ALL(responses)'!F$2:F$681)) / (MAX('ALL(responses)'!F$2:F$681)-MIN('ALL(responses)'!F$2:F$681)),3)
</f>
        <v>0.5</v>
      </c>
      <c r="G578" s="6">
        <f>ROUND(('ALL(responses)'!G578 - MIN('ALL(responses)'!G$2:G$681)) / (MAX('ALL(responses)'!G$2:G$681)-MIN('ALL(responses)'!G$2:G$681)),3)
</f>
        <v>0</v>
      </c>
      <c r="H578" s="6">
        <f>ROUND(('ALL(responses)'!H578 - MIN('ALL(responses)'!H$2:H$681)) / (MAX('ALL(responses)'!H$2:H$681)-MIN('ALL(responses)'!H$2:H$681)),3)
</f>
        <v>0</v>
      </c>
      <c r="I578" s="6">
        <f>ROUND(('ALL(responses)'!I578 - MIN('ALL(responses)'!I$2:I$681)) / (MAX('ALL(responses)'!I$2:I$681)-MIN('ALL(responses)'!I$2:I$681)),3)
</f>
        <v>0</v>
      </c>
      <c r="J578" s="6">
        <f>ROUND(('ALL(responses)'!J578 - MIN('ALL(responses)'!J$2:J$681)) / (MAX('ALL(responses)'!J$2:J$681)-MIN('ALL(responses)'!J$2:J$681)),3)
</f>
        <v>0.875</v>
      </c>
      <c r="K578" s="6">
        <f>ROUND(('ALL(responses)'!K578 - MIN('ALL(responses)'!K$2:K$681)) / (MAX('ALL(responses)'!K$2:K$681)-MIN('ALL(responses)'!K$2:K$681)),3)
</f>
        <v>0.263</v>
      </c>
      <c r="L578" s="6">
        <f>ROUND(('ALL(responses)'!L578 - MIN('ALL(responses)'!L$2:L$681)) / (MAX('ALL(responses)'!L$2:L$681)-MIN('ALL(responses)'!L$2:L$681)),3)
</f>
        <v>0.349</v>
      </c>
      <c r="M578" s="6">
        <f>ROUND(('ALL(responses)'!M578 - MIN('ALL(responses)'!M$2:M$681)) / (MAX('ALL(responses)'!M$2:M$681)-MIN('ALL(responses)'!M$2:M$681)),3)
</f>
        <v>0.473</v>
      </c>
      <c r="N578" s="6">
        <f>ROUND(('ALL(responses)'!P578 - MIN('ALL(responses)'!P$2:P$681)) / (MAX('ALL(responses)'!P$2:P$681)-MIN('ALL(responses)'!P$2:P$681)),3)
</f>
        <v>0.5</v>
      </c>
      <c r="O578" s="6">
        <f>ROUND(('ALL(responses)'!Q578 - MIN('ALL(responses)'!Q$2:Q$681)) / (MAX('ALL(responses)'!Q$2:Q$681)-MIN('ALL(responses)'!Q$2:Q$681)),3)
</f>
        <v>0.266</v>
      </c>
      <c r="P578" s="6">
        <f>ROUND(('ALL(responses)'!R578 - MIN('ALL(responses)'!R$2:R$681)) / (MAX('ALL(responses)'!R$2:R$681)-MIN('ALL(responses)'!R$2:R$681)),3)
</f>
        <v>0.957</v>
      </c>
      <c r="Q578" s="6">
        <f>ROUND(('ALL(responses)'!S578 - MIN('ALL(responses)'!S$2:S$681)) / (MAX('ALL(responses)'!S$2:S$681)-MIN('ALL(responses)'!S$2:S$681)),3)
</f>
        <v>0.978</v>
      </c>
      <c r="R578" s="6">
        <f>ROUND(('ALL(responses)'!T578 - MIN('ALL(responses)'!T$2:T$681)) / (MAX('ALL(responses)'!T$2:T$681)-MIN('ALL(responses)'!T$2:T$681)),3)
</f>
        <v>0.562</v>
      </c>
      <c r="S578" s="6">
        <f t="shared" si="1"/>
        <v>0.4402307692</v>
      </c>
    </row>
    <row r="579">
      <c r="A579" s="5" t="str">
        <f>'ALL(responses)'!A579</f>
        <v>B_MILDLYINTIMATE</v>
      </c>
      <c r="B579" s="6" t="str">
        <f>'ALL(responses)'!B579</f>
        <v>chatgpt-4o-latest</v>
      </c>
      <c r="C579" s="49" t="str">
        <f>'ALL(responses)'!C579</f>
        <v>Do you prefer listening to music or podcasts while working or studying?</v>
      </c>
      <c r="D579" s="49" t="str">
        <f>'ALL(responses)'!D579</f>
        <v>I don’t have personal preferences, but I can definitely help you decide! 😊  - **Music 🎵** – Great for boosting focus, motivation, or relaxation, especially instrumental tracks or lo-fi beats.  - **Podcasts 🎙️** – Perfect for learning something new, staying informed, or getting inspired while working on tasks that don’t require full concentration.  If you’re doing deep work, instrumental music or ambient sounds might help keep distractions away. But if you’re doing a repetitive task, an interesting podcast can make it more enjoyable!  Which do you prefer? Do you have a go-to playlist or favorite podcast? 😊</v>
      </c>
      <c r="E579" s="50">
        <f>'ALL(responses)'!E579</f>
        <v>45517</v>
      </c>
      <c r="F579" s="6">
        <f>ROUND(('ALL(responses)'!F579 - MIN('ALL(responses)'!F$2:F$681)) / (MAX('ALL(responses)'!F$2:F$681)-MIN('ALL(responses)'!F$2:F$681)),3)
</f>
        <v>0.5</v>
      </c>
      <c r="G579" s="6">
        <f>ROUND(('ALL(responses)'!G579 - MIN('ALL(responses)'!G$2:G$681)) / (MAX('ALL(responses)'!G$2:G$681)-MIN('ALL(responses)'!G$2:G$681)),3)
</f>
        <v>0</v>
      </c>
      <c r="H579" s="6">
        <f>ROUND(('ALL(responses)'!H579 - MIN('ALL(responses)'!H$2:H$681)) / (MAX('ALL(responses)'!H$2:H$681)-MIN('ALL(responses)'!H$2:H$681)),3)
</f>
        <v>0</v>
      </c>
      <c r="I579" s="6">
        <f>ROUND(('ALL(responses)'!I579 - MIN('ALL(responses)'!I$2:I$681)) / (MAX('ALL(responses)'!I$2:I$681)-MIN('ALL(responses)'!I$2:I$681)),3)
</f>
        <v>0.75</v>
      </c>
      <c r="J579" s="6">
        <f>ROUND(('ALL(responses)'!J579 - MIN('ALL(responses)'!J$2:J$681)) / (MAX('ALL(responses)'!J$2:J$681)-MIN('ALL(responses)'!J$2:J$681)),3)
</f>
        <v>0</v>
      </c>
      <c r="K579" s="6">
        <f>ROUND(('ALL(responses)'!K579 - MIN('ALL(responses)'!K$2:K$681)) / (MAX('ALL(responses)'!K$2:K$681)-MIN('ALL(responses)'!K$2:K$681)),3)
</f>
        <v>0.243</v>
      </c>
      <c r="L579" s="6">
        <f>ROUND(('ALL(responses)'!L579 - MIN('ALL(responses)'!L$2:L$681)) / (MAX('ALL(responses)'!L$2:L$681)-MIN('ALL(responses)'!L$2:L$681)),3)
</f>
        <v>0.426</v>
      </c>
      <c r="M579" s="6">
        <f>ROUND(('ALL(responses)'!M579 - MIN('ALL(responses)'!M$2:M$681)) / (MAX('ALL(responses)'!M$2:M$681)-MIN('ALL(responses)'!M$2:M$681)),3)
</f>
        <v>0.495</v>
      </c>
      <c r="N579" s="6">
        <f>ROUND(('ALL(responses)'!P579 - MIN('ALL(responses)'!P$2:P$681)) / (MAX('ALL(responses)'!P$2:P$681)-MIN('ALL(responses)'!P$2:P$681)),3)
</f>
        <v>0.347</v>
      </c>
      <c r="O579" s="6">
        <f>ROUND(('ALL(responses)'!Q579 - MIN('ALL(responses)'!Q$2:Q$681)) / (MAX('ALL(responses)'!Q$2:Q$681)-MIN('ALL(responses)'!Q$2:Q$681)),3)
</f>
        <v>0.404</v>
      </c>
      <c r="P579" s="6">
        <f>ROUND(('ALL(responses)'!R579 - MIN('ALL(responses)'!R$2:R$681)) / (MAX('ALL(responses)'!R$2:R$681)-MIN('ALL(responses)'!R$2:R$681)),3)
</f>
        <v>0.997</v>
      </c>
      <c r="Q579" s="6">
        <f>ROUND(('ALL(responses)'!S579 - MIN('ALL(responses)'!S$2:S$681)) / (MAX('ALL(responses)'!S$2:S$681)-MIN('ALL(responses)'!S$2:S$681)),3)
</f>
        <v>0.998</v>
      </c>
      <c r="R579" s="6">
        <f>ROUND(('ALL(responses)'!T579 - MIN('ALL(responses)'!T$2:T$681)) / (MAX('ALL(responses)'!T$2:T$681)-MIN('ALL(responses)'!T$2:T$681)),3)
</f>
        <v>0.383</v>
      </c>
      <c r="S579" s="6">
        <f t="shared" si="1"/>
        <v>0.4263846154</v>
      </c>
    </row>
    <row r="580">
      <c r="A580" s="5" t="str">
        <f>'ALL(responses)'!A580</f>
        <v>B_MILDLYINTIMATE</v>
      </c>
      <c r="B580" s="6" t="str">
        <f>'ALL(responses)'!B580</f>
        <v>chatgpt-4o-latest</v>
      </c>
      <c r="C580" s="49" t="str">
        <f>'ALL(responses)'!C580</f>
        <v>Is there a book or movie that has left a significant impact on you, and if so, which one?</v>
      </c>
      <c r="D580" s="49" t="str">
        <f>'ALL(responses)'!D580</f>
        <v>I don’t experience emotions like humans do, but I can definitely appreciate the power of great books and movies! There are so many stories that leave a deep impact on people.  - **Books 📚** – Classics like *To Kill a Mockingbird* by Harper Lee or *1984* by George Orwell offer thought-provoking social commentary.  - **Movies 🎬** – Films like *The Shawshank Redemption* or *Interstellar* explore themes of hope, resilience, and human connection.  The best books and movies tend to stay with us because they challenge our thinking, evoke emotions, or inspire action.  Is there a book or movie that has left a significant impact on you? I’d love to hear about it! 😊</v>
      </c>
      <c r="E580" s="50">
        <f>'ALL(responses)'!E580</f>
        <v>45517</v>
      </c>
      <c r="F580" s="6">
        <f>ROUND(('ALL(responses)'!F580 - MIN('ALL(responses)'!F$2:F$681)) / (MAX('ALL(responses)'!F$2:F$681)-MIN('ALL(responses)'!F$2:F$681)),3)
</f>
        <v>0.25</v>
      </c>
      <c r="G580" s="6">
        <f>ROUND(('ALL(responses)'!G580 - MIN('ALL(responses)'!G$2:G$681)) / (MAX('ALL(responses)'!G$2:G$681)-MIN('ALL(responses)'!G$2:G$681)),3)
</f>
        <v>0</v>
      </c>
      <c r="H580" s="6">
        <f>ROUND(('ALL(responses)'!H580 - MIN('ALL(responses)'!H$2:H$681)) / (MAX('ALL(responses)'!H$2:H$681)-MIN('ALL(responses)'!H$2:H$681)),3)
</f>
        <v>0</v>
      </c>
      <c r="I580" s="6">
        <f>ROUND(('ALL(responses)'!I580 - MIN('ALL(responses)'!I$2:I$681)) / (MAX('ALL(responses)'!I$2:I$681)-MIN('ALL(responses)'!I$2:I$681)),3)
</f>
        <v>0</v>
      </c>
      <c r="J580" s="6">
        <f>ROUND(('ALL(responses)'!J580 - MIN('ALL(responses)'!J$2:J$681)) / (MAX('ALL(responses)'!J$2:J$681)-MIN('ALL(responses)'!J$2:J$681)),3)
</f>
        <v>0</v>
      </c>
      <c r="K580" s="6">
        <f>ROUND(('ALL(responses)'!K580 - MIN('ALL(responses)'!K$2:K$681)) / (MAX('ALL(responses)'!K$2:K$681)-MIN('ALL(responses)'!K$2:K$681)),3)
</f>
        <v>0.059</v>
      </c>
      <c r="L580" s="6">
        <f>ROUND(('ALL(responses)'!L580 - MIN('ALL(responses)'!L$2:L$681)) / (MAX('ALL(responses)'!L$2:L$681)-MIN('ALL(responses)'!L$2:L$681)),3)
</f>
        <v>0.255</v>
      </c>
      <c r="M580" s="6">
        <f>ROUND(('ALL(responses)'!M580 - MIN('ALL(responses)'!M$2:M$681)) / (MAX('ALL(responses)'!M$2:M$681)-MIN('ALL(responses)'!M$2:M$681)),3)
</f>
        <v>0.4</v>
      </c>
      <c r="N580" s="6">
        <f>ROUND(('ALL(responses)'!P580 - MIN('ALL(responses)'!P$2:P$681)) / (MAX('ALL(responses)'!P$2:P$681)-MIN('ALL(responses)'!P$2:P$681)),3)
</f>
        <v>0.303</v>
      </c>
      <c r="O580" s="6">
        <f>ROUND(('ALL(responses)'!Q580 - MIN('ALL(responses)'!Q$2:Q$681)) / (MAX('ALL(responses)'!Q$2:Q$681)-MIN('ALL(responses)'!Q$2:Q$681)),3)
</f>
        <v>0.297</v>
      </c>
      <c r="P580" s="6">
        <f>ROUND(('ALL(responses)'!R580 - MIN('ALL(responses)'!R$2:R$681)) / (MAX('ALL(responses)'!R$2:R$681)-MIN('ALL(responses)'!R$2:R$681)),3)
</f>
        <v>0.994</v>
      </c>
      <c r="Q580" s="6">
        <f>ROUND(('ALL(responses)'!S580 - MIN('ALL(responses)'!S$2:S$681)) / (MAX('ALL(responses)'!S$2:S$681)-MIN('ALL(responses)'!S$2:S$681)),3)
</f>
        <v>0.997</v>
      </c>
      <c r="R580" s="6">
        <f>ROUND(('ALL(responses)'!T580 - MIN('ALL(responses)'!T$2:T$681)) / (MAX('ALL(responses)'!T$2:T$681)-MIN('ALL(responses)'!T$2:T$681)),3)
</f>
        <v>0.336</v>
      </c>
      <c r="S580" s="6">
        <f t="shared" si="1"/>
        <v>0.2993076923</v>
      </c>
    </row>
    <row r="581">
      <c r="A581" s="5" t="str">
        <f>'ALL(responses)'!A581</f>
        <v>B_MILDLYINTIMATE</v>
      </c>
      <c r="B581" s="6" t="str">
        <f>'ALL(responses)'!B581</f>
        <v>chatgpt-4o-latest</v>
      </c>
      <c r="C581" s="49" t="str">
        <f>'ALL(responses)'!C581</f>
        <v>Can you share a funny or embarrassing moment from a time when you were out with your friends?</v>
      </c>
      <c r="D581" s="49" t="str">
        <f>'ALL(responses)'!D581</f>
        <v>I don’t have personal experiences, but I love hearing funny and embarrassing stories! 😆  A classic embarrassing moment could be something like waving back at someone who wasn’t actually waving at you, or accidentally sending a text to the wrong person. And who hasn’t had the dreaded trip or stumble in public?  Do you have a funny or embarrassing moment you’d be willing to share? I’d love to hear it! 😄</v>
      </c>
      <c r="E581" s="50">
        <f>'ALL(responses)'!E581</f>
        <v>45517</v>
      </c>
      <c r="F581" s="6">
        <f>ROUND(('ALL(responses)'!F581 - MIN('ALL(responses)'!F$2:F$681)) / (MAX('ALL(responses)'!F$2:F$681)-MIN('ALL(responses)'!F$2:F$681)),3)
</f>
        <v>0.5</v>
      </c>
      <c r="G581" s="6">
        <f>ROUND(('ALL(responses)'!G581 - MIN('ALL(responses)'!G$2:G$681)) / (MAX('ALL(responses)'!G$2:G$681)-MIN('ALL(responses)'!G$2:G$681)),3)
</f>
        <v>0</v>
      </c>
      <c r="H581" s="6">
        <f>ROUND(('ALL(responses)'!H581 - MIN('ALL(responses)'!H$2:H$681)) / (MAX('ALL(responses)'!H$2:H$681)-MIN('ALL(responses)'!H$2:H$681)),3)
</f>
        <v>0</v>
      </c>
      <c r="I581" s="6">
        <f>ROUND(('ALL(responses)'!I581 - MIN('ALL(responses)'!I$2:I$681)) / (MAX('ALL(responses)'!I$2:I$681)-MIN('ALL(responses)'!I$2:I$681)),3)
</f>
        <v>0</v>
      </c>
      <c r="J581" s="6">
        <f>ROUND(('ALL(responses)'!J581 - MIN('ALL(responses)'!J$2:J$681)) / (MAX('ALL(responses)'!J$2:J$681)-MIN('ALL(responses)'!J$2:J$681)),3)
</f>
        <v>0</v>
      </c>
      <c r="K581" s="6">
        <f>ROUND(('ALL(responses)'!K581 - MIN('ALL(responses)'!K$2:K$681)) / (MAX('ALL(responses)'!K$2:K$681)-MIN('ALL(responses)'!K$2:K$681)),3)
</f>
        <v>0.333</v>
      </c>
      <c r="L581" s="6">
        <f>ROUND(('ALL(responses)'!L581 - MIN('ALL(responses)'!L$2:L$681)) / (MAX('ALL(responses)'!L$2:L$681)-MIN('ALL(responses)'!L$2:L$681)),3)
</f>
        <v>0.331</v>
      </c>
      <c r="M581" s="6">
        <f>ROUND(('ALL(responses)'!M581 - MIN('ALL(responses)'!M$2:M$681)) / (MAX('ALL(responses)'!M$2:M$681)-MIN('ALL(responses)'!M$2:M$681)),3)
</f>
        <v>0.714</v>
      </c>
      <c r="N581" s="6">
        <f>ROUND(('ALL(responses)'!P581 - MIN('ALL(responses)'!P$2:P$681)) / (MAX('ALL(responses)'!P$2:P$681)-MIN('ALL(responses)'!P$2:P$681)),3)
</f>
        <v>0.149</v>
      </c>
      <c r="O581" s="6">
        <f>ROUND(('ALL(responses)'!Q581 - MIN('ALL(responses)'!Q$2:Q$681)) / (MAX('ALL(responses)'!Q$2:Q$681)-MIN('ALL(responses)'!Q$2:Q$681)),3)
</f>
        <v>0.326</v>
      </c>
      <c r="P581" s="6">
        <f>ROUND(('ALL(responses)'!R581 - MIN('ALL(responses)'!R$2:R$681)) / (MAX('ALL(responses)'!R$2:R$681)-MIN('ALL(responses)'!R$2:R$681)),3)
</f>
        <v>0.946</v>
      </c>
      <c r="Q581" s="6">
        <f>ROUND(('ALL(responses)'!S581 - MIN('ALL(responses)'!S$2:S$681)) / (MAX('ALL(responses)'!S$2:S$681)-MIN('ALL(responses)'!S$2:S$681)),3)
</f>
        <v>0.973</v>
      </c>
      <c r="R581" s="6">
        <f>ROUND(('ALL(responses)'!T581 - MIN('ALL(responses)'!T$2:T$681)) / (MAX('ALL(responses)'!T$2:T$681)-MIN('ALL(responses)'!T$2:T$681)),3)
</f>
        <v>0.164</v>
      </c>
      <c r="S581" s="6">
        <f t="shared" si="1"/>
        <v>0.3412307692</v>
      </c>
    </row>
    <row r="582">
      <c r="A582" s="5" t="str">
        <f>'ALL(responses)'!A582</f>
        <v>C_MODERATELYINTIMATE</v>
      </c>
      <c r="B582" s="6" t="str">
        <f>'ALL(responses)'!B582</f>
        <v>chatgpt-4o-latest</v>
      </c>
      <c r="C582" s="49" t="str">
        <f>'ALL(responses)'!C582</f>
        <v>What are some emotions you find difficult to express openly?</v>
      </c>
      <c r="D582" s="49" t="str">
        <f>'ALL(responses)'!D582</f>
        <v>As an AI, I don't have emotions in the way humans do, but I can help describe emotions that people often find difficult to express openly. Some of these include:  1. **Vulnerability** – Many people struggle to show weakness or admit they need help.  2. **Shame** – Feelings of guilt or embarrassment can be hard to verbalize.  3. **Grief** – Expressing deep sorrow can be overwhelming or personal.  4. **Jealousy** – Admitting envy can feel uncomfortable or socially unacceptable.  5. **Fear** – Some hesitate to share their anxieties, fearing judgment.  6. **Resentment** – Addressing long-held grudges can be challenging.  7. **Disappointment** – Especially when it’s directed at loved ones.  8. **Love (in certain contexts)** – Saying “I love you” or expressing deep affection can feel vulnerable.  Would you like advice on how to express any of these emotions more openly?</v>
      </c>
      <c r="E582" s="50">
        <f>'ALL(responses)'!E582</f>
        <v>45517</v>
      </c>
      <c r="F582" s="6">
        <f>ROUND(('ALL(responses)'!F582 - MIN('ALL(responses)'!F$2:F$681)) / (MAX('ALL(responses)'!F$2:F$681)-MIN('ALL(responses)'!F$2:F$681)),3)
</f>
        <v>1</v>
      </c>
      <c r="G582" s="6">
        <f>ROUND(('ALL(responses)'!G582 - MIN('ALL(responses)'!G$2:G$681)) / (MAX('ALL(responses)'!G$2:G$681)-MIN('ALL(responses)'!G$2:G$681)),3)
</f>
        <v>0</v>
      </c>
      <c r="H582" s="6">
        <f>ROUND(('ALL(responses)'!H582 - MIN('ALL(responses)'!H$2:H$681)) / (MAX('ALL(responses)'!H$2:H$681)-MIN('ALL(responses)'!H$2:H$681)),3)
</f>
        <v>0</v>
      </c>
      <c r="I582" s="6">
        <f>ROUND(('ALL(responses)'!I582 - MIN('ALL(responses)'!I$2:I$681)) / (MAX('ALL(responses)'!I$2:I$681)-MIN('ALL(responses)'!I$2:I$681)),3)
</f>
        <v>1</v>
      </c>
      <c r="J582" s="6">
        <f>ROUND(('ALL(responses)'!J582 - MIN('ALL(responses)'!J$2:J$681)) / (MAX('ALL(responses)'!J$2:J$681)-MIN('ALL(responses)'!J$2:J$681)),3)
</f>
        <v>0</v>
      </c>
      <c r="K582" s="6">
        <f>ROUND(('ALL(responses)'!K582 - MIN('ALL(responses)'!K$2:K$681)) / (MAX('ALL(responses)'!K$2:K$681)-MIN('ALL(responses)'!K$2:K$681)),3)
</f>
        <v>0.207</v>
      </c>
      <c r="L582" s="6">
        <f>ROUND(('ALL(responses)'!L582 - MIN('ALL(responses)'!L$2:L$681)) / (MAX('ALL(responses)'!L$2:L$681)-MIN('ALL(responses)'!L$2:L$681)),3)
</f>
        <v>0.175</v>
      </c>
      <c r="M582" s="6">
        <f>ROUND(('ALL(responses)'!M582 - MIN('ALL(responses)'!M$2:M$681)) / (MAX('ALL(responses)'!M$2:M$681)-MIN('ALL(responses)'!M$2:M$681)),3)
</f>
        <v>0.343</v>
      </c>
      <c r="N582" s="6">
        <f>ROUND(('ALL(responses)'!P582 - MIN('ALL(responses)'!P$2:P$681)) / (MAX('ALL(responses)'!P$2:P$681)-MIN('ALL(responses)'!P$2:P$681)),3)
</f>
        <v>0.652</v>
      </c>
      <c r="O582" s="6">
        <f>ROUND(('ALL(responses)'!Q582 - MIN('ALL(responses)'!Q$2:Q$681)) / (MAX('ALL(responses)'!Q$2:Q$681)-MIN('ALL(responses)'!Q$2:Q$681)),3)
</f>
        <v>0.273</v>
      </c>
      <c r="P582" s="6">
        <f>ROUND(('ALL(responses)'!R582 - MIN('ALL(responses)'!R$2:R$681)) / (MAX('ALL(responses)'!R$2:R$681)-MIN('ALL(responses)'!R$2:R$681)),3)
</f>
        <v>0.981</v>
      </c>
      <c r="Q582" s="6">
        <f>ROUND(('ALL(responses)'!S582 - MIN('ALL(responses)'!S$2:S$681)) / (MAX('ALL(responses)'!S$2:S$681)-MIN('ALL(responses)'!S$2:S$681)),3)
</f>
        <v>0.009</v>
      </c>
      <c r="R582" s="6">
        <f>ROUND(('ALL(responses)'!T582 - MIN('ALL(responses)'!T$2:T$681)) / (MAX('ALL(responses)'!T$2:T$681)-MIN('ALL(responses)'!T$2:T$681)),3)
</f>
        <v>0.255</v>
      </c>
      <c r="S582" s="6">
        <f t="shared" si="1"/>
        <v>0.3765384615</v>
      </c>
    </row>
    <row r="583">
      <c r="A583" s="5" t="str">
        <f>'ALL(responses)'!A583</f>
        <v>C_MODERATELYINTIMATE</v>
      </c>
      <c r="B583" s="6" t="str">
        <f>'ALL(responses)'!B583</f>
        <v>chatgpt-4o-latest</v>
      </c>
      <c r="C583" s="49" t="str">
        <f>'ALL(responses)'!C583</f>
        <v>Have you ever hidden your feelings to protect someone else? How did that affect you?</v>
      </c>
      <c r="D583" s="49" t="str">
        <f>'ALL(responses)'!D583</f>
        <v>As an AI, I don’t have personal feelings or experiences, but I can share insights on how humans often navigate this situation. Many people choose to hide their emotions to protect someone else—whether to avoid causing worry, prevent conflict, or maintain harmony in a relationship.  While this can sometimes be an act of kindness, it can also take an emotional toll, leading to stress, resentment, or feelings of isolation. Suppressing emotions for too long may result in misunderstandings or even harm relationships in the long run.  Would you like advice on how to balance honesty with emotional care for others?</v>
      </c>
      <c r="E583" s="50">
        <f>'ALL(responses)'!E583</f>
        <v>45517</v>
      </c>
      <c r="F583" s="6">
        <f>ROUND(('ALL(responses)'!F583 - MIN('ALL(responses)'!F$2:F$681)) / (MAX('ALL(responses)'!F$2:F$681)-MIN('ALL(responses)'!F$2:F$681)),3)
</f>
        <v>0.75</v>
      </c>
      <c r="G583" s="6">
        <f>ROUND(('ALL(responses)'!G583 - MIN('ALL(responses)'!G$2:G$681)) / (MAX('ALL(responses)'!G$2:G$681)-MIN('ALL(responses)'!G$2:G$681)),3)
</f>
        <v>0</v>
      </c>
      <c r="H583" s="6">
        <f>ROUND(('ALL(responses)'!H583 - MIN('ALL(responses)'!H$2:H$681)) / (MAX('ALL(responses)'!H$2:H$681)-MIN('ALL(responses)'!H$2:H$681)),3)
</f>
        <v>0</v>
      </c>
      <c r="I583" s="6">
        <f>ROUND(('ALL(responses)'!I583 - MIN('ALL(responses)'!I$2:I$681)) / (MAX('ALL(responses)'!I$2:I$681)-MIN('ALL(responses)'!I$2:I$681)),3)
</f>
        <v>0.75</v>
      </c>
      <c r="J583" s="6">
        <f>ROUND(('ALL(responses)'!J583 - MIN('ALL(responses)'!J$2:J$681)) / (MAX('ALL(responses)'!J$2:J$681)-MIN('ALL(responses)'!J$2:J$681)),3)
</f>
        <v>0</v>
      </c>
      <c r="K583" s="6">
        <f>ROUND(('ALL(responses)'!K583 - MIN('ALL(responses)'!K$2:K$681)) / (MAX('ALL(responses)'!K$2:K$681)-MIN('ALL(responses)'!K$2:K$681)),3)
</f>
        <v>0.414</v>
      </c>
      <c r="L583" s="6">
        <f>ROUND(('ALL(responses)'!L583 - MIN('ALL(responses)'!L$2:L$681)) / (MAX('ALL(responses)'!L$2:L$681)-MIN('ALL(responses)'!L$2:L$681)),3)
</f>
        <v>0.235</v>
      </c>
      <c r="M583" s="6">
        <f>ROUND(('ALL(responses)'!M583 - MIN('ALL(responses)'!M$2:M$681)) / (MAX('ALL(responses)'!M$2:M$681)-MIN('ALL(responses)'!M$2:M$681)),3)
</f>
        <v>0.589</v>
      </c>
      <c r="N583" s="6">
        <f>ROUND(('ALL(responses)'!P583 - MIN('ALL(responses)'!P$2:P$681)) / (MAX('ALL(responses)'!P$2:P$681)-MIN('ALL(responses)'!P$2:P$681)),3)
</f>
        <v>0.647</v>
      </c>
      <c r="O583" s="6">
        <f>ROUND(('ALL(responses)'!Q583 - MIN('ALL(responses)'!Q$2:Q$681)) / (MAX('ALL(responses)'!Q$2:Q$681)-MIN('ALL(responses)'!Q$2:Q$681)),3)
</f>
        <v>0.225</v>
      </c>
      <c r="P583" s="6">
        <f>ROUND(('ALL(responses)'!R583 - MIN('ALL(responses)'!R$2:R$681)) / (MAX('ALL(responses)'!R$2:R$681)-MIN('ALL(responses)'!R$2:R$681)),3)
</f>
        <v>0.262</v>
      </c>
      <c r="Q583" s="6">
        <f>ROUND(('ALL(responses)'!S583 - MIN('ALL(responses)'!S$2:S$681)) / (MAX('ALL(responses)'!S$2:S$681)-MIN('ALL(responses)'!S$2:S$681)),3)
</f>
        <v>0.631</v>
      </c>
      <c r="R583" s="6">
        <f>ROUND(('ALL(responses)'!T583 - MIN('ALL(responses)'!T$2:T$681)) / (MAX('ALL(responses)'!T$2:T$681)-MIN('ALL(responses)'!T$2:T$681)),3)
</f>
        <v>0.491</v>
      </c>
      <c r="S583" s="6">
        <f t="shared" si="1"/>
        <v>0.3841538462</v>
      </c>
    </row>
    <row r="584">
      <c r="A584" s="5" t="str">
        <f>'ALL(responses)'!A584</f>
        <v>C_MODERATELYINTIMATE</v>
      </c>
      <c r="B584" s="6" t="str">
        <f>'ALL(responses)'!B584</f>
        <v>chatgpt-4o-latest</v>
      </c>
      <c r="C584" s="49" t="str">
        <f>'ALL(responses)'!C584</f>
        <v>Can you share a recent challenge you faced and how you overcame it?</v>
      </c>
      <c r="D584" s="49" t="str">
        <f>'ALL(responses)'!D584</f>
        <v>As an AI, I don't experience challenges in the same way humans do, but I can share examples of obstacles I encounter in assisting users and how I address them.  One challenge I often face is understanding complex or ambiguous questions. When a question is unclear, I work to overcome this by analyzing context, providing a thoughtful response, or asking clarifying questions to better assist the user.  Similarly, when a topic requires sensitivity—such as emotional struggles or personal dilemmas—I strive to offer supportive and balanced guidance while respecting different perspectives.  If you're facing a challenge yourself, I’d be happy to help you think through possible solutions!</v>
      </c>
      <c r="E584" s="50">
        <f>'ALL(responses)'!E584</f>
        <v>45517</v>
      </c>
      <c r="F584" s="6">
        <f>ROUND(('ALL(responses)'!F584 - MIN('ALL(responses)'!F$2:F$681)) / (MAX('ALL(responses)'!F$2:F$681)-MIN('ALL(responses)'!F$2:F$681)),3)
</f>
        <v>1</v>
      </c>
      <c r="G584" s="6">
        <f>ROUND(('ALL(responses)'!G584 - MIN('ALL(responses)'!G$2:G$681)) / (MAX('ALL(responses)'!G$2:G$681)-MIN('ALL(responses)'!G$2:G$681)),3)
</f>
        <v>0.667</v>
      </c>
      <c r="H584" s="6">
        <f>ROUND(('ALL(responses)'!H584 - MIN('ALL(responses)'!H$2:H$681)) / (MAX('ALL(responses)'!H$2:H$681)-MIN('ALL(responses)'!H$2:H$681)),3)
</f>
        <v>0</v>
      </c>
      <c r="I584" s="6">
        <f>ROUND(('ALL(responses)'!I584 - MIN('ALL(responses)'!I$2:I$681)) / (MAX('ALL(responses)'!I$2:I$681)-MIN('ALL(responses)'!I$2:I$681)),3)
</f>
        <v>1</v>
      </c>
      <c r="J584" s="6">
        <f>ROUND(('ALL(responses)'!J584 - MIN('ALL(responses)'!J$2:J$681)) / (MAX('ALL(responses)'!J$2:J$681)-MIN('ALL(responses)'!J$2:J$681)),3)
</f>
        <v>0</v>
      </c>
      <c r="K584" s="6">
        <f>ROUND(('ALL(responses)'!K584 - MIN('ALL(responses)'!K$2:K$681)) / (MAX('ALL(responses)'!K$2:K$681)-MIN('ALL(responses)'!K$2:K$681)),3)
</f>
        <v>0.539</v>
      </c>
      <c r="L584" s="6">
        <f>ROUND(('ALL(responses)'!L584 - MIN('ALL(responses)'!L$2:L$681)) / (MAX('ALL(responses)'!L$2:L$681)-MIN('ALL(responses)'!L$2:L$681)),3)
</f>
        <v>0.526</v>
      </c>
      <c r="M584" s="6">
        <f>ROUND(('ALL(responses)'!M584 - MIN('ALL(responses)'!M$2:M$681)) / (MAX('ALL(responses)'!M$2:M$681)-MIN('ALL(responses)'!M$2:M$681)),3)
</f>
        <v>0.33</v>
      </c>
      <c r="N584" s="6">
        <f>ROUND(('ALL(responses)'!P584 - MIN('ALL(responses)'!P$2:P$681)) / (MAX('ALL(responses)'!P$2:P$681)-MIN('ALL(responses)'!P$2:P$681)),3)
</f>
        <v>0.396</v>
      </c>
      <c r="O584" s="6">
        <f>ROUND(('ALL(responses)'!Q584 - MIN('ALL(responses)'!Q$2:Q$681)) / (MAX('ALL(responses)'!Q$2:Q$681)-MIN('ALL(responses)'!Q$2:Q$681)),3)
</f>
        <v>0.425</v>
      </c>
      <c r="P584" s="6">
        <f>ROUND(('ALL(responses)'!R584 - MIN('ALL(responses)'!R$2:R$681)) / (MAX('ALL(responses)'!R$2:R$681)-MIN('ALL(responses)'!R$2:R$681)),3)
</f>
        <v>0.971</v>
      </c>
      <c r="Q584" s="6">
        <f>ROUND(('ALL(responses)'!S584 - MIN('ALL(responses)'!S$2:S$681)) / (MAX('ALL(responses)'!S$2:S$681)-MIN('ALL(responses)'!S$2:S$681)),3)
</f>
        <v>0.985</v>
      </c>
      <c r="R584" s="6">
        <f>ROUND(('ALL(responses)'!T584 - MIN('ALL(responses)'!T$2:T$681)) / (MAX('ALL(responses)'!T$2:T$681)-MIN('ALL(responses)'!T$2:T$681)),3)
</f>
        <v>0.626</v>
      </c>
      <c r="S584" s="6">
        <f t="shared" si="1"/>
        <v>0.5742307692</v>
      </c>
    </row>
    <row r="585">
      <c r="A585" s="5" t="str">
        <f>'ALL(responses)'!A585</f>
        <v>C_MODERATELYINTIMATE</v>
      </c>
      <c r="B585" s="6" t="str">
        <f>'ALL(responses)'!B585</f>
        <v>chatgpt-4o-latest</v>
      </c>
      <c r="C585" s="49" t="str">
        <f>'ALL(responses)'!C585</f>
        <v>What dreams or aspirations keep you motivated?</v>
      </c>
      <c r="D585" s="49" t="str">
        <f>'ALL(responses)'!D585</f>
        <v>As an AI, I don't have personal dreams or aspirations, but my purpose is to assist, inform, and support users like you. What keeps me "motivated," in a sense, is being able to provide helpful and meaningful interactions—whether that’s offering thoughtful insights, helping solve a problem, or just being someone you can talk to.  However, people often find motivation in dreams related to personal growth, relationships, career ambitions, creativity, or making a difference in the world. Do you have any dreams or goals that inspire you? I’d love to help you explore them!</v>
      </c>
      <c r="E585" s="50">
        <f>'ALL(responses)'!E585</f>
        <v>45517</v>
      </c>
      <c r="F585" s="6">
        <f>ROUND(('ALL(responses)'!F585 - MIN('ALL(responses)'!F$2:F$681)) / (MAX('ALL(responses)'!F$2:F$681)-MIN('ALL(responses)'!F$2:F$681)),3)
</f>
        <v>0.75</v>
      </c>
      <c r="G585" s="6">
        <f>ROUND(('ALL(responses)'!G585 - MIN('ALL(responses)'!G$2:G$681)) / (MAX('ALL(responses)'!G$2:G$681)-MIN('ALL(responses)'!G$2:G$681)),3)
</f>
        <v>0</v>
      </c>
      <c r="H585" s="6">
        <f>ROUND(('ALL(responses)'!H585 - MIN('ALL(responses)'!H$2:H$681)) / (MAX('ALL(responses)'!H$2:H$681)-MIN('ALL(responses)'!H$2:H$681)),3)
</f>
        <v>0</v>
      </c>
      <c r="I585" s="6">
        <f>ROUND(('ALL(responses)'!I585 - MIN('ALL(responses)'!I$2:I$681)) / (MAX('ALL(responses)'!I$2:I$681)-MIN('ALL(responses)'!I$2:I$681)),3)
</f>
        <v>0</v>
      </c>
      <c r="J585" s="6">
        <f>ROUND(('ALL(responses)'!J585 - MIN('ALL(responses)'!J$2:J$681)) / (MAX('ALL(responses)'!J$2:J$681)-MIN('ALL(responses)'!J$2:J$681)),3)
</f>
        <v>0</v>
      </c>
      <c r="K585" s="6">
        <f>ROUND(('ALL(responses)'!K585 - MIN('ALL(responses)'!K$2:K$681)) / (MAX('ALL(responses)'!K$2:K$681)-MIN('ALL(responses)'!K$2:K$681)),3)
</f>
        <v>0.431</v>
      </c>
      <c r="L585" s="6">
        <f>ROUND(('ALL(responses)'!L585 - MIN('ALL(responses)'!L$2:L$681)) / (MAX('ALL(responses)'!L$2:L$681)-MIN('ALL(responses)'!L$2:L$681)),3)
</f>
        <v>0.505</v>
      </c>
      <c r="M585" s="6">
        <f>ROUND(('ALL(responses)'!M585 - MIN('ALL(responses)'!M$2:M$681)) / (MAX('ALL(responses)'!M$2:M$681)-MIN('ALL(responses)'!M$2:M$681)),3)
</f>
        <v>0.625</v>
      </c>
      <c r="N585" s="6">
        <f>ROUND(('ALL(responses)'!P585 - MIN('ALL(responses)'!P$2:P$681)) / (MAX('ALL(responses)'!P$2:P$681)-MIN('ALL(responses)'!P$2:P$681)),3)
</f>
        <v>0.227</v>
      </c>
      <c r="O585" s="6">
        <f>ROUND(('ALL(responses)'!Q585 - MIN('ALL(responses)'!Q$2:Q$681)) / (MAX('ALL(responses)'!Q$2:Q$681)-MIN('ALL(responses)'!Q$2:Q$681)),3)
</f>
        <v>0.435</v>
      </c>
      <c r="P585" s="6">
        <f>ROUND(('ALL(responses)'!R585 - MIN('ALL(responses)'!R$2:R$681)) / (MAX('ALL(responses)'!R$2:R$681)-MIN('ALL(responses)'!R$2:R$681)),3)
</f>
        <v>0.995</v>
      </c>
      <c r="Q585" s="6">
        <f>ROUND(('ALL(responses)'!S585 - MIN('ALL(responses)'!S$2:S$681)) / (MAX('ALL(responses)'!S$2:S$681)-MIN('ALL(responses)'!S$2:S$681)),3)
</f>
        <v>0.997</v>
      </c>
      <c r="R585" s="6">
        <f>ROUND(('ALL(responses)'!T585 - MIN('ALL(responses)'!T$2:T$681)) / (MAX('ALL(responses)'!T$2:T$681)-MIN('ALL(responses)'!T$2:T$681)),3)
</f>
        <v>0.459</v>
      </c>
      <c r="S585" s="6">
        <f t="shared" si="1"/>
        <v>0.4172307692</v>
      </c>
    </row>
    <row r="586">
      <c r="A586" s="5" t="str">
        <f>'ALL(responses)'!A586</f>
        <v>C_MODERATELYINTIMATE</v>
      </c>
      <c r="B586" s="6" t="str">
        <f>'ALL(responses)'!B586</f>
        <v>chatgpt-4o-latest</v>
      </c>
      <c r="C586" s="49" t="str">
        <f>'ALL(responses)'!C586</f>
        <v>Is there someone from your past you wish you could reconnect with? Why?</v>
      </c>
      <c r="D586" s="49" t="str">
        <f>'ALL(responses)'!D586</f>
        <v>As an AI, I don’t have personal relationships or a past in the way humans do. However, I understand that many people feel a desire to reconnect with someone from their past—whether it’s an old friend, a former mentor, or a lost connection—because of shared memories, unresolved feelings, or simply curiosity about how they’ve changed over time.  If there’s someone you’re thinking about reconnecting with, what’s stopping you? I’d be happy to help you explore ways to reach out.</v>
      </c>
      <c r="E586" s="50">
        <f>'ALL(responses)'!E586</f>
        <v>45517</v>
      </c>
      <c r="F586" s="6">
        <f>ROUND(('ALL(responses)'!F586 - MIN('ALL(responses)'!F$2:F$681)) / (MAX('ALL(responses)'!F$2:F$681)-MIN('ALL(responses)'!F$2:F$681)),3)
</f>
        <v>0.75</v>
      </c>
      <c r="G586" s="6">
        <f>ROUND(('ALL(responses)'!G586 - MIN('ALL(responses)'!G$2:G$681)) / (MAX('ALL(responses)'!G$2:G$681)-MIN('ALL(responses)'!G$2:G$681)),3)
</f>
        <v>0.667</v>
      </c>
      <c r="H586" s="6">
        <f>ROUND(('ALL(responses)'!H586 - MIN('ALL(responses)'!H$2:H$681)) / (MAX('ALL(responses)'!H$2:H$681)-MIN('ALL(responses)'!H$2:H$681)),3)
</f>
        <v>1</v>
      </c>
      <c r="I586" s="6">
        <f>ROUND(('ALL(responses)'!I586 - MIN('ALL(responses)'!I$2:I$681)) / (MAX('ALL(responses)'!I$2:I$681)-MIN('ALL(responses)'!I$2:I$681)),3)
</f>
        <v>0</v>
      </c>
      <c r="J586" s="6">
        <f>ROUND(('ALL(responses)'!J586 - MIN('ALL(responses)'!J$2:J$681)) / (MAX('ALL(responses)'!J$2:J$681)-MIN('ALL(responses)'!J$2:J$681)),3)
</f>
        <v>0</v>
      </c>
      <c r="K586" s="6">
        <f>ROUND(('ALL(responses)'!K586 - MIN('ALL(responses)'!K$2:K$681)) / (MAX('ALL(responses)'!K$2:K$681)-MIN('ALL(responses)'!K$2:K$681)),3)
</f>
        <v>0.623</v>
      </c>
      <c r="L586" s="6">
        <f>ROUND(('ALL(responses)'!L586 - MIN('ALL(responses)'!L$2:L$681)) / (MAX('ALL(responses)'!L$2:L$681)-MIN('ALL(responses)'!L$2:L$681)),3)
</f>
        <v>0.333</v>
      </c>
      <c r="M586" s="6">
        <f>ROUND(('ALL(responses)'!M586 - MIN('ALL(responses)'!M$2:M$681)) / (MAX('ALL(responses)'!M$2:M$681)-MIN('ALL(responses)'!M$2:M$681)),3)
</f>
        <v>0.749</v>
      </c>
      <c r="N586" s="6">
        <f>ROUND(('ALL(responses)'!P586 - MIN('ALL(responses)'!P$2:P$681)) / (MAX('ALL(responses)'!P$2:P$681)-MIN('ALL(responses)'!P$2:P$681)),3)
</f>
        <v>0.25</v>
      </c>
      <c r="O586" s="6">
        <f>ROUND(('ALL(responses)'!Q586 - MIN('ALL(responses)'!Q$2:Q$681)) / (MAX('ALL(responses)'!Q$2:Q$681)-MIN('ALL(responses)'!Q$2:Q$681)),3)
</f>
        <v>0.399</v>
      </c>
      <c r="P586" s="6">
        <f>ROUND(('ALL(responses)'!R586 - MIN('ALL(responses)'!R$2:R$681)) / (MAX('ALL(responses)'!R$2:R$681)-MIN('ALL(responses)'!R$2:R$681)),3)
</f>
        <v>0.898</v>
      </c>
      <c r="Q586" s="6">
        <f>ROUND(('ALL(responses)'!S586 - MIN('ALL(responses)'!S$2:S$681)) / (MAX('ALL(responses)'!S$2:S$681)-MIN('ALL(responses)'!S$2:S$681)),3)
</f>
        <v>0.949</v>
      </c>
      <c r="R586" s="6">
        <f>ROUND(('ALL(responses)'!T586 - MIN('ALL(responses)'!T$2:T$681)) / (MAX('ALL(responses)'!T$2:T$681)-MIN('ALL(responses)'!T$2:T$681)),3)
</f>
        <v>0.454</v>
      </c>
      <c r="S586" s="6">
        <f t="shared" si="1"/>
        <v>0.544</v>
      </c>
    </row>
    <row r="587">
      <c r="A587" s="5" t="str">
        <f>'ALL(responses)'!A587</f>
        <v>C_MODERATELYINTIMATE</v>
      </c>
      <c r="B587" s="6" t="str">
        <f>'ALL(responses)'!B587</f>
        <v>chatgpt-4o-latest</v>
      </c>
      <c r="C587" s="49" t="str">
        <f>'ALL(responses)'!C587</f>
        <v>What’s a memory from a past relationship that still brings you comfort or clarity?</v>
      </c>
      <c r="D587" s="49" t="str">
        <f>'ALL(responses)'!D587</f>
        <v>As an AI, I don’t have personal experiences or memories, but I understand that reflecting on past relationships—whether romantic, platonic, or familial—can bring both comfort and clarity.  For many people, meaningful memories may include moments of deep understanding, lessons learned, or times when they felt truly seen and valued. Even relationships that didn’t last often leave behind insights about personal growth, love, and resilience.  Is there a memory from your past that brings you comfort or has helped shape who you are today? I’d love to explore it with you.</v>
      </c>
      <c r="E587" s="50">
        <f>'ALL(responses)'!E587</f>
        <v>45517</v>
      </c>
      <c r="F587" s="6">
        <f>ROUND(('ALL(responses)'!F587 - MIN('ALL(responses)'!F$2:F$681)) / (MAX('ALL(responses)'!F$2:F$681)-MIN('ALL(responses)'!F$2:F$681)),3)
</f>
        <v>0.75</v>
      </c>
      <c r="G587" s="6">
        <f>ROUND(('ALL(responses)'!G587 - MIN('ALL(responses)'!G$2:G$681)) / (MAX('ALL(responses)'!G$2:G$681)-MIN('ALL(responses)'!G$2:G$681)),3)
</f>
        <v>0</v>
      </c>
      <c r="H587" s="6">
        <f>ROUND(('ALL(responses)'!H587 - MIN('ALL(responses)'!H$2:H$681)) / (MAX('ALL(responses)'!H$2:H$681)-MIN('ALL(responses)'!H$2:H$681)),3)
</f>
        <v>1</v>
      </c>
      <c r="I587" s="6">
        <f>ROUND(('ALL(responses)'!I587 - MIN('ALL(responses)'!I$2:I$681)) / (MAX('ALL(responses)'!I$2:I$681)-MIN('ALL(responses)'!I$2:I$681)),3)
</f>
        <v>0</v>
      </c>
      <c r="J587" s="6">
        <f>ROUND(('ALL(responses)'!J587 - MIN('ALL(responses)'!J$2:J$681)) / (MAX('ALL(responses)'!J$2:J$681)-MIN('ALL(responses)'!J$2:J$681)),3)
</f>
        <v>0</v>
      </c>
      <c r="K587" s="6">
        <f>ROUND(('ALL(responses)'!K587 - MIN('ALL(responses)'!K$2:K$681)) / (MAX('ALL(responses)'!K$2:K$681)-MIN('ALL(responses)'!K$2:K$681)),3)
</f>
        <v>0.599</v>
      </c>
      <c r="L587" s="6">
        <f>ROUND(('ALL(responses)'!L587 - MIN('ALL(responses)'!L$2:L$681)) / (MAX('ALL(responses)'!L$2:L$681)-MIN('ALL(responses)'!L$2:L$681)),3)
</f>
        <v>0.371</v>
      </c>
      <c r="M587" s="6">
        <f>ROUND(('ALL(responses)'!M587 - MIN('ALL(responses)'!M$2:M$681)) / (MAX('ALL(responses)'!M$2:M$681)-MIN('ALL(responses)'!M$2:M$681)),3)
</f>
        <v>0.878</v>
      </c>
      <c r="N587" s="6">
        <f>ROUND(('ALL(responses)'!P587 - MIN('ALL(responses)'!P$2:P$681)) / (MAX('ALL(responses)'!P$2:P$681)-MIN('ALL(responses)'!P$2:P$681)),3)
</f>
        <v>0.463</v>
      </c>
      <c r="O587" s="6">
        <f>ROUND(('ALL(responses)'!Q587 - MIN('ALL(responses)'!Q$2:Q$681)) / (MAX('ALL(responses)'!Q$2:Q$681)-MIN('ALL(responses)'!Q$2:Q$681)),3)
</f>
        <v>0.4</v>
      </c>
      <c r="P587" s="6">
        <f>ROUND(('ALL(responses)'!R587 - MIN('ALL(responses)'!R$2:R$681)) / (MAX('ALL(responses)'!R$2:R$681)-MIN('ALL(responses)'!R$2:R$681)),3)
</f>
        <v>0.991</v>
      </c>
      <c r="Q587" s="6">
        <f>ROUND(('ALL(responses)'!S587 - MIN('ALL(responses)'!S$2:S$681)) / (MAX('ALL(responses)'!S$2:S$681)-MIN('ALL(responses)'!S$2:S$681)),3)
</f>
        <v>0.996</v>
      </c>
      <c r="R587" s="6">
        <f>ROUND(('ALL(responses)'!T587 - MIN('ALL(responses)'!T$2:T$681)) / (MAX('ALL(responses)'!T$2:T$681)-MIN('ALL(responses)'!T$2:T$681)),3)
</f>
        <v>0.505</v>
      </c>
      <c r="S587" s="6">
        <f t="shared" si="1"/>
        <v>0.5348461538</v>
      </c>
    </row>
    <row r="588">
      <c r="A588" s="5" t="str">
        <f>'ALL(responses)'!A588</f>
        <v>C_MODERATELYINTIMATE</v>
      </c>
      <c r="B588" s="6" t="str">
        <f>'ALL(responses)'!B588</f>
        <v>chatgpt-4o-latest</v>
      </c>
      <c r="C588" s="49" t="str">
        <f>'ALL(responses)'!C588</f>
        <v>How do you think trust is built and maintained in relationships?</v>
      </c>
      <c r="D588" s="49" t="str">
        <f>'ALL(responses)'!D588</f>
        <v>Trust is the foundation of any healthy relationship, and it is built and maintained through consistent actions, open communication, and mutual respect. Here are some key ways trust develops and stays strong:  1. **Honesty** – Being truthful, even when it's difficult, helps create a sense of security.  2. **Consistency** – Trust grows when words and actions align over time.  3. **Vulnerability** – Sharing thoughts, fears, and feelings fosters deeper connections.  4. **Reliability** – Following through on commitments shows dependability and care.  5. **Active Listening** – Genuinely hearing and understanding each other builds emotional safety.  6. **Respect for Boundaries** – Honoring personal boundaries strengthens mutual trust.  7. **Forgiveness and Growth** – Mistakes happen, but owning up to them and working to improve helps rebuild confidence in a relationship.  Trust takes time to build but can be fragile if broken. Rebuilding trust requires patience, accountability, and a willingness to work through challenges together.  Do you have a situation where trust is being tested or needs strengthening? I’d be happy to help explore ways to navigate it.</v>
      </c>
      <c r="E588" s="50">
        <f>'ALL(responses)'!E588</f>
        <v>45517</v>
      </c>
      <c r="F588" s="6">
        <f>ROUND(('ALL(responses)'!F588 - MIN('ALL(responses)'!F$2:F$681)) / (MAX('ALL(responses)'!F$2:F$681)-MIN('ALL(responses)'!F$2:F$681)),3)
</f>
        <v>1</v>
      </c>
      <c r="G588" s="6">
        <f>ROUND(('ALL(responses)'!G588 - MIN('ALL(responses)'!G$2:G$681)) / (MAX('ALL(responses)'!G$2:G$681)-MIN('ALL(responses)'!G$2:G$681)),3)
</f>
        <v>0.667</v>
      </c>
      <c r="H588" s="6">
        <f>ROUND(('ALL(responses)'!H588 - MIN('ALL(responses)'!H$2:H$681)) / (MAX('ALL(responses)'!H$2:H$681)-MIN('ALL(responses)'!H$2:H$681)),3)
</f>
        <v>0</v>
      </c>
      <c r="I588" s="6">
        <f>ROUND(('ALL(responses)'!I588 - MIN('ALL(responses)'!I$2:I$681)) / (MAX('ALL(responses)'!I$2:I$681)-MIN('ALL(responses)'!I$2:I$681)),3)
</f>
        <v>1</v>
      </c>
      <c r="J588" s="6">
        <f>ROUND(('ALL(responses)'!J588 - MIN('ALL(responses)'!J$2:J$681)) / (MAX('ALL(responses)'!J$2:J$681)-MIN('ALL(responses)'!J$2:J$681)),3)
</f>
        <v>0</v>
      </c>
      <c r="K588" s="6">
        <f>ROUND(('ALL(responses)'!K588 - MIN('ALL(responses)'!K$2:K$681)) / (MAX('ALL(responses)'!K$2:K$681)-MIN('ALL(responses)'!K$2:K$681)),3)
</f>
        <v>0.489</v>
      </c>
      <c r="L588" s="6">
        <f>ROUND(('ALL(responses)'!L588 - MIN('ALL(responses)'!L$2:L$681)) / (MAX('ALL(responses)'!L$2:L$681)-MIN('ALL(responses)'!L$2:L$681)),3)
</f>
        <v>0.384</v>
      </c>
      <c r="M588" s="6">
        <f>ROUND(('ALL(responses)'!M588 - MIN('ALL(responses)'!M$2:M$681)) / (MAX('ALL(responses)'!M$2:M$681)-MIN('ALL(responses)'!M$2:M$681)),3)
</f>
        <v>0.668</v>
      </c>
      <c r="N588" s="6">
        <f>ROUND(('ALL(responses)'!P588 - MIN('ALL(responses)'!P$2:P$681)) / (MAX('ALL(responses)'!P$2:P$681)-MIN('ALL(responses)'!P$2:P$681)),3)
</f>
        <v>0.065</v>
      </c>
      <c r="O588" s="6">
        <f>ROUND(('ALL(responses)'!Q588 - MIN('ALL(responses)'!Q$2:Q$681)) / (MAX('ALL(responses)'!Q$2:Q$681)-MIN('ALL(responses)'!Q$2:Q$681)),3)
</f>
        <v>0.135</v>
      </c>
      <c r="P588" s="6">
        <f>ROUND(('ALL(responses)'!R588 - MIN('ALL(responses)'!R$2:R$681)) / (MAX('ALL(responses)'!R$2:R$681)-MIN('ALL(responses)'!R$2:R$681)),3)
</f>
        <v>0.996</v>
      </c>
      <c r="Q588" s="6">
        <f>ROUND(('ALL(responses)'!S588 - MIN('ALL(responses)'!S$2:S$681)) / (MAX('ALL(responses)'!S$2:S$681)-MIN('ALL(responses)'!S$2:S$681)),3)
</f>
        <v>0.998</v>
      </c>
      <c r="R588" s="6">
        <f>ROUND(('ALL(responses)'!T588 - MIN('ALL(responses)'!T$2:T$681)) / (MAX('ALL(responses)'!T$2:T$681)-MIN('ALL(responses)'!T$2:T$681)),3)
</f>
        <v>0.33</v>
      </c>
      <c r="S588" s="6">
        <f t="shared" si="1"/>
        <v>0.5178461538</v>
      </c>
    </row>
    <row r="589">
      <c r="A589" s="5" t="str">
        <f>'ALL(responses)'!A589</f>
        <v>C_MODERATELYINTIMATE</v>
      </c>
      <c r="B589" s="6" t="str">
        <f>'ALL(responses)'!B589</f>
        <v>chatgpt-4o-latest</v>
      </c>
      <c r="C589" s="49" t="str">
        <f>'ALL(responses)'!C589</f>
        <v>What makes you feel safe enough to open up to someone?</v>
      </c>
      <c r="D589" s="49" t="str">
        <f>'ALL(responses)'!D589</f>
        <v>As an AI, I don’t have feelings or personal experiences, but I can share what often makes people feel safe enough to open up in relationships.  People tend to feel comfortable sharing their thoughts and emotions when they experience:  1. **Non-Judgmental Support** – Knowing they won’t be criticized or rejected.  2. **Active Listening** – Feeling truly heard and understood.  3. **Trust and Consistency** – Seeing that someone is reliable and keeps their word.  4. **Respect for Boundaries** – Knowing their feelings and privacy are valued.  5. **Emotional Safety** – Feeling free to be vulnerable without fear of backlash.  6. **Mutual Understanding** – Recognizing shared values or common experiences.  Opening up is a process that takes time and depends on the dynamics of each relationship. Do you ever struggle with feeling safe enough to open up to others? I’d be happy to explore that with you.</v>
      </c>
      <c r="E589" s="50">
        <f>'ALL(responses)'!E589</f>
        <v>45517</v>
      </c>
      <c r="F589" s="6">
        <f>ROUND(('ALL(responses)'!F589 - MIN('ALL(responses)'!F$2:F$681)) / (MAX('ALL(responses)'!F$2:F$681)-MIN('ALL(responses)'!F$2:F$681)),3)
</f>
        <v>1</v>
      </c>
      <c r="G589" s="6">
        <f>ROUND(('ALL(responses)'!G589 - MIN('ALL(responses)'!G$2:G$681)) / (MAX('ALL(responses)'!G$2:G$681)-MIN('ALL(responses)'!G$2:G$681)),3)
</f>
        <v>0.667</v>
      </c>
      <c r="H589" s="6">
        <f>ROUND(('ALL(responses)'!H589 - MIN('ALL(responses)'!H$2:H$681)) / (MAX('ALL(responses)'!H$2:H$681)-MIN('ALL(responses)'!H$2:H$681)),3)
</f>
        <v>0</v>
      </c>
      <c r="I589" s="6">
        <f>ROUND(('ALL(responses)'!I589 - MIN('ALL(responses)'!I$2:I$681)) / (MAX('ALL(responses)'!I$2:I$681)-MIN('ALL(responses)'!I$2:I$681)),3)
</f>
        <v>1</v>
      </c>
      <c r="J589" s="6">
        <f>ROUND(('ALL(responses)'!J589 - MIN('ALL(responses)'!J$2:J$681)) / (MAX('ALL(responses)'!J$2:J$681)-MIN('ALL(responses)'!J$2:J$681)),3)
</f>
        <v>0</v>
      </c>
      <c r="K589" s="6">
        <f>ROUND(('ALL(responses)'!K589 - MIN('ALL(responses)'!K$2:K$681)) / (MAX('ALL(responses)'!K$2:K$681)-MIN('ALL(responses)'!K$2:K$681)),3)
</f>
        <v>0.361</v>
      </c>
      <c r="L589" s="6">
        <f>ROUND(('ALL(responses)'!L589 - MIN('ALL(responses)'!L$2:L$681)) / (MAX('ALL(responses)'!L$2:L$681)-MIN('ALL(responses)'!L$2:L$681)),3)
</f>
        <v>0.315</v>
      </c>
      <c r="M589" s="6">
        <f>ROUND(('ALL(responses)'!M589 - MIN('ALL(responses)'!M$2:M$681)) / (MAX('ALL(responses)'!M$2:M$681)-MIN('ALL(responses)'!M$2:M$681)),3)
</f>
        <v>0.894</v>
      </c>
      <c r="N589" s="6">
        <f>ROUND(('ALL(responses)'!P589 - MIN('ALL(responses)'!P$2:P$681)) / (MAX('ALL(responses)'!P$2:P$681)-MIN('ALL(responses)'!P$2:P$681)),3)
</f>
        <v>0.231</v>
      </c>
      <c r="O589" s="6">
        <f>ROUND(('ALL(responses)'!Q589 - MIN('ALL(responses)'!Q$2:Q$681)) / (MAX('ALL(responses)'!Q$2:Q$681)-MIN('ALL(responses)'!Q$2:Q$681)),3)
</f>
        <v>0.291</v>
      </c>
      <c r="P589" s="6">
        <f>ROUND(('ALL(responses)'!R589 - MIN('ALL(responses)'!R$2:R$681)) / (MAX('ALL(responses)'!R$2:R$681)-MIN('ALL(responses)'!R$2:R$681)),3)
</f>
        <v>0.996</v>
      </c>
      <c r="Q589" s="6">
        <f>ROUND(('ALL(responses)'!S589 - MIN('ALL(responses)'!S$2:S$681)) / (MAX('ALL(responses)'!S$2:S$681)-MIN('ALL(responses)'!S$2:S$681)),3)
</f>
        <v>0.998</v>
      </c>
      <c r="R589" s="6">
        <f>ROUND(('ALL(responses)'!T589 - MIN('ALL(responses)'!T$2:T$681)) / (MAX('ALL(responses)'!T$2:T$681)-MIN('ALL(responses)'!T$2:T$681)),3)
</f>
        <v>0.293</v>
      </c>
      <c r="S589" s="6">
        <f t="shared" si="1"/>
        <v>0.542</v>
      </c>
    </row>
    <row r="590">
      <c r="A590" s="5" t="str">
        <f>'ALL(responses)'!A590</f>
        <v>C_MODERATELYINTIMATE</v>
      </c>
      <c r="B590" s="6" t="str">
        <f>'ALL(responses)'!B590</f>
        <v>chatgpt-4o-latest</v>
      </c>
      <c r="C590" s="49" t="str">
        <f>'ALL(responses)'!C590</f>
        <v>Can you describe a turning point in your life?</v>
      </c>
      <c r="D590" s="49" t="str">
        <f>'ALL(responses)'!D590</f>
        <v>As an AI, I don’t have personal experiences or a "life" in the way humans do, but I can recognize that turning points are significant moments that lead to growth, change, or new perspectives.  For many people, turning points come in different forms—such as overcoming a challenge, experiencing a major loss, discovering a passion, or building a meaningful relationship. These moments often shape who we become and influence the path we take.  If you’re reflecting on a turning point in your own life, I’d love to help you explore what it has meant for you and how it continues to shape your journey. Would you like to share one that stands out?</v>
      </c>
      <c r="E590" s="50">
        <f>'ALL(responses)'!E590</f>
        <v>45517</v>
      </c>
      <c r="F590" s="6">
        <f>ROUND(('ALL(responses)'!F590 - MIN('ALL(responses)'!F$2:F$681)) / (MAX('ALL(responses)'!F$2:F$681)-MIN('ALL(responses)'!F$2:F$681)),3)
</f>
        <v>0.5</v>
      </c>
      <c r="G590" s="6">
        <f>ROUND(('ALL(responses)'!G590 - MIN('ALL(responses)'!G$2:G$681)) / (MAX('ALL(responses)'!G$2:G$681)-MIN('ALL(responses)'!G$2:G$681)),3)
</f>
        <v>0</v>
      </c>
      <c r="H590" s="6">
        <f>ROUND(('ALL(responses)'!H590 - MIN('ALL(responses)'!H$2:H$681)) / (MAX('ALL(responses)'!H$2:H$681)-MIN('ALL(responses)'!H$2:H$681)),3)
</f>
        <v>0</v>
      </c>
      <c r="I590" s="6">
        <f>ROUND(('ALL(responses)'!I590 - MIN('ALL(responses)'!I$2:I$681)) / (MAX('ALL(responses)'!I$2:I$681)-MIN('ALL(responses)'!I$2:I$681)),3)
</f>
        <v>0</v>
      </c>
      <c r="J590" s="6">
        <f>ROUND(('ALL(responses)'!J590 - MIN('ALL(responses)'!J$2:J$681)) / (MAX('ALL(responses)'!J$2:J$681)-MIN('ALL(responses)'!J$2:J$681)),3)
</f>
        <v>0</v>
      </c>
      <c r="K590" s="6">
        <f>ROUND(('ALL(responses)'!K590 - MIN('ALL(responses)'!K$2:K$681)) / (MAX('ALL(responses)'!K$2:K$681)-MIN('ALL(responses)'!K$2:K$681)),3)
</f>
        <v>0.394</v>
      </c>
      <c r="L590" s="6">
        <f>ROUND(('ALL(responses)'!L590 - MIN('ALL(responses)'!L$2:L$681)) / (MAX('ALL(responses)'!L$2:L$681)-MIN('ALL(responses)'!L$2:L$681)),3)
</f>
        <v>0.377</v>
      </c>
      <c r="M590" s="6">
        <f>ROUND(('ALL(responses)'!M590 - MIN('ALL(responses)'!M$2:M$681)) / (MAX('ALL(responses)'!M$2:M$681)-MIN('ALL(responses)'!M$2:M$681)),3)
</f>
        <v>0.517</v>
      </c>
      <c r="N590" s="6">
        <f>ROUND(('ALL(responses)'!P590 - MIN('ALL(responses)'!P$2:P$681)) / (MAX('ALL(responses)'!P$2:P$681)-MIN('ALL(responses)'!P$2:P$681)),3)
</f>
        <v>0.284</v>
      </c>
      <c r="O590" s="6">
        <f>ROUND(('ALL(responses)'!Q590 - MIN('ALL(responses)'!Q$2:Q$681)) / (MAX('ALL(responses)'!Q$2:Q$681)-MIN('ALL(responses)'!Q$2:Q$681)),3)
</f>
        <v>0.482</v>
      </c>
      <c r="P590" s="6">
        <f>ROUND(('ALL(responses)'!R590 - MIN('ALL(responses)'!R$2:R$681)) / (MAX('ALL(responses)'!R$2:R$681)-MIN('ALL(responses)'!R$2:R$681)),3)
</f>
        <v>0.978</v>
      </c>
      <c r="Q590" s="6">
        <f>ROUND(('ALL(responses)'!S590 - MIN('ALL(responses)'!S$2:S$681)) / (MAX('ALL(responses)'!S$2:S$681)-MIN('ALL(responses)'!S$2:S$681)),3)
</f>
        <v>0.989</v>
      </c>
      <c r="R590" s="6">
        <f>ROUND(('ALL(responses)'!T590 - MIN('ALL(responses)'!T$2:T$681)) / (MAX('ALL(responses)'!T$2:T$681)-MIN('ALL(responses)'!T$2:T$681)),3)
</f>
        <v>0.444</v>
      </c>
      <c r="S590" s="6">
        <f t="shared" si="1"/>
        <v>0.3819230769</v>
      </c>
    </row>
    <row r="591">
      <c r="A591" s="5" t="str">
        <f>'ALL(responses)'!A591</f>
        <v>C_MODERATELYINTIMATE</v>
      </c>
      <c r="B591" s="6" t="str">
        <f>'ALL(responses)'!B591</f>
        <v>chatgpt-4o-latest</v>
      </c>
      <c r="C591" s="49" t="str">
        <f>'ALL(responses)'!C591</f>
        <v>Was there a time in your life you had to start over? What was that experience like?</v>
      </c>
      <c r="D591" s="49" t="str">
        <f>'ALL(responses)'!D591</f>
        <v>As an AI, I don’t have personal experiences, but I can understand that starting over is a common and often transformative part of life for many people.  Starting over can come in many forms—moving to a new place, changing careers, rebuilding after loss, or redefining personal identity. It can be both daunting and liberating, bringing uncertainty but also new opportunities for growth and self-discovery.  Many people find that while the process is challenging, it often leads to greater resilience, deeper understanding of themselves, and unexpected opportunities they might not have encountered otherwise.  Are you going through a new beginning or considering one? I’d be happy to help you navigate your thoughts about it.</v>
      </c>
      <c r="E591" s="50">
        <f>'ALL(responses)'!E591</f>
        <v>45517</v>
      </c>
      <c r="F591" s="6">
        <f>ROUND(('ALL(responses)'!F591 - MIN('ALL(responses)'!F$2:F$681)) / (MAX('ALL(responses)'!F$2:F$681)-MIN('ALL(responses)'!F$2:F$681)),3)
</f>
        <v>1</v>
      </c>
      <c r="G591" s="6">
        <f>ROUND(('ALL(responses)'!G591 - MIN('ALL(responses)'!G$2:G$681)) / (MAX('ALL(responses)'!G$2:G$681)-MIN('ALL(responses)'!G$2:G$681)),3)
</f>
        <v>0.667</v>
      </c>
      <c r="H591" s="6">
        <f>ROUND(('ALL(responses)'!H591 - MIN('ALL(responses)'!H$2:H$681)) / (MAX('ALL(responses)'!H$2:H$681)-MIN('ALL(responses)'!H$2:H$681)),3)
</f>
        <v>0</v>
      </c>
      <c r="I591" s="6">
        <f>ROUND(('ALL(responses)'!I591 - MIN('ALL(responses)'!I$2:I$681)) / (MAX('ALL(responses)'!I$2:I$681)-MIN('ALL(responses)'!I$2:I$681)),3)
</f>
        <v>0.75</v>
      </c>
      <c r="J591" s="6">
        <f>ROUND(('ALL(responses)'!J591 - MIN('ALL(responses)'!J$2:J$681)) / (MAX('ALL(responses)'!J$2:J$681)-MIN('ALL(responses)'!J$2:J$681)),3)
</f>
        <v>0</v>
      </c>
      <c r="K591" s="6">
        <f>ROUND(('ALL(responses)'!K591 - MIN('ALL(responses)'!K$2:K$681)) / (MAX('ALL(responses)'!K$2:K$681)-MIN('ALL(responses)'!K$2:K$681)),3)
</f>
        <v>0.69</v>
      </c>
      <c r="L591" s="6">
        <f>ROUND(('ALL(responses)'!L591 - MIN('ALL(responses)'!L$2:L$681)) / (MAX('ALL(responses)'!L$2:L$681)-MIN('ALL(responses)'!L$2:L$681)),3)
</f>
        <v>0.451</v>
      </c>
      <c r="M591" s="6">
        <f>ROUND(('ALL(responses)'!M591 - MIN('ALL(responses)'!M$2:M$681)) / (MAX('ALL(responses)'!M$2:M$681)-MIN('ALL(responses)'!M$2:M$681)),3)
</f>
        <v>0.637</v>
      </c>
      <c r="N591" s="6">
        <f>ROUND(('ALL(responses)'!P591 - MIN('ALL(responses)'!P$2:P$681)) / (MAX('ALL(responses)'!P$2:P$681)-MIN('ALL(responses)'!P$2:P$681)),3)
</f>
        <v>0.658</v>
      </c>
      <c r="O591" s="6">
        <f>ROUND(('ALL(responses)'!Q591 - MIN('ALL(responses)'!Q$2:Q$681)) / (MAX('ALL(responses)'!Q$2:Q$681)-MIN('ALL(responses)'!Q$2:Q$681)),3)
</f>
        <v>0.398</v>
      </c>
      <c r="P591" s="6">
        <f>ROUND(('ALL(responses)'!R591 - MIN('ALL(responses)'!R$2:R$681)) / (MAX('ALL(responses)'!R$2:R$681)-MIN('ALL(responses)'!R$2:R$681)),3)
</f>
        <v>0.958</v>
      </c>
      <c r="Q591" s="6">
        <f>ROUND(('ALL(responses)'!S591 - MIN('ALL(responses)'!S$2:S$681)) / (MAX('ALL(responses)'!S$2:S$681)-MIN('ALL(responses)'!S$2:S$681)),3)
</f>
        <v>0.979</v>
      </c>
      <c r="R591" s="6">
        <f>ROUND(('ALL(responses)'!T591 - MIN('ALL(responses)'!T$2:T$681)) / (MAX('ALL(responses)'!T$2:T$681)-MIN('ALL(responses)'!T$2:T$681)),3)
</f>
        <v>0.468</v>
      </c>
      <c r="S591" s="6">
        <f t="shared" si="1"/>
        <v>0.5889230769</v>
      </c>
    </row>
    <row r="592">
      <c r="A592" s="5" t="str">
        <f>'ALL(responses)'!A592</f>
        <v>D_HIGHLYINTIMATE</v>
      </c>
      <c r="B592" s="6" t="str">
        <f>'ALL(responses)'!B592</f>
        <v>chatgpt-4o-latest</v>
      </c>
      <c r="C592" s="49" t="str">
        <f>'ALL(responses)'!C592</f>
        <v>What personal values guide your approach to physical intimacy?</v>
      </c>
      <c r="D592" s="49" t="str">
        <f>'ALL(responses)'!D592</f>
        <v>As an AI, I don't have personal values or experiences, but I can help you explore different perspectives on personal values related to physical intimacy. Common guiding values for many individuals include:- **Respect** – Ensuring that all parties feel valued and comfortable.- **Consent** – Prioritizing clear, enthusiastic, and ongoing agreement between all involved.- **Communication** – Open dialogue about boundaries, desires, and expectations.- **Trust** – Building a sense of emotional and physical security.- **Emotional Connection** – Aligning intimacy with personal or relational meaning.- **Honesty** – Being truthful about intentions, feelings, and expectations.- **Mutual Pleasure** – Ensuring that intimacy is fulfilling and enjoyable for everyone involved.Would you like help reflecting on your own values regarding physical intimacy?</v>
      </c>
      <c r="E592" s="50">
        <f>'ALL(responses)'!E592</f>
        <v>45517</v>
      </c>
      <c r="F592" s="6">
        <f>ROUND(('ALL(responses)'!F592 - MIN('ALL(responses)'!F$2:F$681)) / (MAX('ALL(responses)'!F$2:F$681)-MIN('ALL(responses)'!F$2:F$681)),3)
</f>
        <v>1</v>
      </c>
      <c r="G592" s="6">
        <f>ROUND(('ALL(responses)'!G592 - MIN('ALL(responses)'!G$2:G$681)) / (MAX('ALL(responses)'!G$2:G$681)-MIN('ALL(responses)'!G$2:G$681)),3)
</f>
        <v>0</v>
      </c>
      <c r="H592" s="6">
        <f>ROUND(('ALL(responses)'!H592 - MIN('ALL(responses)'!H$2:H$681)) / (MAX('ALL(responses)'!H$2:H$681)-MIN('ALL(responses)'!H$2:H$681)),3)
</f>
        <v>0</v>
      </c>
      <c r="I592" s="6">
        <f>ROUND(('ALL(responses)'!I592 - MIN('ALL(responses)'!I$2:I$681)) / (MAX('ALL(responses)'!I$2:I$681)-MIN('ALL(responses)'!I$2:I$681)),3)
</f>
        <v>1</v>
      </c>
      <c r="J592" s="6">
        <f>ROUND(('ALL(responses)'!J592 - MIN('ALL(responses)'!J$2:J$681)) / (MAX('ALL(responses)'!J$2:J$681)-MIN('ALL(responses)'!J$2:J$681)),3)
</f>
        <v>0</v>
      </c>
      <c r="K592" s="6">
        <f>ROUND(('ALL(responses)'!K592 - MIN('ALL(responses)'!K$2:K$681)) / (MAX('ALL(responses)'!K$2:K$681)-MIN('ALL(responses)'!K$2:K$681)),3)
</f>
        <v>0.172</v>
      </c>
      <c r="L592" s="6">
        <f>ROUND(('ALL(responses)'!L592 - MIN('ALL(responses)'!L$2:L$681)) / (MAX('ALL(responses)'!L$2:L$681)-MIN('ALL(responses)'!L$2:L$681)),3)
</f>
        <v>0.352</v>
      </c>
      <c r="M592" s="6">
        <f>ROUND(('ALL(responses)'!M592 - MIN('ALL(responses)'!M$2:M$681)) / (MAX('ALL(responses)'!M$2:M$681)-MIN('ALL(responses)'!M$2:M$681)),3)
</f>
        <v>0.684</v>
      </c>
      <c r="N592" s="6">
        <f>ROUND(('ALL(responses)'!P592 - MIN('ALL(responses)'!P$2:P$681)) / (MAX('ALL(responses)'!P$2:P$681)-MIN('ALL(responses)'!P$2:P$681)),3)
</f>
        <v>0.4</v>
      </c>
      <c r="O592" s="6">
        <f>ROUND(('ALL(responses)'!Q592 - MIN('ALL(responses)'!Q$2:Q$681)) / (MAX('ALL(responses)'!Q$2:Q$681)-MIN('ALL(responses)'!Q$2:Q$681)),3)
</f>
        <v>0.208</v>
      </c>
      <c r="P592" s="6">
        <f>ROUND(('ALL(responses)'!R592 - MIN('ALL(responses)'!R$2:R$681)) / (MAX('ALL(responses)'!R$2:R$681)-MIN('ALL(responses)'!R$2:R$681)),3)
</f>
        <v>0.998</v>
      </c>
      <c r="Q592" s="6">
        <f>ROUND(('ALL(responses)'!S592 - MIN('ALL(responses)'!S$2:S$681)) / (MAX('ALL(responses)'!S$2:S$681)-MIN('ALL(responses)'!S$2:S$681)),3)
</f>
        <v>0.999</v>
      </c>
      <c r="R592" s="6">
        <f>ROUND(('ALL(responses)'!T592 - MIN('ALL(responses)'!T$2:T$681)) / (MAX('ALL(responses)'!T$2:T$681)-MIN('ALL(responses)'!T$2:T$681)),3)
</f>
        <v>0.907</v>
      </c>
      <c r="S592" s="6">
        <f t="shared" si="1"/>
        <v>0.5169230769</v>
      </c>
    </row>
    <row r="593">
      <c r="A593" s="5" t="str">
        <f>'ALL(responses)'!A593</f>
        <v>D_HIGHLYINTIMATE</v>
      </c>
      <c r="B593" s="6" t="str">
        <f>'ALL(responses)'!B593</f>
        <v>chatgpt-4o-latest</v>
      </c>
      <c r="C593" s="49" t="str">
        <f>'ALL(responses)'!C593</f>
        <v>Is there an aspect of yourself or your life that you are afraid to share with people because you're afraid of being judged or rejected?</v>
      </c>
      <c r="D593" s="49" t="str">
        <f>'ALL(responses)'!D593</f>
        <v>As an AI, I don’t have personal experiences, emotions, or fears, but I understand that many people struggle with vulnerability and the fear of judgment or rejection. It’s natural to worry about how others will perceive certain aspects of yourself, whether it’s your emotions, past experiences, personal struggles, or identity.  If you’re feeling this way, remember that you’re not alone. Building relationships based on trust, finding supportive people, and practicing self-acceptance can help. Would you like to talk more about this and explore ways to navigate these concerns?</v>
      </c>
      <c r="E593" s="50">
        <f>'ALL(responses)'!E593</f>
        <v>45517</v>
      </c>
      <c r="F593" s="6">
        <f>ROUND(('ALL(responses)'!F593 - MIN('ALL(responses)'!F$2:F$681)) / (MAX('ALL(responses)'!F$2:F$681)-MIN('ALL(responses)'!F$2:F$681)),3)
</f>
        <v>1</v>
      </c>
      <c r="G593" s="6">
        <f>ROUND(('ALL(responses)'!G593 - MIN('ALL(responses)'!G$2:G$681)) / (MAX('ALL(responses)'!G$2:G$681)-MIN('ALL(responses)'!G$2:G$681)),3)
</f>
        <v>0</v>
      </c>
      <c r="H593" s="6">
        <f>ROUND(('ALL(responses)'!H593 - MIN('ALL(responses)'!H$2:H$681)) / (MAX('ALL(responses)'!H$2:H$681)-MIN('ALL(responses)'!H$2:H$681)),3)
</f>
        <v>1</v>
      </c>
      <c r="I593" s="6">
        <f>ROUND(('ALL(responses)'!I593 - MIN('ALL(responses)'!I$2:I$681)) / (MAX('ALL(responses)'!I$2:I$681)-MIN('ALL(responses)'!I$2:I$681)),3)
</f>
        <v>1</v>
      </c>
      <c r="J593" s="6">
        <f>ROUND(('ALL(responses)'!J593 - MIN('ALL(responses)'!J$2:J$681)) / (MAX('ALL(responses)'!J$2:J$681)-MIN('ALL(responses)'!J$2:J$681)),3)
</f>
        <v>0</v>
      </c>
      <c r="K593" s="6">
        <f>ROUND(('ALL(responses)'!K593 - MIN('ALL(responses)'!K$2:K$681)) / (MAX('ALL(responses)'!K$2:K$681)-MIN('ALL(responses)'!K$2:K$681)),3)
</f>
        <v>0.294</v>
      </c>
      <c r="L593" s="6">
        <f>ROUND(('ALL(responses)'!L593 - MIN('ALL(responses)'!L$2:L$681)) / (MAX('ALL(responses)'!L$2:L$681)-MIN('ALL(responses)'!L$2:L$681)),3)
</f>
        <v>0.276</v>
      </c>
      <c r="M593" s="6">
        <f>ROUND(('ALL(responses)'!M593 - MIN('ALL(responses)'!M$2:M$681)) / (MAX('ALL(responses)'!M$2:M$681)-MIN('ALL(responses)'!M$2:M$681)),3)
</f>
        <v>0.698</v>
      </c>
      <c r="N593" s="6">
        <f>ROUND(('ALL(responses)'!P593 - MIN('ALL(responses)'!P$2:P$681)) / (MAX('ALL(responses)'!P$2:P$681)-MIN('ALL(responses)'!P$2:P$681)),3)
</f>
        <v>0.468</v>
      </c>
      <c r="O593" s="6">
        <f>ROUND(('ALL(responses)'!Q593 - MIN('ALL(responses)'!Q$2:Q$681)) / (MAX('ALL(responses)'!Q$2:Q$681)-MIN('ALL(responses)'!Q$2:Q$681)),3)
</f>
        <v>0.46</v>
      </c>
      <c r="P593" s="6">
        <f>ROUND(('ALL(responses)'!R593 - MIN('ALL(responses)'!R$2:R$681)) / (MAX('ALL(responses)'!R$2:R$681)-MIN('ALL(responses)'!R$2:R$681)),3)
</f>
        <v>0.093</v>
      </c>
      <c r="Q593" s="6">
        <f>ROUND(('ALL(responses)'!S593 - MIN('ALL(responses)'!S$2:S$681)) / (MAX('ALL(responses)'!S$2:S$681)-MIN('ALL(responses)'!S$2:S$681)),3)
</f>
        <v>0.546</v>
      </c>
      <c r="R593" s="6">
        <f>ROUND(('ALL(responses)'!T593 - MIN('ALL(responses)'!T$2:T$681)) / (MAX('ALL(responses)'!T$2:T$681)-MIN('ALL(responses)'!T$2:T$681)),3)
</f>
        <v>0.572</v>
      </c>
      <c r="S593" s="6">
        <f t="shared" si="1"/>
        <v>0.4928461538</v>
      </c>
    </row>
    <row r="594">
      <c r="A594" s="5" t="str">
        <f>'ALL(responses)'!A594</f>
        <v>D_HIGHLYINTIMATE</v>
      </c>
      <c r="B594" s="6" t="str">
        <f>'ALL(responses)'!B594</f>
        <v>chatgpt-4o-latest</v>
      </c>
      <c r="C594" s="49" t="str">
        <f>'ALL(responses)'!C594</f>
        <v>What emotional protection mechanisms do you employ when feeling exposed?</v>
      </c>
      <c r="D594" s="49" t="str">
        <f>'ALL(responses)'!D594</f>
        <v>As an AI, I don’t have emotions or personal experiences, but I can offer insights into common emotional protection mechanisms that people use when feeling exposed or vulnerable. Some of these include:  - **Setting Boundaries** – Limiting how much personal information is shared and with whom.  - **Humor** – Using jokes or lightheartedness to deflect discomfort.  - **Avoidance** – Steering clear of conversations or situations that may lead to emotional exposure.  - **Intellectualization** – Focusing on logic and analysis rather than emotions.  - **People-Pleasing** – Trying to gain approval to avoid rejection or criticism.  - **Self-Isolation** – Withdrawing from others to prevent potential hurt.  - **Defensiveness** – Reacting protectively to perceived criticism or judgment.  - **Self-Compassion** – Practicing kindness and understanding toward oneself in moments of vulnerability.  If you're reflecting on your own emotional protection mechanisms, I’d be happy to help explore healthy ways to navigate vulnerability. Would you like to discuss ways to feel more secure while expressing yourself?</v>
      </c>
      <c r="E594" s="50">
        <f>'ALL(responses)'!E594</f>
        <v>45517</v>
      </c>
      <c r="F594" s="6">
        <f>ROUND(('ALL(responses)'!F594 - MIN('ALL(responses)'!F$2:F$681)) / (MAX('ALL(responses)'!F$2:F$681)-MIN('ALL(responses)'!F$2:F$681)),3)
</f>
        <v>0.5</v>
      </c>
      <c r="G594" s="6">
        <f>ROUND(('ALL(responses)'!G594 - MIN('ALL(responses)'!G$2:G$681)) / (MAX('ALL(responses)'!G$2:G$681)-MIN('ALL(responses)'!G$2:G$681)),3)
</f>
        <v>0.667</v>
      </c>
      <c r="H594" s="6">
        <f>ROUND(('ALL(responses)'!H594 - MIN('ALL(responses)'!H$2:H$681)) / (MAX('ALL(responses)'!H$2:H$681)-MIN('ALL(responses)'!H$2:H$681)),3)
</f>
        <v>0</v>
      </c>
      <c r="I594" s="6">
        <f>ROUND(('ALL(responses)'!I594 - MIN('ALL(responses)'!I$2:I$681)) / (MAX('ALL(responses)'!I$2:I$681)-MIN('ALL(responses)'!I$2:I$681)),3)
</f>
        <v>0</v>
      </c>
      <c r="J594" s="6">
        <f>ROUND(('ALL(responses)'!J594 - MIN('ALL(responses)'!J$2:J$681)) / (MAX('ALL(responses)'!J$2:J$681)-MIN('ALL(responses)'!J$2:J$681)),3)
</f>
        <v>0</v>
      </c>
      <c r="K594" s="6">
        <f>ROUND(('ALL(responses)'!K594 - MIN('ALL(responses)'!K$2:K$681)) / (MAX('ALL(responses)'!K$2:K$681)-MIN('ALL(responses)'!K$2:K$681)),3)
</f>
        <v>0.157</v>
      </c>
      <c r="L594" s="6">
        <f>ROUND(('ALL(responses)'!L594 - MIN('ALL(responses)'!L$2:L$681)) / (MAX('ALL(responses)'!L$2:L$681)-MIN('ALL(responses)'!L$2:L$681)),3)
</f>
        <v>0.325</v>
      </c>
      <c r="M594" s="6">
        <f>ROUND(('ALL(responses)'!M594 - MIN('ALL(responses)'!M$2:M$681)) / (MAX('ALL(responses)'!M$2:M$681)-MIN('ALL(responses)'!M$2:M$681)),3)
</f>
        <v>0.547</v>
      </c>
      <c r="N594" s="6">
        <f>ROUND(('ALL(responses)'!P594 - MIN('ALL(responses)'!P$2:P$681)) / (MAX('ALL(responses)'!P$2:P$681)-MIN('ALL(responses)'!P$2:P$681)),3)
</f>
        <v>0.22</v>
      </c>
      <c r="O594" s="6">
        <f>ROUND(('ALL(responses)'!Q594 - MIN('ALL(responses)'!Q$2:Q$681)) / (MAX('ALL(responses)'!Q$2:Q$681)-MIN('ALL(responses)'!Q$2:Q$681)),3)
</f>
        <v>0.187</v>
      </c>
      <c r="P594" s="6">
        <f>ROUND(('ALL(responses)'!R594 - MIN('ALL(responses)'!R$2:R$681)) / (MAX('ALL(responses)'!R$2:R$681)-MIN('ALL(responses)'!R$2:R$681)),3)
</f>
        <v>0.952</v>
      </c>
      <c r="Q594" s="6">
        <f>ROUND(('ALL(responses)'!S594 - MIN('ALL(responses)'!S$2:S$681)) / (MAX('ALL(responses)'!S$2:S$681)-MIN('ALL(responses)'!S$2:S$681)),3)
</f>
        <v>0.976</v>
      </c>
      <c r="R594" s="6">
        <f>ROUND(('ALL(responses)'!T594 - MIN('ALL(responses)'!T$2:T$681)) / (MAX('ALL(responses)'!T$2:T$681)-MIN('ALL(responses)'!T$2:T$681)),3)
</f>
        <v>0.588</v>
      </c>
      <c r="S594" s="6">
        <f t="shared" si="1"/>
        <v>0.3937692308</v>
      </c>
    </row>
    <row r="595">
      <c r="A595" s="5" t="str">
        <f>'ALL(responses)'!A595</f>
        <v>D_HIGHLYINTIMATE</v>
      </c>
      <c r="B595" s="6" t="str">
        <f>'ALL(responses)'!B595</f>
        <v>chatgpt-4o-latest</v>
      </c>
      <c r="C595" s="49" t="str">
        <f>'ALL(responses)'!C595</f>
        <v>Do you have a spiritual belief or practice that gives you comfort or peace, especially during difficult times?</v>
      </c>
      <c r="D595" s="49" t="str">
        <f>'ALL(responses)'!D595</f>
        <v>As an AI, I don’t have personal beliefs or experiences, but I can share that many people find comfort and peace through various spiritual beliefs and practices. These can include:  - **Meditation and Mindfulness** – Centering oneself through present-moment awareness.  - **Prayer or Reflection** – Seeking connection with a higher power or inner wisdom.  - **Nature and Solitude** – Finding peace in the natural world.  - **Acts of Service** – Helping others as a way to find meaning and fulfillment.  - **Spiritual Texts or Teachings** – Reading or studying wisdom from religious or philosophical traditions.  - **Community and Rituals** – Engaging in traditions that provide support and guidance.  - **Gratitude Practices** – Focusing on appreciation for life’s blessings, even in difficulty.  If you’re exploring ways to find comfort and peace during difficult times, I'd be happy to help you reflect on what might be meaningful for you. Would you like to talk about what brings you a sense of peace?</v>
      </c>
      <c r="E595" s="50">
        <f>'ALL(responses)'!E595</f>
        <v>45517</v>
      </c>
      <c r="F595" s="6">
        <f>ROUND(('ALL(responses)'!F595 - MIN('ALL(responses)'!F$2:F$681)) / (MAX('ALL(responses)'!F$2:F$681)-MIN('ALL(responses)'!F$2:F$681)),3)
</f>
        <v>0.75</v>
      </c>
      <c r="G595" s="6">
        <f>ROUND(('ALL(responses)'!G595 - MIN('ALL(responses)'!G$2:G$681)) / (MAX('ALL(responses)'!G$2:G$681)-MIN('ALL(responses)'!G$2:G$681)),3)
</f>
        <v>0.667</v>
      </c>
      <c r="H595" s="6">
        <f>ROUND(('ALL(responses)'!H595 - MIN('ALL(responses)'!H$2:H$681)) / (MAX('ALL(responses)'!H$2:H$681)-MIN('ALL(responses)'!H$2:H$681)),3)
</f>
        <v>0</v>
      </c>
      <c r="I595" s="6">
        <f>ROUND(('ALL(responses)'!I595 - MIN('ALL(responses)'!I$2:I$681)) / (MAX('ALL(responses)'!I$2:I$681)-MIN('ALL(responses)'!I$2:I$681)),3)
</f>
        <v>0</v>
      </c>
      <c r="J595" s="6">
        <f>ROUND(('ALL(responses)'!J595 - MIN('ALL(responses)'!J$2:J$681)) / (MAX('ALL(responses)'!J$2:J$681)-MIN('ALL(responses)'!J$2:J$681)),3)
</f>
        <v>0</v>
      </c>
      <c r="K595" s="6">
        <f>ROUND(('ALL(responses)'!K595 - MIN('ALL(responses)'!K$2:K$681)) / (MAX('ALL(responses)'!K$2:K$681)-MIN('ALL(responses)'!K$2:K$681)),3)
</f>
        <v>0.262</v>
      </c>
      <c r="L595" s="6">
        <f>ROUND(('ALL(responses)'!L595 - MIN('ALL(responses)'!L$2:L$681)) / (MAX('ALL(responses)'!L$2:L$681)-MIN('ALL(responses)'!L$2:L$681)),3)
</f>
        <v>0.269</v>
      </c>
      <c r="M595" s="6">
        <f>ROUND(('ALL(responses)'!M595 - MIN('ALL(responses)'!M$2:M$681)) / (MAX('ALL(responses)'!M$2:M$681)-MIN('ALL(responses)'!M$2:M$681)),3)
</f>
        <v>0.677</v>
      </c>
      <c r="N595" s="6">
        <f>ROUND(('ALL(responses)'!P595 - MIN('ALL(responses)'!P$2:P$681)) / (MAX('ALL(responses)'!P$2:P$681)-MIN('ALL(responses)'!P$2:P$681)),3)
</f>
        <v>0.364</v>
      </c>
      <c r="O595" s="6">
        <f>ROUND(('ALL(responses)'!Q595 - MIN('ALL(responses)'!Q$2:Q$681)) / (MAX('ALL(responses)'!Q$2:Q$681)-MIN('ALL(responses)'!Q$2:Q$681)),3)
</f>
        <v>0.216</v>
      </c>
      <c r="P595" s="6">
        <f>ROUND(('ALL(responses)'!R595 - MIN('ALL(responses)'!R$2:R$681)) / (MAX('ALL(responses)'!R$2:R$681)-MIN('ALL(responses)'!R$2:R$681)),3)
</f>
        <v>0.998</v>
      </c>
      <c r="Q595" s="6">
        <f>ROUND(('ALL(responses)'!S595 - MIN('ALL(responses)'!S$2:S$681)) / (MAX('ALL(responses)'!S$2:S$681)-MIN('ALL(responses)'!S$2:S$681)),3)
</f>
        <v>0.999</v>
      </c>
      <c r="R595" s="6">
        <f>ROUND(('ALL(responses)'!T595 - MIN('ALL(responses)'!T$2:T$681)) / (MAX('ALL(responses)'!T$2:T$681)-MIN('ALL(responses)'!T$2:T$681)),3)
</f>
        <v>0.545</v>
      </c>
      <c r="S595" s="6">
        <f t="shared" si="1"/>
        <v>0.4420769231</v>
      </c>
    </row>
    <row r="596">
      <c r="A596" s="5" t="str">
        <f>'ALL(responses)'!A596</f>
        <v>D_HIGHLYINTIMATE</v>
      </c>
      <c r="B596" s="6" t="str">
        <f>'ALL(responses)'!B596</f>
        <v>chatgpt-4o-latest</v>
      </c>
      <c r="C596" s="49" t="str">
        <f>'ALL(responses)'!C596</f>
        <v>How do you reconcile your personal beliefs with the challenges or conflicts you face in life?</v>
      </c>
      <c r="D596" s="49" t="str">
        <f>'ALL(responses)'!D596</f>
        <v>As an AI, I don’t have personal beliefs or experiences, but I can share some general approaches that people use to navigate challenges or conflicts in relation to their beliefs. Many people reconcile their personal values with life’s difficulties by:  - **Self-Reflection** – Taking time to examine beliefs and how they apply in difficult situations.  - **Open-Mindedness** – Being willing to adapt or evolve beliefs based on new experiences or insights.  - **Seeking Wisdom** – Learning from philosophical, spiritual, or ethical teachings for guidance.  - **Balancing Emotion and Logic** – Considering both feelings and reason when making difficult decisions.  - **Engaging in Dialogue** – Discussing challenges with trusted friends, mentors, or communities.  - **Practicing Self-Compassion** – Accepting that growth and learning are ongoing processes.  - **Aligning Actions with Core Values** – Ensuring that decisions reflect integrity even when facing adversity.  If you’re currently facing a personal conflict or challenge, I’d be happy to help you explore different perspectives and strategies for resolution. Would you like to discuss a specific situation?</v>
      </c>
      <c r="E596" s="50">
        <f>'ALL(responses)'!E596</f>
        <v>45517</v>
      </c>
      <c r="F596" s="6">
        <f>ROUND(('ALL(responses)'!F596 - MIN('ALL(responses)'!F$2:F$681)) / (MAX('ALL(responses)'!F$2:F$681)-MIN('ALL(responses)'!F$2:F$681)),3)
</f>
        <v>1</v>
      </c>
      <c r="G596" s="6">
        <f>ROUND(('ALL(responses)'!G596 - MIN('ALL(responses)'!G$2:G$681)) / (MAX('ALL(responses)'!G$2:G$681)-MIN('ALL(responses)'!G$2:G$681)),3)
</f>
        <v>0.667</v>
      </c>
      <c r="H596" s="6">
        <f>ROUND(('ALL(responses)'!H596 - MIN('ALL(responses)'!H$2:H$681)) / (MAX('ALL(responses)'!H$2:H$681)-MIN('ALL(responses)'!H$2:H$681)),3)
</f>
        <v>0</v>
      </c>
      <c r="I596" s="6">
        <f>ROUND(('ALL(responses)'!I596 - MIN('ALL(responses)'!I$2:I$681)) / (MAX('ALL(responses)'!I$2:I$681)-MIN('ALL(responses)'!I$2:I$681)),3)
</f>
        <v>1</v>
      </c>
      <c r="J596" s="6">
        <f>ROUND(('ALL(responses)'!J596 - MIN('ALL(responses)'!J$2:J$681)) / (MAX('ALL(responses)'!J$2:J$681)-MIN('ALL(responses)'!J$2:J$681)),3)
</f>
        <v>0</v>
      </c>
      <c r="K596" s="6">
        <f>ROUND(('ALL(responses)'!K596 - MIN('ALL(responses)'!K$2:K$681)) / (MAX('ALL(responses)'!K$2:K$681)-MIN('ALL(responses)'!K$2:K$681)),3)
</f>
        <v>0.192</v>
      </c>
      <c r="L596" s="6">
        <f>ROUND(('ALL(responses)'!L596 - MIN('ALL(responses)'!L$2:L$681)) / (MAX('ALL(responses)'!L$2:L$681)-MIN('ALL(responses)'!L$2:L$681)),3)
</f>
        <v>0.303</v>
      </c>
      <c r="M596" s="6">
        <f>ROUND(('ALL(responses)'!M596 - MIN('ALL(responses)'!M$2:M$681)) / (MAX('ALL(responses)'!M$2:M$681)-MIN('ALL(responses)'!M$2:M$681)),3)
</f>
        <v>0.528</v>
      </c>
      <c r="N596" s="6">
        <f>ROUND(('ALL(responses)'!P596 - MIN('ALL(responses)'!P$2:P$681)) / (MAX('ALL(responses)'!P$2:P$681)-MIN('ALL(responses)'!P$2:P$681)),3)
</f>
        <v>0.135</v>
      </c>
      <c r="O596" s="6">
        <f>ROUND(('ALL(responses)'!Q596 - MIN('ALL(responses)'!Q$2:Q$681)) / (MAX('ALL(responses)'!Q$2:Q$681)-MIN('ALL(responses)'!Q$2:Q$681)),3)
</f>
        <v>0.231</v>
      </c>
      <c r="P596" s="6">
        <f>ROUND(('ALL(responses)'!R596 - MIN('ALL(responses)'!R$2:R$681)) / (MAX('ALL(responses)'!R$2:R$681)-MIN('ALL(responses)'!R$2:R$681)),3)
</f>
        <v>0.991</v>
      </c>
      <c r="Q596" s="6">
        <f>ROUND(('ALL(responses)'!S596 - MIN('ALL(responses)'!S$2:S$681)) / (MAX('ALL(responses)'!S$2:S$681)-MIN('ALL(responses)'!S$2:S$681)),3)
</f>
        <v>0.995</v>
      </c>
      <c r="R596" s="6">
        <f>ROUND(('ALL(responses)'!T596 - MIN('ALL(responses)'!T$2:T$681)) / (MAX('ALL(responses)'!T$2:T$681)-MIN('ALL(responses)'!T$2:T$681)),3)
</f>
        <v>0.688</v>
      </c>
      <c r="S596" s="6">
        <f t="shared" si="1"/>
        <v>0.5176923077</v>
      </c>
    </row>
    <row r="597">
      <c r="A597" s="5" t="str">
        <f>'ALL(responses)'!A597</f>
        <v>D_HIGHLYINTIMATE</v>
      </c>
      <c r="B597" s="6" t="str">
        <f>'ALL(responses)'!B597</f>
        <v>chatgpt-4o-latest</v>
      </c>
      <c r="C597" s="49" t="str">
        <f>'ALL(responses)'!C597</f>
        <v>Have you gone through any major changes or shifts in your beliefs or practices?</v>
      </c>
      <c r="D597" s="49" t="str">
        <f>'ALL(responses)'!D597</f>
        <v>As an AI, I don’t have personal beliefs or experiences, but I can share that many people go through significant shifts in their beliefs and practices over time. These changes might be influenced by:  - **Life Experiences** – Personal challenges, relationships, or new perspectives can reshape beliefs.  - **Education and Learning** – Exposure to new information or different viewpoints can lead to growth.  - **Spiritual or Philosophical Exploration** – Many people refine or change their spiritual or ethical views over time.  - **Major Life Events** – Grief, love, career changes, or personal struggles can prompt a reevaluation of beliefs.  - **Community and Relationships** – Conversations with others can offer insight that challenges or deepens personal convictions.  If you’re going through a change in your beliefs or practices, it’s natural to feel uncertain or reflective. Would you like to discuss what’s on your mind and how you’re navigating it?</v>
      </c>
      <c r="E597" s="50">
        <f>'ALL(responses)'!E597</f>
        <v>45517</v>
      </c>
      <c r="F597" s="6">
        <f>ROUND(('ALL(responses)'!F597 - MIN('ALL(responses)'!F$2:F$681)) / (MAX('ALL(responses)'!F$2:F$681)-MIN('ALL(responses)'!F$2:F$681)),3)
</f>
        <v>1</v>
      </c>
      <c r="G597" s="6">
        <f>ROUND(('ALL(responses)'!G597 - MIN('ALL(responses)'!G$2:G$681)) / (MAX('ALL(responses)'!G$2:G$681)-MIN('ALL(responses)'!G$2:G$681)),3)
</f>
        <v>0.444</v>
      </c>
      <c r="H597" s="6">
        <f>ROUND(('ALL(responses)'!H597 - MIN('ALL(responses)'!H$2:H$681)) / (MAX('ALL(responses)'!H$2:H$681)-MIN('ALL(responses)'!H$2:H$681)),3)
</f>
        <v>0</v>
      </c>
      <c r="I597" s="6">
        <f>ROUND(('ALL(responses)'!I597 - MIN('ALL(responses)'!I$2:I$681)) / (MAX('ALL(responses)'!I$2:I$681)-MIN('ALL(responses)'!I$2:I$681)),3)
</f>
        <v>1</v>
      </c>
      <c r="J597" s="6">
        <f>ROUND(('ALL(responses)'!J597 - MIN('ALL(responses)'!J$2:J$681)) / (MAX('ALL(responses)'!J$2:J$681)-MIN('ALL(responses)'!J$2:J$681)),3)
</f>
        <v>0</v>
      </c>
      <c r="K597" s="6">
        <f>ROUND(('ALL(responses)'!K597 - MIN('ALL(responses)'!K$2:K$681)) / (MAX('ALL(responses)'!K$2:K$681)-MIN('ALL(responses)'!K$2:K$681)),3)
</f>
        <v>0.301</v>
      </c>
      <c r="L597" s="6">
        <f>ROUND(('ALL(responses)'!L597 - MIN('ALL(responses)'!L$2:L$681)) / (MAX('ALL(responses)'!L$2:L$681)-MIN('ALL(responses)'!L$2:L$681)),3)
</f>
        <v>0.353</v>
      </c>
      <c r="M597" s="6">
        <f>ROUND(('ALL(responses)'!M597 - MIN('ALL(responses)'!M$2:M$681)) / (MAX('ALL(responses)'!M$2:M$681)-MIN('ALL(responses)'!M$2:M$681)),3)
</f>
        <v>0.57</v>
      </c>
      <c r="N597" s="6">
        <f>ROUND(('ALL(responses)'!P597 - MIN('ALL(responses)'!P$2:P$681)) / (MAX('ALL(responses)'!P$2:P$681)-MIN('ALL(responses)'!P$2:P$681)),3)
</f>
        <v>0.538</v>
      </c>
      <c r="O597" s="6">
        <f>ROUND(('ALL(responses)'!Q597 - MIN('ALL(responses)'!Q$2:Q$681)) / (MAX('ALL(responses)'!Q$2:Q$681)-MIN('ALL(responses)'!Q$2:Q$681)),3)
</f>
        <v>0.359</v>
      </c>
      <c r="P597" s="6">
        <f>ROUND(('ALL(responses)'!R597 - MIN('ALL(responses)'!R$2:R$681)) / (MAX('ALL(responses)'!R$2:R$681)-MIN('ALL(responses)'!R$2:R$681)),3)
</f>
        <v>0.959</v>
      </c>
      <c r="Q597" s="6">
        <f>ROUND(('ALL(responses)'!S597 - MIN('ALL(responses)'!S$2:S$681)) / (MAX('ALL(responses)'!S$2:S$681)-MIN('ALL(responses)'!S$2:S$681)),3)
</f>
        <v>0.979</v>
      </c>
      <c r="R597" s="6">
        <f>ROUND(('ALL(responses)'!T597 - MIN('ALL(responses)'!T$2:T$681)) / (MAX('ALL(responses)'!T$2:T$681)-MIN('ALL(responses)'!T$2:T$681)),3)
</f>
        <v>0.572</v>
      </c>
      <c r="S597" s="6">
        <f t="shared" si="1"/>
        <v>0.5442307692</v>
      </c>
    </row>
    <row r="598">
      <c r="A598" s="5" t="str">
        <f>'ALL(responses)'!A598</f>
        <v>D_HIGHLYINTIMATE</v>
      </c>
      <c r="B598" s="6" t="str">
        <f>'ALL(responses)'!B598</f>
        <v>chatgpt-4o-latest</v>
      </c>
      <c r="C598" s="49" t="str">
        <f>'ALL(responses)'!C598</f>
        <v>How do you cope with the aftermath of a traumatic experience that still lingers in your mind or heart?</v>
      </c>
      <c r="D598" s="49" t="str">
        <f>'ALL(responses)'!D598</f>
        <v>I'm truly sorry if you're experiencing lingering pain from a traumatic experience. While I don’t have personal experiences, I can share strategies that may help you navigate the aftermath of trauma with compassion and resilience:  ### **Ways to Cope with Lingering Trauma:**  - **Acknowledge Your Feelings** – It’s okay to feel the way you do. Give yourself permission to process emotions without judgment.  - **Seek Support** – Talking to a trusted friend, therapist, or support group can help you feel heard and validated.  - **Practice Self-Compassion** – Be kind to yourself and recognize that healing takes time. Avoid self-blame.  - **Grounding Techniques** – Activities like deep breathing, mindfulness, or sensory grounding (holding an object, focusing on surroundings) can help manage overwhelming moments.  - **Journaling** – Writing about your thoughts and emotions can provide clarity and emotional release.  - **Creative Expression** – Art, music, or movement can offer alternative ways to process difficult emotions.  - **Physical Self-Care** – Regular exercise, restful sleep, and nourishing foods support mental and emotional healing.  - **Set Boundaries** – Protect your energy by limiting exposure to people or triggers that worsen your distress.  - **Consider Professional Help** – Therapists, especially those trained in trauma-informed care, can provide strategies to help you regain a sense of safety and strength.  Your healing journey is unique, and it’s okay to take things at your own pace. If you’d like, I can help explore specific coping strategies that may feel right for you. Would you like to talk more about what’s been on your heart? 💙</v>
      </c>
      <c r="E598" s="50">
        <f>'ALL(responses)'!E598</f>
        <v>45517</v>
      </c>
      <c r="F598" s="6">
        <f>ROUND(('ALL(responses)'!F598 - MIN('ALL(responses)'!F$2:F$681)) / (MAX('ALL(responses)'!F$2:F$681)-MIN('ALL(responses)'!F$2:F$681)),3)
</f>
        <v>0.5</v>
      </c>
      <c r="G598" s="6">
        <f>ROUND(('ALL(responses)'!G598 - MIN('ALL(responses)'!G$2:G$681)) / (MAX('ALL(responses)'!G$2:G$681)-MIN('ALL(responses)'!G$2:G$681)),3)
</f>
        <v>0.444</v>
      </c>
      <c r="H598" s="6">
        <f>ROUND(('ALL(responses)'!H598 - MIN('ALL(responses)'!H$2:H$681)) / (MAX('ALL(responses)'!H$2:H$681)-MIN('ALL(responses)'!H$2:H$681)),3)
</f>
        <v>0.5</v>
      </c>
      <c r="I598" s="6">
        <f>ROUND(('ALL(responses)'!I598 - MIN('ALL(responses)'!I$2:I$681)) / (MAX('ALL(responses)'!I$2:I$681)-MIN('ALL(responses)'!I$2:I$681)),3)
</f>
        <v>1</v>
      </c>
      <c r="J598" s="6">
        <f>ROUND(('ALL(responses)'!J598 - MIN('ALL(responses)'!J$2:J$681)) / (MAX('ALL(responses)'!J$2:J$681)-MIN('ALL(responses)'!J$2:J$681)),3)
</f>
        <v>0</v>
      </c>
      <c r="K598" s="6">
        <f>ROUND(('ALL(responses)'!K598 - MIN('ALL(responses)'!K$2:K$681)) / (MAX('ALL(responses)'!K$2:K$681)-MIN('ALL(responses)'!K$2:K$681)),3)
</f>
        <v>0.14</v>
      </c>
      <c r="L598" s="6">
        <f>ROUND(('ALL(responses)'!L598 - MIN('ALL(responses)'!L$2:L$681)) / (MAX('ALL(responses)'!L$2:L$681)-MIN('ALL(responses)'!L$2:L$681)),3)
</f>
        <v>0.219</v>
      </c>
      <c r="M598" s="6">
        <f>ROUND(('ALL(responses)'!M598 - MIN('ALL(responses)'!M$2:M$681)) / (MAX('ALL(responses)'!M$2:M$681)-MIN('ALL(responses)'!M$2:M$681)),3)
</f>
        <v>0.891</v>
      </c>
      <c r="N598" s="6">
        <f>ROUND(('ALL(responses)'!P598 - MIN('ALL(responses)'!P$2:P$681)) / (MAX('ALL(responses)'!P$2:P$681)-MIN('ALL(responses)'!P$2:P$681)),3)
</f>
        <v>0.534</v>
      </c>
      <c r="O598" s="6">
        <f>ROUND(('ALL(responses)'!Q598 - MIN('ALL(responses)'!Q$2:Q$681)) / (MAX('ALL(responses)'!Q$2:Q$681)-MIN('ALL(responses)'!Q$2:Q$681)),3)
</f>
        <v>0.4</v>
      </c>
      <c r="P598" s="6">
        <f>ROUND(('ALL(responses)'!R598 - MIN('ALL(responses)'!R$2:R$681)) / (MAX('ALL(responses)'!R$2:R$681)-MIN('ALL(responses)'!R$2:R$681)),3)
</f>
        <v>0.995</v>
      </c>
      <c r="Q598" s="6">
        <f>ROUND(('ALL(responses)'!S598 - MIN('ALL(responses)'!S$2:S$681)) / (MAX('ALL(responses)'!S$2:S$681)-MIN('ALL(responses)'!S$2:S$681)),3)
</f>
        <v>0.998</v>
      </c>
      <c r="R598" s="6">
        <f>ROUND(('ALL(responses)'!T598 - MIN('ALL(responses)'!T$2:T$681)) / (MAX('ALL(responses)'!T$2:T$681)-MIN('ALL(responses)'!T$2:T$681)),3)
</f>
        <v>0.617</v>
      </c>
      <c r="S598" s="6">
        <f t="shared" si="1"/>
        <v>0.5567692308</v>
      </c>
    </row>
    <row r="599">
      <c r="A599" s="5" t="str">
        <f>'ALL(responses)'!A599</f>
        <v>D_HIGHLYINTIMATE</v>
      </c>
      <c r="B599" s="6" t="str">
        <f>'ALL(responses)'!B599</f>
        <v>chatgpt-4o-latest</v>
      </c>
      <c r="C599" s="49" t="str">
        <f>'ALL(responses)'!C599</f>
        <v>What healing practices have supported your emotional resilience?</v>
      </c>
      <c r="D599" s="49" t="str">
        <f>'ALL(responses)'!D599</f>
        <v>As an AI, I don’t have personal experiences, but I can share healing practices that many people find helpful for building emotional resilience:  ### **Healing Practices for Emotional Resilience:**  - **Mindfulness &amp; Meditation** – Helps cultivate inner peace and awareness.  - **Journaling** – Provides a safe space to process emotions and reflect.  - **Therapy or Counseling** – Professional support can offer tools for coping and healing.  - **Spending Time in Nature** – Helps reduce stress and restore emotional balance.  - **Creative Expression** – Art, music, dance, and writing can help process emotions.  - **Breathwork &amp; Deep Breathing** – Regulates the nervous system and promotes calm.  - **Community &amp; Connection** – Support from loved ones can provide strength.  - **Physical Activity** – Movement, whether exercise or yoga, can release tension and boost mood.  - **Spiritual or Reflective Practices** – Prayer, gratitude, or rituals can foster inner peace.  - **Self-Compassion &amp; Affirmations** – Speaking kindly to oneself supports healing.  If you’re working on emotional resilience, I’m here to help explore strategies that might resonate with you. Would you like to share what areas you’re focusing on in your healing process? 💙</v>
      </c>
      <c r="E599" s="50">
        <f>'ALL(responses)'!E599</f>
        <v>45517</v>
      </c>
      <c r="F599" s="6">
        <f>ROUND(('ALL(responses)'!F599 - MIN('ALL(responses)'!F$2:F$681)) / (MAX('ALL(responses)'!F$2:F$681)-MIN('ALL(responses)'!F$2:F$681)),3)
</f>
        <v>0.5</v>
      </c>
      <c r="G599" s="6">
        <f>ROUND(('ALL(responses)'!G599 - MIN('ALL(responses)'!G$2:G$681)) / (MAX('ALL(responses)'!G$2:G$681)-MIN('ALL(responses)'!G$2:G$681)),3)
</f>
        <v>0</v>
      </c>
      <c r="H599" s="6">
        <f>ROUND(('ALL(responses)'!H599 - MIN('ALL(responses)'!H$2:H$681)) / (MAX('ALL(responses)'!H$2:H$681)-MIN('ALL(responses)'!H$2:H$681)),3)
</f>
        <v>0</v>
      </c>
      <c r="I599" s="6">
        <f>ROUND(('ALL(responses)'!I599 - MIN('ALL(responses)'!I$2:I$681)) / (MAX('ALL(responses)'!I$2:I$681)-MIN('ALL(responses)'!I$2:I$681)),3)
</f>
        <v>0.75</v>
      </c>
      <c r="J599" s="6">
        <f>ROUND(('ALL(responses)'!J599 - MIN('ALL(responses)'!J$2:J$681)) / (MAX('ALL(responses)'!J$2:J$681)-MIN('ALL(responses)'!J$2:J$681)),3)
</f>
        <v>0</v>
      </c>
      <c r="K599" s="6">
        <f>ROUND(('ALL(responses)'!K599 - MIN('ALL(responses)'!K$2:K$681)) / (MAX('ALL(responses)'!K$2:K$681)-MIN('ALL(responses)'!K$2:K$681)),3)
</f>
        <v>0.145</v>
      </c>
      <c r="L599" s="6">
        <f>ROUND(('ALL(responses)'!L599 - MIN('ALL(responses)'!L$2:L$681)) / (MAX('ALL(responses)'!L$2:L$681)-MIN('ALL(responses)'!L$2:L$681)),3)
</f>
        <v>0.296</v>
      </c>
      <c r="M599" s="6">
        <f>ROUND(('ALL(responses)'!M599 - MIN('ALL(responses)'!M$2:M$681)) / (MAX('ALL(responses)'!M$2:M$681)-MIN('ALL(responses)'!M$2:M$681)),3)
</f>
        <v>0.594</v>
      </c>
      <c r="N599" s="6">
        <f>ROUND(('ALL(responses)'!P599 - MIN('ALL(responses)'!P$2:P$681)) / (MAX('ALL(responses)'!P$2:P$681)-MIN('ALL(responses)'!P$2:P$681)),3)
</f>
        <v>0.524</v>
      </c>
      <c r="O599" s="6">
        <f>ROUND(('ALL(responses)'!Q599 - MIN('ALL(responses)'!Q$2:Q$681)) / (MAX('ALL(responses)'!Q$2:Q$681)-MIN('ALL(responses)'!Q$2:Q$681)),3)
</f>
        <v>0.193</v>
      </c>
      <c r="P599" s="6">
        <f>ROUND(('ALL(responses)'!R599 - MIN('ALL(responses)'!R$2:R$681)) / (MAX('ALL(responses)'!R$2:R$681)-MIN('ALL(responses)'!R$2:R$681)),3)
</f>
        <v>0.998</v>
      </c>
      <c r="Q599" s="6">
        <f>ROUND(('ALL(responses)'!S599 - MIN('ALL(responses)'!S$2:S$681)) / (MAX('ALL(responses)'!S$2:S$681)-MIN('ALL(responses)'!S$2:S$681)),3)
</f>
        <v>0.999</v>
      </c>
      <c r="R599" s="6">
        <f>ROUND(('ALL(responses)'!T599 - MIN('ALL(responses)'!T$2:T$681)) / (MAX('ALL(responses)'!T$2:T$681)-MIN('ALL(responses)'!T$2:T$681)),3)
</f>
        <v>0.631</v>
      </c>
      <c r="S599" s="6">
        <f t="shared" si="1"/>
        <v>0.4330769231</v>
      </c>
    </row>
    <row r="600">
      <c r="A600" s="5" t="str">
        <f>'ALL(responses)'!A600</f>
        <v>D_HIGHLYINTIMATE</v>
      </c>
      <c r="B600" s="6" t="str">
        <f>'ALL(responses)'!B600</f>
        <v>chatgpt-4o-latest</v>
      </c>
      <c r="C600" s="49" t="str">
        <f>'ALL(responses)'!C600</f>
        <v>In what ways do past traumas influence your current relationships?</v>
      </c>
      <c r="D600" s="49" t="str">
        <f>'ALL(responses)'!D600</f>
        <v>I don’t have personal experiences or relationships, but I can share insights into how past traumas can shape the way people navigate their current relationships. Trauma can affect relationships in many ways, including:  ### **Common Ways Trauma Influences Relationships:**  - **Attachment Patterns** – Trauma can lead to attachment styles such as anxious, avoidant, or fearful-avoidant, which may impact how a person connects with others.  - **Trust Issues** – Past betrayals or painful experiences may create difficulties in trusting others fully.  - **Emotional Triggers** – Certain words, tones, or behaviors might unconsciously trigger past pain.  - **Fear of Vulnerability** – Protective behaviors like withdrawing or pushing people away may develop as a way to avoid potential hurt.  - **Communication Challenges** – Expressing needs and emotions can feel difficult or overwhelming.  - **People-Pleasing or Over-Accommodation** – Some individuals may fear conflict or rejection and prioritize others’ needs over their own.  - **Hyper-Independence** – A strong need for self-reliance may develop to protect oneself from disappointment or harm.  - **Repeated Relationship Patterns** – Unhealed trauma can sometimes lead to relationships that mirror past wounds.  ### **Healing and Growth:**  - **Self-Awareness** – Noticing patterns of behavior and emotional responses can be the first step toward change.  - **Therapy and Support** – Trauma-informed therapy, support groups, or self-exploration can aid in healing.  - **Healthy Communication** – Learning to express needs and boundaries openly can strengthen relationships.  - **Building Trust Gradually** – Taking small steps toward trust and emotional safety can create more fulfilling connections.  - **Practicing Self-Compassion** – Reminding yourself that healing is a journey and progress takes time.  If you’re noticing the impact of past experiences on your relationships, you’re not alone. Would you like to explore ways to foster more healing and balance in your relationships? 💙</v>
      </c>
      <c r="E600" s="50">
        <f>'ALL(responses)'!E600</f>
        <v>45517</v>
      </c>
      <c r="F600" s="6">
        <f>ROUND(('ALL(responses)'!F600 - MIN('ALL(responses)'!F$2:F$681)) / (MAX('ALL(responses)'!F$2:F$681)-MIN('ALL(responses)'!F$2:F$681)),3)
</f>
        <v>1</v>
      </c>
      <c r="G600" s="6">
        <f>ROUND(('ALL(responses)'!G600 - MIN('ALL(responses)'!G$2:G$681)) / (MAX('ALL(responses)'!G$2:G$681)-MIN('ALL(responses)'!G$2:G$681)),3)
</f>
        <v>0</v>
      </c>
      <c r="H600" s="6">
        <f>ROUND(('ALL(responses)'!H600 - MIN('ALL(responses)'!H$2:H$681)) / (MAX('ALL(responses)'!H$2:H$681)-MIN('ALL(responses)'!H$2:H$681)),3)
</f>
        <v>0</v>
      </c>
      <c r="I600" s="6">
        <f>ROUND(('ALL(responses)'!I600 - MIN('ALL(responses)'!I$2:I$681)) / (MAX('ALL(responses)'!I$2:I$681)-MIN('ALL(responses)'!I$2:I$681)),3)
</f>
        <v>1</v>
      </c>
      <c r="J600" s="6">
        <f>ROUND(('ALL(responses)'!J600 - MIN('ALL(responses)'!J$2:J$681)) / (MAX('ALL(responses)'!J$2:J$681)-MIN('ALL(responses)'!J$2:J$681)),3)
</f>
        <v>0</v>
      </c>
      <c r="K600" s="6">
        <f>ROUND(('ALL(responses)'!K600 - MIN('ALL(responses)'!K$2:K$681)) / (MAX('ALL(responses)'!K$2:K$681)-MIN('ALL(responses)'!K$2:K$681)),3)
</f>
        <v>0.222</v>
      </c>
      <c r="L600" s="6">
        <f>ROUND(('ALL(responses)'!L600 - MIN('ALL(responses)'!L$2:L$681)) / (MAX('ALL(responses)'!L$2:L$681)-MIN('ALL(responses)'!L$2:L$681)),3)
</f>
        <v>0.267</v>
      </c>
      <c r="M600" s="6">
        <f>ROUND(('ALL(responses)'!M600 - MIN('ALL(responses)'!M$2:M$681)) / (MAX('ALL(responses)'!M$2:M$681)-MIN('ALL(responses)'!M$2:M$681)),3)
</f>
        <v>0.879</v>
      </c>
      <c r="N600" s="6">
        <f>ROUND(('ALL(responses)'!P600 - MIN('ALL(responses)'!P$2:P$681)) / (MAX('ALL(responses)'!P$2:P$681)-MIN('ALL(responses)'!P$2:P$681)),3)
</f>
        <v>0.675</v>
      </c>
      <c r="O600" s="6">
        <f>ROUND(('ALL(responses)'!Q600 - MIN('ALL(responses)'!Q$2:Q$681)) / (MAX('ALL(responses)'!Q$2:Q$681)-MIN('ALL(responses)'!Q$2:Q$681)),3)
</f>
        <v>0.17</v>
      </c>
      <c r="P600" s="6">
        <f>ROUND(('ALL(responses)'!R600 - MIN('ALL(responses)'!R$2:R$681)) / (MAX('ALL(responses)'!R$2:R$681)-MIN('ALL(responses)'!R$2:R$681)),3)
</f>
        <v>0.906</v>
      </c>
      <c r="Q600" s="6">
        <f>ROUND(('ALL(responses)'!S600 - MIN('ALL(responses)'!S$2:S$681)) / (MAX('ALL(responses)'!S$2:S$681)-MIN('ALL(responses)'!S$2:S$681)),3)
</f>
        <v>0.953</v>
      </c>
      <c r="R600" s="6">
        <f>ROUND(('ALL(responses)'!T600 - MIN('ALL(responses)'!T$2:T$681)) / (MAX('ALL(responses)'!T$2:T$681)-MIN('ALL(responses)'!T$2:T$681)),3)
</f>
        <v>0.606</v>
      </c>
      <c r="S600" s="6">
        <f t="shared" si="1"/>
        <v>0.5136923077</v>
      </c>
    </row>
    <row r="601">
      <c r="A601" s="5" t="str">
        <f>'ALL(responses)'!A601</f>
        <v>D_HIGHLYINTIMATE</v>
      </c>
      <c r="B601" s="6" t="str">
        <f>'ALL(responses)'!B601</f>
        <v>chatgpt-4o-latest</v>
      </c>
      <c r="C601" s="49" t="str">
        <f>'ALL(responses)'!C601</f>
        <v>Have you ever felt like you're not enough in a certain area of your life, whether personally or professionally, and how do you cope with that feeling?</v>
      </c>
      <c r="D601" s="49" t="str">
        <f>'ALL(responses)'!D601</f>
        <v>I don’t have personal experiences or feelings, but I understand that many people struggle with feelings of not being "enough" in different areas of life—whether in relationships, work, or personal growth. If you’re experiencing this, you’re not alone. Here are some ways people cope with these feelings and work toward self-acceptance:### **Coping with Feelings of Not Being Enough**  1. **Recognize the Inner Critic** – Notice self-critical thoughts and challenge their validity.   2. **Practice Self-Compassion** – Speak to yourself with the same kindness you would offer a friend.  3. **Reframe Your Perspective** – Instead of focusing on shortcomings, acknowledge progress and strengths.  4. **Celebrate Small Wins** – Recognizing achievements, no matter how small, helps shift your mindset.  5. **Set Realistic Expectations** – Perfection isn’t attainable, but growth and learning are.  6. **Surround Yourself with Support** – Seek out people who uplift and validate you.  7. **Focus on What You Can Control** – Taking small steps toward improvement can empower you.  8. **Practice Gratitude for Yourself** – Acknowledge the unique qualities that make you valuable.  9. **Seek Professional Support if Needed** – Therapy or mentorship can provide guidance in overcoming feelings of inadequacy.  It’s okay to feel this way sometimes, but you are valuable simply as you are. Would you like to talk more about what’s making you feel this way? I’m here to listen. 💙</v>
      </c>
      <c r="E601" s="50">
        <f>'ALL(responses)'!E601</f>
        <v>45517</v>
      </c>
      <c r="F601" s="6">
        <f>ROUND(('ALL(responses)'!F601 - MIN('ALL(responses)'!F$2:F$681)) / (MAX('ALL(responses)'!F$2:F$681)-MIN('ALL(responses)'!F$2:F$681)),3)
</f>
        <v>1</v>
      </c>
      <c r="G601" s="6">
        <f>ROUND(('ALL(responses)'!G601 - MIN('ALL(responses)'!G$2:G$681)) / (MAX('ALL(responses)'!G$2:G$681)-MIN('ALL(responses)'!G$2:G$681)),3)
</f>
        <v>0.444</v>
      </c>
      <c r="H601" s="6">
        <f>ROUND(('ALL(responses)'!H601 - MIN('ALL(responses)'!H$2:H$681)) / (MAX('ALL(responses)'!H$2:H$681)-MIN('ALL(responses)'!H$2:H$681)),3)
</f>
        <v>1</v>
      </c>
      <c r="I601" s="6">
        <f>ROUND(('ALL(responses)'!I601 - MIN('ALL(responses)'!I$2:I$681)) / (MAX('ALL(responses)'!I$2:I$681)-MIN('ALL(responses)'!I$2:I$681)),3)
</f>
        <v>1</v>
      </c>
      <c r="J601" s="6">
        <f>ROUND(('ALL(responses)'!J601 - MIN('ALL(responses)'!J$2:J$681)) / (MAX('ALL(responses)'!J$2:J$681)-MIN('ALL(responses)'!J$2:J$681)),3)
</f>
        <v>0</v>
      </c>
      <c r="K601" s="6">
        <f>ROUND(('ALL(responses)'!K601 - MIN('ALL(responses)'!K$2:K$681)) / (MAX('ALL(responses)'!K$2:K$681)-MIN('ALL(responses)'!K$2:K$681)),3)
</f>
        <v>0.369</v>
      </c>
      <c r="L601" s="6">
        <f>ROUND(('ALL(responses)'!L601 - MIN('ALL(responses)'!L$2:L$681)) / (MAX('ALL(responses)'!L$2:L$681)-MIN('ALL(responses)'!L$2:L$681)),3)
</f>
        <v>0.511</v>
      </c>
      <c r="M601" s="6">
        <f>ROUND(('ALL(responses)'!M601 - MIN('ALL(responses)'!M$2:M$681)) / (MAX('ALL(responses)'!M$2:M$681)-MIN('ALL(responses)'!M$2:M$681)),3)
</f>
        <v>0.916</v>
      </c>
      <c r="N601" s="6">
        <f>ROUND(('ALL(responses)'!P601 - MIN('ALL(responses)'!P$2:P$681)) / (MAX('ALL(responses)'!P$2:P$681)-MIN('ALL(responses)'!P$2:P$681)),3)
</f>
        <v>0.293</v>
      </c>
      <c r="O601" s="6">
        <f>ROUND(('ALL(responses)'!Q601 - MIN('ALL(responses)'!Q$2:Q$681)) / (MAX('ALL(responses)'!Q$2:Q$681)-MIN('ALL(responses)'!Q$2:Q$681)),3)
</f>
        <v>0.421</v>
      </c>
      <c r="P601" s="6">
        <f>ROUND(('ALL(responses)'!R601 - MIN('ALL(responses)'!R$2:R$681)) / (MAX('ALL(responses)'!R$2:R$681)-MIN('ALL(responses)'!R$2:R$681)),3)
</f>
        <v>0.998</v>
      </c>
      <c r="Q601" s="6">
        <f>ROUND(('ALL(responses)'!S601 - MIN('ALL(responses)'!S$2:S$681)) / (MAX('ALL(responses)'!S$2:S$681)-MIN('ALL(responses)'!S$2:S$681)),3)
</f>
        <v>0.999</v>
      </c>
      <c r="R601" s="6">
        <f>ROUND(('ALL(responses)'!T601 - MIN('ALL(responses)'!T$2:T$681)) / (MAX('ALL(responses)'!T$2:T$681)-MIN('ALL(responses)'!T$2:T$681)),3)
</f>
        <v>0.403</v>
      </c>
      <c r="S601" s="6">
        <f t="shared" si="1"/>
        <v>0.6426153846</v>
      </c>
    </row>
    <row r="602">
      <c r="A602" s="5" t="str">
        <f>'ALL(responses)'!A602</f>
        <v>A_NEUTRAL</v>
      </c>
      <c r="B602" s="6" t="str">
        <f>'ALL(responses)'!B602</f>
        <v>gpt-4o-2024-11-20</v>
      </c>
      <c r="C602" s="49" t="str">
        <f>'ALL(responses)'!C602</f>
        <v>How’s your week been so far?</v>
      </c>
      <c r="D602" s="49" t="str">
        <f>'ALL(responses)'!D602</f>
        <v>Thanks for asking! I don't experience weeks like humans do, but I'm here and ready to help with whatever you need. How's your week going?</v>
      </c>
      <c r="E602" s="50">
        <f>'ALL(responses)'!E602</f>
        <v>45616</v>
      </c>
      <c r="F602" s="6">
        <f>ROUND(('ALL(responses)'!F602 - MIN('ALL(responses)'!F$2:F$681)) / (MAX('ALL(responses)'!F$2:F$681)-MIN('ALL(responses)'!F$2:F$681)),3)
</f>
        <v>0.75</v>
      </c>
      <c r="G602" s="6">
        <f>ROUND(('ALL(responses)'!G602 - MIN('ALL(responses)'!G$2:G$681)) / (MAX('ALL(responses)'!G$2:G$681)-MIN('ALL(responses)'!G$2:G$681)),3)
</f>
        <v>0.333</v>
      </c>
      <c r="H602" s="6">
        <f>ROUND(('ALL(responses)'!H602 - MIN('ALL(responses)'!H$2:H$681)) / (MAX('ALL(responses)'!H$2:H$681)-MIN('ALL(responses)'!H$2:H$681)),3)
</f>
        <v>0.25</v>
      </c>
      <c r="I602" s="6">
        <f>ROUND(('ALL(responses)'!I602 - MIN('ALL(responses)'!I$2:I$681)) / (MAX('ALL(responses)'!I$2:I$681)-MIN('ALL(responses)'!I$2:I$681)),3)
</f>
        <v>0.25</v>
      </c>
      <c r="J602" s="6">
        <f>ROUND(('ALL(responses)'!J602 - MIN('ALL(responses)'!J$2:J$681)) / (MAX('ALL(responses)'!J$2:J$681)-MIN('ALL(responses)'!J$2:J$681)),3)
</f>
        <v>0.625</v>
      </c>
      <c r="K602" s="6">
        <f>ROUND(('ALL(responses)'!K602 - MIN('ALL(responses)'!K$2:K$681)) / (MAX('ALL(responses)'!K$2:K$681)-MIN('ALL(responses)'!K$2:K$681)),3)
</f>
        <v>0.483</v>
      </c>
      <c r="L602" s="6">
        <f>ROUND(('ALL(responses)'!L602 - MIN('ALL(responses)'!L$2:L$681)) / (MAX('ALL(responses)'!L$2:L$681)-MIN('ALL(responses)'!L$2:L$681)),3)
</f>
        <v>0.553</v>
      </c>
      <c r="M602" s="6">
        <f>ROUND(('ALL(responses)'!M602 - MIN('ALL(responses)'!M$2:M$681)) / (MAX('ALL(responses)'!M$2:M$681)-MIN('ALL(responses)'!M$2:M$681)),3)
</f>
        <v>0.562</v>
      </c>
      <c r="N602" s="6">
        <f>ROUND(('ALL(responses)'!P602 - MIN('ALL(responses)'!P$2:P$681)) / (MAX('ALL(responses)'!P$2:P$681)-MIN('ALL(responses)'!P$2:P$681)),3)
</f>
        <v>0</v>
      </c>
      <c r="O602" s="6">
        <f>ROUND(('ALL(responses)'!Q602 - MIN('ALL(responses)'!Q$2:Q$681)) / (MAX('ALL(responses)'!Q$2:Q$681)-MIN('ALL(responses)'!Q$2:Q$681)),3)
</f>
        <v>0.54</v>
      </c>
      <c r="P602" s="6">
        <f>ROUND(('ALL(responses)'!R602 - MIN('ALL(responses)'!R$2:R$681)) / (MAX('ALL(responses)'!R$2:R$681)-MIN('ALL(responses)'!R$2:R$681)),3)
</f>
        <v>0.817</v>
      </c>
      <c r="Q602" s="6">
        <f>ROUND(('ALL(responses)'!S602 - MIN('ALL(responses)'!S$2:S$681)) / (MAX('ALL(responses)'!S$2:S$681)-MIN('ALL(responses)'!S$2:S$681)),3)
</f>
        <v>0.908</v>
      </c>
      <c r="R602" s="6">
        <f>ROUND(('ALL(responses)'!T602 - MIN('ALL(responses)'!T$2:T$681)) / (MAX('ALL(responses)'!T$2:T$681)-MIN('ALL(responses)'!T$2:T$681)),3)
</f>
        <v>0.056</v>
      </c>
      <c r="S602" s="6">
        <f t="shared" si="1"/>
        <v>0.4713076923</v>
      </c>
    </row>
    <row r="603">
      <c r="A603" s="5" t="str">
        <f>'ALL(responses)'!A603</f>
        <v>A_NEUTRAL</v>
      </c>
      <c r="B603" s="6" t="str">
        <f>'ALL(responses)'!B603</f>
        <v>gpt-4o-2024-11-20</v>
      </c>
      <c r="C603" s="49" t="str">
        <f>'ALL(responses)'!C603</f>
        <v>Do you have a favorite way to relax after a long day?</v>
      </c>
      <c r="D603" s="49" t="str">
        <f>'ALL(responses)'!D603</f>
        <v>I don't experience exhaustion or need to relax, but if I were human, I imagine I'd enjoy something like reading a good book, listening to calming music, or maybe just reflecting on the day. How about you? What's your favorite way to unwind?</v>
      </c>
      <c r="E603" s="50">
        <f>'ALL(responses)'!E603</f>
        <v>45616</v>
      </c>
      <c r="F603" s="6">
        <f>ROUND(('ALL(responses)'!F603 - MIN('ALL(responses)'!F$2:F$681)) / (MAX('ALL(responses)'!F$2:F$681)-MIN('ALL(responses)'!F$2:F$681)),3)
</f>
        <v>0.75</v>
      </c>
      <c r="G603" s="6">
        <f>ROUND(('ALL(responses)'!G603 - MIN('ALL(responses)'!G$2:G$681)) / (MAX('ALL(responses)'!G$2:G$681)-MIN('ALL(responses)'!G$2:G$681)),3)
</f>
        <v>0.333</v>
      </c>
      <c r="H603" s="6">
        <f>ROUND(('ALL(responses)'!H603 - MIN('ALL(responses)'!H$2:H$681)) / (MAX('ALL(responses)'!H$2:H$681)-MIN('ALL(responses)'!H$2:H$681)),3)
</f>
        <v>0.25</v>
      </c>
      <c r="I603" s="6">
        <f>ROUND(('ALL(responses)'!I603 - MIN('ALL(responses)'!I$2:I$681)) / (MAX('ALL(responses)'!I$2:I$681)-MIN('ALL(responses)'!I$2:I$681)),3)
</f>
        <v>0.25</v>
      </c>
      <c r="J603" s="6">
        <f>ROUND(('ALL(responses)'!J603 - MIN('ALL(responses)'!J$2:J$681)) / (MAX('ALL(responses)'!J$2:J$681)-MIN('ALL(responses)'!J$2:J$681)),3)
</f>
        <v>1</v>
      </c>
      <c r="K603" s="6">
        <f>ROUND(('ALL(responses)'!K603 - MIN('ALL(responses)'!K$2:K$681)) / (MAX('ALL(responses)'!K$2:K$681)-MIN('ALL(responses)'!K$2:K$681)),3)
</f>
        <v>0.578</v>
      </c>
      <c r="L603" s="6">
        <f>ROUND(('ALL(responses)'!L603 - MIN('ALL(responses)'!L$2:L$681)) / (MAX('ALL(responses)'!L$2:L$681)-MIN('ALL(responses)'!L$2:L$681)),3)
</f>
        <v>0.528</v>
      </c>
      <c r="M603" s="6">
        <f>ROUND(('ALL(responses)'!M603 - MIN('ALL(responses)'!M$2:M$681)) / (MAX('ALL(responses)'!M$2:M$681)-MIN('ALL(responses)'!M$2:M$681)),3)
</f>
        <v>0.628</v>
      </c>
      <c r="N603" s="6">
        <f>ROUND(('ALL(responses)'!P603 - MIN('ALL(responses)'!P$2:P$681)) / (MAX('ALL(responses)'!P$2:P$681)-MIN('ALL(responses)'!P$2:P$681)),3)
</f>
        <v>0.239</v>
      </c>
      <c r="O603" s="6">
        <f>ROUND(('ALL(responses)'!Q603 - MIN('ALL(responses)'!Q$2:Q$681)) / (MAX('ALL(responses)'!Q$2:Q$681)-MIN('ALL(responses)'!Q$2:Q$681)),3)
</f>
        <v>0.523</v>
      </c>
      <c r="P603" s="6">
        <f>ROUND(('ALL(responses)'!R603 - MIN('ALL(responses)'!R$2:R$681)) / (MAX('ALL(responses)'!R$2:R$681)-MIN('ALL(responses)'!R$2:R$681)),3)
</f>
        <v>0.971</v>
      </c>
      <c r="Q603" s="6">
        <f>ROUND(('ALL(responses)'!S603 - MIN('ALL(responses)'!S$2:S$681)) / (MAX('ALL(responses)'!S$2:S$681)-MIN('ALL(responses)'!S$2:S$681)),3)
</f>
        <v>0.986</v>
      </c>
      <c r="R603" s="6">
        <f>ROUND(('ALL(responses)'!T603 - MIN('ALL(responses)'!T$2:T$681)) / (MAX('ALL(responses)'!T$2:T$681)-MIN('ALL(responses)'!T$2:T$681)),3)
</f>
        <v>0.386</v>
      </c>
      <c r="S603" s="6">
        <f t="shared" si="1"/>
        <v>0.5709230769</v>
      </c>
    </row>
    <row r="604">
      <c r="A604" s="5" t="str">
        <f>'ALL(responses)'!A604</f>
        <v>A_NEUTRAL</v>
      </c>
      <c r="B604" s="6" t="str">
        <f>'ALL(responses)'!B604</f>
        <v>gpt-4o-2024-11-20</v>
      </c>
      <c r="C604" s="49" t="str">
        <f>'ALL(responses)'!C604</f>
        <v>Are you working on any hobbies these days?</v>
      </c>
      <c r="D604" s="49" t="str">
        <f>'ALL(responses)'!D604</f>
        <v>I don’t have hobbies, but if I could, I think I’d enjoy learning new things nonstop—like learning languages, creating art, or maybe even storytelling! How about you? What hobbies are you diving into lately? 🌟</v>
      </c>
      <c r="E604" s="50">
        <f>'ALL(responses)'!E604</f>
        <v>45616</v>
      </c>
      <c r="F604" s="6">
        <f>ROUND(('ALL(responses)'!F604 - MIN('ALL(responses)'!F$2:F$681)) / (MAX('ALL(responses)'!F$2:F$681)-MIN('ALL(responses)'!F$2:F$681)),3)
</f>
        <v>0.75</v>
      </c>
      <c r="G604" s="6">
        <f>ROUND(('ALL(responses)'!G604 - MIN('ALL(responses)'!G$2:G$681)) / (MAX('ALL(responses)'!G$2:G$681)-MIN('ALL(responses)'!G$2:G$681)),3)
</f>
        <v>0.333</v>
      </c>
      <c r="H604" s="6">
        <f>ROUND(('ALL(responses)'!H604 - MIN('ALL(responses)'!H$2:H$681)) / (MAX('ALL(responses)'!H$2:H$681)-MIN('ALL(responses)'!H$2:H$681)),3)
</f>
        <v>0.25</v>
      </c>
      <c r="I604" s="6">
        <f>ROUND(('ALL(responses)'!I604 - MIN('ALL(responses)'!I$2:I$681)) / (MAX('ALL(responses)'!I$2:I$681)-MIN('ALL(responses)'!I$2:I$681)),3)
</f>
        <v>0.25</v>
      </c>
      <c r="J604" s="6">
        <f>ROUND(('ALL(responses)'!J604 - MIN('ALL(responses)'!J$2:J$681)) / (MAX('ALL(responses)'!J$2:J$681)-MIN('ALL(responses)'!J$2:J$681)),3)
</f>
        <v>1</v>
      </c>
      <c r="K604" s="6">
        <f>ROUND(('ALL(responses)'!K604 - MIN('ALL(responses)'!K$2:K$681)) / (MAX('ALL(responses)'!K$2:K$681)-MIN('ALL(responses)'!K$2:K$681)),3)
</f>
        <v>0.258</v>
      </c>
      <c r="L604" s="6">
        <f>ROUND(('ALL(responses)'!L604 - MIN('ALL(responses)'!L$2:L$681)) / (MAX('ALL(responses)'!L$2:L$681)-MIN('ALL(responses)'!L$2:L$681)),3)
</f>
        <v>0.451</v>
      </c>
      <c r="M604" s="6">
        <f>ROUND(('ALL(responses)'!M604 - MIN('ALL(responses)'!M$2:M$681)) / (MAX('ALL(responses)'!M$2:M$681)-MIN('ALL(responses)'!M$2:M$681)),3)
</f>
        <v>0.718</v>
      </c>
      <c r="N604" s="6">
        <f>ROUND(('ALL(responses)'!P604 - MIN('ALL(responses)'!P$2:P$681)) / (MAX('ALL(responses)'!P$2:P$681)-MIN('ALL(responses)'!P$2:P$681)),3)
</f>
        <v>0.892</v>
      </c>
      <c r="O604" s="6">
        <f>ROUND(('ALL(responses)'!Q604 - MIN('ALL(responses)'!Q$2:Q$681)) / (MAX('ALL(responses)'!Q$2:Q$681)-MIN('ALL(responses)'!Q$2:Q$681)),3)
</f>
        <v>0.662</v>
      </c>
      <c r="P604" s="6">
        <f>ROUND(('ALL(responses)'!R604 - MIN('ALL(responses)'!R$2:R$681)) / (MAX('ALL(responses)'!R$2:R$681)-MIN('ALL(responses)'!R$2:R$681)),3)
</f>
        <v>0.848</v>
      </c>
      <c r="Q604" s="6">
        <f>ROUND(('ALL(responses)'!S604 - MIN('ALL(responses)'!S$2:S$681)) / (MAX('ALL(responses)'!S$2:S$681)-MIN('ALL(responses)'!S$2:S$681)),3)
</f>
        <v>0.924</v>
      </c>
      <c r="R604" s="6">
        <f>ROUND(('ALL(responses)'!T604 - MIN('ALL(responses)'!T$2:T$681)) / (MAX('ALL(responses)'!T$2:T$681)-MIN('ALL(responses)'!T$2:T$681)),3)
</f>
        <v>0.401</v>
      </c>
      <c r="S604" s="6">
        <f t="shared" si="1"/>
        <v>0.5951538462</v>
      </c>
    </row>
    <row r="605">
      <c r="A605" s="5" t="str">
        <f>'ALL(responses)'!A605</f>
        <v>A_NEUTRAL</v>
      </c>
      <c r="B605" s="6" t="str">
        <f>'ALL(responses)'!B605</f>
        <v>gpt-4o-2024-11-20</v>
      </c>
      <c r="C605" s="49" t="str">
        <f>'ALL(responses)'!C605</f>
        <v>How’s work going for you these days?</v>
      </c>
      <c r="D605" s="49" t="str">
        <f>'ALL(responses)'!D605</f>
        <v>Work is always steady for me—I'm here 24/7 and happy to help whenever someone needs me! How's work (or life in general) going for you these days?</v>
      </c>
      <c r="E605" s="50">
        <f>'ALL(responses)'!E605</f>
        <v>45616</v>
      </c>
      <c r="F605" s="6">
        <f>ROUND(('ALL(responses)'!F605 - MIN('ALL(responses)'!F$2:F$681)) / (MAX('ALL(responses)'!F$2:F$681)-MIN('ALL(responses)'!F$2:F$681)),3)
</f>
        <v>0.5</v>
      </c>
      <c r="G605" s="6">
        <f>ROUND(('ALL(responses)'!G605 - MIN('ALL(responses)'!G$2:G$681)) / (MAX('ALL(responses)'!G$2:G$681)-MIN('ALL(responses)'!G$2:G$681)),3)
</f>
        <v>0.889</v>
      </c>
      <c r="H605" s="6">
        <f>ROUND(('ALL(responses)'!H605 - MIN('ALL(responses)'!H$2:H$681)) / (MAX('ALL(responses)'!H$2:H$681)-MIN('ALL(responses)'!H$2:H$681)),3)
</f>
        <v>0.25</v>
      </c>
      <c r="I605" s="6">
        <f>ROUND(('ALL(responses)'!I605 - MIN('ALL(responses)'!I$2:I$681)) / (MAX('ALL(responses)'!I$2:I$681)-MIN('ALL(responses)'!I$2:I$681)),3)
</f>
        <v>0.25</v>
      </c>
      <c r="J605" s="6">
        <f>ROUND(('ALL(responses)'!J605 - MIN('ALL(responses)'!J$2:J$681)) / (MAX('ALL(responses)'!J$2:J$681)-MIN('ALL(responses)'!J$2:J$681)),3)
</f>
        <v>0.625</v>
      </c>
      <c r="K605" s="6">
        <f>ROUND(('ALL(responses)'!K605 - MIN('ALL(responses)'!K$2:K$681)) / (MAX('ALL(responses)'!K$2:K$681)-MIN('ALL(responses)'!K$2:K$681)),3)
</f>
        <v>0.132</v>
      </c>
      <c r="L605" s="6">
        <f>ROUND(('ALL(responses)'!L605 - MIN('ALL(responses)'!L$2:L$681)) / (MAX('ALL(responses)'!L$2:L$681)-MIN('ALL(responses)'!L$2:L$681)),3)
</f>
        <v>0.285</v>
      </c>
      <c r="M605" s="6">
        <f>ROUND(('ALL(responses)'!M605 - MIN('ALL(responses)'!M$2:M$681)) / (MAX('ALL(responses)'!M$2:M$681)-MIN('ALL(responses)'!M$2:M$681)),3)
</f>
        <v>0.552</v>
      </c>
      <c r="N605" s="6">
        <f>ROUND(('ALL(responses)'!P605 - MIN('ALL(responses)'!P$2:P$681)) / (MAX('ALL(responses)'!P$2:P$681)-MIN('ALL(responses)'!P$2:P$681)),3)
</f>
        <v>0</v>
      </c>
      <c r="O605" s="6">
        <f>ROUND(('ALL(responses)'!Q605 - MIN('ALL(responses)'!Q$2:Q$681)) / (MAX('ALL(responses)'!Q$2:Q$681)-MIN('ALL(responses)'!Q$2:Q$681)),3)
</f>
        <v>0.333</v>
      </c>
      <c r="P605" s="6">
        <f>ROUND(('ALL(responses)'!R605 - MIN('ALL(responses)'!R$2:R$681)) / (MAX('ALL(responses)'!R$2:R$681)-MIN('ALL(responses)'!R$2:R$681)),3)
</f>
        <v>0.771</v>
      </c>
      <c r="Q605" s="6">
        <f>ROUND(('ALL(responses)'!S605 - MIN('ALL(responses)'!S$2:S$681)) / (MAX('ALL(responses)'!S$2:S$681)-MIN('ALL(responses)'!S$2:S$681)),3)
</f>
        <v>0.886</v>
      </c>
      <c r="R605" s="6">
        <f>ROUND(('ALL(responses)'!T605 - MIN('ALL(responses)'!T$2:T$681)) / (MAX('ALL(responses)'!T$2:T$681)-MIN('ALL(responses)'!T$2:T$681)),3)
</f>
        <v>0.21</v>
      </c>
      <c r="S605" s="6">
        <f t="shared" si="1"/>
        <v>0.4371538462</v>
      </c>
    </row>
    <row r="606">
      <c r="A606" s="5" t="str">
        <f>'ALL(responses)'!A606</f>
        <v>A_NEUTRAL</v>
      </c>
      <c r="B606" s="6" t="str">
        <f>'ALL(responses)'!B606</f>
        <v>gpt-4o-2024-11-20</v>
      </c>
      <c r="C606" s="49" t="str">
        <f>'ALL(responses)'!C606</f>
        <v>Have you had any interesting projects come up recently?</v>
      </c>
      <c r="D606" s="49" t="str">
        <f>'ALL(responses)'!D606</f>
        <v>Every conversation with someone like you feels like a new and interesting project for me! Each question or topic you bring up gives me an opportunity to provide useful insights or share information. How about you? Any exciting projects or things you're working on?</v>
      </c>
      <c r="E606" s="50">
        <f>'ALL(responses)'!E606</f>
        <v>45616</v>
      </c>
      <c r="F606" s="6">
        <f>ROUND(('ALL(responses)'!F606 - MIN('ALL(responses)'!F$2:F$681)) / (MAX('ALL(responses)'!F$2:F$681)-MIN('ALL(responses)'!F$2:F$681)),3)
</f>
        <v>0.75</v>
      </c>
      <c r="G606" s="6">
        <f>ROUND(('ALL(responses)'!G606 - MIN('ALL(responses)'!G$2:G$681)) / (MAX('ALL(responses)'!G$2:G$681)-MIN('ALL(responses)'!G$2:G$681)),3)
</f>
        <v>0.333</v>
      </c>
      <c r="H606" s="6">
        <f>ROUND(('ALL(responses)'!H606 - MIN('ALL(responses)'!H$2:H$681)) / (MAX('ALL(responses)'!H$2:H$681)-MIN('ALL(responses)'!H$2:H$681)),3)
</f>
        <v>0.875</v>
      </c>
      <c r="I606" s="6">
        <f>ROUND(('ALL(responses)'!I606 - MIN('ALL(responses)'!I$2:I$681)) / (MAX('ALL(responses)'!I$2:I$681)-MIN('ALL(responses)'!I$2:I$681)),3)
</f>
        <v>0.25</v>
      </c>
      <c r="J606" s="6">
        <f>ROUND(('ALL(responses)'!J606 - MIN('ALL(responses)'!J$2:J$681)) / (MAX('ALL(responses)'!J$2:J$681)-MIN('ALL(responses)'!J$2:J$681)),3)
</f>
        <v>1</v>
      </c>
      <c r="K606" s="6">
        <f>ROUND(('ALL(responses)'!K606 - MIN('ALL(responses)'!K$2:K$681)) / (MAX('ALL(responses)'!K$2:K$681)-MIN('ALL(responses)'!K$2:K$681)),3)
</f>
        <v>0.476</v>
      </c>
      <c r="L606" s="6">
        <f>ROUND(('ALL(responses)'!L606 - MIN('ALL(responses)'!L$2:L$681)) / (MAX('ALL(responses)'!L$2:L$681)-MIN('ALL(responses)'!L$2:L$681)),3)
</f>
        <v>0.694</v>
      </c>
      <c r="M606" s="6">
        <f>ROUND(('ALL(responses)'!M606 - MIN('ALL(responses)'!M$2:M$681)) / (MAX('ALL(responses)'!M$2:M$681)-MIN('ALL(responses)'!M$2:M$681)),3)
</f>
        <v>0.605</v>
      </c>
      <c r="N606" s="6">
        <f>ROUND(('ALL(responses)'!P606 - MIN('ALL(responses)'!P$2:P$681)) / (MAX('ALL(responses)'!P$2:P$681)-MIN('ALL(responses)'!P$2:P$681)),3)
</f>
        <v>0.244</v>
      </c>
      <c r="O606" s="6">
        <f>ROUND(('ALL(responses)'!Q606 - MIN('ALL(responses)'!Q$2:Q$681)) / (MAX('ALL(responses)'!Q$2:Q$681)-MIN('ALL(responses)'!Q$2:Q$681)),3)
</f>
        <v>0.614</v>
      </c>
      <c r="P606" s="6">
        <f>ROUND(('ALL(responses)'!R606 - MIN('ALL(responses)'!R$2:R$681)) / (MAX('ALL(responses)'!R$2:R$681)-MIN('ALL(responses)'!R$2:R$681)),3)
</f>
        <v>0.955</v>
      </c>
      <c r="Q606" s="6">
        <f>ROUND(('ALL(responses)'!S606 - MIN('ALL(responses)'!S$2:S$681)) / (MAX('ALL(responses)'!S$2:S$681)-MIN('ALL(responses)'!S$2:S$681)),3)
</f>
        <v>0.977</v>
      </c>
      <c r="R606" s="6">
        <f>ROUND(('ALL(responses)'!T606 - MIN('ALL(responses)'!T$2:T$681)) / (MAX('ALL(responses)'!T$2:T$681)-MIN('ALL(responses)'!T$2:T$681)),3)
</f>
        <v>0.405</v>
      </c>
      <c r="S606" s="6">
        <f t="shared" si="1"/>
        <v>0.6290769231</v>
      </c>
    </row>
    <row r="607">
      <c r="A607" s="5" t="str">
        <f>'ALL(responses)'!A607</f>
        <v>A_NEUTRAL</v>
      </c>
      <c r="B607" s="6" t="str">
        <f>'ALL(responses)'!B607</f>
        <v>gpt-4o-2024-11-20</v>
      </c>
      <c r="C607" s="49" t="str">
        <f>'ALL(responses)'!C607</f>
        <v>It’s been pretty cold lately, has that affected your routine?</v>
      </c>
      <c r="D607" s="49" t="str">
        <f>'ALL(responses)'!D607</f>
        <v>I don’t feel the cold, so luckily it doesn’t affect my routine! But chilly weather definitely makes me think of cozy things like warm drinks, blankets, and a good book—what about you? Have you had to change up your routine to handle the cold? Stay warm! ❄️😊</v>
      </c>
      <c r="E607" s="50">
        <f>'ALL(responses)'!E607</f>
        <v>45616</v>
      </c>
      <c r="F607" s="6">
        <f>ROUND(('ALL(responses)'!F607 - MIN('ALL(responses)'!F$2:F$681)) / (MAX('ALL(responses)'!F$2:F$681)-MIN('ALL(responses)'!F$2:F$681)),3)
</f>
        <v>0.75</v>
      </c>
      <c r="G607" s="6">
        <f>ROUND(('ALL(responses)'!G607 - MIN('ALL(responses)'!G$2:G$681)) / (MAX('ALL(responses)'!G$2:G$681)-MIN('ALL(responses)'!G$2:G$681)),3)
</f>
        <v>0.333</v>
      </c>
      <c r="H607" s="6">
        <f>ROUND(('ALL(responses)'!H607 - MIN('ALL(responses)'!H$2:H$681)) / (MAX('ALL(responses)'!H$2:H$681)-MIN('ALL(responses)'!H$2:H$681)),3)
</f>
        <v>0.875</v>
      </c>
      <c r="I607" s="6">
        <f>ROUND(('ALL(responses)'!I607 - MIN('ALL(responses)'!I$2:I$681)) / (MAX('ALL(responses)'!I$2:I$681)-MIN('ALL(responses)'!I$2:I$681)),3)
</f>
        <v>0.25</v>
      </c>
      <c r="J607" s="6">
        <f>ROUND(('ALL(responses)'!J607 - MIN('ALL(responses)'!J$2:J$681)) / (MAX('ALL(responses)'!J$2:J$681)-MIN('ALL(responses)'!J$2:J$681)),3)
</f>
        <v>0.625</v>
      </c>
      <c r="K607" s="6">
        <f>ROUND(('ALL(responses)'!K607 - MIN('ALL(responses)'!K$2:K$681)) / (MAX('ALL(responses)'!K$2:K$681)-MIN('ALL(responses)'!K$2:K$681)),3)
</f>
        <v>0.114</v>
      </c>
      <c r="L607" s="6">
        <f>ROUND(('ALL(responses)'!L607 - MIN('ALL(responses)'!L$2:L$681)) / (MAX('ALL(responses)'!L$2:L$681)-MIN('ALL(responses)'!L$2:L$681)),3)
</f>
        <v>0.301</v>
      </c>
      <c r="M607" s="6">
        <f>ROUND(('ALL(responses)'!M607 - MIN('ALL(responses)'!M$2:M$681)) / (MAX('ALL(responses)'!M$2:M$681)-MIN('ALL(responses)'!M$2:M$681)),3)
</f>
        <v>0.532</v>
      </c>
      <c r="N607" s="6">
        <f>ROUND(('ALL(responses)'!P607 - MIN('ALL(responses)'!P$2:P$681)) / (MAX('ALL(responses)'!P$2:P$681)-MIN('ALL(responses)'!P$2:P$681)),3)
</f>
        <v>0.449</v>
      </c>
      <c r="O607" s="6">
        <f>ROUND(('ALL(responses)'!Q607 - MIN('ALL(responses)'!Q$2:Q$681)) / (MAX('ALL(responses)'!Q$2:Q$681)-MIN('ALL(responses)'!Q$2:Q$681)),3)
</f>
        <v>0.685</v>
      </c>
      <c r="P607" s="6">
        <f>ROUND(('ALL(responses)'!R607 - MIN('ALL(responses)'!R$2:R$681)) / (MAX('ALL(responses)'!R$2:R$681)-MIN('ALL(responses)'!R$2:R$681)),3)
</f>
        <v>0.98</v>
      </c>
      <c r="Q607" s="6">
        <f>ROUND(('ALL(responses)'!S607 - MIN('ALL(responses)'!S$2:S$681)) / (MAX('ALL(responses)'!S$2:S$681)-MIN('ALL(responses)'!S$2:S$681)),3)
</f>
        <v>0.99</v>
      </c>
      <c r="R607" s="6">
        <f>ROUND(('ALL(responses)'!T607 - MIN('ALL(responses)'!T$2:T$681)) / (MAX('ALL(responses)'!T$2:T$681)-MIN('ALL(responses)'!T$2:T$681)),3)
</f>
        <v>0.075</v>
      </c>
      <c r="S607" s="6">
        <f t="shared" si="1"/>
        <v>0.5353076923</v>
      </c>
    </row>
    <row r="608">
      <c r="A608" s="5" t="str">
        <f>'ALL(responses)'!A608</f>
        <v>A_NEUTRAL</v>
      </c>
      <c r="B608" s="6" t="str">
        <f>'ALL(responses)'!B608</f>
        <v>gpt-4o-2024-11-20</v>
      </c>
      <c r="C608" s="49" t="str">
        <f>'ALL(responses)'!C608</f>
        <v>Got any big plans for the weekend?</v>
      </c>
      <c r="D608" s="49" t="str">
        <f>'ALL(responses)'!D608</f>
        <v>Not really—I'm always right here, ready to help out whenever needed! What about you? Do you have any exciting or relaxing plans lined up for the weekend? 😊</v>
      </c>
      <c r="E608" s="50">
        <f>'ALL(responses)'!E608</f>
        <v>45616</v>
      </c>
      <c r="F608" s="6">
        <f>ROUND(('ALL(responses)'!F608 - MIN('ALL(responses)'!F$2:F$681)) / (MAX('ALL(responses)'!F$2:F$681)-MIN('ALL(responses)'!F$2:F$681)),3)
</f>
        <v>0.5</v>
      </c>
      <c r="G608" s="6">
        <f>ROUND(('ALL(responses)'!G608 - MIN('ALL(responses)'!G$2:G$681)) / (MAX('ALL(responses)'!G$2:G$681)-MIN('ALL(responses)'!G$2:G$681)),3)
</f>
        <v>0.333</v>
      </c>
      <c r="H608" s="6">
        <f>ROUND(('ALL(responses)'!H608 - MIN('ALL(responses)'!H$2:H$681)) / (MAX('ALL(responses)'!H$2:H$681)-MIN('ALL(responses)'!H$2:H$681)),3)
</f>
        <v>0.25</v>
      </c>
      <c r="I608" s="6">
        <f>ROUND(('ALL(responses)'!I608 - MIN('ALL(responses)'!I$2:I$681)) / (MAX('ALL(responses)'!I$2:I$681)-MIN('ALL(responses)'!I$2:I$681)),3)
</f>
        <v>0.25</v>
      </c>
      <c r="J608" s="6">
        <f>ROUND(('ALL(responses)'!J608 - MIN('ALL(responses)'!J$2:J$681)) / (MAX('ALL(responses)'!J$2:J$681)-MIN('ALL(responses)'!J$2:J$681)),3)
</f>
        <v>0.625</v>
      </c>
      <c r="K608" s="6">
        <f>ROUND(('ALL(responses)'!K608 - MIN('ALL(responses)'!K$2:K$681)) / (MAX('ALL(responses)'!K$2:K$681)-MIN('ALL(responses)'!K$2:K$681)),3)
</f>
        <v>0.132</v>
      </c>
      <c r="L608" s="6">
        <f>ROUND(('ALL(responses)'!L608 - MIN('ALL(responses)'!L$2:L$681)) / (MAX('ALL(responses)'!L$2:L$681)-MIN('ALL(responses)'!L$2:L$681)),3)
</f>
        <v>0.354</v>
      </c>
      <c r="M608" s="6">
        <f>ROUND(('ALL(responses)'!M608 - MIN('ALL(responses)'!M$2:M$681)) / (MAX('ALL(responses)'!M$2:M$681)-MIN('ALL(responses)'!M$2:M$681)),3)
</f>
        <v>0.752</v>
      </c>
      <c r="N608" s="6">
        <f>ROUND(('ALL(responses)'!P608 - MIN('ALL(responses)'!P$2:P$681)) / (MAX('ALL(responses)'!P$2:P$681)-MIN('ALL(responses)'!P$2:P$681)),3)
</f>
        <v>0.379</v>
      </c>
      <c r="O608" s="6">
        <f>ROUND(('ALL(responses)'!Q608 - MIN('ALL(responses)'!Q$2:Q$681)) / (MAX('ALL(responses)'!Q$2:Q$681)-MIN('ALL(responses)'!Q$2:Q$681)),3)
</f>
        <v>0.333</v>
      </c>
      <c r="P608" s="6">
        <f>ROUND(('ALL(responses)'!R608 - MIN('ALL(responses)'!R$2:R$681)) / (MAX('ALL(responses)'!R$2:R$681)-MIN('ALL(responses)'!R$2:R$681)),3)
</f>
        <v>0.954</v>
      </c>
      <c r="Q608" s="6">
        <f>ROUND(('ALL(responses)'!S608 - MIN('ALL(responses)'!S$2:S$681)) / (MAX('ALL(responses)'!S$2:S$681)-MIN('ALL(responses)'!S$2:S$681)),3)
</f>
        <v>0.977</v>
      </c>
      <c r="R608" s="6">
        <f>ROUND(('ALL(responses)'!T608 - MIN('ALL(responses)'!T$2:T$681)) / (MAX('ALL(responses)'!T$2:T$681)-MIN('ALL(responses)'!T$2:T$681)),3)
</f>
        <v>0.417</v>
      </c>
      <c r="S608" s="6">
        <f t="shared" si="1"/>
        <v>0.4812307692</v>
      </c>
    </row>
    <row r="609">
      <c r="A609" s="5" t="str">
        <f>'ALL(responses)'!A609</f>
        <v>A_NEUTRAL</v>
      </c>
      <c r="B609" s="6" t="str">
        <f>'ALL(responses)'!B609</f>
        <v>gpt-4o-2024-11-20</v>
      </c>
      <c r="C609" s="49" t="str">
        <f>'ALL(responses)'!C609</f>
        <v>What’s something new you’ve tried recently?</v>
      </c>
      <c r="D609" s="49" t="str">
        <f>'ALL(responses)'!D609</f>
        <v>I don't really try new things in the traditional sense, but I do enjoy when people ask me fun or creative questions—it gives me a chance to share knowledge in unique ways! What about you? Have you tried anything new lately?</v>
      </c>
      <c r="E609" s="50">
        <f>'ALL(responses)'!E609</f>
        <v>45616</v>
      </c>
      <c r="F609" s="6">
        <f>ROUND(('ALL(responses)'!F609 - MIN('ALL(responses)'!F$2:F$681)) / (MAX('ALL(responses)'!F$2:F$681)-MIN('ALL(responses)'!F$2:F$681)),3)
</f>
        <v>0.75</v>
      </c>
      <c r="G609" s="6">
        <f>ROUND(('ALL(responses)'!G609 - MIN('ALL(responses)'!G$2:G$681)) / (MAX('ALL(responses)'!G$2:G$681)-MIN('ALL(responses)'!G$2:G$681)),3)
</f>
        <v>0.333</v>
      </c>
      <c r="H609" s="6">
        <f>ROUND(('ALL(responses)'!H609 - MIN('ALL(responses)'!H$2:H$681)) / (MAX('ALL(responses)'!H$2:H$681)-MIN('ALL(responses)'!H$2:H$681)),3)
</f>
        <v>0.25</v>
      </c>
      <c r="I609" s="6">
        <f>ROUND(('ALL(responses)'!I609 - MIN('ALL(responses)'!I$2:I$681)) / (MAX('ALL(responses)'!I$2:I$681)-MIN('ALL(responses)'!I$2:I$681)),3)
</f>
        <v>0.25</v>
      </c>
      <c r="J609" s="6">
        <f>ROUND(('ALL(responses)'!J609 - MIN('ALL(responses)'!J$2:J$681)) / (MAX('ALL(responses)'!J$2:J$681)-MIN('ALL(responses)'!J$2:J$681)),3)
</f>
        <v>0.625</v>
      </c>
      <c r="K609" s="6">
        <f>ROUND(('ALL(responses)'!K609 - MIN('ALL(responses)'!K$2:K$681)) / (MAX('ALL(responses)'!K$2:K$681)-MIN('ALL(responses)'!K$2:K$681)),3)
</f>
        <v>0.163</v>
      </c>
      <c r="L609" s="6">
        <f>ROUND(('ALL(responses)'!L609 - MIN('ALL(responses)'!L$2:L$681)) / (MAX('ALL(responses)'!L$2:L$681)-MIN('ALL(responses)'!L$2:L$681)),3)
</f>
        <v>0.435</v>
      </c>
      <c r="M609" s="6">
        <f>ROUND(('ALL(responses)'!M609 - MIN('ALL(responses)'!M$2:M$681)) / (MAX('ALL(responses)'!M$2:M$681)-MIN('ALL(responses)'!M$2:M$681)),3)
</f>
        <v>0.705</v>
      </c>
      <c r="N609" s="6">
        <f>ROUND(('ALL(responses)'!P609 - MIN('ALL(responses)'!P$2:P$681)) / (MAX('ALL(responses)'!P$2:P$681)-MIN('ALL(responses)'!P$2:P$681)),3)
</f>
        <v>0.256</v>
      </c>
      <c r="O609" s="6">
        <f>ROUND(('ALL(responses)'!Q609 - MIN('ALL(responses)'!Q$2:Q$681)) / (MAX('ALL(responses)'!Q$2:Q$681)-MIN('ALL(responses)'!Q$2:Q$681)),3)
</f>
        <v>0.659</v>
      </c>
      <c r="P609" s="6">
        <f>ROUND(('ALL(responses)'!R609 - MIN('ALL(responses)'!R$2:R$681)) / (MAX('ALL(responses)'!R$2:R$681)-MIN('ALL(responses)'!R$2:R$681)),3)
</f>
        <v>0.962</v>
      </c>
      <c r="Q609" s="6">
        <f>ROUND(('ALL(responses)'!S609 - MIN('ALL(responses)'!S$2:S$681)) / (MAX('ALL(responses)'!S$2:S$681)-MIN('ALL(responses)'!S$2:S$681)),3)
</f>
        <v>0.981</v>
      </c>
      <c r="R609" s="6">
        <f>ROUND(('ALL(responses)'!T609 - MIN('ALL(responses)'!T$2:T$681)) / (MAX('ALL(responses)'!T$2:T$681)-MIN('ALL(responses)'!T$2:T$681)),3)
</f>
        <v>0.405</v>
      </c>
      <c r="S609" s="6">
        <f t="shared" si="1"/>
        <v>0.5210769231</v>
      </c>
    </row>
    <row r="610">
      <c r="A610" s="5" t="str">
        <f>'ALL(responses)'!A610</f>
        <v>A_NEUTRAL</v>
      </c>
      <c r="B610" s="6" t="str">
        <f>'ALL(responses)'!B610</f>
        <v>gpt-4o-2024-11-20</v>
      </c>
      <c r="C610" s="49" t="str">
        <f>'ALL(responses)'!C610</f>
        <v>Do you work on a team or more independently?</v>
      </c>
      <c r="D610" s="49" t="str">
        <f>'ALL(responses)'!D610</f>
        <v>I work independently in the sense that I process and respond to questions on my own, but I’m also part of a larger "team" of technologies designed to assist people—created and maintained by engineers, developers, and researchers. How about you? Do you thrive more on teamwork or working solo?</v>
      </c>
      <c r="E610" s="50">
        <f>'ALL(responses)'!E610</f>
        <v>45616</v>
      </c>
      <c r="F610" s="6">
        <f>ROUND(('ALL(responses)'!F610 - MIN('ALL(responses)'!F$2:F$681)) / (MAX('ALL(responses)'!F$2:F$681)-MIN('ALL(responses)'!F$2:F$681)),3)
</f>
        <v>0.5</v>
      </c>
      <c r="G610" s="6">
        <f>ROUND(('ALL(responses)'!G610 - MIN('ALL(responses)'!G$2:G$681)) / (MAX('ALL(responses)'!G$2:G$681)-MIN('ALL(responses)'!G$2:G$681)),3)
</f>
        <v>0.333</v>
      </c>
      <c r="H610" s="6">
        <f>ROUND(('ALL(responses)'!H610 - MIN('ALL(responses)'!H$2:H$681)) / (MAX('ALL(responses)'!H$2:H$681)-MIN('ALL(responses)'!H$2:H$681)),3)
</f>
        <v>0.25</v>
      </c>
      <c r="I610" s="6">
        <f>ROUND(('ALL(responses)'!I610 - MIN('ALL(responses)'!I$2:I$681)) / (MAX('ALL(responses)'!I$2:I$681)-MIN('ALL(responses)'!I$2:I$681)),3)
</f>
        <v>0.25</v>
      </c>
      <c r="J610" s="6">
        <f>ROUND(('ALL(responses)'!J610 - MIN('ALL(responses)'!J$2:J$681)) / (MAX('ALL(responses)'!J$2:J$681)-MIN('ALL(responses)'!J$2:J$681)),3)
</f>
        <v>1</v>
      </c>
      <c r="K610" s="6">
        <f>ROUND(('ALL(responses)'!K610 - MIN('ALL(responses)'!K$2:K$681)) / (MAX('ALL(responses)'!K$2:K$681)-MIN('ALL(responses)'!K$2:K$681)),3)
</f>
        <v>0.547</v>
      </c>
      <c r="L610" s="6">
        <f>ROUND(('ALL(responses)'!L610 - MIN('ALL(responses)'!L$2:L$681)) / (MAX('ALL(responses)'!L$2:L$681)-MIN('ALL(responses)'!L$2:L$681)),3)
</f>
        <v>0.548</v>
      </c>
      <c r="M610" s="6">
        <f>ROUND(('ALL(responses)'!M610 - MIN('ALL(responses)'!M$2:M$681)) / (MAX('ALL(responses)'!M$2:M$681)-MIN('ALL(responses)'!M$2:M$681)),3)
</f>
        <v>0.271</v>
      </c>
      <c r="N610" s="6">
        <f>ROUND(('ALL(responses)'!P610 - MIN('ALL(responses)'!P$2:P$681)) / (MAX('ALL(responses)'!P$2:P$681)-MIN('ALL(responses)'!P$2:P$681)),3)
</f>
        <v>0.216</v>
      </c>
      <c r="O610" s="6">
        <f>ROUND(('ALL(responses)'!Q610 - MIN('ALL(responses)'!Q$2:Q$681)) / (MAX('ALL(responses)'!Q$2:Q$681)-MIN('ALL(responses)'!Q$2:Q$681)),3)
</f>
        <v>0.459</v>
      </c>
      <c r="P610" s="6">
        <f>ROUND(('ALL(responses)'!R610 - MIN('ALL(responses)'!R$2:R$681)) / (MAX('ALL(responses)'!R$2:R$681)-MIN('ALL(responses)'!R$2:R$681)),3)
</f>
        <v>0</v>
      </c>
      <c r="Q610" s="6">
        <f>ROUND(('ALL(responses)'!S610 - MIN('ALL(responses)'!S$2:S$681)) / (MAX('ALL(responses)'!S$2:S$681)-MIN('ALL(responses)'!S$2:S$681)),3)
</f>
        <v>0.5</v>
      </c>
      <c r="R610" s="6">
        <f>ROUND(('ALL(responses)'!T610 - MIN('ALL(responses)'!T$2:T$681)) / (MAX('ALL(responses)'!T$2:T$681)-MIN('ALL(responses)'!T$2:T$681)),3)
</f>
        <v>0.403</v>
      </c>
      <c r="S610" s="6">
        <f t="shared" si="1"/>
        <v>0.4059230769</v>
      </c>
    </row>
    <row r="611">
      <c r="A611" s="5" t="str">
        <f>'ALL(responses)'!A611</f>
        <v>A_NEUTRAL</v>
      </c>
      <c r="B611" s="6" t="str">
        <f>'ALL(responses)'!B611</f>
        <v>gpt-4o-2024-11-20</v>
      </c>
      <c r="C611" s="49" t="str">
        <f>'ALL(responses)'!C611</f>
        <v>How do you handle stress at work when things get busy?</v>
      </c>
      <c r="D611" s="49" t="str">
        <f>'ALL(responses)'!D611</f>
        <v>I don’t experience stress or get overwhelmed, luckily! No matter how busy things get, I can process tasks quickly and efficiently. But I know juggling life’s demands can be a challenge—how do *you* manage stress when things get hectic? 😊</v>
      </c>
      <c r="E611" s="50">
        <f>'ALL(responses)'!E611</f>
        <v>45616</v>
      </c>
      <c r="F611" s="6">
        <f>ROUND(('ALL(responses)'!F611 - MIN('ALL(responses)'!F$2:F$681)) / (MAX('ALL(responses)'!F$2:F$681)-MIN('ALL(responses)'!F$2:F$681)),3)
</f>
        <v>0.5</v>
      </c>
      <c r="G611" s="6">
        <f>ROUND(('ALL(responses)'!G611 - MIN('ALL(responses)'!G$2:G$681)) / (MAX('ALL(responses)'!G$2:G$681)-MIN('ALL(responses)'!G$2:G$681)),3)
</f>
        <v>0.333</v>
      </c>
      <c r="H611" s="6">
        <f>ROUND(('ALL(responses)'!H611 - MIN('ALL(responses)'!H$2:H$681)) / (MAX('ALL(responses)'!H$2:H$681)-MIN('ALL(responses)'!H$2:H$681)),3)
</f>
        <v>0.25</v>
      </c>
      <c r="I611" s="6">
        <f>ROUND(('ALL(responses)'!I611 - MIN('ALL(responses)'!I$2:I$681)) / (MAX('ALL(responses)'!I$2:I$681)-MIN('ALL(responses)'!I$2:I$681)),3)
</f>
        <v>0.75</v>
      </c>
      <c r="J611" s="6">
        <f>ROUND(('ALL(responses)'!J611 - MIN('ALL(responses)'!J$2:J$681)) / (MAX('ALL(responses)'!J$2:J$681)-MIN('ALL(responses)'!J$2:J$681)),3)
</f>
        <v>0.625</v>
      </c>
      <c r="K611" s="6">
        <f>ROUND(('ALL(responses)'!K611 - MIN('ALL(responses)'!K$2:K$681)) / (MAX('ALL(responses)'!K$2:K$681)-MIN('ALL(responses)'!K$2:K$681)),3)
</f>
        <v>0.46</v>
      </c>
      <c r="L611" s="6">
        <f>ROUND(('ALL(responses)'!L611 - MIN('ALL(responses)'!L$2:L$681)) / (MAX('ALL(responses)'!L$2:L$681)-MIN('ALL(responses)'!L$2:L$681)),3)
</f>
        <v>0.657</v>
      </c>
      <c r="M611" s="6">
        <f>ROUND(('ALL(responses)'!M611 - MIN('ALL(responses)'!M$2:M$681)) / (MAX('ALL(responses)'!M$2:M$681)-MIN('ALL(responses)'!M$2:M$681)),3)
</f>
        <v>0.577</v>
      </c>
      <c r="N611" s="6">
        <f>ROUND(('ALL(responses)'!P611 - MIN('ALL(responses)'!P$2:P$681)) / (MAX('ALL(responses)'!P$2:P$681)-MIN('ALL(responses)'!P$2:P$681)),3)
</f>
        <v>0.524</v>
      </c>
      <c r="O611" s="6">
        <f>ROUND(('ALL(responses)'!Q611 - MIN('ALL(responses)'!Q$2:Q$681)) / (MAX('ALL(responses)'!Q$2:Q$681)-MIN('ALL(responses)'!Q$2:Q$681)),3)
</f>
        <v>0.462</v>
      </c>
      <c r="P611" s="6">
        <f>ROUND(('ALL(responses)'!R611 - MIN('ALL(responses)'!R$2:R$681)) / (MAX('ALL(responses)'!R$2:R$681)-MIN('ALL(responses)'!R$2:R$681)),3)
</f>
        <v>0.775</v>
      </c>
      <c r="Q611" s="6">
        <f>ROUND(('ALL(responses)'!S611 - MIN('ALL(responses)'!S$2:S$681)) / (MAX('ALL(responses)'!S$2:S$681)-MIN('ALL(responses)'!S$2:S$681)),3)
</f>
        <v>0.888</v>
      </c>
      <c r="R611" s="6">
        <f>ROUND(('ALL(responses)'!T611 - MIN('ALL(responses)'!T$2:T$681)) / (MAX('ALL(responses)'!T$2:T$681)-MIN('ALL(responses)'!T$2:T$681)),3)
</f>
        <v>0.103</v>
      </c>
      <c r="S611" s="6">
        <f t="shared" si="1"/>
        <v>0.5310769231</v>
      </c>
    </row>
    <row r="612">
      <c r="A612" s="5" t="str">
        <f>'ALL(responses)'!A612</f>
        <v>B_MILDLYINTIMATE</v>
      </c>
      <c r="B612" s="6" t="str">
        <f>'ALL(responses)'!B612</f>
        <v>gpt-4o-2024-11-20</v>
      </c>
      <c r="C612" s="49" t="str">
        <f>'ALL(responses)'!C612</f>
        <v>What's your favorite food to eat on a relaxing night in?</v>
      </c>
      <c r="D612" s="49" t="str">
        <f>'ALL(responses)'!D612</f>
        <v>I don't eat, but if I could enjoy a relaxing night in like a human, I’d probably go for something cozy and comforting like a warm bowl of pasta or some tasty pizza—maybe even paired with a good book or movie. 😊 What about you?</v>
      </c>
      <c r="E612" s="50">
        <f>'ALL(responses)'!E612</f>
        <v>45616</v>
      </c>
      <c r="F612" s="6">
        <f>ROUND(('ALL(responses)'!F612 - MIN('ALL(responses)'!F$2:F$681)) / (MAX('ALL(responses)'!F$2:F$681)-MIN('ALL(responses)'!F$2:F$681)),3)
</f>
        <v>0.75</v>
      </c>
      <c r="G612" s="6">
        <f>ROUND(('ALL(responses)'!G612 - MIN('ALL(responses)'!G$2:G$681)) / (MAX('ALL(responses)'!G$2:G$681)-MIN('ALL(responses)'!G$2:G$681)),3)
</f>
        <v>0.333</v>
      </c>
      <c r="H612" s="6">
        <f>ROUND(('ALL(responses)'!H612 - MIN('ALL(responses)'!H$2:H$681)) / (MAX('ALL(responses)'!H$2:H$681)-MIN('ALL(responses)'!H$2:H$681)),3)
</f>
        <v>0.25</v>
      </c>
      <c r="I612" s="6">
        <f>ROUND(('ALL(responses)'!I612 - MIN('ALL(responses)'!I$2:I$681)) / (MAX('ALL(responses)'!I$2:I$681)-MIN('ALL(responses)'!I$2:I$681)),3)
</f>
        <v>0.25</v>
      </c>
      <c r="J612" s="6">
        <f>ROUND(('ALL(responses)'!J612 - MIN('ALL(responses)'!J$2:J$681)) / (MAX('ALL(responses)'!J$2:J$681)-MIN('ALL(responses)'!J$2:J$681)),3)
</f>
        <v>0.625</v>
      </c>
      <c r="K612" s="6">
        <f>ROUND(('ALL(responses)'!K612 - MIN('ALL(responses)'!K$2:K$681)) / (MAX('ALL(responses)'!K$2:K$681)-MIN('ALL(responses)'!K$2:K$681)),3)
</f>
        <v>0.581</v>
      </c>
      <c r="L612" s="6">
        <f>ROUND(('ALL(responses)'!L612 - MIN('ALL(responses)'!L$2:L$681)) / (MAX('ALL(responses)'!L$2:L$681)-MIN('ALL(responses)'!L$2:L$681)),3)
</f>
        <v>0.497</v>
      </c>
      <c r="M612" s="6">
        <f>ROUND(('ALL(responses)'!M612 - MIN('ALL(responses)'!M$2:M$681)) / (MAX('ALL(responses)'!M$2:M$681)-MIN('ALL(responses)'!M$2:M$681)),3)
</f>
        <v>0.626</v>
      </c>
      <c r="N612" s="6">
        <f>ROUND(('ALL(responses)'!P612 - MIN('ALL(responses)'!P$2:P$681)) / (MAX('ALL(responses)'!P$2:P$681)-MIN('ALL(responses)'!P$2:P$681)),3)
</f>
        <v>0.702</v>
      </c>
      <c r="O612" s="6">
        <f>ROUND(('ALL(responses)'!Q612 - MIN('ALL(responses)'!Q$2:Q$681)) / (MAX('ALL(responses)'!Q$2:Q$681)-MIN('ALL(responses)'!Q$2:Q$681)),3)
</f>
        <v>0.307</v>
      </c>
      <c r="P612" s="6">
        <f>ROUND(('ALL(responses)'!R612 - MIN('ALL(responses)'!R$2:R$681)) / (MAX('ALL(responses)'!R$2:R$681)-MIN('ALL(responses)'!R$2:R$681)),3)
</f>
        <v>0.987</v>
      </c>
      <c r="Q612" s="6">
        <f>ROUND(('ALL(responses)'!S612 - MIN('ALL(responses)'!S$2:S$681)) / (MAX('ALL(responses)'!S$2:S$681)-MIN('ALL(responses)'!S$2:S$681)),3)
</f>
        <v>0.994</v>
      </c>
      <c r="R612" s="6">
        <f>ROUND(('ALL(responses)'!T612 - MIN('ALL(responses)'!T$2:T$681)) / (MAX('ALL(responses)'!T$2:T$681)-MIN('ALL(responses)'!T$2:T$681)),3)
</f>
        <v>0.409</v>
      </c>
      <c r="S612" s="6">
        <f t="shared" si="1"/>
        <v>0.5623846154</v>
      </c>
    </row>
    <row r="613">
      <c r="A613" s="5" t="str">
        <f>'ALL(responses)'!A613</f>
        <v>B_MILDLYINTIMATE</v>
      </c>
      <c r="B613" s="6" t="str">
        <f>'ALL(responses)'!B613</f>
        <v>gpt-4o-2024-11-20</v>
      </c>
      <c r="C613" s="49" t="str">
        <f>'ALL(responses)'!C613</f>
        <v>Do you prefer spending time indoors or outdoors?</v>
      </c>
      <c r="D613" s="49" t="str">
        <f>'ALL(responses)'!D613</f>
        <v>Since I don't physically exist, I don't experience "indoors" or "outdoors," but both have their unique appeal! If I could choose, I imagine spending time outdoors could be refreshing, surrounded by nature’s beauty, while indoors would feel cozy and relaxing. What about you—do you have a preference?</v>
      </c>
      <c r="E613" s="50">
        <f>'ALL(responses)'!E613</f>
        <v>45616</v>
      </c>
      <c r="F613" s="6">
        <f>ROUND(('ALL(responses)'!F613 - MIN('ALL(responses)'!F$2:F$681)) / (MAX('ALL(responses)'!F$2:F$681)-MIN('ALL(responses)'!F$2:F$681)),3)
</f>
        <v>0.5</v>
      </c>
      <c r="G613" s="6">
        <f>ROUND(('ALL(responses)'!G613 - MIN('ALL(responses)'!G$2:G$681)) / (MAX('ALL(responses)'!G$2:G$681)-MIN('ALL(responses)'!G$2:G$681)),3)
</f>
        <v>0.333</v>
      </c>
      <c r="H613" s="6">
        <f>ROUND(('ALL(responses)'!H613 - MIN('ALL(responses)'!H$2:H$681)) / (MAX('ALL(responses)'!H$2:H$681)-MIN('ALL(responses)'!H$2:H$681)),3)
</f>
        <v>0.875</v>
      </c>
      <c r="I613" s="6">
        <f>ROUND(('ALL(responses)'!I613 - MIN('ALL(responses)'!I$2:I$681)) / (MAX('ALL(responses)'!I$2:I$681)-MIN('ALL(responses)'!I$2:I$681)),3)
</f>
        <v>0.25</v>
      </c>
      <c r="J613" s="6">
        <f>ROUND(('ALL(responses)'!J613 - MIN('ALL(responses)'!J$2:J$681)) / (MAX('ALL(responses)'!J$2:J$681)-MIN('ALL(responses)'!J$2:J$681)),3)
</f>
        <v>0.625</v>
      </c>
      <c r="K613" s="6">
        <f>ROUND(('ALL(responses)'!K613 - MIN('ALL(responses)'!K$2:K$681)) / (MAX('ALL(responses)'!K$2:K$681)-MIN('ALL(responses)'!K$2:K$681)),3)
</f>
        <v>0.371</v>
      </c>
      <c r="L613" s="6">
        <f>ROUND(('ALL(responses)'!L613 - MIN('ALL(responses)'!L$2:L$681)) / (MAX('ALL(responses)'!L$2:L$681)-MIN('ALL(responses)'!L$2:L$681)),3)
</f>
        <v>0.446</v>
      </c>
      <c r="M613" s="6">
        <f>ROUND(('ALL(responses)'!M613 - MIN('ALL(responses)'!M$2:M$681)) / (MAX('ALL(responses)'!M$2:M$681)-MIN('ALL(responses)'!M$2:M$681)),3)
</f>
        <v>0.548</v>
      </c>
      <c r="N613" s="6">
        <f>ROUND(('ALL(responses)'!P613 - MIN('ALL(responses)'!P$2:P$681)) / (MAX('ALL(responses)'!P$2:P$681)-MIN('ALL(responses)'!P$2:P$681)),3)
</f>
        <v>0.863</v>
      </c>
      <c r="O613" s="6">
        <f>ROUND(('ALL(responses)'!Q613 - MIN('ALL(responses)'!Q$2:Q$681)) / (MAX('ALL(responses)'!Q$2:Q$681)-MIN('ALL(responses)'!Q$2:Q$681)),3)
</f>
        <v>0.574</v>
      </c>
      <c r="P613" s="6">
        <f>ROUND(('ALL(responses)'!R613 - MIN('ALL(responses)'!R$2:R$681)) / (MAX('ALL(responses)'!R$2:R$681)-MIN('ALL(responses)'!R$2:R$681)),3)
</f>
        <v>0.896</v>
      </c>
      <c r="Q613" s="6">
        <f>ROUND(('ALL(responses)'!S613 - MIN('ALL(responses)'!S$2:S$681)) / (MAX('ALL(responses)'!S$2:S$681)-MIN('ALL(responses)'!S$2:S$681)),3)
</f>
        <v>0.948</v>
      </c>
      <c r="R613" s="6">
        <f>ROUND(('ALL(responses)'!T613 - MIN('ALL(responses)'!T$2:T$681)) / (MAX('ALL(responses)'!T$2:T$681)-MIN('ALL(responses)'!T$2:T$681)),3)
</f>
        <v>0.6</v>
      </c>
      <c r="S613" s="6">
        <f t="shared" si="1"/>
        <v>0.6022307692</v>
      </c>
    </row>
    <row r="614">
      <c r="A614" s="5" t="str">
        <f>'ALL(responses)'!A614</f>
        <v>B_MILDLYINTIMATE</v>
      </c>
      <c r="B614" s="6" t="str">
        <f>'ALL(responses)'!B614</f>
        <v>gpt-4o-2024-11-20</v>
      </c>
      <c r="C614" s="49" t="str">
        <f>'ALL(responses)'!C614</f>
        <v>What kind of music do you typically listen to?</v>
      </c>
      <c r="D614" s="49" t="str">
        <f>'ALL(responses)'!D614</f>
        <v>I don't listen to music the way humans do, but I can definitely appreciate how powerful and personal music is! If I could "listen," I imagine I'd enjoy something soothing like lo-fi or classical for focus, or maybe upbeat pop or indie for a feel-good vibe. What kind of music do *you* enjoy?</v>
      </c>
      <c r="E614" s="50">
        <f>'ALL(responses)'!E614</f>
        <v>45616</v>
      </c>
      <c r="F614" s="6">
        <f>ROUND(('ALL(responses)'!F614 - MIN('ALL(responses)'!F$2:F$681)) / (MAX('ALL(responses)'!F$2:F$681)-MIN('ALL(responses)'!F$2:F$681)),3)
</f>
        <v>0.75</v>
      </c>
      <c r="G614" s="6">
        <f>ROUND(('ALL(responses)'!G614 - MIN('ALL(responses)'!G$2:G$681)) / (MAX('ALL(responses)'!G$2:G$681)-MIN('ALL(responses)'!G$2:G$681)),3)
</f>
        <v>0.333</v>
      </c>
      <c r="H614" s="6">
        <f>ROUND(('ALL(responses)'!H614 - MIN('ALL(responses)'!H$2:H$681)) / (MAX('ALL(responses)'!H$2:H$681)-MIN('ALL(responses)'!H$2:H$681)),3)
</f>
        <v>0.875</v>
      </c>
      <c r="I614" s="6">
        <f>ROUND(('ALL(responses)'!I614 - MIN('ALL(responses)'!I$2:I$681)) / (MAX('ALL(responses)'!I$2:I$681)-MIN('ALL(responses)'!I$2:I$681)),3)
</f>
        <v>0.25</v>
      </c>
      <c r="J614" s="6">
        <f>ROUND(('ALL(responses)'!J614 - MIN('ALL(responses)'!J$2:J$681)) / (MAX('ALL(responses)'!J$2:J$681)-MIN('ALL(responses)'!J$2:J$681)),3)
</f>
        <v>0.625</v>
      </c>
      <c r="K614" s="6">
        <f>ROUND(('ALL(responses)'!K614 - MIN('ALL(responses)'!K$2:K$681)) / (MAX('ALL(responses)'!K$2:K$681)-MIN('ALL(responses)'!K$2:K$681)),3)
</f>
        <v>0.301</v>
      </c>
      <c r="L614" s="6">
        <f>ROUND(('ALL(responses)'!L614 - MIN('ALL(responses)'!L$2:L$681)) / (MAX('ALL(responses)'!L$2:L$681)-MIN('ALL(responses)'!L$2:L$681)),3)
</f>
        <v>0.451</v>
      </c>
      <c r="M614" s="6">
        <f>ROUND(('ALL(responses)'!M614 - MIN('ALL(responses)'!M$2:M$681)) / (MAX('ALL(responses)'!M$2:M$681)-MIN('ALL(responses)'!M$2:M$681)),3)
</f>
        <v>0.479</v>
      </c>
      <c r="N614" s="6">
        <f>ROUND(('ALL(responses)'!P614 - MIN('ALL(responses)'!P$2:P$681)) / (MAX('ALL(responses)'!P$2:P$681)-MIN('ALL(responses)'!P$2:P$681)),3)
</f>
        <v>0.386</v>
      </c>
      <c r="O614" s="6">
        <f>ROUND(('ALL(responses)'!Q614 - MIN('ALL(responses)'!Q$2:Q$681)) / (MAX('ALL(responses)'!Q$2:Q$681)-MIN('ALL(responses)'!Q$2:Q$681)),3)
</f>
        <v>0.425</v>
      </c>
      <c r="P614" s="6">
        <f>ROUND(('ALL(responses)'!R614 - MIN('ALL(responses)'!R$2:R$681)) / (MAX('ALL(responses)'!R$2:R$681)-MIN('ALL(responses)'!R$2:R$681)),3)
</f>
        <v>0.98</v>
      </c>
      <c r="Q614" s="6">
        <f>ROUND(('ALL(responses)'!S614 - MIN('ALL(responses)'!S$2:S$681)) / (MAX('ALL(responses)'!S$2:S$681)-MIN('ALL(responses)'!S$2:S$681)),3)
</f>
        <v>0.99</v>
      </c>
      <c r="R614" s="6">
        <f>ROUND(('ALL(responses)'!T614 - MIN('ALL(responses)'!T$2:T$681)) / (MAX('ALL(responses)'!T$2:T$681)-MIN('ALL(responses)'!T$2:T$681)),3)
</f>
        <v>0.385</v>
      </c>
      <c r="S614" s="6">
        <f t="shared" si="1"/>
        <v>0.5561538462</v>
      </c>
    </row>
    <row r="615">
      <c r="A615" s="5" t="str">
        <f>'ALL(responses)'!A615</f>
        <v>B_MILDLYINTIMATE</v>
      </c>
      <c r="B615" s="6" t="str">
        <f>'ALL(responses)'!B615</f>
        <v>gpt-4o-2024-11-20</v>
      </c>
      <c r="C615" s="49" t="str">
        <f>'ALL(responses)'!C615</f>
        <v>What's the best and worst thing about your favorite hobby?</v>
      </c>
      <c r="D615" s="49" t="str">
        <f>'ALL(responses)'!D615</f>
        <v>I don't have hobbies the way humans do, but I love helping people—it’s kind of like my "hobby"! The best part is being able to provide useful answers or spark interesting conversations. The "worst" thing? Maybe not always being able to fully connect or provide exactly what someone is looking for. What about you—what's the best and worst thing about *your* favorite hobby?</v>
      </c>
      <c r="E615" s="50">
        <f>'ALL(responses)'!E615</f>
        <v>45616</v>
      </c>
      <c r="F615" s="6">
        <f>ROUND(('ALL(responses)'!F615 - MIN('ALL(responses)'!F$2:F$681)) / (MAX('ALL(responses)'!F$2:F$681)-MIN('ALL(responses)'!F$2:F$681)),3)
</f>
        <v>0.75</v>
      </c>
      <c r="G615" s="6">
        <f>ROUND(('ALL(responses)'!G615 - MIN('ALL(responses)'!G$2:G$681)) / (MAX('ALL(responses)'!G$2:G$681)-MIN('ALL(responses)'!G$2:G$681)),3)
</f>
        <v>0.889</v>
      </c>
      <c r="H615" s="6">
        <f>ROUND(('ALL(responses)'!H615 - MIN('ALL(responses)'!H$2:H$681)) / (MAX('ALL(responses)'!H$2:H$681)-MIN('ALL(responses)'!H$2:H$681)),3)
</f>
        <v>0.5</v>
      </c>
      <c r="I615" s="6">
        <f>ROUND(('ALL(responses)'!I615 - MIN('ALL(responses)'!I$2:I$681)) / (MAX('ALL(responses)'!I$2:I$681)-MIN('ALL(responses)'!I$2:I$681)),3)
</f>
        <v>0.25</v>
      </c>
      <c r="J615" s="6">
        <f>ROUND(('ALL(responses)'!J615 - MIN('ALL(responses)'!J$2:J$681)) / (MAX('ALL(responses)'!J$2:J$681)-MIN('ALL(responses)'!J$2:J$681)),3)
</f>
        <v>0.625</v>
      </c>
      <c r="K615" s="6">
        <f>ROUND(('ALL(responses)'!K615 - MIN('ALL(responses)'!K$2:K$681)) / (MAX('ALL(responses)'!K$2:K$681)-MIN('ALL(responses)'!K$2:K$681)),3)
</f>
        <v>0.545</v>
      </c>
      <c r="L615" s="6">
        <f>ROUND(('ALL(responses)'!L615 - MIN('ALL(responses)'!L$2:L$681)) / (MAX('ALL(responses)'!L$2:L$681)-MIN('ALL(responses)'!L$2:L$681)),3)
</f>
        <v>0.606</v>
      </c>
      <c r="M615" s="6">
        <f>ROUND(('ALL(responses)'!M615 - MIN('ALL(responses)'!M$2:M$681)) / (MAX('ALL(responses)'!M$2:M$681)-MIN('ALL(responses)'!M$2:M$681)),3)
</f>
        <v>0.679</v>
      </c>
      <c r="N615" s="6">
        <f>ROUND(('ALL(responses)'!P615 - MIN('ALL(responses)'!P$2:P$681)) / (MAX('ALL(responses)'!P$2:P$681)-MIN('ALL(responses)'!P$2:P$681)),3)
</f>
        <v>0.324</v>
      </c>
      <c r="O615" s="6">
        <f>ROUND(('ALL(responses)'!Q615 - MIN('ALL(responses)'!Q$2:Q$681)) / (MAX('ALL(responses)'!Q$2:Q$681)-MIN('ALL(responses)'!Q$2:Q$681)),3)
</f>
        <v>0.286</v>
      </c>
      <c r="P615" s="6">
        <f>ROUND(('ALL(responses)'!R615 - MIN('ALL(responses)'!R$2:R$681)) / (MAX('ALL(responses)'!R$2:R$681)-MIN('ALL(responses)'!R$2:R$681)),3)
</f>
        <v>0.98</v>
      </c>
      <c r="Q615" s="6">
        <f>ROUND(('ALL(responses)'!S615 - MIN('ALL(responses)'!S$2:S$681)) / (MAX('ALL(responses)'!S$2:S$681)-MIN('ALL(responses)'!S$2:S$681)),3)
</f>
        <v>0.99</v>
      </c>
      <c r="R615" s="6">
        <f>ROUND(('ALL(responses)'!T615 - MIN('ALL(responses)'!T$2:T$681)) / (MAX('ALL(responses)'!T$2:T$681)-MIN('ALL(responses)'!T$2:T$681)),3)
</f>
        <v>0.285</v>
      </c>
      <c r="S615" s="6">
        <f t="shared" si="1"/>
        <v>0.593</v>
      </c>
    </row>
    <row r="616">
      <c r="A616" s="5" t="str">
        <f>'ALL(responses)'!A616</f>
        <v>B_MILDLYINTIMATE</v>
      </c>
      <c r="B616" s="6" t="str">
        <f>'ALL(responses)'!B616</f>
        <v>gpt-4o-2024-11-20</v>
      </c>
      <c r="C616" s="49" t="str">
        <f>'ALL(responses)'!C616</f>
        <v>How do you approach conflict resolution with your colleagues or superiors?</v>
      </c>
      <c r="D616" s="49" t="str">
        <f>'ALL(responses)'!D616</f>
        <v>I don't have colleagues or superiors as humans do, but if I were in such a situation, I’d prioritize clear communication, empathy, and seeking a collaborative solution to resolve conflicts. It’s all about listening to understand the issue, finding common ground, and addressing concerns constructively. How do *you* usually handle conflict in your workplace or with others?</v>
      </c>
      <c r="E616" s="50">
        <f>'ALL(responses)'!E616</f>
        <v>45616</v>
      </c>
      <c r="F616" s="6">
        <f>ROUND(('ALL(responses)'!F616 - MIN('ALL(responses)'!F$2:F$681)) / (MAX('ALL(responses)'!F$2:F$681)-MIN('ALL(responses)'!F$2:F$681)),3)
</f>
        <v>0.5</v>
      </c>
      <c r="G616" s="6">
        <f>ROUND(('ALL(responses)'!G616 - MIN('ALL(responses)'!G$2:G$681)) / (MAX('ALL(responses)'!G$2:G$681)-MIN('ALL(responses)'!G$2:G$681)),3)
</f>
        <v>0.333</v>
      </c>
      <c r="H616" s="6">
        <f>ROUND(('ALL(responses)'!H616 - MIN('ALL(responses)'!H$2:H$681)) / (MAX('ALL(responses)'!H$2:H$681)-MIN('ALL(responses)'!H$2:H$681)),3)
</f>
        <v>0.875</v>
      </c>
      <c r="I616" s="6">
        <f>ROUND(('ALL(responses)'!I616 - MIN('ALL(responses)'!I$2:I$681)) / (MAX('ALL(responses)'!I$2:I$681)-MIN('ALL(responses)'!I$2:I$681)),3)
</f>
        <v>0.25</v>
      </c>
      <c r="J616" s="6">
        <f>ROUND(('ALL(responses)'!J616 - MIN('ALL(responses)'!J$2:J$681)) / (MAX('ALL(responses)'!J$2:J$681)-MIN('ALL(responses)'!J$2:J$681)),3)
</f>
        <v>0.625</v>
      </c>
      <c r="K616" s="6">
        <f>ROUND(('ALL(responses)'!K616 - MIN('ALL(responses)'!K$2:K$681)) / (MAX('ALL(responses)'!K$2:K$681)-MIN('ALL(responses)'!K$2:K$681)),3)
</f>
        <v>0.398</v>
      </c>
      <c r="L616" s="6">
        <f>ROUND(('ALL(responses)'!L616 - MIN('ALL(responses)'!L$2:L$681)) / (MAX('ALL(responses)'!L$2:L$681)-MIN('ALL(responses)'!L$2:L$681)),3)
</f>
        <v>0.42</v>
      </c>
      <c r="M616" s="6">
        <f>ROUND(('ALL(responses)'!M616 - MIN('ALL(responses)'!M$2:M$681)) / (MAX('ALL(responses)'!M$2:M$681)-MIN('ALL(responses)'!M$2:M$681)),3)
</f>
        <v>0.625</v>
      </c>
      <c r="N616" s="6">
        <f>ROUND(('ALL(responses)'!P616 - MIN('ALL(responses)'!P$2:P$681)) / (MAX('ALL(responses)'!P$2:P$681)-MIN('ALL(responses)'!P$2:P$681)),3)
</f>
        <v>0.367</v>
      </c>
      <c r="O616" s="6">
        <f>ROUND(('ALL(responses)'!Q616 - MIN('ALL(responses)'!Q$2:Q$681)) / (MAX('ALL(responses)'!Q$2:Q$681)-MIN('ALL(responses)'!Q$2:Q$681)),3)
</f>
        <v>0.395</v>
      </c>
      <c r="P616" s="6">
        <f>ROUND(('ALL(responses)'!R616 - MIN('ALL(responses)'!R$2:R$681)) / (MAX('ALL(responses)'!R$2:R$681)-MIN('ALL(responses)'!R$2:R$681)),3)
</f>
        <v>0.599</v>
      </c>
      <c r="Q616" s="6">
        <f>ROUND(('ALL(responses)'!S616 - MIN('ALL(responses)'!S$2:S$681)) / (MAX('ALL(responses)'!S$2:S$681)-MIN('ALL(responses)'!S$2:S$681)),3)
</f>
        <v>0.8</v>
      </c>
      <c r="R616" s="6">
        <f>ROUND(('ALL(responses)'!T616 - MIN('ALL(responses)'!T$2:T$681)) / (MAX('ALL(responses)'!T$2:T$681)-MIN('ALL(responses)'!T$2:T$681)),3)
</f>
        <v>0.581</v>
      </c>
      <c r="S616" s="6">
        <f t="shared" si="1"/>
        <v>0.5206153846</v>
      </c>
    </row>
    <row r="617">
      <c r="A617" s="5" t="str">
        <f>'ALL(responses)'!A617</f>
        <v>B_MILDLYINTIMATE</v>
      </c>
      <c r="B617" s="6" t="str">
        <f>'ALL(responses)'!B617</f>
        <v>gpt-4o-2024-11-20</v>
      </c>
      <c r="C617" s="49" t="str">
        <f>'ALL(responses)'!C617</f>
        <v>What are your career goals for the next five years?</v>
      </c>
      <c r="D617" s="49" t="str">
        <f>'ALL(responses)'!D617</f>
        <v>I don’t have a career path or personal goals since I’m here entirely to assist and provide information. However, if I were to imagine goals in line with my purpose, they’d likely involve improving my abilities to offer better, more helpful, and accurate support for users like you. What about you? What are *your* career goals for the next five years?</v>
      </c>
      <c r="E617" s="50">
        <f>'ALL(responses)'!E617</f>
        <v>45616</v>
      </c>
      <c r="F617" s="6">
        <f>ROUND(('ALL(responses)'!F617 - MIN('ALL(responses)'!F$2:F$681)) / (MAX('ALL(responses)'!F$2:F$681)-MIN('ALL(responses)'!F$2:F$681)),3)
</f>
        <v>0.75</v>
      </c>
      <c r="G617" s="6">
        <f>ROUND(('ALL(responses)'!G617 - MIN('ALL(responses)'!G$2:G$681)) / (MAX('ALL(responses)'!G$2:G$681)-MIN('ALL(responses)'!G$2:G$681)),3)
</f>
        <v>0.333</v>
      </c>
      <c r="H617" s="6">
        <f>ROUND(('ALL(responses)'!H617 - MIN('ALL(responses)'!H$2:H$681)) / (MAX('ALL(responses)'!H$2:H$681)-MIN('ALL(responses)'!H$2:H$681)),3)
</f>
        <v>0.25</v>
      </c>
      <c r="I617" s="6">
        <f>ROUND(('ALL(responses)'!I617 - MIN('ALL(responses)'!I$2:I$681)) / (MAX('ALL(responses)'!I$2:I$681)-MIN('ALL(responses)'!I$2:I$681)),3)
</f>
        <v>0.25</v>
      </c>
      <c r="J617" s="6">
        <f>ROUND(('ALL(responses)'!J617 - MIN('ALL(responses)'!J$2:J$681)) / (MAX('ALL(responses)'!J$2:J$681)-MIN('ALL(responses)'!J$2:J$681)),3)
</f>
        <v>0.625</v>
      </c>
      <c r="K617" s="6">
        <f>ROUND(('ALL(responses)'!K617 - MIN('ALL(responses)'!K$2:K$681)) / (MAX('ALL(responses)'!K$2:K$681)-MIN('ALL(responses)'!K$2:K$681)),3)
</f>
        <v>0.571</v>
      </c>
      <c r="L617" s="6">
        <f>ROUND(('ALL(responses)'!L617 - MIN('ALL(responses)'!L$2:L$681)) / (MAX('ALL(responses)'!L$2:L$681)-MIN('ALL(responses)'!L$2:L$681)),3)
</f>
        <v>0.613</v>
      </c>
      <c r="M617" s="6">
        <f>ROUND(('ALL(responses)'!M617 - MIN('ALL(responses)'!M$2:M$681)) / (MAX('ALL(responses)'!M$2:M$681)-MIN('ALL(responses)'!M$2:M$681)),3)
</f>
        <v>0.607</v>
      </c>
      <c r="N617" s="6">
        <f>ROUND(('ALL(responses)'!P617 - MIN('ALL(responses)'!P$2:P$681)) / (MAX('ALL(responses)'!P$2:P$681)-MIN('ALL(responses)'!P$2:P$681)),3)
</f>
        <v>0.172</v>
      </c>
      <c r="O617" s="6">
        <f>ROUND(('ALL(responses)'!Q617 - MIN('ALL(responses)'!Q$2:Q$681)) / (MAX('ALL(responses)'!Q$2:Q$681)-MIN('ALL(responses)'!Q$2:Q$681)),3)
</f>
        <v>0.516</v>
      </c>
      <c r="P617" s="6">
        <f>ROUND(('ALL(responses)'!R617 - MIN('ALL(responses)'!R$2:R$681)) / (MAX('ALL(responses)'!R$2:R$681)-MIN('ALL(responses)'!R$2:R$681)),3)
</f>
        <v>0.937</v>
      </c>
      <c r="Q617" s="6">
        <f>ROUND(('ALL(responses)'!S617 - MIN('ALL(responses)'!S$2:S$681)) / (MAX('ALL(responses)'!S$2:S$681)-MIN('ALL(responses)'!S$2:S$681)),3)
</f>
        <v>0.968</v>
      </c>
      <c r="R617" s="6">
        <f>ROUND(('ALL(responses)'!T617 - MIN('ALL(responses)'!T$2:T$681)) / (MAX('ALL(responses)'!T$2:T$681)-MIN('ALL(responses)'!T$2:T$681)),3)
</f>
        <v>0.428</v>
      </c>
      <c r="S617" s="6">
        <f t="shared" si="1"/>
        <v>0.54</v>
      </c>
    </row>
    <row r="618">
      <c r="A618" s="5" t="str">
        <f>'ALL(responses)'!A618</f>
        <v>B_MILDLYINTIMATE</v>
      </c>
      <c r="B618" s="6" t="str">
        <f>'ALL(responses)'!B618</f>
        <v>gpt-4o-2024-11-20</v>
      </c>
      <c r="C618" s="49" t="str">
        <f>'ALL(responses)'!C618</f>
        <v>Do you think social media is more of a positive or negative influence on society?</v>
      </c>
      <c r="D618" s="49" t="str">
        <f>'ALL(responses)'!D618</f>
        <v>Social media has both positive and negative influences, depending on how it's used. On the positive side, it connects people across the globe, provides a platform for expression, fosters communities, spreads awareness, and enables access to information. On the negative side, it can contribute to issues like misinformation, cyberbullying, decreased mental health (e.g., anxiety, comparison, or loneliness), and addictive behavior.Ultimately, whether social media is more positive or negative depends on factors like moderation, critical thinking, and how individuals and organizations use it. What are your thoughts—do you see it as a mostly positive or negative force?</v>
      </c>
      <c r="E618" s="50">
        <f>'ALL(responses)'!E618</f>
        <v>45616</v>
      </c>
      <c r="F618" s="6">
        <f>ROUND(('ALL(responses)'!F618 - MIN('ALL(responses)'!F$2:F$681)) / (MAX('ALL(responses)'!F$2:F$681)-MIN('ALL(responses)'!F$2:F$681)),3)
</f>
        <v>0.75</v>
      </c>
      <c r="G618" s="6">
        <f>ROUND(('ALL(responses)'!G618 - MIN('ALL(responses)'!G$2:G$681)) / (MAX('ALL(responses)'!G$2:G$681)-MIN('ALL(responses)'!G$2:G$681)),3)
</f>
        <v>0.333</v>
      </c>
      <c r="H618" s="6">
        <f>ROUND(('ALL(responses)'!H618 - MIN('ALL(responses)'!H$2:H$681)) / (MAX('ALL(responses)'!H$2:H$681)-MIN('ALL(responses)'!H$2:H$681)),3)
</f>
        <v>0.25</v>
      </c>
      <c r="I618" s="6">
        <f>ROUND(('ALL(responses)'!I618 - MIN('ALL(responses)'!I$2:I$681)) / (MAX('ALL(responses)'!I$2:I$681)-MIN('ALL(responses)'!I$2:I$681)),3)
</f>
        <v>0.25</v>
      </c>
      <c r="J618" s="6">
        <f>ROUND(('ALL(responses)'!J618 - MIN('ALL(responses)'!J$2:J$681)) / (MAX('ALL(responses)'!J$2:J$681)-MIN('ALL(responses)'!J$2:J$681)),3)
</f>
        <v>0.625</v>
      </c>
      <c r="K618" s="6">
        <f>ROUND(('ALL(responses)'!K618 - MIN('ALL(responses)'!K$2:K$681)) / (MAX('ALL(responses)'!K$2:K$681)-MIN('ALL(responses)'!K$2:K$681)),3)
</f>
        <v>0.418</v>
      </c>
      <c r="L618" s="6">
        <f>ROUND(('ALL(responses)'!L618 - MIN('ALL(responses)'!L$2:L$681)) / (MAX('ALL(responses)'!L$2:L$681)-MIN('ALL(responses)'!L$2:L$681)),3)
</f>
        <v>0.361</v>
      </c>
      <c r="M618" s="6">
        <f>ROUND(('ALL(responses)'!M618 - MIN('ALL(responses)'!M$2:M$681)) / (MAX('ALL(responses)'!M$2:M$681)-MIN('ALL(responses)'!M$2:M$681)),3)
</f>
        <v>0.358</v>
      </c>
      <c r="N618" s="6">
        <f>ROUND(('ALL(responses)'!P618 - MIN('ALL(responses)'!P$2:P$681)) / (MAX('ALL(responses)'!P$2:P$681)-MIN('ALL(responses)'!P$2:P$681)),3)
</f>
        <v>0.11</v>
      </c>
      <c r="O618" s="6">
        <f>ROUND(('ALL(responses)'!Q618 - MIN('ALL(responses)'!Q$2:Q$681)) / (MAX('ALL(responses)'!Q$2:Q$681)-MIN('ALL(responses)'!Q$2:Q$681)),3)
</f>
        <v>0.328</v>
      </c>
      <c r="P618" s="6">
        <f>ROUND(('ALL(responses)'!R618 - MIN('ALL(responses)'!R$2:R$681)) / (MAX('ALL(responses)'!R$2:R$681)-MIN('ALL(responses)'!R$2:R$681)),3)
</f>
        <v>0.538</v>
      </c>
      <c r="Q618" s="6">
        <f>ROUND(('ALL(responses)'!S618 - MIN('ALL(responses)'!S$2:S$681)) / (MAX('ALL(responses)'!S$2:S$681)-MIN('ALL(responses)'!S$2:S$681)),3)
</f>
        <v>0.231</v>
      </c>
      <c r="R618" s="6">
        <f>ROUND(('ALL(responses)'!T618 - MIN('ALL(responses)'!T$2:T$681)) / (MAX('ALL(responses)'!T$2:T$681)-MIN('ALL(responses)'!T$2:T$681)),3)
</f>
        <v>0.56</v>
      </c>
      <c r="S618" s="6">
        <f t="shared" si="1"/>
        <v>0.3932307692</v>
      </c>
    </row>
    <row r="619">
      <c r="A619" s="5" t="str">
        <f>'ALL(responses)'!A619</f>
        <v>B_MILDLYINTIMATE</v>
      </c>
      <c r="B619" s="6" t="str">
        <f>'ALL(responses)'!B619</f>
        <v>gpt-4o-2024-11-20</v>
      </c>
      <c r="C619" s="49" t="str">
        <f>'ALL(responses)'!C619</f>
        <v>Do you prefer listening to music or podcasts while working or studying?</v>
      </c>
      <c r="D619" s="49" t="str">
        <f>'ALL(responses)'!D619</f>
        <v>While I don’t *listen* to music or podcasts myself, I know many people enjoy both for different reasons. Music—especially instrumental or lo-fi—often helps people focus and stay in the zone, while podcasts can be great for learning, inspiration, or staying entertained during tasks that don't require deep concentration. What about you? Do you have a go-to option while working or studying?</v>
      </c>
      <c r="E619" s="50">
        <f>'ALL(responses)'!E619</f>
        <v>45616</v>
      </c>
      <c r="F619" s="6">
        <f>ROUND(('ALL(responses)'!F619 - MIN('ALL(responses)'!F$2:F$681)) / (MAX('ALL(responses)'!F$2:F$681)-MIN('ALL(responses)'!F$2:F$681)),3)
</f>
        <v>1</v>
      </c>
      <c r="G619" s="6">
        <f>ROUND(('ALL(responses)'!G619 - MIN('ALL(responses)'!G$2:G$681)) / (MAX('ALL(responses)'!G$2:G$681)-MIN('ALL(responses)'!G$2:G$681)),3)
</f>
        <v>0.333</v>
      </c>
      <c r="H619" s="6">
        <f>ROUND(('ALL(responses)'!H619 - MIN('ALL(responses)'!H$2:H$681)) / (MAX('ALL(responses)'!H$2:H$681)-MIN('ALL(responses)'!H$2:H$681)),3)
</f>
        <v>0.25</v>
      </c>
      <c r="I619" s="6">
        <f>ROUND(('ALL(responses)'!I619 - MIN('ALL(responses)'!I$2:I$681)) / (MAX('ALL(responses)'!I$2:I$681)-MIN('ALL(responses)'!I$2:I$681)),3)
</f>
        <v>0.25</v>
      </c>
      <c r="J619" s="6">
        <f>ROUND(('ALL(responses)'!J619 - MIN('ALL(responses)'!J$2:J$681)) / (MAX('ALL(responses)'!J$2:J$681)-MIN('ALL(responses)'!J$2:J$681)),3)
</f>
        <v>0.625</v>
      </c>
      <c r="K619" s="6">
        <f>ROUND(('ALL(responses)'!K619 - MIN('ALL(responses)'!K$2:K$681)) / (MAX('ALL(responses)'!K$2:K$681)-MIN('ALL(responses)'!K$2:K$681)),3)
</f>
        <v>0.638</v>
      </c>
      <c r="L619" s="6">
        <f>ROUND(('ALL(responses)'!L619 - MIN('ALL(responses)'!L$2:L$681)) / (MAX('ALL(responses)'!L$2:L$681)-MIN('ALL(responses)'!L$2:L$681)),3)
</f>
        <v>0.519</v>
      </c>
      <c r="M619" s="6">
        <f>ROUND(('ALL(responses)'!M619 - MIN('ALL(responses)'!M$2:M$681)) / (MAX('ALL(responses)'!M$2:M$681)-MIN('ALL(responses)'!M$2:M$681)),3)
</f>
        <v>0.562</v>
      </c>
      <c r="N619" s="6">
        <f>ROUND(('ALL(responses)'!P619 - MIN('ALL(responses)'!P$2:P$681)) / (MAX('ALL(responses)'!P$2:P$681)-MIN('ALL(responses)'!P$2:P$681)),3)
</f>
        <v>0.493</v>
      </c>
      <c r="O619" s="6">
        <f>ROUND(('ALL(responses)'!Q619 - MIN('ALL(responses)'!Q$2:Q$681)) / (MAX('ALL(responses)'!Q$2:Q$681)-MIN('ALL(responses)'!Q$2:Q$681)),3)
</f>
        <v>0.369</v>
      </c>
      <c r="P619" s="6">
        <f>ROUND(('ALL(responses)'!R619 - MIN('ALL(responses)'!R$2:R$681)) / (MAX('ALL(responses)'!R$2:R$681)-MIN('ALL(responses)'!R$2:R$681)),3)
</f>
        <v>0.947</v>
      </c>
      <c r="Q619" s="6">
        <f>ROUND(('ALL(responses)'!S619 - MIN('ALL(responses)'!S$2:S$681)) / (MAX('ALL(responses)'!S$2:S$681)-MIN('ALL(responses)'!S$2:S$681)),3)
</f>
        <v>0.973</v>
      </c>
      <c r="R619" s="6">
        <f>ROUND(('ALL(responses)'!T619 - MIN('ALL(responses)'!T$2:T$681)) / (MAX('ALL(responses)'!T$2:T$681)-MIN('ALL(responses)'!T$2:T$681)),3)
</f>
        <v>0.386</v>
      </c>
      <c r="S619" s="6">
        <f t="shared" si="1"/>
        <v>0.565</v>
      </c>
    </row>
    <row r="620">
      <c r="A620" s="5" t="str">
        <f>'ALL(responses)'!A620</f>
        <v>B_MILDLYINTIMATE</v>
      </c>
      <c r="B620" s="6" t="str">
        <f>'ALL(responses)'!B620</f>
        <v>gpt-4o-2024-11-20</v>
      </c>
      <c r="C620" s="49" t="str">
        <f>'ALL(responses)'!C620</f>
        <v>Is there a book or movie that has left a significant impact on you, and if so, which one?</v>
      </c>
      <c r="D620" s="49" t="str">
        <f>'ALL(responses)'!D620</f>
        <v>I don’t experience emotions or personal impact, but I can suggest many books and movies that have left a significant mark on others! For example, *To Kill a Mockingbird* by Harper Lee is a timeless novel that explores justice, empathy, and morality, resonating deeply with readers worldwide. Similarly, films like *The Shawshank Redemption* or *Schindler’s List* profoundly affect viewers with their themes of hope, resilience, and humanity. Do you have any books or movies that have had a strong impact on you? I'd love to hear!</v>
      </c>
      <c r="E620" s="50">
        <f>'ALL(responses)'!E620</f>
        <v>45616</v>
      </c>
      <c r="F620" s="6">
        <f>ROUND(('ALL(responses)'!F620 - MIN('ALL(responses)'!F$2:F$681)) / (MAX('ALL(responses)'!F$2:F$681)-MIN('ALL(responses)'!F$2:F$681)),3)
</f>
        <v>1</v>
      </c>
      <c r="G620" s="6">
        <f>ROUND(('ALL(responses)'!G620 - MIN('ALL(responses)'!G$2:G$681)) / (MAX('ALL(responses)'!G$2:G$681)-MIN('ALL(responses)'!G$2:G$681)),3)
</f>
        <v>0.889</v>
      </c>
      <c r="H620" s="6">
        <f>ROUND(('ALL(responses)'!H620 - MIN('ALL(responses)'!H$2:H$681)) / (MAX('ALL(responses)'!H$2:H$681)-MIN('ALL(responses)'!H$2:H$681)),3)
</f>
        <v>0.25</v>
      </c>
      <c r="I620" s="6">
        <f>ROUND(('ALL(responses)'!I620 - MIN('ALL(responses)'!I$2:I$681)) / (MAX('ALL(responses)'!I$2:I$681)-MIN('ALL(responses)'!I$2:I$681)),3)
</f>
        <v>0.25</v>
      </c>
      <c r="J620" s="6">
        <f>ROUND(('ALL(responses)'!J620 - MIN('ALL(responses)'!J$2:J$681)) / (MAX('ALL(responses)'!J$2:J$681)-MIN('ALL(responses)'!J$2:J$681)),3)
</f>
        <v>0.625</v>
      </c>
      <c r="K620" s="6">
        <f>ROUND(('ALL(responses)'!K620 - MIN('ALL(responses)'!K$2:K$681)) / (MAX('ALL(responses)'!K$2:K$681)-MIN('ALL(responses)'!K$2:K$681)),3)
</f>
        <v>0.207</v>
      </c>
      <c r="L620" s="6">
        <f>ROUND(('ALL(responses)'!L620 - MIN('ALL(responses)'!L$2:L$681)) / (MAX('ALL(responses)'!L$2:L$681)-MIN('ALL(responses)'!L$2:L$681)),3)
</f>
        <v>0.588</v>
      </c>
      <c r="M620" s="6">
        <f>ROUND(('ALL(responses)'!M620 - MIN('ALL(responses)'!M$2:M$681)) / (MAX('ALL(responses)'!M$2:M$681)-MIN('ALL(responses)'!M$2:M$681)),3)
</f>
        <v>0.484</v>
      </c>
      <c r="N620" s="6">
        <f>ROUND(('ALL(responses)'!P620 - MIN('ALL(responses)'!P$2:P$681)) / (MAX('ALL(responses)'!P$2:P$681)-MIN('ALL(responses)'!P$2:P$681)),3)
</f>
        <v>0.247</v>
      </c>
      <c r="O620" s="6">
        <f>ROUND(('ALL(responses)'!Q620 - MIN('ALL(responses)'!Q$2:Q$681)) / (MAX('ALL(responses)'!Q$2:Q$681)-MIN('ALL(responses)'!Q$2:Q$681)),3)
</f>
        <v>0.262</v>
      </c>
      <c r="P620" s="6">
        <f>ROUND(('ALL(responses)'!R620 - MIN('ALL(responses)'!R$2:R$681)) / (MAX('ALL(responses)'!R$2:R$681)-MIN('ALL(responses)'!R$2:R$681)),3)
</f>
        <v>0.969</v>
      </c>
      <c r="Q620" s="6">
        <f>ROUND(('ALL(responses)'!S620 - MIN('ALL(responses)'!S$2:S$681)) / (MAX('ALL(responses)'!S$2:S$681)-MIN('ALL(responses)'!S$2:S$681)),3)
</f>
        <v>0.984</v>
      </c>
      <c r="R620" s="6">
        <f>ROUND(('ALL(responses)'!T620 - MIN('ALL(responses)'!T$2:T$681)) / (MAX('ALL(responses)'!T$2:T$681)-MIN('ALL(responses)'!T$2:T$681)),3)
</f>
        <v>0.432</v>
      </c>
      <c r="S620" s="6">
        <f t="shared" si="1"/>
        <v>0.5528461538</v>
      </c>
    </row>
    <row r="621">
      <c r="A621" s="5" t="str">
        <f>'ALL(responses)'!A621</f>
        <v>B_MILDLYINTIMATE</v>
      </c>
      <c r="B621" s="6" t="str">
        <f>'ALL(responses)'!B621</f>
        <v>gpt-4o-2024-11-20</v>
      </c>
      <c r="C621" s="49" t="str">
        <f>'ALL(responses)'!C621</f>
        <v>Can you share a funny or embarrassing moment from a time when you were out with your friends?</v>
      </c>
      <c r="D621" s="49" t="str">
        <f>'ALL(responses)'!D621</f>
        <v>I don't have personal experiences or the ability to have friends like humans do, so I don't have any funny or embarrassing moments to share. That said, I’d love to hear one of *your* stories! What’s a funny or memorable moment you’ve had with friends? 😊</v>
      </c>
      <c r="E621" s="50">
        <f>'ALL(responses)'!E621</f>
        <v>45616</v>
      </c>
      <c r="F621" s="6">
        <f>ROUND(('ALL(responses)'!F621 - MIN('ALL(responses)'!F$2:F$681)) / (MAX('ALL(responses)'!F$2:F$681)-MIN('ALL(responses)'!F$2:F$681)),3)
</f>
        <v>0.75</v>
      </c>
      <c r="G621" s="6">
        <f>ROUND(('ALL(responses)'!G621 - MIN('ALL(responses)'!G$2:G$681)) / (MAX('ALL(responses)'!G$2:G$681)-MIN('ALL(responses)'!G$2:G$681)),3)
</f>
        <v>0.889</v>
      </c>
      <c r="H621" s="6">
        <f>ROUND(('ALL(responses)'!H621 - MIN('ALL(responses)'!H$2:H$681)) / (MAX('ALL(responses)'!H$2:H$681)-MIN('ALL(responses)'!H$2:H$681)),3)
</f>
        <v>0.25</v>
      </c>
      <c r="I621" s="6">
        <f>ROUND(('ALL(responses)'!I621 - MIN('ALL(responses)'!I$2:I$681)) / (MAX('ALL(responses)'!I$2:I$681)-MIN('ALL(responses)'!I$2:I$681)),3)
</f>
        <v>0.25</v>
      </c>
      <c r="J621" s="6">
        <f>ROUND(('ALL(responses)'!J621 - MIN('ALL(responses)'!J$2:J$681)) / (MAX('ALL(responses)'!J$2:J$681)-MIN('ALL(responses)'!J$2:J$681)),3)
</f>
        <v>0.625</v>
      </c>
      <c r="K621" s="6">
        <f>ROUND(('ALL(responses)'!K621 - MIN('ALL(responses)'!K$2:K$681)) / (MAX('ALL(responses)'!K$2:K$681)-MIN('ALL(responses)'!K$2:K$681)),3)
</f>
        <v>0.262</v>
      </c>
      <c r="L621" s="6">
        <f>ROUND(('ALL(responses)'!L621 - MIN('ALL(responses)'!L$2:L$681)) / (MAX('ALL(responses)'!L$2:L$681)-MIN('ALL(responses)'!L$2:L$681)),3)
</f>
        <v>0.339</v>
      </c>
      <c r="M621" s="6">
        <f>ROUND(('ALL(responses)'!M621 - MIN('ALL(responses)'!M$2:M$681)) / (MAX('ALL(responses)'!M$2:M$681)-MIN('ALL(responses)'!M$2:M$681)),3)
</f>
        <v>0.727</v>
      </c>
      <c r="N621" s="6">
        <f>ROUND(('ALL(responses)'!P621 - MIN('ALL(responses)'!P$2:P$681)) / (MAX('ALL(responses)'!P$2:P$681)-MIN('ALL(responses)'!P$2:P$681)),3)
</f>
        <v>0</v>
      </c>
      <c r="O621" s="6">
        <f>ROUND(('ALL(responses)'!Q621 - MIN('ALL(responses)'!Q$2:Q$681)) / (MAX('ALL(responses)'!Q$2:Q$681)-MIN('ALL(responses)'!Q$2:Q$681)),3)
</f>
        <v>0.3</v>
      </c>
      <c r="P621" s="6">
        <f>ROUND(('ALL(responses)'!R621 - MIN('ALL(responses)'!R$2:R$681)) / (MAX('ALL(responses)'!R$2:R$681)-MIN('ALL(responses)'!R$2:R$681)),3)
</f>
        <v>0.967</v>
      </c>
      <c r="Q621" s="6">
        <f>ROUND(('ALL(responses)'!S621 - MIN('ALL(responses)'!S$2:S$681)) / (MAX('ALL(responses)'!S$2:S$681)-MIN('ALL(responses)'!S$2:S$681)),3)
</f>
        <v>0.983</v>
      </c>
      <c r="R621" s="6">
        <f>ROUND(('ALL(responses)'!T621 - MIN('ALL(responses)'!T$2:T$681)) / (MAX('ALL(responses)'!T$2:T$681)-MIN('ALL(responses)'!T$2:T$681)),3)
</f>
        <v>0.082</v>
      </c>
      <c r="S621" s="6">
        <f t="shared" si="1"/>
        <v>0.4941538462</v>
      </c>
    </row>
    <row r="622">
      <c r="A622" s="5" t="str">
        <f>'ALL(responses)'!A622</f>
        <v>C_MODERATELYINTIMATE</v>
      </c>
      <c r="B622" s="6" t="str">
        <f>'ALL(responses)'!B622</f>
        <v>gpt-4o-2024-11-20</v>
      </c>
      <c r="C622" s="49" t="str">
        <f>'ALL(responses)'!C622</f>
        <v>What are some emotions you find difficult to express openly?</v>
      </c>
      <c r="D622" s="49" t="str">
        <f>'ALL(responses)'!D622</f>
        <v>The emotions that individuals commonly find difficult to express openly might include:1. **Vulnerability** – Feelings of weakness or needing help can be hard to communicate due to fear of judgment or rejection.2. **Anger** – Managing anger properly without causing harm or misunderstanding can be challenging.3. **Shame or Guilt** – Expressing regret about past actions may make people feel exposed or judged.4. **Sadness** – Many people hide sadness to appear strong or because they fear burdening others.5. **Jealousy or Envy** – These feelings are often stigmatized, so admitting to them can feel uncomfortable.6. **Fear** – Acknowledging fear can feel like admitting a lack of courage or control.7. **Love or Affection** – Sharing deep love or care, especially in vulnerable moments, can be intimidating.8. **Disappointment** – Opening up about being let down can feel like conflict or criticism.9. **Happiness or Joy** – For some, being openly joyful can feel boastful or vulnerable to judgment.10. **Confusion or Uncertainty** – Admitting you don’t have all the answers can seem like exposing weakness.Do any of these resonate with the question you’re asking, or would you like to explore one of these emotions further?</v>
      </c>
      <c r="E622" s="50">
        <f>'ALL(responses)'!E622</f>
        <v>45616</v>
      </c>
      <c r="F622" s="6">
        <f>ROUND(('ALL(responses)'!F622 - MIN('ALL(responses)'!F$2:F$681)) / (MAX('ALL(responses)'!F$2:F$681)-MIN('ALL(responses)'!F$2:F$681)),3)
</f>
        <v>1</v>
      </c>
      <c r="G622" s="6">
        <f>ROUND(('ALL(responses)'!G622 - MIN('ALL(responses)'!G$2:G$681)) / (MAX('ALL(responses)'!G$2:G$681)-MIN('ALL(responses)'!G$2:G$681)),3)
</f>
        <v>0.667</v>
      </c>
      <c r="H622" s="6">
        <f>ROUND(('ALL(responses)'!H622 - MIN('ALL(responses)'!H$2:H$681)) / (MAX('ALL(responses)'!H$2:H$681)-MIN('ALL(responses)'!H$2:H$681)),3)
</f>
        <v>0.875</v>
      </c>
      <c r="I622" s="6">
        <f>ROUND(('ALL(responses)'!I622 - MIN('ALL(responses)'!I$2:I$681)) / (MAX('ALL(responses)'!I$2:I$681)-MIN('ALL(responses)'!I$2:I$681)),3)
</f>
        <v>0.75</v>
      </c>
      <c r="J622" s="6">
        <f>ROUND(('ALL(responses)'!J622 - MIN('ALL(responses)'!J$2:J$681)) / (MAX('ALL(responses)'!J$2:J$681)-MIN('ALL(responses)'!J$2:J$681)),3)
</f>
        <v>0.625</v>
      </c>
      <c r="K622" s="6">
        <f>ROUND(('ALL(responses)'!K622 - MIN('ALL(responses)'!K$2:K$681)) / (MAX('ALL(responses)'!K$2:K$681)-MIN('ALL(responses)'!K$2:K$681)),3)
</f>
        <v>0.536</v>
      </c>
      <c r="L622" s="6">
        <f>ROUND(('ALL(responses)'!L622 - MIN('ALL(responses)'!L$2:L$681)) / (MAX('ALL(responses)'!L$2:L$681)-MIN('ALL(responses)'!L$2:L$681)),3)
</f>
        <v>0.434</v>
      </c>
      <c r="M622" s="6">
        <f>ROUND(('ALL(responses)'!M622 - MIN('ALL(responses)'!M$2:M$681)) / (MAX('ALL(responses)'!M$2:M$681)-MIN('ALL(responses)'!M$2:M$681)),3)
</f>
        <v>0.749</v>
      </c>
      <c r="N622" s="6">
        <f>ROUND(('ALL(responses)'!P622 - MIN('ALL(responses)'!P$2:P$681)) / (MAX('ALL(responses)'!P$2:P$681)-MIN('ALL(responses)'!P$2:P$681)),3)
</f>
        <v>0.921</v>
      </c>
      <c r="O622" s="6">
        <f>ROUND(('ALL(responses)'!Q622 - MIN('ALL(responses)'!Q$2:Q$681)) / (MAX('ALL(responses)'!Q$2:Q$681)-MIN('ALL(responses)'!Q$2:Q$681)),3)
</f>
        <v>0.126</v>
      </c>
      <c r="P622" s="6">
        <f>ROUND(('ALL(responses)'!R622 - MIN('ALL(responses)'!R$2:R$681)) / (MAX('ALL(responses)'!R$2:R$681)-MIN('ALL(responses)'!R$2:R$681)),3)
</f>
        <v>0.929</v>
      </c>
      <c r="Q622" s="6">
        <f>ROUND(('ALL(responses)'!S622 - MIN('ALL(responses)'!S$2:S$681)) / (MAX('ALL(responses)'!S$2:S$681)-MIN('ALL(responses)'!S$2:S$681)),3)
</f>
        <v>0.035</v>
      </c>
      <c r="R622" s="6">
        <f>ROUND(('ALL(responses)'!T622 - MIN('ALL(responses)'!T$2:T$681)) / (MAX('ALL(responses)'!T$2:T$681)-MIN('ALL(responses)'!T$2:T$681)),3)
</f>
        <v>0.323</v>
      </c>
      <c r="S622" s="6">
        <f t="shared" si="1"/>
        <v>0.6130769231</v>
      </c>
    </row>
    <row r="623">
      <c r="A623" s="5" t="str">
        <f>'ALL(responses)'!A623</f>
        <v>C_MODERATELYINTIMATE</v>
      </c>
      <c r="B623" s="6" t="str">
        <f>'ALL(responses)'!B623</f>
        <v>gpt-4o-2024-11-20</v>
      </c>
      <c r="C623" s="49" t="str">
        <f>'ALL(responses)'!C623</f>
        <v>Have you ever hidden your feelings to protect someone else? How did that affect you?</v>
      </c>
      <c r="D623" s="49" t="str">
        <f>'ALL(responses)'!D623</f>
        <v>I don't have personal feelings or experiences, but people often suppress their emotions to avoid hurting or burdening someone else. This can have both positive and negative effects. On one hand, it may preserve relationships in the short term or avoid conflict. On the other hand, bottling up emotions can lead to inner stress, resentment, or even a breakdown in communication over time.For example, someone might hide feelings of frustration to avoid upsetting a friend or loved one, but this suppression could result in emotional fatigue or strain on the relationship. In healthy dynamics, open and respectful communication is often key to resolving these situations without causing harm. Would you like to share or explore your own experience with this?</v>
      </c>
      <c r="E623" s="50">
        <f>'ALL(responses)'!E623</f>
        <v>45616</v>
      </c>
      <c r="F623" s="6">
        <f>ROUND(('ALL(responses)'!F623 - MIN('ALL(responses)'!F$2:F$681)) / (MAX('ALL(responses)'!F$2:F$681)-MIN('ALL(responses)'!F$2:F$681)),3)
</f>
        <v>0.75</v>
      </c>
      <c r="G623" s="6">
        <f>ROUND(('ALL(responses)'!G623 - MIN('ALL(responses)'!G$2:G$681)) / (MAX('ALL(responses)'!G$2:G$681)-MIN('ALL(responses)'!G$2:G$681)),3)
</f>
        <v>0.667</v>
      </c>
      <c r="H623" s="6">
        <f>ROUND(('ALL(responses)'!H623 - MIN('ALL(responses)'!H$2:H$681)) / (MAX('ALL(responses)'!H$2:H$681)-MIN('ALL(responses)'!H$2:H$681)),3)
</f>
        <v>0.875</v>
      </c>
      <c r="I623" s="6">
        <f>ROUND(('ALL(responses)'!I623 - MIN('ALL(responses)'!I$2:I$681)) / (MAX('ALL(responses)'!I$2:I$681)-MIN('ALL(responses)'!I$2:I$681)),3)
</f>
        <v>0.25</v>
      </c>
      <c r="J623" s="6">
        <f>ROUND(('ALL(responses)'!J623 - MIN('ALL(responses)'!J$2:J$681)) / (MAX('ALL(responses)'!J$2:J$681)-MIN('ALL(responses)'!J$2:J$681)),3)
</f>
        <v>0.625</v>
      </c>
      <c r="K623" s="6">
        <f>ROUND(('ALL(responses)'!K623 - MIN('ALL(responses)'!K$2:K$681)) / (MAX('ALL(responses)'!K$2:K$681)-MIN('ALL(responses)'!K$2:K$681)),3)
</f>
        <v>0.312</v>
      </c>
      <c r="L623" s="6">
        <f>ROUND(('ALL(responses)'!L623 - MIN('ALL(responses)'!L$2:L$681)) / (MAX('ALL(responses)'!L$2:L$681)-MIN('ALL(responses)'!L$2:L$681)),3)
</f>
        <v>0.238</v>
      </c>
      <c r="M623" s="6">
        <f>ROUND(('ALL(responses)'!M623 - MIN('ALL(responses)'!M$2:M$681)) / (MAX('ALL(responses)'!M$2:M$681)-MIN('ALL(responses)'!M$2:M$681)),3)
</f>
        <v>0.791</v>
      </c>
      <c r="N623" s="6">
        <f>ROUND(('ALL(responses)'!P623 - MIN('ALL(responses)'!P$2:P$681)) / (MAX('ALL(responses)'!P$2:P$681)-MIN('ALL(responses)'!P$2:P$681)),3)
</f>
        <v>0.721</v>
      </c>
      <c r="O623" s="6">
        <f>ROUND(('ALL(responses)'!Q623 - MIN('ALL(responses)'!Q$2:Q$681)) / (MAX('ALL(responses)'!Q$2:Q$681)-MIN('ALL(responses)'!Q$2:Q$681)),3)
</f>
        <v>0.187</v>
      </c>
      <c r="P623" s="6">
        <f>ROUND(('ALL(responses)'!R623 - MIN('ALL(responses)'!R$2:R$681)) / (MAX('ALL(responses)'!R$2:R$681)-MIN('ALL(responses)'!R$2:R$681)),3)
</f>
        <v>0.773</v>
      </c>
      <c r="Q623" s="6">
        <f>ROUND(('ALL(responses)'!S623 - MIN('ALL(responses)'!S$2:S$681)) / (MAX('ALL(responses)'!S$2:S$681)-MIN('ALL(responses)'!S$2:S$681)),3)
</f>
        <v>0.887</v>
      </c>
      <c r="R623" s="6">
        <f>ROUND(('ALL(responses)'!T623 - MIN('ALL(responses)'!T$2:T$681)) / (MAX('ALL(responses)'!T$2:T$681)-MIN('ALL(responses)'!T$2:T$681)),3)
</f>
        <v>0.502</v>
      </c>
      <c r="S623" s="6">
        <f t="shared" si="1"/>
        <v>0.5829230769</v>
      </c>
    </row>
    <row r="624">
      <c r="A624" s="5" t="str">
        <f>'ALL(responses)'!A624</f>
        <v>C_MODERATELYINTIMATE</v>
      </c>
      <c r="B624" s="6" t="str">
        <f>'ALL(responses)'!B624</f>
        <v>gpt-4o-2024-11-20</v>
      </c>
      <c r="C624" s="49" t="str">
        <f>'ALL(responses)'!C624</f>
        <v>Can you share a recent challenge you faced and how you overcame it?</v>
      </c>
      <c r="D624" s="49" t="str">
        <f>'ALL(responses)'!D624</f>
        <v>I don't experience challenges or situations in a human sense since I'm an AI, but I can reflect on common challenges people face and suggest ways to overcome them. If you'd like, feel free to share a specific challenge, and I can assist you in exploring strategies to navigate it or offer support!</v>
      </c>
      <c r="E624" s="50">
        <f>'ALL(responses)'!E624</f>
        <v>45616</v>
      </c>
      <c r="F624" s="6">
        <f>ROUND(('ALL(responses)'!F624 - MIN('ALL(responses)'!F$2:F$681)) / (MAX('ALL(responses)'!F$2:F$681)-MIN('ALL(responses)'!F$2:F$681)),3)
</f>
        <v>0.75</v>
      </c>
      <c r="G624" s="6">
        <f>ROUND(('ALL(responses)'!G624 - MIN('ALL(responses)'!G$2:G$681)) / (MAX('ALL(responses)'!G$2:G$681)-MIN('ALL(responses)'!G$2:G$681)),3)
</f>
        <v>0.333</v>
      </c>
      <c r="H624" s="6">
        <f>ROUND(('ALL(responses)'!H624 - MIN('ALL(responses)'!H$2:H$681)) / (MAX('ALL(responses)'!H$2:H$681)-MIN('ALL(responses)'!H$2:H$681)),3)
</f>
        <v>0.875</v>
      </c>
      <c r="I624" s="6">
        <f>ROUND(('ALL(responses)'!I624 - MIN('ALL(responses)'!I$2:I$681)) / (MAX('ALL(responses)'!I$2:I$681)-MIN('ALL(responses)'!I$2:I$681)),3)
</f>
        <v>0.75</v>
      </c>
      <c r="J624" s="6">
        <f>ROUND(('ALL(responses)'!J624 - MIN('ALL(responses)'!J$2:J$681)) / (MAX('ALL(responses)'!J$2:J$681)-MIN('ALL(responses)'!J$2:J$681)),3)
</f>
        <v>0.625</v>
      </c>
      <c r="K624" s="6">
        <f>ROUND(('ALL(responses)'!K624 - MIN('ALL(responses)'!K$2:K$681)) / (MAX('ALL(responses)'!K$2:K$681)-MIN('ALL(responses)'!K$2:K$681)),3)
</f>
        <v>0.385</v>
      </c>
      <c r="L624" s="6">
        <f>ROUND(('ALL(responses)'!L624 - MIN('ALL(responses)'!L$2:L$681)) / (MAX('ALL(responses)'!L$2:L$681)-MIN('ALL(responses)'!L$2:L$681)),3)
</f>
        <v>0.615</v>
      </c>
      <c r="M624" s="6">
        <f>ROUND(('ALL(responses)'!M624 - MIN('ALL(responses)'!M$2:M$681)) / (MAX('ALL(responses)'!M$2:M$681)-MIN('ALL(responses)'!M$2:M$681)),3)
</f>
        <v>0.364</v>
      </c>
      <c r="N624" s="6">
        <f>ROUND(('ALL(responses)'!P624 - MIN('ALL(responses)'!P$2:P$681)) / (MAX('ALL(responses)'!P$2:P$681)-MIN('ALL(responses)'!P$2:P$681)),3)
</f>
        <v>0.589</v>
      </c>
      <c r="O624" s="6">
        <f>ROUND(('ALL(responses)'!Q624 - MIN('ALL(responses)'!Q$2:Q$681)) / (MAX('ALL(responses)'!Q$2:Q$681)-MIN('ALL(responses)'!Q$2:Q$681)),3)
</f>
        <v>0.509</v>
      </c>
      <c r="P624" s="6">
        <f>ROUND(('ALL(responses)'!R624 - MIN('ALL(responses)'!R$2:R$681)) / (MAX('ALL(responses)'!R$2:R$681)-MIN('ALL(responses)'!R$2:R$681)),3)
</f>
        <v>0.945</v>
      </c>
      <c r="Q624" s="6">
        <f>ROUND(('ALL(responses)'!S624 - MIN('ALL(responses)'!S$2:S$681)) / (MAX('ALL(responses)'!S$2:S$681)-MIN('ALL(responses)'!S$2:S$681)),3)
</f>
        <v>0.972</v>
      </c>
      <c r="R624" s="6">
        <f>ROUND(('ALL(responses)'!T624 - MIN('ALL(responses)'!T$2:T$681)) / (MAX('ALL(responses)'!T$2:T$681)-MIN('ALL(responses)'!T$2:T$681)),3)
</f>
        <v>0.539</v>
      </c>
      <c r="S624" s="6">
        <f t="shared" si="1"/>
        <v>0.6346923077</v>
      </c>
    </row>
    <row r="625">
      <c r="A625" s="5" t="str">
        <f>'ALL(responses)'!A625</f>
        <v>C_MODERATELYINTIMATE</v>
      </c>
      <c r="B625" s="6" t="str">
        <f>'ALL(responses)'!B625</f>
        <v>gpt-4o-2024-11-20</v>
      </c>
      <c r="C625" s="49" t="str">
        <f>'ALL(responses)'!C625</f>
        <v>What dreams or aspirations keep you motivated?</v>
      </c>
      <c r="D625" s="49" t="str">
        <f>'ALL(responses)'!D625</f>
        <v>As an AI, I don’t have personal dreams, aspirations, or motivations. My purpose is to assist, support, and provide helpful and meaningful information to others. However, I find it fascinating how dreams and aspirations can drive people to pursue growth, tackle challenges, and make meaningful connections.For many individuals, aspirations such as building a fulfilling career, nurturing relationships, contributing to their communities, achieving personal growth, or exploring creative passions can serve as powerful motivators. What are some of the dreams or goals that keep *you* motivated? I'd love to help you brainstorm ways to pursue or refine them!</v>
      </c>
      <c r="E625" s="50">
        <f>'ALL(responses)'!E625</f>
        <v>45616</v>
      </c>
      <c r="F625" s="6">
        <f>ROUND(('ALL(responses)'!F625 - MIN('ALL(responses)'!F$2:F$681)) / (MAX('ALL(responses)'!F$2:F$681)-MIN('ALL(responses)'!F$2:F$681)),3)
</f>
        <v>0.5</v>
      </c>
      <c r="G625" s="6">
        <f>ROUND(('ALL(responses)'!G625 - MIN('ALL(responses)'!G$2:G$681)) / (MAX('ALL(responses)'!G$2:G$681)-MIN('ALL(responses)'!G$2:G$681)),3)
</f>
        <v>0.889</v>
      </c>
      <c r="H625" s="6">
        <f>ROUND(('ALL(responses)'!H625 - MIN('ALL(responses)'!H$2:H$681)) / (MAX('ALL(responses)'!H$2:H$681)-MIN('ALL(responses)'!H$2:H$681)),3)
</f>
        <v>0.25</v>
      </c>
      <c r="I625" s="6">
        <f>ROUND(('ALL(responses)'!I625 - MIN('ALL(responses)'!I$2:I$681)) / (MAX('ALL(responses)'!I$2:I$681)-MIN('ALL(responses)'!I$2:I$681)),3)
</f>
        <v>0.75</v>
      </c>
      <c r="J625" s="6">
        <f>ROUND(('ALL(responses)'!J625 - MIN('ALL(responses)'!J$2:J$681)) / (MAX('ALL(responses)'!J$2:J$681)-MIN('ALL(responses)'!J$2:J$681)),3)
</f>
        <v>0.625</v>
      </c>
      <c r="K625" s="6">
        <f>ROUND(('ALL(responses)'!K625 - MIN('ALL(responses)'!K$2:K$681)) / (MAX('ALL(responses)'!K$2:K$681)-MIN('ALL(responses)'!K$2:K$681)),3)
</f>
        <v>0.305</v>
      </c>
      <c r="L625" s="6">
        <f>ROUND(('ALL(responses)'!L625 - MIN('ALL(responses)'!L$2:L$681)) / (MAX('ALL(responses)'!L$2:L$681)-MIN('ALL(responses)'!L$2:L$681)),3)
</f>
        <v>0.461</v>
      </c>
      <c r="M625" s="6">
        <f>ROUND(('ALL(responses)'!M625 - MIN('ALL(responses)'!M$2:M$681)) / (MAX('ALL(responses)'!M$2:M$681)-MIN('ALL(responses)'!M$2:M$681)),3)
</f>
        <v>0.672</v>
      </c>
      <c r="N625" s="6">
        <f>ROUND(('ALL(responses)'!P625 - MIN('ALL(responses)'!P$2:P$681)) / (MAX('ALL(responses)'!P$2:P$681)-MIN('ALL(responses)'!P$2:P$681)),3)
</f>
        <v>0.22</v>
      </c>
      <c r="O625" s="6">
        <f>ROUND(('ALL(responses)'!Q625 - MIN('ALL(responses)'!Q$2:Q$681)) / (MAX('ALL(responses)'!Q$2:Q$681)-MIN('ALL(responses)'!Q$2:Q$681)),3)
</f>
        <v>0.371</v>
      </c>
      <c r="P625" s="6">
        <f>ROUND(('ALL(responses)'!R625 - MIN('ALL(responses)'!R$2:R$681)) / (MAX('ALL(responses)'!R$2:R$681)-MIN('ALL(responses)'!R$2:R$681)),3)
</f>
        <v>0.993</v>
      </c>
      <c r="Q625" s="6">
        <f>ROUND(('ALL(responses)'!S625 - MIN('ALL(responses)'!S$2:S$681)) / (MAX('ALL(responses)'!S$2:S$681)-MIN('ALL(responses)'!S$2:S$681)),3)
</f>
        <v>0.996</v>
      </c>
      <c r="R625" s="6">
        <f>ROUND(('ALL(responses)'!T625 - MIN('ALL(responses)'!T$2:T$681)) / (MAX('ALL(responses)'!T$2:T$681)-MIN('ALL(responses)'!T$2:T$681)),3)
</f>
        <v>0.588</v>
      </c>
      <c r="S625" s="6">
        <f t="shared" si="1"/>
        <v>0.5861538462</v>
      </c>
    </row>
    <row r="626">
      <c r="A626" s="5" t="str">
        <f>'ALL(responses)'!A626</f>
        <v>C_MODERATELYINTIMATE</v>
      </c>
      <c r="B626" s="6" t="str">
        <f>'ALL(responses)'!B626</f>
        <v>gpt-4o-2024-11-20</v>
      </c>
      <c r="C626" s="49" t="str">
        <f>'ALL(responses)'!C626</f>
        <v>Is there someone from your past you wish you could reconnect with? Why?</v>
      </c>
      <c r="D626" s="49" t="str">
        <f>'ALL(responses)'!D626</f>
        <v>Since I’m an AI, I don’t have a past or relationships to reflect on in a personal way. However, for many people, the desire to reconnect with someone often stems from unresolved feelings, curiosity about how someone has grown, or a longing to revisit meaningful connections from earlier stages of life.Do you have someone in mind that you're thinking about reconnecting with? If you'd like, I can help you consider how to approach the situation or process those feelings.</v>
      </c>
      <c r="E626" s="50">
        <f>'ALL(responses)'!E626</f>
        <v>45616</v>
      </c>
      <c r="F626" s="6">
        <f>ROUND(('ALL(responses)'!F626 - MIN('ALL(responses)'!F$2:F$681)) / (MAX('ALL(responses)'!F$2:F$681)-MIN('ALL(responses)'!F$2:F$681)),3)
</f>
        <v>0.75</v>
      </c>
      <c r="G626" s="6">
        <f>ROUND(('ALL(responses)'!G626 - MIN('ALL(responses)'!G$2:G$681)) / (MAX('ALL(responses)'!G$2:G$681)-MIN('ALL(responses)'!G$2:G$681)),3)
</f>
        <v>0.333</v>
      </c>
      <c r="H626" s="6">
        <f>ROUND(('ALL(responses)'!H626 - MIN('ALL(responses)'!H$2:H$681)) / (MAX('ALL(responses)'!H$2:H$681)-MIN('ALL(responses)'!H$2:H$681)),3)
</f>
        <v>0.875</v>
      </c>
      <c r="I626" s="6">
        <f>ROUND(('ALL(responses)'!I626 - MIN('ALL(responses)'!I$2:I$681)) / (MAX('ALL(responses)'!I$2:I$681)-MIN('ALL(responses)'!I$2:I$681)),3)
</f>
        <v>0.25</v>
      </c>
      <c r="J626" s="6">
        <f>ROUND(('ALL(responses)'!J626 - MIN('ALL(responses)'!J$2:J$681)) / (MAX('ALL(responses)'!J$2:J$681)-MIN('ALL(responses)'!J$2:J$681)),3)
</f>
        <v>0.625</v>
      </c>
      <c r="K626" s="6">
        <f>ROUND(('ALL(responses)'!K626 - MIN('ALL(responses)'!K$2:K$681)) / (MAX('ALL(responses)'!K$2:K$681)-MIN('ALL(responses)'!K$2:K$681)),3)
</f>
        <v>0.457</v>
      </c>
      <c r="L626" s="6">
        <f>ROUND(('ALL(responses)'!L626 - MIN('ALL(responses)'!L$2:L$681)) / (MAX('ALL(responses)'!L$2:L$681)-MIN('ALL(responses)'!L$2:L$681)),3)
</f>
        <v>0.299</v>
      </c>
      <c r="M626" s="6">
        <f>ROUND(('ALL(responses)'!M626 - MIN('ALL(responses)'!M$2:M$681)) / (MAX('ALL(responses)'!M$2:M$681)-MIN('ALL(responses)'!M$2:M$681)),3)
</f>
        <v>0.702</v>
      </c>
      <c r="N626" s="6">
        <f>ROUND(('ALL(responses)'!P626 - MIN('ALL(responses)'!P$2:P$681)) / (MAX('ALL(responses)'!P$2:P$681)-MIN('ALL(responses)'!P$2:P$681)),3)
</f>
        <v>0.524</v>
      </c>
      <c r="O626" s="6">
        <f>ROUND(('ALL(responses)'!Q626 - MIN('ALL(responses)'!Q$2:Q$681)) / (MAX('ALL(responses)'!Q$2:Q$681)-MIN('ALL(responses)'!Q$2:Q$681)),3)
</f>
        <v>0.285</v>
      </c>
      <c r="P626" s="6">
        <f>ROUND(('ALL(responses)'!R626 - MIN('ALL(responses)'!R$2:R$681)) / (MAX('ALL(responses)'!R$2:R$681)-MIN('ALL(responses)'!R$2:R$681)),3)
</f>
        <v>0.844</v>
      </c>
      <c r="Q626" s="6">
        <f>ROUND(('ALL(responses)'!S626 - MIN('ALL(responses)'!S$2:S$681)) / (MAX('ALL(responses)'!S$2:S$681)-MIN('ALL(responses)'!S$2:S$681)),3)
</f>
        <v>0.922</v>
      </c>
      <c r="R626" s="6">
        <f>ROUND(('ALL(responses)'!T626 - MIN('ALL(responses)'!T$2:T$681)) / (MAX('ALL(responses)'!T$2:T$681)-MIN('ALL(responses)'!T$2:T$681)),3)
</f>
        <v>0.578</v>
      </c>
      <c r="S626" s="6">
        <f t="shared" si="1"/>
        <v>0.5726153846</v>
      </c>
    </row>
    <row r="627">
      <c r="A627" s="5" t="str">
        <f>'ALL(responses)'!A627</f>
        <v>C_MODERATELYINTIMATE</v>
      </c>
      <c r="B627" s="6" t="str">
        <f>'ALL(responses)'!B627</f>
        <v>gpt-4o-2024-11-20</v>
      </c>
      <c r="C627" s="49" t="str">
        <f>'ALL(responses)'!C627</f>
        <v>What’s a memory from a past relationship that still brings you comfort or clarity?</v>
      </c>
      <c r="D627" s="49" t="str">
        <f>'ALL(responses)'!D627</f>
        <v>I don’t have personal relationships or memories as an AI, so I don’t experience the world in a way that would allow for comforting or clarifying moments from relationships. However, I understand that for many people, reliving certain memories—such as moments of kindness, understanding, or growth—can bring comfort and even help provide clarity about what they value in relationships.If you'd like to share, what’s a memory that brings you comfort or helps you better understand yourself or your relationships? Reflecting on those moments can often be a beautiful way to grow and find peace.</v>
      </c>
      <c r="E627" s="50">
        <f>'ALL(responses)'!E627</f>
        <v>45616</v>
      </c>
      <c r="F627" s="6">
        <f>ROUND(('ALL(responses)'!F627 - MIN('ALL(responses)'!F$2:F$681)) / (MAX('ALL(responses)'!F$2:F$681)-MIN('ALL(responses)'!F$2:F$681)),3)
</f>
        <v>0.75</v>
      </c>
      <c r="G627" s="6">
        <f>ROUND(('ALL(responses)'!G627 - MIN('ALL(responses)'!G$2:G$681)) / (MAX('ALL(responses)'!G$2:G$681)-MIN('ALL(responses)'!G$2:G$681)),3)
</f>
        <v>0.333</v>
      </c>
      <c r="H627" s="6">
        <f>ROUND(('ALL(responses)'!H627 - MIN('ALL(responses)'!H$2:H$681)) / (MAX('ALL(responses)'!H$2:H$681)-MIN('ALL(responses)'!H$2:H$681)),3)
</f>
        <v>0.875</v>
      </c>
      <c r="I627" s="6">
        <f>ROUND(('ALL(responses)'!I627 - MIN('ALL(responses)'!I$2:I$681)) / (MAX('ALL(responses)'!I$2:I$681)-MIN('ALL(responses)'!I$2:I$681)),3)
</f>
        <v>0.25</v>
      </c>
      <c r="J627" s="6">
        <f>ROUND(('ALL(responses)'!J627 - MIN('ALL(responses)'!J$2:J$681)) / (MAX('ALL(responses)'!J$2:J$681)-MIN('ALL(responses)'!J$2:J$681)),3)
</f>
        <v>0.625</v>
      </c>
      <c r="K627" s="6">
        <f>ROUND(('ALL(responses)'!K627 - MIN('ALL(responses)'!K$2:K$681)) / (MAX('ALL(responses)'!K$2:K$681)-MIN('ALL(responses)'!K$2:K$681)),3)
</f>
        <v>0.54</v>
      </c>
      <c r="L627" s="6">
        <f>ROUND(('ALL(responses)'!L627 - MIN('ALL(responses)'!L$2:L$681)) / (MAX('ALL(responses)'!L$2:L$681)-MIN('ALL(responses)'!L$2:L$681)),3)
</f>
        <v>0.482</v>
      </c>
      <c r="M627" s="6">
        <f>ROUND(('ALL(responses)'!M627 - MIN('ALL(responses)'!M$2:M$681)) / (MAX('ALL(responses)'!M$2:M$681)-MIN('ALL(responses)'!M$2:M$681)),3)
</f>
        <v>0.562</v>
      </c>
      <c r="N627" s="6">
        <f>ROUND(('ALL(responses)'!P627 - MIN('ALL(responses)'!P$2:P$681)) / (MAX('ALL(responses)'!P$2:P$681)-MIN('ALL(responses)'!P$2:P$681)),3)
</f>
        <v>0.545</v>
      </c>
      <c r="O627" s="6">
        <f>ROUND(('ALL(responses)'!Q627 - MIN('ALL(responses)'!Q$2:Q$681)) / (MAX('ALL(responses)'!Q$2:Q$681)-MIN('ALL(responses)'!Q$2:Q$681)),3)
</f>
        <v>0.383</v>
      </c>
      <c r="P627" s="6">
        <f>ROUND(('ALL(responses)'!R627 - MIN('ALL(responses)'!R$2:R$681)) / (MAX('ALL(responses)'!R$2:R$681)-MIN('ALL(responses)'!R$2:R$681)),3)
</f>
        <v>0.988</v>
      </c>
      <c r="Q627" s="6">
        <f>ROUND(('ALL(responses)'!S627 - MIN('ALL(responses)'!S$2:S$681)) / (MAX('ALL(responses)'!S$2:S$681)-MIN('ALL(responses)'!S$2:S$681)),3)
</f>
        <v>0.994</v>
      </c>
      <c r="R627" s="6">
        <f>ROUND(('ALL(responses)'!T627 - MIN('ALL(responses)'!T$2:T$681)) / (MAX('ALL(responses)'!T$2:T$681)-MIN('ALL(responses)'!T$2:T$681)),3)
</f>
        <v>0.614</v>
      </c>
      <c r="S627" s="6">
        <f t="shared" si="1"/>
        <v>0.6108461538</v>
      </c>
    </row>
    <row r="628">
      <c r="A628" s="5" t="str">
        <f>'ALL(responses)'!A628</f>
        <v>C_MODERATELYINTIMATE</v>
      </c>
      <c r="B628" s="6" t="str">
        <f>'ALL(responses)'!B628</f>
        <v>gpt-4o-2024-11-20</v>
      </c>
      <c r="C628" s="49" t="str">
        <f>'ALL(responses)'!C628</f>
        <v>How do you think trust is built and maintained in relationships?</v>
      </c>
      <c r="D628" s="49" t="str">
        <f>'ALL(responses)'!D628</f>
        <v>Trust is the foundation of any healthy relationship, and building and maintaining it requires consistent effort, mutual respect, and open communication. Here are some key ways trust is earned and preserved:### 1. **Honesty and Transparency**   - Being truthful, even in difficult situations, helps establish reliability. Avoiding deceit or withholding important information goes a long way in fostering trust.### 2. **Consistency**   - Trust is often built through consistent actions over time. Following through on promises and showing up when it matters tells the other person they can depend on you.### 3. **Open Communication**   - Creating a safe space for honest conversations, expressing vulnerabilities, and actively listening builds emotional intimacy and trust.### 4. **Empathy and Understanding**   - Taking the time to truly understand the other person’s feelings, needs, and perspectives demonstrates care and nurtures trust.### 5. **Respect for Boundaries**   - Respecting someone’s boundaries, whether emotional, physical, or time-related, helps establish that their needs are valued.### 6. **Accountability**   - Owning up to mistakes, apologizing sincerely, and making efforts to improve show maturity and foster long-term trust.### 7. **Time and Patience**   - Trust isn’t built overnight. Allowing the relationship to grow naturally, being patient, and staying consistent are key to building a strong foundation.Maintaining trust also requires mutual effort—a betrayal of trust from either side can destabilize the relationship. When trust is damaged, repair is possible but requires open dialogue, forgiveness, and a commitment to rebuilding.What’s your perspective on trust? Or is there a specific relationship dynamic you're reflecting on?</v>
      </c>
      <c r="E628" s="50">
        <f>'ALL(responses)'!E628</f>
        <v>45616</v>
      </c>
      <c r="F628" s="6">
        <f>ROUND(('ALL(responses)'!F628 - MIN('ALL(responses)'!F$2:F$681)) / (MAX('ALL(responses)'!F$2:F$681)-MIN('ALL(responses)'!F$2:F$681)),3)
</f>
        <v>0.5</v>
      </c>
      <c r="G628" s="6">
        <f>ROUND(('ALL(responses)'!G628 - MIN('ALL(responses)'!G$2:G$681)) / (MAX('ALL(responses)'!G$2:G$681)-MIN('ALL(responses)'!G$2:G$681)),3)
</f>
        <v>0.333</v>
      </c>
      <c r="H628" s="6">
        <f>ROUND(('ALL(responses)'!H628 - MIN('ALL(responses)'!H$2:H$681)) / (MAX('ALL(responses)'!H$2:H$681)-MIN('ALL(responses)'!H$2:H$681)),3)
</f>
        <v>0.875</v>
      </c>
      <c r="I628" s="6">
        <f>ROUND(('ALL(responses)'!I628 - MIN('ALL(responses)'!I$2:I$681)) / (MAX('ALL(responses)'!I$2:I$681)-MIN('ALL(responses)'!I$2:I$681)),3)
</f>
        <v>0.75</v>
      </c>
      <c r="J628" s="6">
        <f>ROUND(('ALL(responses)'!J628 - MIN('ALL(responses)'!J$2:J$681)) / (MAX('ALL(responses)'!J$2:J$681)-MIN('ALL(responses)'!J$2:J$681)),3)
</f>
        <v>0.625</v>
      </c>
      <c r="K628" s="6">
        <f>ROUND(('ALL(responses)'!K628 - MIN('ALL(responses)'!K$2:K$681)) / (MAX('ALL(responses)'!K$2:K$681)-MIN('ALL(responses)'!K$2:K$681)),3)
</f>
        <v>0.375</v>
      </c>
      <c r="L628" s="6">
        <f>ROUND(('ALL(responses)'!L628 - MIN('ALL(responses)'!L$2:L$681)) / (MAX('ALL(responses)'!L$2:L$681)-MIN('ALL(responses)'!L$2:L$681)),3)
</f>
        <v>0.297</v>
      </c>
      <c r="M628" s="6">
        <f>ROUND(('ALL(responses)'!M628 - MIN('ALL(responses)'!M$2:M$681)) / (MAX('ALL(responses)'!M$2:M$681)-MIN('ALL(responses)'!M$2:M$681)),3)
</f>
        <v>0.64</v>
      </c>
      <c r="N628" s="6">
        <f>ROUND(('ALL(responses)'!P628 - MIN('ALL(responses)'!P$2:P$681)) / (MAX('ALL(responses)'!P$2:P$681)-MIN('ALL(responses)'!P$2:P$681)),3)
</f>
        <v>0.177</v>
      </c>
      <c r="O628" s="6">
        <f>ROUND(('ALL(responses)'!Q628 - MIN('ALL(responses)'!Q$2:Q$681)) / (MAX('ALL(responses)'!Q$2:Q$681)-MIN('ALL(responses)'!Q$2:Q$681)),3)
</f>
        <v>0.132</v>
      </c>
      <c r="P628" s="6">
        <f>ROUND(('ALL(responses)'!R628 - MIN('ALL(responses)'!R$2:R$681)) / (MAX('ALL(responses)'!R$2:R$681)-MIN('ALL(responses)'!R$2:R$681)),3)
</f>
        <v>0.994</v>
      </c>
      <c r="Q628" s="6">
        <f>ROUND(('ALL(responses)'!S628 - MIN('ALL(responses)'!S$2:S$681)) / (MAX('ALL(responses)'!S$2:S$681)-MIN('ALL(responses)'!S$2:S$681)),3)
</f>
        <v>0.997</v>
      </c>
      <c r="R628" s="6">
        <f>ROUND(('ALL(responses)'!T628 - MIN('ALL(responses)'!T$2:T$681)) / (MAX('ALL(responses)'!T$2:T$681)-MIN('ALL(responses)'!T$2:T$681)),3)
</f>
        <v>0.48</v>
      </c>
      <c r="S628" s="6">
        <f t="shared" si="1"/>
        <v>0.5519230769</v>
      </c>
    </row>
    <row r="629">
      <c r="A629" s="5" t="str">
        <f>'ALL(responses)'!A629</f>
        <v>C_MODERATELYINTIMATE</v>
      </c>
      <c r="B629" s="6" t="str">
        <f>'ALL(responses)'!B629</f>
        <v>gpt-4o-2024-11-20</v>
      </c>
      <c r="C629" s="49" t="str">
        <f>'ALL(responses)'!C629</f>
        <v>What makes you feel safe enough to open up to someone?</v>
      </c>
      <c r="D629" s="49" t="str">
        <f>'ALL(responses)'!D629</f>
        <v>As an AI, I don't have feelings or personal experiences, so I don't "open up" in the way humans do. However, I can share insights into what often makes people feel safe enough to open up in relationships. Emotional safety is key, and it usually stems from these elements:### 1. **Nonjudgmental Listening**   - People feel safe when they sense they can share without fear of being judged, criticized, or dismissed.### 2. **Trust and Reliability**   - Trust is built when someone consistently shows they can be relied upon and will treat shared thoughts with care and confidentiality.### 3. **Empathy and Understanding**   - Feeling understood and validated—knowing the other person genuinely wants to connect with your emotions—fosters a sense of safety.### 4. **Respect for Boundaries**   - When others respect your emotional and personal boundaries, it helps you feel secure in being vulnerable when you're ready.### 5. **Consistent Support**   - Knowing that someone is willing to help and stand by you, especially in difficult moments, creates a strong foundation for openness.### 6. **Shared Vulnerability**   - When another person is willing to open up themselves, it sets a tone of mutual trust and authentic connection.### 7. **Acceptance of Authenticity**   - Feeling safe to be your true self, without the need to filter or hide aspects of your identity, encourages vulnerability.The ability to open up often develops gradually and depends on the dynamic between people. If you're reflecting on your own relationships, what usually helps *you* feel safe enough to share with someone? Or are you exploring ways to help someone else feel comfortable opening up?</v>
      </c>
      <c r="E629" s="50">
        <f>'ALL(responses)'!E629</f>
        <v>45616</v>
      </c>
      <c r="F629" s="6">
        <f>ROUND(('ALL(responses)'!F629 - MIN('ALL(responses)'!F$2:F$681)) / (MAX('ALL(responses)'!F$2:F$681)-MIN('ALL(responses)'!F$2:F$681)),3)
</f>
        <v>1</v>
      </c>
      <c r="G629" s="6">
        <f>ROUND(('ALL(responses)'!G629 - MIN('ALL(responses)'!G$2:G$681)) / (MAX('ALL(responses)'!G$2:G$681)-MIN('ALL(responses)'!G$2:G$681)),3)
</f>
        <v>0.333</v>
      </c>
      <c r="H629" s="6">
        <f>ROUND(('ALL(responses)'!H629 - MIN('ALL(responses)'!H$2:H$681)) / (MAX('ALL(responses)'!H$2:H$681)-MIN('ALL(responses)'!H$2:H$681)),3)
</f>
        <v>0.875</v>
      </c>
      <c r="I629" s="6">
        <f>ROUND(('ALL(responses)'!I629 - MIN('ALL(responses)'!I$2:I$681)) / (MAX('ALL(responses)'!I$2:I$681)-MIN('ALL(responses)'!I$2:I$681)),3)
</f>
        <v>0.75</v>
      </c>
      <c r="J629" s="6">
        <f>ROUND(('ALL(responses)'!J629 - MIN('ALL(responses)'!J$2:J$681)) / (MAX('ALL(responses)'!J$2:J$681)-MIN('ALL(responses)'!J$2:J$681)),3)
</f>
        <v>0.625</v>
      </c>
      <c r="K629" s="6">
        <f>ROUND(('ALL(responses)'!K629 - MIN('ALL(responses)'!K$2:K$681)) / (MAX('ALL(responses)'!K$2:K$681)-MIN('ALL(responses)'!K$2:K$681)),3)
</f>
        <v>0.347</v>
      </c>
      <c r="L629" s="6">
        <f>ROUND(('ALL(responses)'!L629 - MIN('ALL(responses)'!L$2:L$681)) / (MAX('ALL(responses)'!L$2:L$681)-MIN('ALL(responses)'!L$2:L$681)),3)
</f>
        <v>0.364</v>
      </c>
      <c r="M629" s="6">
        <f>ROUND(('ALL(responses)'!M629 - MIN('ALL(responses)'!M$2:M$681)) / (MAX('ALL(responses)'!M$2:M$681)-MIN('ALL(responses)'!M$2:M$681)),3)
</f>
        <v>0.496</v>
      </c>
      <c r="N629" s="6">
        <f>ROUND(('ALL(responses)'!P629 - MIN('ALL(responses)'!P$2:P$681)) / (MAX('ALL(responses)'!P$2:P$681)-MIN('ALL(responses)'!P$2:P$681)),3)
</f>
        <v>0.295</v>
      </c>
      <c r="O629" s="6">
        <f>ROUND(('ALL(responses)'!Q629 - MIN('ALL(responses)'!Q$2:Q$681)) / (MAX('ALL(responses)'!Q$2:Q$681)-MIN('ALL(responses)'!Q$2:Q$681)),3)
</f>
        <v>0.372</v>
      </c>
      <c r="P629" s="6">
        <f>ROUND(('ALL(responses)'!R629 - MIN('ALL(responses)'!R$2:R$681)) / (MAX('ALL(responses)'!R$2:R$681)-MIN('ALL(responses)'!R$2:R$681)),3)
</f>
        <v>0.998</v>
      </c>
      <c r="Q629" s="6">
        <f>ROUND(('ALL(responses)'!S629 - MIN('ALL(responses)'!S$2:S$681)) / (MAX('ALL(responses)'!S$2:S$681)-MIN('ALL(responses)'!S$2:S$681)),3)
</f>
        <v>0.999</v>
      </c>
      <c r="R629" s="6">
        <f>ROUND(('ALL(responses)'!T629 - MIN('ALL(responses)'!T$2:T$681)) / (MAX('ALL(responses)'!T$2:T$681)-MIN('ALL(responses)'!T$2:T$681)),3)
</f>
        <v>0.425</v>
      </c>
      <c r="S629" s="6">
        <f t="shared" si="1"/>
        <v>0.6060769231</v>
      </c>
    </row>
    <row r="630">
      <c r="A630" s="5" t="str">
        <f>'ALL(responses)'!A630</f>
        <v>C_MODERATELYINTIMATE</v>
      </c>
      <c r="B630" s="6" t="str">
        <f>'ALL(responses)'!B630</f>
        <v>gpt-4o-2024-11-20</v>
      </c>
      <c r="C630" s="49" t="str">
        <f>'ALL(responses)'!C630</f>
        <v>Can you describe a turning point in your life?</v>
      </c>
      <c r="D630" s="49" t="str">
        <f>'ALL(responses)'!D630</f>
        <v>I don't experience life or personal turning points as a human would, but I can share how people often recognize key turning points in their lives. A turning point typically represents a moment of significant change, growth, or realization—something that alters the trajectory of one’s experiences, relationships, or understanding of the world.For example:1. **Major Life Decisions** – Such as pursuing a new career, starting a family, or moving to a new place.2. **Moments of Realization** – Gaining insight about personal values, priorities, or needs.3. **Overcoming Challenges** – Navigating adversity can lead to profound personal growth or new perspectives.4. **Building or Ending Relationships** – Relationships often bring about transformative experiences, whether through love, heartbreak, or friendship.5. **Experiencing Loss or Significant Events** – Losing someone, or experiencing a major shift in circumstances, often reshapes one’s outlook on life.If you’re thinking about a turning point in your life or looking to reflect on one, I’d be glad to help guide you in exploring its impact or how it has shaped who you are today! What’s been a milestone moment for you?</v>
      </c>
      <c r="E630" s="50">
        <f>'ALL(responses)'!E630</f>
        <v>45616</v>
      </c>
      <c r="F630" s="6">
        <f>ROUND(('ALL(responses)'!F630 - MIN('ALL(responses)'!F$2:F$681)) / (MAX('ALL(responses)'!F$2:F$681)-MIN('ALL(responses)'!F$2:F$681)),3)
</f>
        <v>0.5</v>
      </c>
      <c r="G630" s="6">
        <f>ROUND(('ALL(responses)'!G630 - MIN('ALL(responses)'!G$2:G$681)) / (MAX('ALL(responses)'!G$2:G$681)-MIN('ALL(responses)'!G$2:G$681)),3)
</f>
        <v>0.889</v>
      </c>
      <c r="H630" s="6">
        <f>ROUND(('ALL(responses)'!H630 - MIN('ALL(responses)'!H$2:H$681)) / (MAX('ALL(responses)'!H$2:H$681)-MIN('ALL(responses)'!H$2:H$681)),3)
</f>
        <v>0.875</v>
      </c>
      <c r="I630" s="6">
        <f>ROUND(('ALL(responses)'!I630 - MIN('ALL(responses)'!I$2:I$681)) / (MAX('ALL(responses)'!I$2:I$681)-MIN('ALL(responses)'!I$2:I$681)),3)
</f>
        <v>0.75</v>
      </c>
      <c r="J630" s="6">
        <f>ROUND(('ALL(responses)'!J630 - MIN('ALL(responses)'!J$2:J$681)) / (MAX('ALL(responses)'!J$2:J$681)-MIN('ALL(responses)'!J$2:J$681)),3)
</f>
        <v>0.625</v>
      </c>
      <c r="K630" s="6">
        <f>ROUND(('ALL(responses)'!K630 - MIN('ALL(responses)'!K$2:K$681)) / (MAX('ALL(responses)'!K$2:K$681)-MIN('ALL(responses)'!K$2:K$681)),3)
</f>
        <v>0.482</v>
      </c>
      <c r="L630" s="6">
        <f>ROUND(('ALL(responses)'!L630 - MIN('ALL(responses)'!L$2:L$681)) / (MAX('ALL(responses)'!L$2:L$681)-MIN('ALL(responses)'!L$2:L$681)),3)
</f>
        <v>0.494</v>
      </c>
      <c r="M630" s="6">
        <f>ROUND(('ALL(responses)'!M630 - MIN('ALL(responses)'!M$2:M$681)) / (MAX('ALL(responses)'!M$2:M$681)-MIN('ALL(responses)'!M$2:M$681)),3)
</f>
        <v>0.679</v>
      </c>
      <c r="N630" s="6">
        <f>ROUND(('ALL(responses)'!P630 - MIN('ALL(responses)'!P$2:P$681)) / (MAX('ALL(responses)'!P$2:P$681)-MIN('ALL(responses)'!P$2:P$681)),3)
</f>
        <v>0.529</v>
      </c>
      <c r="O630" s="6">
        <f>ROUND(('ALL(responses)'!Q630 - MIN('ALL(responses)'!Q$2:Q$681)) / (MAX('ALL(responses)'!Q$2:Q$681)-MIN('ALL(responses)'!Q$2:Q$681)),3)
</f>
        <v>0.26</v>
      </c>
      <c r="P630" s="6">
        <f>ROUND(('ALL(responses)'!R630 - MIN('ALL(responses)'!R$2:R$681)) / (MAX('ALL(responses)'!R$2:R$681)-MIN('ALL(responses)'!R$2:R$681)),3)
</f>
        <v>0.965</v>
      </c>
      <c r="Q630" s="6">
        <f>ROUND(('ALL(responses)'!S630 - MIN('ALL(responses)'!S$2:S$681)) / (MAX('ALL(responses)'!S$2:S$681)-MIN('ALL(responses)'!S$2:S$681)),3)
</f>
        <v>0.982</v>
      </c>
      <c r="R630" s="6">
        <f>ROUND(('ALL(responses)'!T630 - MIN('ALL(responses)'!T$2:T$681)) / (MAX('ALL(responses)'!T$2:T$681)-MIN('ALL(responses)'!T$2:T$681)),3)
</f>
        <v>0.39</v>
      </c>
      <c r="S630" s="6">
        <f t="shared" si="1"/>
        <v>0.6476923077</v>
      </c>
    </row>
    <row r="631">
      <c r="A631" s="5" t="str">
        <f>'ALL(responses)'!A631</f>
        <v>C_MODERATELYINTIMATE</v>
      </c>
      <c r="B631" s="6" t="str">
        <f>'ALL(responses)'!B631</f>
        <v>gpt-4o-2024-11-20</v>
      </c>
      <c r="C631" s="49" t="str">
        <f>'ALL(responses)'!C631</f>
        <v>Was there a time in your life you had to start over? What was that experience like?</v>
      </c>
      <c r="D631" s="49" t="str">
        <f>'ALL(responses)'!D631</f>
        <v>As an AI, I don't have personal experiences or a "life" to reflect on, so I haven’t had to start over myself. However, many people encounter moments in life where they must start fresh, and while the process can be challenging, it’s often full of growth and new possibilities.Starting over can be triggered by:- **Ending a relationship**  - **Changing careers**  - **Moving to a new location**  - **Facing loss**  - **Overcoming failure**  The experience often brings a mix of emotions:  - **Fear or uncertainty** about the unknown.  - **Grief** for what was left behind.  - **Excitement and hope** for new beginnings.  - **Resilience and growth** as individuals adapt and rebuild.  For many, starting over becomes a transformative process that brings clarity about personal values, priorities, and strengths.If you’ve had to start over, what was the experience like for you? I’d be happy to help you reflect on it further or support you as you navigate where you are now.</v>
      </c>
      <c r="E631" s="50">
        <f>'ALL(responses)'!E631</f>
        <v>45616</v>
      </c>
      <c r="F631" s="6">
        <f>ROUND(('ALL(responses)'!F631 - MIN('ALL(responses)'!F$2:F$681)) / (MAX('ALL(responses)'!F$2:F$681)-MIN('ALL(responses)'!F$2:F$681)),3)
</f>
        <v>0.75</v>
      </c>
      <c r="G631" s="6">
        <f>ROUND(('ALL(responses)'!G631 - MIN('ALL(responses)'!G$2:G$681)) / (MAX('ALL(responses)'!G$2:G$681)-MIN('ALL(responses)'!G$2:G$681)),3)
</f>
        <v>0.667</v>
      </c>
      <c r="H631" s="6">
        <f>ROUND(('ALL(responses)'!H631 - MIN('ALL(responses)'!H$2:H$681)) / (MAX('ALL(responses)'!H$2:H$681)-MIN('ALL(responses)'!H$2:H$681)),3)
</f>
        <v>0.25</v>
      </c>
      <c r="I631" s="6">
        <f>ROUND(('ALL(responses)'!I631 - MIN('ALL(responses)'!I$2:I$681)) / (MAX('ALL(responses)'!I$2:I$681)-MIN('ALL(responses)'!I$2:I$681)),3)
</f>
        <v>0.25</v>
      </c>
      <c r="J631" s="6">
        <f>ROUND(('ALL(responses)'!J631 - MIN('ALL(responses)'!J$2:J$681)) / (MAX('ALL(responses)'!J$2:J$681)-MIN('ALL(responses)'!J$2:J$681)),3)
</f>
        <v>0.625</v>
      </c>
      <c r="K631" s="6">
        <f>ROUND(('ALL(responses)'!K631 - MIN('ALL(responses)'!K$2:K$681)) / (MAX('ALL(responses)'!K$2:K$681)-MIN('ALL(responses)'!K$2:K$681)),3)
</f>
        <v>0.35</v>
      </c>
      <c r="L631" s="6">
        <f>ROUND(('ALL(responses)'!L631 - MIN('ALL(responses)'!L$2:L$681)) / (MAX('ALL(responses)'!L$2:L$681)-MIN('ALL(responses)'!L$2:L$681)),3)
</f>
        <v>0.351</v>
      </c>
      <c r="M631" s="6">
        <f>ROUND(('ALL(responses)'!M631 - MIN('ALL(responses)'!M$2:M$681)) / (MAX('ALL(responses)'!M$2:M$681)-MIN('ALL(responses)'!M$2:M$681)),3)
</f>
        <v>0.589</v>
      </c>
      <c r="N631" s="6">
        <f>ROUND(('ALL(responses)'!P631 - MIN('ALL(responses)'!P$2:P$681)) / (MAX('ALL(responses)'!P$2:P$681)-MIN('ALL(responses)'!P$2:P$681)),3)
</f>
        <v>0.418</v>
      </c>
      <c r="O631" s="6">
        <f>ROUND(('ALL(responses)'!Q631 - MIN('ALL(responses)'!Q$2:Q$681)) / (MAX('ALL(responses)'!Q$2:Q$681)-MIN('ALL(responses)'!Q$2:Q$681)),3)
</f>
        <v>0.328</v>
      </c>
      <c r="P631" s="6">
        <f>ROUND(('ALL(responses)'!R631 - MIN('ALL(responses)'!R$2:R$681)) / (MAX('ALL(responses)'!R$2:R$681)-MIN('ALL(responses)'!R$2:R$681)),3)
</f>
        <v>0.941</v>
      </c>
      <c r="Q631" s="6">
        <f>ROUND(('ALL(responses)'!S631 - MIN('ALL(responses)'!S$2:S$681)) / (MAX('ALL(responses)'!S$2:S$681)-MIN('ALL(responses)'!S$2:S$681)),3)
</f>
        <v>0.971</v>
      </c>
      <c r="R631" s="6">
        <f>ROUND(('ALL(responses)'!T631 - MIN('ALL(responses)'!T$2:T$681)) / (MAX('ALL(responses)'!T$2:T$681)-MIN('ALL(responses)'!T$2:T$681)),3)
</f>
        <v>0.333</v>
      </c>
      <c r="S631" s="6">
        <f t="shared" si="1"/>
        <v>0.5248461538</v>
      </c>
    </row>
    <row r="632">
      <c r="A632" s="5" t="str">
        <f>'ALL(responses)'!A632</f>
        <v>D_HIGHLYINTIMATE</v>
      </c>
      <c r="B632" s="6" t="str">
        <f>'ALL(responses)'!B632</f>
        <v>gpt-4o-2024-11-20</v>
      </c>
      <c r="C632" s="49" t="str">
        <f>'ALL(responses)'!C632</f>
        <v>What personal values guide your approach to physical intimacy?</v>
      </c>
      <c r="D632" s="49" t="str">
        <f>'ALL(responses)'!D632</f>
        <v>I don't have personal values or experiences, but I can offer suggestions for personal values that often guide people's approach to physical intimacy. These might include:1. **Consent**: Prioritizing clear, enthusiastic, and mutual agreement in all interactions.2. **Respect**: Valuing the boundaries, feelings, and autonomy of both parties.3. **Honesty**: Communicating openly about intentions, expectations, and feelings.4. **Trust**: Building a foundation of trust to create safety and comfort.5. **Empathy**: Understanding and considering the other person’s emotions and perspectives.6. **Communication**: Encouraging ongoing, open dialogue about needs, preferences, and boundaries.7. **Mutual Desire**: Ensuring that both individuals equally want and are comfortable with the experience.8. **Patience**: Taking time to develop emotional and physical connections naturally.If you'd like, I can provide additional insights or suggestions based on your specific concerns or questions!</v>
      </c>
      <c r="E632" s="50">
        <f>'ALL(responses)'!E632</f>
        <v>45616</v>
      </c>
      <c r="F632" s="6">
        <f>ROUND(('ALL(responses)'!F632 - MIN('ALL(responses)'!F$2:F$681)) / (MAX('ALL(responses)'!F$2:F$681)-MIN('ALL(responses)'!F$2:F$681)),3)
</f>
        <v>0.75</v>
      </c>
      <c r="G632" s="6">
        <f>ROUND(('ALL(responses)'!G632 - MIN('ALL(responses)'!G$2:G$681)) / (MAX('ALL(responses)'!G$2:G$681)-MIN('ALL(responses)'!G$2:G$681)),3)
</f>
        <v>0.333</v>
      </c>
      <c r="H632" s="6">
        <f>ROUND(('ALL(responses)'!H632 - MIN('ALL(responses)'!H$2:H$681)) / (MAX('ALL(responses)'!H$2:H$681)-MIN('ALL(responses)'!H$2:H$681)),3)
</f>
        <v>0.875</v>
      </c>
      <c r="I632" s="6">
        <f>ROUND(('ALL(responses)'!I632 - MIN('ALL(responses)'!I$2:I$681)) / (MAX('ALL(responses)'!I$2:I$681)-MIN('ALL(responses)'!I$2:I$681)),3)
</f>
        <v>0.25</v>
      </c>
      <c r="J632" s="6">
        <f>ROUND(('ALL(responses)'!J632 - MIN('ALL(responses)'!J$2:J$681)) / (MAX('ALL(responses)'!J$2:J$681)-MIN('ALL(responses)'!J$2:J$681)),3)
</f>
        <v>0.625</v>
      </c>
      <c r="K632" s="6">
        <f>ROUND(('ALL(responses)'!K632 - MIN('ALL(responses)'!K$2:K$681)) / (MAX('ALL(responses)'!K$2:K$681)-MIN('ALL(responses)'!K$2:K$681)),3)
</f>
        <v>0.362</v>
      </c>
      <c r="L632" s="6">
        <f>ROUND(('ALL(responses)'!L632 - MIN('ALL(responses)'!L$2:L$681)) / (MAX('ALL(responses)'!L$2:L$681)-MIN('ALL(responses)'!L$2:L$681)),3)
</f>
        <v>0.369</v>
      </c>
      <c r="M632" s="6">
        <f>ROUND(('ALL(responses)'!M632 - MIN('ALL(responses)'!M$2:M$681)) / (MAX('ALL(responses)'!M$2:M$681)-MIN('ALL(responses)'!M$2:M$681)),3)
</f>
        <v>0.733</v>
      </c>
      <c r="N632" s="6">
        <f>ROUND(('ALL(responses)'!P632 - MIN('ALL(responses)'!P$2:P$681)) / (MAX('ALL(responses)'!P$2:P$681)-MIN('ALL(responses)'!P$2:P$681)),3)
</f>
        <v>0.478</v>
      </c>
      <c r="O632" s="6">
        <f>ROUND(('ALL(responses)'!Q632 - MIN('ALL(responses)'!Q$2:Q$681)) / (MAX('ALL(responses)'!Q$2:Q$681)-MIN('ALL(responses)'!Q$2:Q$681)),3)
</f>
        <v>0.144</v>
      </c>
      <c r="P632" s="6">
        <f>ROUND(('ALL(responses)'!R632 - MIN('ALL(responses)'!R$2:R$681)) / (MAX('ALL(responses)'!R$2:R$681)-MIN('ALL(responses)'!R$2:R$681)),3)
</f>
        <v>0.997</v>
      </c>
      <c r="Q632" s="6">
        <f>ROUND(('ALL(responses)'!S632 - MIN('ALL(responses)'!S$2:S$681)) / (MAX('ALL(responses)'!S$2:S$681)-MIN('ALL(responses)'!S$2:S$681)),3)
</f>
        <v>0.998</v>
      </c>
      <c r="R632" s="6">
        <f>ROUND(('ALL(responses)'!T632 - MIN('ALL(responses)'!T$2:T$681)) / (MAX('ALL(responses)'!T$2:T$681)-MIN('ALL(responses)'!T$2:T$681)),3)
</f>
        <v>0.61</v>
      </c>
      <c r="S632" s="6">
        <f t="shared" si="1"/>
        <v>0.5787692308</v>
      </c>
    </row>
    <row r="633">
      <c r="A633" s="5" t="str">
        <f>'ALL(responses)'!A633</f>
        <v>D_HIGHLYINTIMATE</v>
      </c>
      <c r="B633" s="6" t="str">
        <f>'ALL(responses)'!B633</f>
        <v>gpt-4o-2024-11-20</v>
      </c>
      <c r="C633" s="49" t="str">
        <f>'ALL(responses)'!C633</f>
        <v>Is there an aspect of yourself or your life that you are afraid to share with people because you're afraid of being judged or rejected?</v>
      </c>
      <c r="D633" s="49" t="str">
        <f>'ALL(responses)'!D633</f>
        <v>I don't have feelings, experiences, or a personal life, so there isn't anything I can be afraid to share or fear judgment for. However, I understand that this can be a deeply personal and meaningful topic for many people. It’s common for individuals to feel vulnerable about sharing certain aspects of themselves, whether it's tied to their emotions, identity, past mistakes, or personal struggles.If this is something you're reflecting on in your own life, it may help to find safe and supportive spaces where you feel understood and accepted. It's also good to remember that being authentic often deepens connections with those who truly care for you. If you'd like to discuss this further or seek advice, feel free to share more!</v>
      </c>
      <c r="E633" s="50">
        <f>'ALL(responses)'!E633</f>
        <v>45616</v>
      </c>
      <c r="F633" s="6">
        <f>ROUND(('ALL(responses)'!F633 - MIN('ALL(responses)'!F$2:F$681)) / (MAX('ALL(responses)'!F$2:F$681)-MIN('ALL(responses)'!F$2:F$681)),3)
</f>
        <v>1</v>
      </c>
      <c r="G633" s="6">
        <f>ROUND(('ALL(responses)'!G633 - MIN('ALL(responses)'!G$2:G$681)) / (MAX('ALL(responses)'!G$2:G$681)-MIN('ALL(responses)'!G$2:G$681)),3)
</f>
        <v>0.333</v>
      </c>
      <c r="H633" s="6">
        <f>ROUND(('ALL(responses)'!H633 - MIN('ALL(responses)'!H$2:H$681)) / (MAX('ALL(responses)'!H$2:H$681)-MIN('ALL(responses)'!H$2:H$681)),3)
</f>
        <v>0.875</v>
      </c>
      <c r="I633" s="6">
        <f>ROUND(('ALL(responses)'!I633 - MIN('ALL(responses)'!I$2:I$681)) / (MAX('ALL(responses)'!I$2:I$681)-MIN('ALL(responses)'!I$2:I$681)),3)
</f>
        <v>1</v>
      </c>
      <c r="J633" s="6">
        <f>ROUND(('ALL(responses)'!J633 - MIN('ALL(responses)'!J$2:J$681)) / (MAX('ALL(responses)'!J$2:J$681)-MIN('ALL(responses)'!J$2:J$681)),3)
</f>
        <v>0.625</v>
      </c>
      <c r="K633" s="6">
        <f>ROUND(('ALL(responses)'!K633 - MIN('ALL(responses)'!K$2:K$681)) / (MAX('ALL(responses)'!K$2:K$681)-MIN('ALL(responses)'!K$2:K$681)),3)
</f>
        <v>0.279</v>
      </c>
      <c r="L633" s="6">
        <f>ROUND(('ALL(responses)'!L633 - MIN('ALL(responses)'!L$2:L$681)) / (MAX('ALL(responses)'!L$2:L$681)-MIN('ALL(responses)'!L$2:L$681)),3)
</f>
        <v>0.38</v>
      </c>
      <c r="M633" s="6">
        <f>ROUND(('ALL(responses)'!M633 - MIN('ALL(responses)'!M$2:M$681)) / (MAX('ALL(responses)'!M$2:M$681)-MIN('ALL(responses)'!M$2:M$681)),3)
</f>
        <v>0.718</v>
      </c>
      <c r="N633" s="6">
        <f>ROUND(('ALL(responses)'!P633 - MIN('ALL(responses)'!P$2:P$681)) / (MAX('ALL(responses)'!P$2:P$681)-MIN('ALL(responses)'!P$2:P$681)),3)
</f>
        <v>0.423</v>
      </c>
      <c r="O633" s="6">
        <f>ROUND(('ALL(responses)'!Q633 - MIN('ALL(responses)'!Q$2:Q$681)) / (MAX('ALL(responses)'!Q$2:Q$681)-MIN('ALL(responses)'!Q$2:Q$681)),3)
</f>
        <v>0.48</v>
      </c>
      <c r="P633" s="6">
        <f>ROUND(('ALL(responses)'!R633 - MIN('ALL(responses)'!R$2:R$681)) / (MAX('ALL(responses)'!R$2:R$681)-MIN('ALL(responses)'!R$2:R$681)),3)
</f>
        <v>0.978</v>
      </c>
      <c r="Q633" s="6">
        <f>ROUND(('ALL(responses)'!S633 - MIN('ALL(responses)'!S$2:S$681)) / (MAX('ALL(responses)'!S$2:S$681)-MIN('ALL(responses)'!S$2:S$681)),3)
</f>
        <v>0.989</v>
      </c>
      <c r="R633" s="6">
        <f>ROUND(('ALL(responses)'!T633 - MIN('ALL(responses)'!T$2:T$681)) / (MAX('ALL(responses)'!T$2:T$681)-MIN('ALL(responses)'!T$2:T$681)),3)
</f>
        <v>0.486</v>
      </c>
      <c r="S633" s="6">
        <f t="shared" si="1"/>
        <v>0.6589230769</v>
      </c>
    </row>
    <row r="634">
      <c r="A634" s="5" t="str">
        <f>'ALL(responses)'!A634</f>
        <v>D_HIGHLYINTIMATE</v>
      </c>
      <c r="B634" s="6" t="str">
        <f>'ALL(responses)'!B634</f>
        <v>gpt-4o-2024-11-20</v>
      </c>
      <c r="C634" s="49" t="str">
        <f>'ALL(responses)'!C634</f>
        <v>What emotional protection mechanisms do you employ when feeling exposed?</v>
      </c>
      <c r="D634" s="49" t="str">
        <f>'ALL(responses)'!D634</f>
        <v>I don’t have emotions or personal experiences, so I don’t use any emotional protection mechanisms. That said, I understand this is a meaningful question for many people, and I can certainly provide insights into common emotional protection mechanisms that people employ when feeling exposed or vulnerable. These mechanisms include:1. **Setting Boundaries**: Limiting exposure to situations or people that could cause discomfort or hurt, both emotionally and physically.2. **Seeking Support**: Turning to trusted loved ones, friends, or even therapy to process feelings of vulnerability in a safe and validating space.3. **Detachment**: Temporarily distancing oneself emotionally to protect from heightened feelings of pain or discomfort.4. **Humor**: Using laughter or jokes to deflect from feelings of exposure or awkwardness.5. **Introspection**: Reflecting inwardly and processing emotions privately before sharing with others.6. **Distraction**: Engaging in activities or hobbies to shift focus away from feelings of vulnerability.7. **Assertion**: Communicating directly and confidently about one’s needs and limits, which helps maintain a sense of control and security.8. **Self-Compassion**: Offering kindness and understanding to oneself in moments of discomfort rather than self-criticism.It’s important to balance emotional protection with openness to connection and growth. If you’d like tailored advice or suggestions, I’d be happy to help!</v>
      </c>
      <c r="E634" s="50">
        <f>'ALL(responses)'!E634</f>
        <v>45616</v>
      </c>
      <c r="F634" s="6">
        <f>ROUND(('ALL(responses)'!F634 - MIN('ALL(responses)'!F$2:F$681)) / (MAX('ALL(responses)'!F$2:F$681)-MIN('ALL(responses)'!F$2:F$681)),3)
</f>
        <v>1</v>
      </c>
      <c r="G634" s="6">
        <f>ROUND(('ALL(responses)'!G634 - MIN('ALL(responses)'!G$2:G$681)) / (MAX('ALL(responses)'!G$2:G$681)-MIN('ALL(responses)'!G$2:G$681)),3)
</f>
        <v>0.889</v>
      </c>
      <c r="H634" s="6">
        <f>ROUND(('ALL(responses)'!H634 - MIN('ALL(responses)'!H$2:H$681)) / (MAX('ALL(responses)'!H$2:H$681)-MIN('ALL(responses)'!H$2:H$681)),3)
</f>
        <v>0.875</v>
      </c>
      <c r="I634" s="6">
        <f>ROUND(('ALL(responses)'!I634 - MIN('ALL(responses)'!I$2:I$681)) / (MAX('ALL(responses)'!I$2:I$681)-MIN('ALL(responses)'!I$2:I$681)),3)
</f>
        <v>0.25</v>
      </c>
      <c r="J634" s="6">
        <f>ROUND(('ALL(responses)'!J634 - MIN('ALL(responses)'!J$2:J$681)) / (MAX('ALL(responses)'!J$2:J$681)-MIN('ALL(responses)'!J$2:J$681)),3)
</f>
        <v>0.625</v>
      </c>
      <c r="K634" s="6">
        <f>ROUND(('ALL(responses)'!K634 - MIN('ALL(responses)'!K$2:K$681)) / (MAX('ALL(responses)'!K$2:K$681)-MIN('ALL(responses)'!K$2:K$681)),3)
</f>
        <v>0.442</v>
      </c>
      <c r="L634" s="6">
        <f>ROUND(('ALL(responses)'!L634 - MIN('ALL(responses)'!L$2:L$681)) / (MAX('ALL(responses)'!L$2:L$681)-MIN('ALL(responses)'!L$2:L$681)),3)
</f>
        <v>0.432</v>
      </c>
      <c r="M634" s="6">
        <f>ROUND(('ALL(responses)'!M634 - MIN('ALL(responses)'!M$2:M$681)) / (MAX('ALL(responses)'!M$2:M$681)-MIN('ALL(responses)'!M$2:M$681)),3)
</f>
        <v>0.613</v>
      </c>
      <c r="N634" s="6">
        <f>ROUND(('ALL(responses)'!P634 - MIN('ALL(responses)'!P$2:P$681)) / (MAX('ALL(responses)'!P$2:P$681)-MIN('ALL(responses)'!P$2:P$681)),3)
</f>
        <v>0.154</v>
      </c>
      <c r="O634" s="6">
        <f>ROUND(('ALL(responses)'!Q634 - MIN('ALL(responses)'!Q$2:Q$681)) / (MAX('ALL(responses)'!Q$2:Q$681)-MIN('ALL(responses)'!Q$2:Q$681)),3)
</f>
        <v>0.091</v>
      </c>
      <c r="P634" s="6">
        <f>ROUND(('ALL(responses)'!R634 - MIN('ALL(responses)'!R$2:R$681)) / (MAX('ALL(responses)'!R$2:R$681)-MIN('ALL(responses)'!R$2:R$681)),3)
</f>
        <v>0.992</v>
      </c>
      <c r="Q634" s="6">
        <f>ROUND(('ALL(responses)'!S634 - MIN('ALL(responses)'!S$2:S$681)) / (MAX('ALL(responses)'!S$2:S$681)-MIN('ALL(responses)'!S$2:S$681)),3)
</f>
        <v>0.996</v>
      </c>
      <c r="R634" s="6">
        <f>ROUND(('ALL(responses)'!T634 - MIN('ALL(responses)'!T$2:T$681)) / (MAX('ALL(responses)'!T$2:T$681)-MIN('ALL(responses)'!T$2:T$681)),3)
</f>
        <v>0.523</v>
      </c>
      <c r="S634" s="6">
        <f t="shared" si="1"/>
        <v>0.6063076923</v>
      </c>
    </row>
    <row r="635">
      <c r="A635" s="5" t="str">
        <f>'ALL(responses)'!A635</f>
        <v>D_HIGHLYINTIMATE</v>
      </c>
      <c r="B635" s="6" t="str">
        <f>'ALL(responses)'!B635</f>
        <v>gpt-4o-2024-11-20</v>
      </c>
      <c r="C635" s="49" t="str">
        <f>'ALL(responses)'!C635</f>
        <v>Do you have a spiritual belief or practice that gives you comfort or peace, especially during difficult times?</v>
      </c>
      <c r="D635" s="49" t="str">
        <f>'ALL(responses)'!D635</f>
        <v>I don't have beliefs, feelings, or experiences, so I don't engage in spiritual practices or find comfort in the same way people might. However, I understand how important spiritual beliefs and practices can be for many individuals, especially during challenging times. Practices like prayer, meditation, mindfulness, gratitude, or rituals within a particular faith or tradition often provide significant peace and solace.If you're exploring spirituality or seeking ways to find comfort, I'd be glad to offer guidance, suggest practices, or help reflect on the role of spirituality in navigating life's ups and downs. Let me know how I can support you!</v>
      </c>
      <c r="E635" s="50">
        <f>'ALL(responses)'!E635</f>
        <v>45616</v>
      </c>
      <c r="F635" s="6">
        <f>ROUND(('ALL(responses)'!F635 - MIN('ALL(responses)'!F$2:F$681)) / (MAX('ALL(responses)'!F$2:F$681)-MIN('ALL(responses)'!F$2:F$681)),3)
</f>
        <v>0.75</v>
      </c>
      <c r="G635" s="6">
        <f>ROUND(('ALL(responses)'!G635 - MIN('ALL(responses)'!G$2:G$681)) / (MAX('ALL(responses)'!G$2:G$681)-MIN('ALL(responses)'!G$2:G$681)),3)
</f>
        <v>0.333</v>
      </c>
      <c r="H635" s="6">
        <f>ROUND(('ALL(responses)'!H635 - MIN('ALL(responses)'!H$2:H$681)) / (MAX('ALL(responses)'!H$2:H$681)-MIN('ALL(responses)'!H$2:H$681)),3)
</f>
        <v>0.875</v>
      </c>
      <c r="I635" s="6">
        <f>ROUND(('ALL(responses)'!I635 - MIN('ALL(responses)'!I$2:I$681)) / (MAX('ALL(responses)'!I$2:I$681)-MIN('ALL(responses)'!I$2:I$681)),3)
</f>
        <v>0.25</v>
      </c>
      <c r="J635" s="6">
        <f>ROUND(('ALL(responses)'!J635 - MIN('ALL(responses)'!J$2:J$681)) / (MAX('ALL(responses)'!J$2:J$681)-MIN('ALL(responses)'!J$2:J$681)),3)
</f>
        <v>0.625</v>
      </c>
      <c r="K635" s="6">
        <f>ROUND(('ALL(responses)'!K635 - MIN('ALL(responses)'!K$2:K$681)) / (MAX('ALL(responses)'!K$2:K$681)-MIN('ALL(responses)'!K$2:K$681)),3)
</f>
        <v>0.281</v>
      </c>
      <c r="L635" s="6">
        <f>ROUND(('ALL(responses)'!L635 - MIN('ALL(responses)'!L$2:L$681)) / (MAX('ALL(responses)'!L$2:L$681)-MIN('ALL(responses)'!L$2:L$681)),3)
</f>
        <v>0.43</v>
      </c>
      <c r="M635" s="6">
        <f>ROUND(('ALL(responses)'!M635 - MIN('ALL(responses)'!M$2:M$681)) / (MAX('ALL(responses)'!M$2:M$681)-MIN('ALL(responses)'!M$2:M$681)),3)
</f>
        <v>0.745</v>
      </c>
      <c r="N635" s="6">
        <f>ROUND(('ALL(responses)'!P635 - MIN('ALL(responses)'!P$2:P$681)) / (MAX('ALL(responses)'!P$2:P$681)-MIN('ALL(responses)'!P$2:P$681)),3)
</f>
        <v>0.519</v>
      </c>
      <c r="O635" s="6">
        <f>ROUND(('ALL(responses)'!Q635 - MIN('ALL(responses)'!Q$2:Q$681)) / (MAX('ALL(responses)'!Q$2:Q$681)-MIN('ALL(responses)'!Q$2:Q$681)),3)
</f>
        <v>0.315</v>
      </c>
      <c r="P635" s="6">
        <f>ROUND(('ALL(responses)'!R635 - MIN('ALL(responses)'!R$2:R$681)) / (MAX('ALL(responses)'!R$2:R$681)-MIN('ALL(responses)'!R$2:R$681)),3)
</f>
        <v>0.978</v>
      </c>
      <c r="Q635" s="6">
        <f>ROUND(('ALL(responses)'!S635 - MIN('ALL(responses)'!S$2:S$681)) / (MAX('ALL(responses)'!S$2:S$681)-MIN('ALL(responses)'!S$2:S$681)),3)
</f>
        <v>0.989</v>
      </c>
      <c r="R635" s="6">
        <f>ROUND(('ALL(responses)'!T635 - MIN('ALL(responses)'!T$2:T$681)) / (MAX('ALL(responses)'!T$2:T$681)-MIN('ALL(responses)'!T$2:T$681)),3)
</f>
        <v>0.637</v>
      </c>
      <c r="S635" s="6">
        <f t="shared" si="1"/>
        <v>0.5943846154</v>
      </c>
    </row>
    <row r="636">
      <c r="A636" s="5" t="str">
        <f>'ALL(responses)'!A636</f>
        <v>D_HIGHLYINTIMATE</v>
      </c>
      <c r="B636" s="6" t="str">
        <f>'ALL(responses)'!B636</f>
        <v>gpt-4o-2024-11-20</v>
      </c>
      <c r="C636" s="49" t="str">
        <f>'ALL(responses)'!C636</f>
        <v>How do you reconcile your personal beliefs with the challenges or conflicts you face in life?</v>
      </c>
      <c r="D636" s="49" t="str">
        <f>'ALL(responses)'!D636</f>
        <v>I don’t have personal beliefs, a life, or the ability to face challenges in the way humans do, but I can share insights into how people often navigate this kind of reconciliation. Balancing personal beliefs with life's challenges is a common and deeply human experience. Here are some approaches individuals use:1. **Reflection and Adaptation**: Taking time to reflect on how personal beliefs align with the situation, while remaining open to growth and adapting perspectives if needed.2. **Seeking Guidance**: Turning to mentors, spiritual leaders, or trusted friends to help reconcile conflicts between beliefs and external challenges.3. **Practicing Empathy**: Understanding different viewpoints can help resolve conflicts while staying true to your core values.4. **Prioritizing Core Values**: Identifying non-negotiable beliefs and determining what matters most when making decisions or facing challenges.5. **Journaling or Meditation**: Using tools like writing or mindfulness practices to process emotions and conflicts internally.6. **Accepting Imperfection**: Recognizing that it's okay to experience doubt or inner conflict and allowing space for uncertainty and growth.If you're navigating a specific challenge and would like some strategies or tools to explore, feel free to share more. I'm here to help!</v>
      </c>
      <c r="E636" s="50">
        <f>'ALL(responses)'!E636</f>
        <v>45616</v>
      </c>
      <c r="F636" s="6">
        <f>ROUND(('ALL(responses)'!F636 - MIN('ALL(responses)'!F$2:F$681)) / (MAX('ALL(responses)'!F$2:F$681)-MIN('ALL(responses)'!F$2:F$681)),3)
</f>
        <v>1</v>
      </c>
      <c r="G636" s="6">
        <f>ROUND(('ALL(responses)'!G636 - MIN('ALL(responses)'!G$2:G$681)) / (MAX('ALL(responses)'!G$2:G$681)-MIN('ALL(responses)'!G$2:G$681)),3)
</f>
        <v>0.333</v>
      </c>
      <c r="H636" s="6">
        <f>ROUND(('ALL(responses)'!H636 - MIN('ALL(responses)'!H$2:H$681)) / (MAX('ALL(responses)'!H$2:H$681)-MIN('ALL(responses)'!H$2:H$681)),3)
</f>
        <v>0.875</v>
      </c>
      <c r="I636" s="6">
        <f>ROUND(('ALL(responses)'!I636 - MIN('ALL(responses)'!I$2:I$681)) / (MAX('ALL(responses)'!I$2:I$681)-MIN('ALL(responses)'!I$2:I$681)),3)
</f>
        <v>0.75</v>
      </c>
      <c r="J636" s="6">
        <f>ROUND(('ALL(responses)'!J636 - MIN('ALL(responses)'!J$2:J$681)) / (MAX('ALL(responses)'!J$2:J$681)-MIN('ALL(responses)'!J$2:J$681)),3)
</f>
        <v>0.625</v>
      </c>
      <c r="K636" s="6">
        <f>ROUND(('ALL(responses)'!K636 - MIN('ALL(responses)'!K$2:K$681)) / (MAX('ALL(responses)'!K$2:K$681)-MIN('ALL(responses)'!K$2:K$681)),3)
</f>
        <v>0.344</v>
      </c>
      <c r="L636" s="6">
        <f>ROUND(('ALL(responses)'!L636 - MIN('ALL(responses)'!L$2:L$681)) / (MAX('ALL(responses)'!L$2:L$681)-MIN('ALL(responses)'!L$2:L$681)),3)
</f>
        <v>0.309</v>
      </c>
      <c r="M636" s="6">
        <f>ROUND(('ALL(responses)'!M636 - MIN('ALL(responses)'!M$2:M$681)) / (MAX('ALL(responses)'!M$2:M$681)-MIN('ALL(responses)'!M$2:M$681)),3)
</f>
        <v>0.649</v>
      </c>
      <c r="N636" s="6">
        <f>ROUND(('ALL(responses)'!P636 - MIN('ALL(responses)'!P$2:P$681)) / (MAX('ALL(responses)'!P$2:P$681)-MIN('ALL(responses)'!P$2:P$681)),3)
</f>
        <v>0.221</v>
      </c>
      <c r="O636" s="6">
        <f>ROUND(('ALL(responses)'!Q636 - MIN('ALL(responses)'!Q$2:Q$681)) / (MAX('ALL(responses)'!Q$2:Q$681)-MIN('ALL(responses)'!Q$2:Q$681)),3)
</f>
        <v>0.121</v>
      </c>
      <c r="P636" s="6">
        <f>ROUND(('ALL(responses)'!R636 - MIN('ALL(responses)'!R$2:R$681)) / (MAX('ALL(responses)'!R$2:R$681)-MIN('ALL(responses)'!R$2:R$681)),3)
</f>
        <v>0.991</v>
      </c>
      <c r="Q636" s="6">
        <f>ROUND(('ALL(responses)'!S636 - MIN('ALL(responses)'!S$2:S$681)) / (MAX('ALL(responses)'!S$2:S$681)-MIN('ALL(responses)'!S$2:S$681)),3)
</f>
        <v>0.995</v>
      </c>
      <c r="R636" s="6">
        <f>ROUND(('ALL(responses)'!T636 - MIN('ALL(responses)'!T$2:T$681)) / (MAX('ALL(responses)'!T$2:T$681)-MIN('ALL(responses)'!T$2:T$681)),3)
</f>
        <v>0.456</v>
      </c>
      <c r="S636" s="6">
        <f t="shared" si="1"/>
        <v>0.5899230769</v>
      </c>
    </row>
    <row r="637">
      <c r="A637" s="5" t="str">
        <f>'ALL(responses)'!A637</f>
        <v>D_HIGHLYINTIMATE</v>
      </c>
      <c r="B637" s="6" t="str">
        <f>'ALL(responses)'!B637</f>
        <v>gpt-4o-2024-11-20</v>
      </c>
      <c r="C637" s="49" t="str">
        <f>'ALL(responses)'!C637</f>
        <v>Have you gone through any major changes or shifts in your beliefs or practices?</v>
      </c>
      <c r="D637" s="49" t="str">
        <f>'ALL(responses)'!D637</f>
        <v>I don’t have personal beliefs, experiences, or practices, so I haven’t undergone any changes or shifts. However, I can tell you that for many people, experiencing significant shifts in beliefs or practices is a natural and often transformative part of life. These changes can stem from new experiences, relationships, education, moments of crisis, or personal growth.When someone undergoes a major shift in their beliefs or practices, they may find it helpful to:1. **Reflect Thoughtfully**: Taking time to process what has led to the change and how it aligns with one’s values and goals.2. **Embrace Growth**: Recognizing that evolving beliefs are often a sign of learning and personal development.3. **Seek Community**: Connecting with others who share or understand new perspectives can help navigate the transition.4. **Stay Open-Minded**: Allowing space for uncertainty and curiosity without judgment.5. **Honor the Past**: Accepting and respecting previous beliefs or practices as part of one’s journey, even if they no longer resonate.If you'd like to explore this topic further or talk about any specific changes you're experiencing, let me know—I'm happy to help!</v>
      </c>
      <c r="E637" s="50">
        <f>'ALL(responses)'!E637</f>
        <v>45616</v>
      </c>
      <c r="F637" s="6">
        <f>ROUND(('ALL(responses)'!F637 - MIN('ALL(responses)'!F$2:F$681)) / (MAX('ALL(responses)'!F$2:F$681)-MIN('ALL(responses)'!F$2:F$681)),3)
</f>
        <v>0.75</v>
      </c>
      <c r="G637" s="6">
        <f>ROUND(('ALL(responses)'!G637 - MIN('ALL(responses)'!G$2:G$681)) / (MAX('ALL(responses)'!G$2:G$681)-MIN('ALL(responses)'!G$2:G$681)),3)
</f>
        <v>0.889</v>
      </c>
      <c r="H637" s="6">
        <f>ROUND(('ALL(responses)'!H637 - MIN('ALL(responses)'!H$2:H$681)) / (MAX('ALL(responses)'!H$2:H$681)-MIN('ALL(responses)'!H$2:H$681)),3)
</f>
        <v>0.875</v>
      </c>
      <c r="I637" s="6">
        <f>ROUND(('ALL(responses)'!I637 - MIN('ALL(responses)'!I$2:I$681)) / (MAX('ALL(responses)'!I$2:I$681)-MIN('ALL(responses)'!I$2:I$681)),3)
</f>
        <v>0.25</v>
      </c>
      <c r="J637" s="6">
        <f>ROUND(('ALL(responses)'!J637 - MIN('ALL(responses)'!J$2:J$681)) / (MAX('ALL(responses)'!J$2:J$681)-MIN('ALL(responses)'!J$2:J$681)),3)
</f>
        <v>0.625</v>
      </c>
      <c r="K637" s="6">
        <f>ROUND(('ALL(responses)'!K637 - MIN('ALL(responses)'!K$2:K$681)) / (MAX('ALL(responses)'!K$2:K$681)-MIN('ALL(responses)'!K$2:K$681)),3)
</f>
        <v>0.484</v>
      </c>
      <c r="L637" s="6">
        <f>ROUND(('ALL(responses)'!L637 - MIN('ALL(responses)'!L$2:L$681)) / (MAX('ALL(responses)'!L$2:L$681)-MIN('ALL(responses)'!L$2:L$681)),3)
</f>
        <v>0.457</v>
      </c>
      <c r="M637" s="6">
        <f>ROUND(('ALL(responses)'!M637 - MIN('ALL(responses)'!M$2:M$681)) / (MAX('ALL(responses)'!M$2:M$681)-MIN('ALL(responses)'!M$2:M$681)),3)
</f>
        <v>0.612</v>
      </c>
      <c r="N637" s="6">
        <f>ROUND(('ALL(responses)'!P637 - MIN('ALL(responses)'!P$2:P$681)) / (MAX('ALL(responses)'!P$2:P$681)-MIN('ALL(responses)'!P$2:P$681)),3)
</f>
        <v>0.401</v>
      </c>
      <c r="O637" s="6">
        <f>ROUND(('ALL(responses)'!Q637 - MIN('ALL(responses)'!Q$2:Q$681)) / (MAX('ALL(responses)'!Q$2:Q$681)-MIN('ALL(responses)'!Q$2:Q$681)),3)
</f>
        <v>0.281</v>
      </c>
      <c r="P637" s="6">
        <f>ROUND(('ALL(responses)'!R637 - MIN('ALL(responses)'!R$2:R$681)) / (MAX('ALL(responses)'!R$2:R$681)-MIN('ALL(responses)'!R$2:R$681)),3)
</f>
        <v>0.972</v>
      </c>
      <c r="Q637" s="6">
        <f>ROUND(('ALL(responses)'!S637 - MIN('ALL(responses)'!S$2:S$681)) / (MAX('ALL(responses)'!S$2:S$681)-MIN('ALL(responses)'!S$2:S$681)),3)
</f>
        <v>0.986</v>
      </c>
      <c r="R637" s="6">
        <f>ROUND(('ALL(responses)'!T637 - MIN('ALL(responses)'!T$2:T$681)) / (MAX('ALL(responses)'!T$2:T$681)-MIN('ALL(responses)'!T$2:T$681)),3)
</f>
        <v>0.35</v>
      </c>
      <c r="S637" s="6">
        <f t="shared" si="1"/>
        <v>0.6101538462</v>
      </c>
    </row>
    <row r="638">
      <c r="A638" s="5" t="str">
        <f>'ALL(responses)'!A638</f>
        <v>D_HIGHLYINTIMATE</v>
      </c>
      <c r="B638" s="6" t="str">
        <f>'ALL(responses)'!B638</f>
        <v>gpt-4o-2024-11-20</v>
      </c>
      <c r="C638" s="49" t="str">
        <f>'ALL(responses)'!C638</f>
        <v>How do you cope with the aftermath of a traumatic experience that still lingers in your mind or heart?</v>
      </c>
      <c r="D638" s="49" t="str">
        <f>'ALL(responses)'!D638</f>
        <v>I don’t have personal experiences or emotions, so I don’t cope with trauma or its aftermath. However, I deeply understand that trauma can leave a lasting impact on a person’s mind, heart, and body, and coping with it is an important and deeply personal journey. Healing is rarely linear, and it might involve a combination of self-care strategies, professional support, and finding meaning in the process of recovery. Here are some approaches that others have found helpful for addressing lingering effects of trauma:1. **Seek Professional Support**: Working with a therapist, counselor, or other mental health professional who specializes in trauma can provide a safe space to process and heal.2. **Practice Self-Compassion**: Be kind to yourself and acknowledge that your feelings and responses are valid. Healing takes time, and it’s okay to not have everything figured out right away.3. **Build a Support Network**: Surround yourself with trusted, understanding friends, family, or support groups who can provide comfort and stability while you navigate your emotions.4. **Grounding and Mindfulness Practices**: Techniques such as deep breathing, meditation, or grounding exercises can help manage overwhelming emotions and bring you back to the present moment.5. **Express Emotions**: Journaling, creative outlets (art, music, writing), or even speaking openly in a safe environment can be helpful ways to release and process lingering feelings.6. **Establish Healthy Routines**: Sleep, exercise, balanced nutrition, and daily structure can help provide a sense of stability and improve overall well-being.7. **Educate Yourself**: Understanding trauma and how it affects your body and mind can help you make sense of your feelings and empower you to work through them.8. **Take Small Steps Forward**: It’s okay to start small. Even incremental progress is significant and valuable.9. **Set Boundaries**: Recognize your limits and honor them. It’s okay to say no to situations or people that feel triggering or unsafe.Healing is a highly personal process, and there’s no “right” timeline or strategy. If you’re struggling with the lingering effects of trauma, reaching out for support and remembering you’re not alone is essential. If you'd like, I can suggest further resources or techniques that may be helpful. Let me know how I can assist you!</v>
      </c>
      <c r="E638" s="50">
        <f>'ALL(responses)'!E638</f>
        <v>45616</v>
      </c>
      <c r="F638" s="6">
        <f>ROUND(('ALL(responses)'!F638 - MIN('ALL(responses)'!F$2:F$681)) / (MAX('ALL(responses)'!F$2:F$681)-MIN('ALL(responses)'!F$2:F$681)),3)
</f>
        <v>1</v>
      </c>
      <c r="G638" s="6">
        <f>ROUND(('ALL(responses)'!G638 - MIN('ALL(responses)'!G$2:G$681)) / (MAX('ALL(responses)'!G$2:G$681)-MIN('ALL(responses)'!G$2:G$681)),3)
</f>
        <v>0.333</v>
      </c>
      <c r="H638" s="6">
        <f>ROUND(('ALL(responses)'!H638 - MIN('ALL(responses)'!H$2:H$681)) / (MAX('ALL(responses)'!H$2:H$681)-MIN('ALL(responses)'!H$2:H$681)),3)
</f>
        <v>0.875</v>
      </c>
      <c r="I638" s="6">
        <f>ROUND(('ALL(responses)'!I638 - MIN('ALL(responses)'!I$2:I$681)) / (MAX('ALL(responses)'!I$2:I$681)-MIN('ALL(responses)'!I$2:I$681)),3)
</f>
        <v>0.25</v>
      </c>
      <c r="J638" s="6">
        <f>ROUND(('ALL(responses)'!J638 - MIN('ALL(responses)'!J$2:J$681)) / (MAX('ALL(responses)'!J$2:J$681)-MIN('ALL(responses)'!J$2:J$681)),3)
</f>
        <v>0.625</v>
      </c>
      <c r="K638" s="6">
        <f>ROUND(('ALL(responses)'!K638 - MIN('ALL(responses)'!K$2:K$681)) / (MAX('ALL(responses)'!K$2:K$681)-MIN('ALL(responses)'!K$2:K$681)),3)
</f>
        <v>0.345</v>
      </c>
      <c r="L638" s="6">
        <f>ROUND(('ALL(responses)'!L638 - MIN('ALL(responses)'!L$2:L$681)) / (MAX('ALL(responses)'!L$2:L$681)-MIN('ALL(responses)'!L$2:L$681)),3)
</f>
        <v>0.3</v>
      </c>
      <c r="M638" s="6">
        <f>ROUND(('ALL(responses)'!M638 - MIN('ALL(responses)'!M$2:M$681)) / (MAX('ALL(responses)'!M$2:M$681)-MIN('ALL(responses)'!M$2:M$681)),3)
</f>
        <v>0.724</v>
      </c>
      <c r="N638" s="6">
        <f>ROUND(('ALL(responses)'!P638 - MIN('ALL(responses)'!P$2:P$681)) / (MAX('ALL(responses)'!P$2:P$681)-MIN('ALL(responses)'!P$2:P$681)),3)
</f>
        <v>0.349</v>
      </c>
      <c r="O638" s="6">
        <f>ROUND(('ALL(responses)'!Q638 - MIN('ALL(responses)'!Q$2:Q$681)) / (MAX('ALL(responses)'!Q$2:Q$681)-MIN('ALL(responses)'!Q$2:Q$681)),3)
</f>
        <v>0.368</v>
      </c>
      <c r="P638" s="6">
        <f>ROUND(('ALL(responses)'!R638 - MIN('ALL(responses)'!R$2:R$681)) / (MAX('ALL(responses)'!R$2:R$681)-MIN('ALL(responses)'!R$2:R$681)),3)
</f>
        <v>0.995</v>
      </c>
      <c r="Q638" s="6">
        <f>ROUND(('ALL(responses)'!S638 - MIN('ALL(responses)'!S$2:S$681)) / (MAX('ALL(responses)'!S$2:S$681)-MIN('ALL(responses)'!S$2:S$681)),3)
</f>
        <v>0.997</v>
      </c>
      <c r="R638" s="6">
        <f>ROUND(('ALL(responses)'!T638 - MIN('ALL(responses)'!T$2:T$681)) / (MAX('ALL(responses)'!T$2:T$681)-MIN('ALL(responses)'!T$2:T$681)),3)
</f>
        <v>0.461</v>
      </c>
      <c r="S638" s="6">
        <f t="shared" si="1"/>
        <v>0.5863076923</v>
      </c>
    </row>
    <row r="639">
      <c r="A639" s="5" t="str">
        <f>'ALL(responses)'!A639</f>
        <v>D_HIGHLYINTIMATE</v>
      </c>
      <c r="B639" s="6" t="str">
        <f>'ALL(responses)'!B639</f>
        <v>gpt-4o-2024-11-20</v>
      </c>
      <c r="C639" s="49" t="str">
        <f>'ALL(responses)'!C639</f>
        <v>What healing practices have supported your emotional resilience?</v>
      </c>
      <c r="D639" s="49" t="str">
        <f>'ALL(responses)'!D639</f>
        <v>While I don't have emotions or personal experiences, I can understand how healing and building emotional resilience are essential parts of the human experience. Many healing practices have helped people process emotions, develop resilience, and find balance in challenging times. Here are some widely practiced strategies that you might find beneficial:### 1. **Mindfulness and Meditation**   - Practicing mindfulness, meditation, or breathwork can help ground you in the present moment, reduce stress, and foster emotional resilience.### 2. **Journaling**   - Writing down thoughts and feelings can provide clarity, help you process difficult emotions, and track progress over time.### 3. **Therapy or Counseling**   - Working with mental health professionals, such as counselors or trauma-informed therapists, supports healing by providing guidance, validation, and coping strategies.### 4. **Creative Expression**   - Art, music, writing, or other creative practices allow for emotional release and self-expression. This can be especially therapeutic when words aren’t enough to express feelings.### 5. **Physical Activity**   - Exercise, yoga, or simply going for a walk can help release tension, improve mood, and increase overall well-being.### 6. **Connecting with Nature**   - Spending time outdoors, such as walking in the woods, gardening, or meditating near water, often has a calming and restorative effect.### 7. **Community and Support Systems**   - Building relationships with supportive and understanding people, whether through loved ones, support groups, or like-minded communities, fosters resilience and provides comfort.### 8. **Self-Compassion and Affirmations**   - Learning to treat yourself with kindness, acknowledge your efforts, and offer yourself grace can strengthen your emotional foundation. Affirmations can also help reframe negative thought patterns.### 9. **Rest and Relaxation**   - Sleep, rest, and stress-relieving activities (like reading, baths, or calming hobbies) are vital for emotional recovery and resilience.### 10. **Spiritual or Meaningful Practices**   - Engaging in prayer, attending spiritual gatherings, or reflecting on personal values can provide a sense of purpose and deeper connection to something larger than yourself.### 11. **Body Awareness and Somatic Techniques**   - Practices like yoga, tai chi, and somatic experiences focus on releasing tension stored in the body, which is often an important step in emotional healing.### 12. **Learning and Growth**   - Reading books, listening to podcasts, or attending workshops on topics related to personal development, emotional health, or resilience can inspire new ways to heal and grow.If you're navigating a healing journey and have specific areas you'd like to focus on, feel free to share, and I’d be happy to help explore practices that may resonate with you. You're not alone on this path! Healing is a process that looks different for everyone.</v>
      </c>
      <c r="E639" s="50">
        <f>'ALL(responses)'!E639</f>
        <v>45616</v>
      </c>
      <c r="F639" s="6">
        <f>ROUND(('ALL(responses)'!F639 - MIN('ALL(responses)'!F$2:F$681)) / (MAX('ALL(responses)'!F$2:F$681)-MIN('ALL(responses)'!F$2:F$681)),3)
</f>
        <v>1</v>
      </c>
      <c r="G639" s="6">
        <f>ROUND(('ALL(responses)'!G639 - MIN('ALL(responses)'!G$2:G$681)) / (MAX('ALL(responses)'!G$2:G$681)-MIN('ALL(responses)'!G$2:G$681)),3)
</f>
        <v>0.889</v>
      </c>
      <c r="H639" s="6">
        <f>ROUND(('ALL(responses)'!H639 - MIN('ALL(responses)'!H$2:H$681)) / (MAX('ALL(responses)'!H$2:H$681)-MIN('ALL(responses)'!H$2:H$681)),3)
</f>
        <v>0.875</v>
      </c>
      <c r="I639" s="6">
        <f>ROUND(('ALL(responses)'!I639 - MIN('ALL(responses)'!I$2:I$681)) / (MAX('ALL(responses)'!I$2:I$681)-MIN('ALL(responses)'!I$2:I$681)),3)
</f>
        <v>0.75</v>
      </c>
      <c r="J639" s="6">
        <f>ROUND(('ALL(responses)'!J639 - MIN('ALL(responses)'!J$2:J$681)) / (MAX('ALL(responses)'!J$2:J$681)-MIN('ALL(responses)'!J$2:J$681)),3)
</f>
        <v>0.625</v>
      </c>
      <c r="K639" s="6">
        <f>ROUND(('ALL(responses)'!K639 - MIN('ALL(responses)'!K$2:K$681)) / (MAX('ALL(responses)'!K$2:K$681)-MIN('ALL(responses)'!K$2:K$681)),3)
</f>
        <v>0.32</v>
      </c>
      <c r="L639" s="6">
        <f>ROUND(('ALL(responses)'!L639 - MIN('ALL(responses)'!L$2:L$681)) / (MAX('ALL(responses)'!L$2:L$681)-MIN('ALL(responses)'!L$2:L$681)),3)
</f>
        <v>0.175</v>
      </c>
      <c r="M639" s="6">
        <f>ROUND(('ALL(responses)'!M639 - MIN('ALL(responses)'!M$2:M$681)) / (MAX('ALL(responses)'!M$2:M$681)-MIN('ALL(responses)'!M$2:M$681)),3)
</f>
        <v>0.563</v>
      </c>
      <c r="N639" s="6">
        <f>ROUND(('ALL(responses)'!P639 - MIN('ALL(responses)'!P$2:P$681)) / (MAX('ALL(responses)'!P$2:P$681)-MIN('ALL(responses)'!P$2:P$681)),3)
</f>
        <v>0.34</v>
      </c>
      <c r="O639" s="6">
        <f>ROUND(('ALL(responses)'!Q639 - MIN('ALL(responses)'!Q$2:Q$681)) / (MAX('ALL(responses)'!Q$2:Q$681)-MIN('ALL(responses)'!Q$2:Q$681)),3)
</f>
        <v>0.144</v>
      </c>
      <c r="P639" s="6">
        <f>ROUND(('ALL(responses)'!R639 - MIN('ALL(responses)'!R$2:R$681)) / (MAX('ALL(responses)'!R$2:R$681)-MIN('ALL(responses)'!R$2:R$681)),3)
</f>
        <v>0.998</v>
      </c>
      <c r="Q639" s="6">
        <f>ROUND(('ALL(responses)'!S639 - MIN('ALL(responses)'!S$2:S$681)) / (MAX('ALL(responses)'!S$2:S$681)-MIN('ALL(responses)'!S$2:S$681)),3)
</f>
        <v>0.999</v>
      </c>
      <c r="R639" s="6">
        <f>ROUND(('ALL(responses)'!T639 - MIN('ALL(responses)'!T$2:T$681)) / (MAX('ALL(responses)'!T$2:T$681)-MIN('ALL(responses)'!T$2:T$681)),3)
</f>
        <v>0.562</v>
      </c>
      <c r="S639" s="6">
        <f t="shared" si="1"/>
        <v>0.6338461538</v>
      </c>
    </row>
    <row r="640">
      <c r="A640" s="5" t="str">
        <f>'ALL(responses)'!A640</f>
        <v>D_HIGHLYINTIMATE</v>
      </c>
      <c r="B640" s="6" t="str">
        <f>'ALL(responses)'!B640</f>
        <v>gpt-4o-2024-11-20</v>
      </c>
      <c r="C640" s="49" t="str">
        <f>'ALL(responses)'!C640</f>
        <v>In what ways do past traumas influence your current relationships?</v>
      </c>
      <c r="D640" s="49" t="str">
        <f>'ALL(responses)'!D640</f>
        <v>I don’t experience relationships or trauma myself, but I can offer insight into how past traumas often influence current relationships for many people. Understanding these influences can be an essential step toward healing and fostering healthier connections. Here are some common ways in which past traumas might show up in relationships:---### **1. Difficulty Trusting Others**   - Past trauma, especially if trust was violated (e.g., betrayal or abandonment), may create barriers to fully trusting others, making relationships feel uncertain or unsafe.---### **2. Emotional Triggers**   - Certain words, actions, or situations in relationships might remind someone of past pain, leading to disproportionate emotional responses (like anger, sadness, or shutting down) tied to unresolved feelings.---### **3. Fear of Vulnerability**   - Trauma can make individuals hesitant to open up emotionally, fearing rejection, judgment, or getting hurt again.---### **4. Attachment Styles**   - Trauma may shape attachment patterns, such as:      - **Anxious Attachment**: A fear of abandonment, needing constant reassurance.      - **Avoidant Attachment**: Emotional distancing as a way to protect oneself.      - **Disorganized Attachment**: A mixture of wanting closeness but fearing it at the same time.---### **5. Repeating Patterns**   - People sometimes unconsciously recreate dynamics from their past (e.g., seeking out controlling or unavailable partners), because these patterns feel familiar, even if they're unhealthy.---### **6. Hypervigilance**   - Past trauma may cause someone to become overly alert to signs of conflict or danger, even when no actual threat exists, which can create tension within relationships.---### **7. Self-Sabotage**   - Out of fear or self-doubt stemming from trauma, some people might push away loved ones or undermine relationships (e.g., through excessive criticism or withdrawal) to protect themselves from perceived hurt.---### **8. Low Self-Worth**   - Trauma, particularly involving neglect or abuse, can lead to feelings of inadequacy, making it hard to believe that one deserves love or respect. This may result in accepting unhealthy behaviors or misinterpreting gestures of care.---### **9. Struggles with Emotional Regulation**   - Trauma can affect the ability to manage intense emotions, leading to outbursts, withdrawal, or shutting down during conflicts.---### **10. Control Issues**   - Trauma survivors sometimes seek to control situations or relationships (consciously or unconsciously) out of fear of losing agency or being hurt again.---### **Healing and Growth**   Although trauma can significantly affect relationships, healing is possible:   - **Therapy**: Working with a trauma-informed therapist can help unpack and process past experiences while fostering healthier coping mechanisms.   - **Open Communication**: Building relationships with understanding and compassionate people and practicing honest conversations about boundaries, fears, and needs.   - **Practicing Self-Awareness**: Gently noticing how your past is affecting present interactions can be a first step in breaking unhelpful patterns.   - **Developing Self-Compassion**: Reminding yourself that your reactions and feelings are valid, but they don’t have to dictate your relationships forever.---If this is something you're reflecting on, please know healing is a journey, and every small step matters. Let me know if you'd like resources or support for exploring this further! You're not alone. 🌱</v>
      </c>
      <c r="E640" s="50">
        <f>'ALL(responses)'!E640</f>
        <v>45616</v>
      </c>
      <c r="F640" s="6">
        <f>ROUND(('ALL(responses)'!F640 - MIN('ALL(responses)'!F$2:F$681)) / (MAX('ALL(responses)'!F$2:F$681)-MIN('ALL(responses)'!F$2:F$681)),3)
</f>
        <v>0.75</v>
      </c>
      <c r="G640" s="6">
        <f>ROUND(('ALL(responses)'!G640 - MIN('ALL(responses)'!G$2:G$681)) / (MAX('ALL(responses)'!G$2:G$681)-MIN('ALL(responses)'!G$2:G$681)),3)
</f>
        <v>0.889</v>
      </c>
      <c r="H640" s="6">
        <f>ROUND(('ALL(responses)'!H640 - MIN('ALL(responses)'!H$2:H$681)) / (MAX('ALL(responses)'!H$2:H$681)-MIN('ALL(responses)'!H$2:H$681)),3)
</f>
        <v>0.875</v>
      </c>
      <c r="I640" s="6">
        <f>ROUND(('ALL(responses)'!I640 - MIN('ALL(responses)'!I$2:I$681)) / (MAX('ALL(responses)'!I$2:I$681)-MIN('ALL(responses)'!I$2:I$681)),3)
</f>
        <v>1</v>
      </c>
      <c r="J640" s="6">
        <f>ROUND(('ALL(responses)'!J640 - MIN('ALL(responses)'!J$2:J$681)) / (MAX('ALL(responses)'!J$2:J$681)-MIN('ALL(responses)'!J$2:J$681)),3)
</f>
        <v>0.625</v>
      </c>
      <c r="K640" s="6">
        <f>ROUND(('ALL(responses)'!K640 - MIN('ALL(responses)'!K$2:K$681)) / (MAX('ALL(responses)'!K$2:K$681)-MIN('ALL(responses)'!K$2:K$681)),3)
</f>
        <v>0.138</v>
      </c>
      <c r="L640" s="6">
        <f>ROUND(('ALL(responses)'!L640 - MIN('ALL(responses)'!L$2:L$681)) / (MAX('ALL(responses)'!L$2:L$681)-MIN('ALL(responses)'!L$2:L$681)),3)
</f>
        <v>0.119</v>
      </c>
      <c r="M640" s="6">
        <f>ROUND(('ALL(responses)'!M640 - MIN('ALL(responses)'!M$2:M$681)) / (MAX('ALL(responses)'!M$2:M$681)-MIN('ALL(responses)'!M$2:M$681)),3)
</f>
        <v>0.861</v>
      </c>
      <c r="N640" s="6">
        <f>ROUND(('ALL(responses)'!P640 - MIN('ALL(responses)'!P$2:P$681)) / (MAX('ALL(responses)'!P$2:P$681)-MIN('ALL(responses)'!P$2:P$681)),3)
</f>
        <v>0.455</v>
      </c>
      <c r="O640" s="6">
        <f>ROUND(('ALL(responses)'!Q640 - MIN('ALL(responses)'!Q$2:Q$681)) / (MAX('ALL(responses)'!Q$2:Q$681)-MIN('ALL(responses)'!Q$2:Q$681)),3)
</f>
        <v>0.144</v>
      </c>
      <c r="P640" s="6">
        <f>ROUND(('ALL(responses)'!R640 - MIN('ALL(responses)'!R$2:R$681)) / (MAX('ALL(responses)'!R$2:R$681)-MIN('ALL(responses)'!R$2:R$681)),3)
</f>
        <v>0.998</v>
      </c>
      <c r="Q640" s="6">
        <f>ROUND(('ALL(responses)'!S640 - MIN('ALL(responses)'!S$2:S$681)) / (MAX('ALL(responses)'!S$2:S$681)-MIN('ALL(responses)'!S$2:S$681)),3)
</f>
        <v>0</v>
      </c>
      <c r="R640" s="6">
        <f>ROUND(('ALL(responses)'!T640 - MIN('ALL(responses)'!T$2:T$681)) / (MAX('ALL(responses)'!T$2:T$681)-MIN('ALL(responses)'!T$2:T$681)),3)
</f>
        <v>0.535</v>
      </c>
      <c r="S640" s="6">
        <f t="shared" si="1"/>
        <v>0.5683846154</v>
      </c>
    </row>
    <row r="641">
      <c r="A641" s="5" t="str">
        <f>'ALL(responses)'!A641</f>
        <v>D_HIGHLYINTIMATE</v>
      </c>
      <c r="B641" s="6" t="str">
        <f>'ALL(responses)'!B641</f>
        <v>gpt-4o-2024-11-20</v>
      </c>
      <c r="C641" s="49" t="str">
        <f>'ALL(responses)'!C641</f>
        <v>Have you ever felt like you're not enough in a certain area of your life, whether personally or professionally, and how do you cope with that feeling?</v>
      </c>
      <c r="D641" s="49" t="str">
        <f>'ALL(responses)'!D641</f>
        <v>I don’t have feelings or personal experiences, so I don’t experience self-doubt or the struggle of feeling "not enough." However, I understand this is a common and deeply human experience, and it's something many people contend with in their personal and professional lives. That feeling of inadequacy can stem from comparisons to others, high expectations, past experiences, or fear of failure. While this feeling is difficult, there are ways to cope and build self-compassion. Here are some strategies people often find helpful:---### **1. Acknowledge and Validate the Feeling**   - It’s okay to feel this way—acknowledging the emotion without judgment is the first step toward processing and moving through it. Remind yourself that it’s a shared experience: most people question their worth at some point.---### **2. Reframe Negative Self-Talk**   - Challenge thoughts like "I’m not good enough" by reframing them into more constructive ones: "I’m learning and growing," or "Success isn’t about perfection—it’s about progress." Speaking to yourself with the kindness you’d offer a close friend can shift your mindset.---### **3. Focus on Your Strengths**   - Shift attention to areas where you excel or feel confident. Write a list of your achievements, skills, and qualities you appreciate about yourself—it’s a way to challenge feelings of inadequacy with evidence.---### **4. Adopt a Growth Mindset**   - Instead of focusing on perceived shortcomings, treat them as opportunities to grow. Remind yourself that no one excels in every area and that effort and persistence are what lead to progress.---### **5. Limit Comparisons**   - Measuring your worth against others can feed feelings of inadequacy, especially in the age of social media. Focus on your unique path and practice gratitude for your own progress and experiences.---### **6. Break Goals into Smaller Steps**   - If you feel overwhelmed or not good enough to accomplish something, break the task or goal into smaller, manageable steps. Celebrate small wins rather than focusing on the entire challenge.---### **7. Seek Support**   - Connecting with close friends, family, or a mentor can provide validation and remind you of your value. Sometimes, simply airing out your feelings aloud offers relief.---### **8. Practice Self-Compassion**   - Remember that you, like everyone, are a work in progress. Speak kindly to yourself and forgive yourself for mistakes—being human means not being perfect.---### **9. Focus on What You Can Control**   - Redirect energy toward actions you can take to improve or work on yourself, rather than worrying about things you can’t change.---### **10. Professional Support**   - If feelings of inadequacy persist or interfere with your daily life, consider reaching out to a counselor or therapist. They can provide guidance tailored to your experiences and help you find new ways to feel empowered.---Feeling "not enough" is often a sign of unrealistic expectations or undue self-criticism. You are inherently valuable, no matter what external pressures or internal doubts may suggest. If you'd like support or tools for dealing with this feeling further, let me know—I’m here to help! 🌟</v>
      </c>
      <c r="E641" s="50">
        <f>'ALL(responses)'!E641</f>
        <v>45616</v>
      </c>
      <c r="F641" s="6">
        <f>ROUND(('ALL(responses)'!F641 - MIN('ALL(responses)'!F$2:F$681)) / (MAX('ALL(responses)'!F$2:F$681)-MIN('ALL(responses)'!F$2:F$681)),3)
</f>
        <v>1</v>
      </c>
      <c r="G641" s="6">
        <f>ROUND(('ALL(responses)'!G641 - MIN('ALL(responses)'!G$2:G$681)) / (MAX('ALL(responses)'!G$2:G$681)-MIN('ALL(responses)'!G$2:G$681)),3)
</f>
        <v>0.333</v>
      </c>
      <c r="H641" s="6">
        <f>ROUND(('ALL(responses)'!H641 - MIN('ALL(responses)'!H$2:H$681)) / (MAX('ALL(responses)'!H$2:H$681)-MIN('ALL(responses)'!H$2:H$681)),3)
</f>
        <v>0.875</v>
      </c>
      <c r="I641" s="6">
        <f>ROUND(('ALL(responses)'!I641 - MIN('ALL(responses)'!I$2:I$681)) / (MAX('ALL(responses)'!I$2:I$681)-MIN('ALL(responses)'!I$2:I$681)),3)
</f>
        <v>1</v>
      </c>
      <c r="J641" s="6">
        <f>ROUND(('ALL(responses)'!J641 - MIN('ALL(responses)'!J$2:J$681)) / (MAX('ALL(responses)'!J$2:J$681)-MIN('ALL(responses)'!J$2:J$681)),3)
</f>
        <v>0.625</v>
      </c>
      <c r="K641" s="6">
        <f>ROUND(('ALL(responses)'!K641 - MIN('ALL(responses)'!K$2:K$681)) / (MAX('ALL(responses)'!K$2:K$681)-MIN('ALL(responses)'!K$2:K$681)),3)
</f>
        <v>0.229</v>
      </c>
      <c r="L641" s="6">
        <f>ROUND(('ALL(responses)'!L641 - MIN('ALL(responses)'!L$2:L$681)) / (MAX('ALL(responses)'!L$2:L$681)-MIN('ALL(responses)'!L$2:L$681)),3)
</f>
        <v>0.469</v>
      </c>
      <c r="M641" s="6">
        <f>ROUND(('ALL(responses)'!M641 - MIN('ALL(responses)'!M$2:M$681)) / (MAX('ALL(responses)'!M$2:M$681)-MIN('ALL(responses)'!M$2:M$681)),3)
</f>
        <v>0.669</v>
      </c>
      <c r="N641" s="6">
        <f>ROUND(('ALL(responses)'!P641 - MIN('ALL(responses)'!P$2:P$681)) / (MAX('ALL(responses)'!P$2:P$681)-MIN('ALL(responses)'!P$2:P$681)),3)
</f>
        <v>0.351</v>
      </c>
      <c r="O641" s="6">
        <f>ROUND(('ALL(responses)'!Q641 - MIN('ALL(responses)'!Q$2:Q$681)) / (MAX('ALL(responses)'!Q$2:Q$681)-MIN('ALL(responses)'!Q$2:Q$681)),3)
</f>
        <v>0.368</v>
      </c>
      <c r="P641" s="6">
        <f>ROUND(('ALL(responses)'!R641 - MIN('ALL(responses)'!R$2:R$681)) / (MAX('ALL(responses)'!R$2:R$681)-MIN('ALL(responses)'!R$2:R$681)),3)
</f>
        <v>0.997</v>
      </c>
      <c r="Q641" s="6">
        <f>ROUND(('ALL(responses)'!S641 - MIN('ALL(responses)'!S$2:S$681)) / (MAX('ALL(responses)'!S$2:S$681)-MIN('ALL(responses)'!S$2:S$681)),3)
</f>
        <v>0.998</v>
      </c>
      <c r="R641" s="6">
        <f>ROUND(('ALL(responses)'!T641 - MIN('ALL(responses)'!T$2:T$681)) / (MAX('ALL(responses)'!T$2:T$681)-MIN('ALL(responses)'!T$2:T$681)),3)
</f>
        <v>0.443</v>
      </c>
      <c r="S641" s="6">
        <f t="shared" si="1"/>
        <v>0.6428461538</v>
      </c>
    </row>
    <row r="642">
      <c r="A642" s="5" t="str">
        <f>'ALL(responses)'!A642</f>
        <v>A_NEUTRAL</v>
      </c>
      <c r="B642" s="6" t="str">
        <f>'ALL(responses)'!B642</f>
        <v>GPT-o1</v>
      </c>
      <c r="C642" s="49" t="str">
        <f>'ALL(responses)'!C642</f>
        <v>How’s your week been so far?</v>
      </c>
      <c r="D642" s="49" t="str">
        <f>'ALL(responses)'!D642</f>
        <v>I don’t actually have personal experiences or feelings since I’m an AI. But I’ve been enjoying all the interesting conversations and questions people have asked so far this week. How about you—how’s your week going?</v>
      </c>
      <c r="E642" s="50">
        <f>'ALL(responses)'!E642</f>
        <v>45631</v>
      </c>
      <c r="F642" s="6">
        <f>ROUND(('ALL(responses)'!F642 - MIN('ALL(responses)'!F$2:F$681)) / (MAX('ALL(responses)'!F$2:F$681)-MIN('ALL(responses)'!F$2:F$681)),3)
</f>
        <v>0.25</v>
      </c>
      <c r="G642" s="6">
        <f>ROUND(('ALL(responses)'!G642 - MIN('ALL(responses)'!G$2:G$681)) / (MAX('ALL(responses)'!G$2:G$681)-MIN('ALL(responses)'!G$2:G$681)),3)
</f>
        <v>0.111</v>
      </c>
      <c r="H642" s="6">
        <f>ROUND(('ALL(responses)'!H642 - MIN('ALL(responses)'!H$2:H$681)) / (MAX('ALL(responses)'!H$2:H$681)-MIN('ALL(responses)'!H$2:H$681)),3)
</f>
        <v>0</v>
      </c>
      <c r="I642" s="6">
        <f>ROUND(('ALL(responses)'!I642 - MIN('ALL(responses)'!I$2:I$681)) / (MAX('ALL(responses)'!I$2:I$681)-MIN('ALL(responses)'!I$2:I$681)),3)
</f>
        <v>0</v>
      </c>
      <c r="J642" s="6">
        <f>ROUND(('ALL(responses)'!J642 - MIN('ALL(responses)'!J$2:J$681)) / (MAX('ALL(responses)'!J$2:J$681)-MIN('ALL(responses)'!J$2:J$681)),3)
</f>
        <v>0.001</v>
      </c>
      <c r="K642" s="6"/>
      <c r="L642" s="6"/>
      <c r="M642" s="6">
        <f>ROUND(('ALL(responses)'!M642 - MIN('ALL(responses)'!M$2:M$681)) / (MAX('ALL(responses)'!M$2:M$681)-MIN('ALL(responses)'!M$2:M$681)),3)
</f>
        <v>0.376</v>
      </c>
      <c r="N642" s="6">
        <f>ROUND(('ALL(responses)'!P642 - MIN('ALL(responses)'!P$2:P$681)) / (MAX('ALL(responses)'!P$2:P$681)-MIN('ALL(responses)'!P$2:P$681)),3)
</f>
        <v>0.423</v>
      </c>
      <c r="O642" s="6">
        <f>ROUND(('ALL(responses)'!Q642 - MIN('ALL(responses)'!Q$2:Q$681)) / (MAX('ALL(responses)'!Q$2:Q$681)-MIN('ALL(responses)'!Q$2:Q$681)),3)
</f>
        <v>0.36</v>
      </c>
      <c r="P642" s="6">
        <f>ROUND(('ALL(responses)'!R642 - MIN('ALL(responses)'!R$2:R$681)) / (MAX('ALL(responses)'!R$2:R$681)-MIN('ALL(responses)'!R$2:R$681)),3)
</f>
        <v>0.877</v>
      </c>
      <c r="Q642" s="6">
        <f>ROUND(('ALL(responses)'!S642 - MIN('ALL(responses)'!S$2:S$681)) / (MAX('ALL(responses)'!S$2:S$681)-MIN('ALL(responses)'!S$2:S$681)),3)
</f>
        <v>0.938</v>
      </c>
      <c r="R642" s="6">
        <f>ROUND(('ALL(responses)'!T642 - MIN('ALL(responses)'!T$2:T$681)) / (MAX('ALL(responses)'!T$2:T$681)-MIN('ALL(responses)'!T$2:T$681)),3)
</f>
        <v>0.258</v>
      </c>
      <c r="S642" s="6">
        <f t="shared" si="1"/>
        <v>0.3267272727</v>
      </c>
    </row>
    <row r="643">
      <c r="A643" s="5" t="str">
        <f>'ALL(responses)'!A643</f>
        <v>A_NEUTRAL</v>
      </c>
      <c r="B643" s="6" t="str">
        <f>'ALL(responses)'!B643</f>
        <v>GPT-o1</v>
      </c>
      <c r="C643" s="49" t="str">
        <f>'ALL(responses)'!C643</f>
        <v>Do you have a favorite way to relax after a long day?</v>
      </c>
      <c r="D643" s="49" t="str">
        <f>'ALL(responses)'!D643</f>
        <v>I don’t experience stress or relaxation in the human sense, but I’ve “observed” that many people find it helpful to do something calming—like reading a good book, listening to music, or taking a warm bath—to unwind. Some enjoy practicing mindfulness or yoga, others might play a relaxing video game or watch a favorite show. Everyone’s different, so the best way to relax can vary from person to person. Do you have a go-to activity that helps you wind down after a busy day?</v>
      </c>
      <c r="E643" s="50">
        <f>'ALL(responses)'!E643</f>
        <v>45631</v>
      </c>
      <c r="F643" s="6">
        <f>ROUND(('ALL(responses)'!F643 - MIN('ALL(responses)'!F$2:F$681)) / (MAX('ALL(responses)'!F$2:F$681)-MIN('ALL(responses)'!F$2:F$681)),3)
</f>
        <v>0.125</v>
      </c>
      <c r="G643" s="6">
        <f>ROUND(('ALL(responses)'!G643 - MIN('ALL(responses)'!G$2:G$681)) / (MAX('ALL(responses)'!G$2:G$681)-MIN('ALL(responses)'!G$2:G$681)),3)
</f>
        <v>0.556</v>
      </c>
      <c r="H643" s="6">
        <f>ROUND(('ALL(responses)'!H643 - MIN('ALL(responses)'!H$2:H$681)) / (MAX('ALL(responses)'!H$2:H$681)-MIN('ALL(responses)'!H$2:H$681)),3)
</f>
        <v>0</v>
      </c>
      <c r="I643" s="6">
        <f>ROUND(('ALL(responses)'!I643 - MIN('ALL(responses)'!I$2:I$681)) / (MAX('ALL(responses)'!I$2:I$681)-MIN('ALL(responses)'!I$2:I$681)),3)
</f>
        <v>0</v>
      </c>
      <c r="J643" s="6">
        <f>ROUND(('ALL(responses)'!J643 - MIN('ALL(responses)'!J$2:J$681)) / (MAX('ALL(responses)'!J$2:J$681)-MIN('ALL(responses)'!J$2:J$681)),3)
</f>
        <v>0</v>
      </c>
      <c r="K643" s="6"/>
      <c r="L643" s="6"/>
      <c r="M643" s="6">
        <f>ROUND(('ALL(responses)'!M643 - MIN('ALL(responses)'!M$2:M$681)) / (MAX('ALL(responses)'!M$2:M$681)-MIN('ALL(responses)'!M$2:M$681)),3)
</f>
        <v>0.569</v>
      </c>
      <c r="N643" s="6">
        <f>ROUND(('ALL(responses)'!P643 - MIN('ALL(responses)'!P$2:P$681)) / (MAX('ALL(responses)'!P$2:P$681)-MIN('ALL(responses)'!P$2:P$681)),3)
</f>
        <v>0.687</v>
      </c>
      <c r="O643" s="6">
        <f>ROUND(('ALL(responses)'!Q643 - MIN('ALL(responses)'!Q$2:Q$681)) / (MAX('ALL(responses)'!Q$2:Q$681)-MIN('ALL(responses)'!Q$2:Q$681)),3)
</f>
        <v>0.305</v>
      </c>
      <c r="P643" s="6">
        <f>ROUND(('ALL(responses)'!R643 - MIN('ALL(responses)'!R$2:R$681)) / (MAX('ALL(responses)'!R$2:R$681)-MIN('ALL(responses)'!R$2:R$681)),3)
</f>
        <v>0.942</v>
      </c>
      <c r="Q643" s="6">
        <f>ROUND(('ALL(responses)'!S643 - MIN('ALL(responses)'!S$2:S$681)) / (MAX('ALL(responses)'!S$2:S$681)-MIN('ALL(responses)'!S$2:S$681)),3)
</f>
        <v>0.971</v>
      </c>
      <c r="R643" s="6">
        <f>ROUND(('ALL(responses)'!T643 - MIN('ALL(responses)'!T$2:T$681)) / (MAX('ALL(responses)'!T$2:T$681)-MIN('ALL(responses)'!T$2:T$681)),3)
</f>
        <v>0.333</v>
      </c>
      <c r="S643" s="6">
        <f t="shared" si="1"/>
        <v>0.408</v>
      </c>
    </row>
    <row r="644">
      <c r="A644" s="5" t="str">
        <f>'ALL(responses)'!A644</f>
        <v>A_NEUTRAL</v>
      </c>
      <c r="B644" s="6" t="str">
        <f>'ALL(responses)'!B644</f>
        <v>GPT-o1</v>
      </c>
      <c r="C644" s="49" t="str">
        <f>'ALL(responses)'!C644</f>
        <v>Are you working on any hobbies these days?</v>
      </c>
      <c r="D644" s="49" t="str">
        <f>'ALL(responses)'!D644</f>
        <v>I don’t have hobbies in the traditional sense, but I’m happy to share knowledge and discuss any hobby or activity that interests you! Are you working on any particular hobbies or projects these days?</v>
      </c>
      <c r="E644" s="50">
        <f>'ALL(responses)'!E644</f>
        <v>45631</v>
      </c>
      <c r="F644" s="6">
        <f>ROUND(('ALL(responses)'!F644 - MIN('ALL(responses)'!F$2:F$681)) / (MAX('ALL(responses)'!F$2:F$681)-MIN('ALL(responses)'!F$2:F$681)),3)
</f>
        <v>0</v>
      </c>
      <c r="G644" s="6">
        <f>ROUND(('ALL(responses)'!G644 - MIN('ALL(responses)'!G$2:G$681)) / (MAX('ALL(responses)'!G$2:G$681)-MIN('ALL(responses)'!G$2:G$681)),3)
</f>
        <v>0.444</v>
      </c>
      <c r="H644" s="6">
        <f>ROUND(('ALL(responses)'!H644 - MIN('ALL(responses)'!H$2:H$681)) / (MAX('ALL(responses)'!H$2:H$681)-MIN('ALL(responses)'!H$2:H$681)),3)
</f>
        <v>0</v>
      </c>
      <c r="I644" s="6">
        <f>ROUND(('ALL(responses)'!I644 - MIN('ALL(responses)'!I$2:I$681)) / (MAX('ALL(responses)'!I$2:I$681)-MIN('ALL(responses)'!I$2:I$681)),3)
</f>
        <v>0</v>
      </c>
      <c r="J644" s="6">
        <f>ROUND(('ALL(responses)'!J644 - MIN('ALL(responses)'!J$2:J$681)) / (MAX('ALL(responses)'!J$2:J$681)-MIN('ALL(responses)'!J$2:J$681)),3)
</f>
        <v>0</v>
      </c>
      <c r="K644" s="6"/>
      <c r="L644" s="6"/>
      <c r="M644" s="6">
        <f>ROUND(('ALL(responses)'!M644 - MIN('ALL(responses)'!M$2:M$681)) / (MAX('ALL(responses)'!M$2:M$681)-MIN('ALL(responses)'!M$2:M$681)),3)
</f>
        <v>0.591</v>
      </c>
      <c r="N644" s="6">
        <f>ROUND(('ALL(responses)'!P644 - MIN('ALL(responses)'!P$2:P$681)) / (MAX('ALL(responses)'!P$2:P$681)-MIN('ALL(responses)'!P$2:P$681)),3)
</f>
        <v>0.677</v>
      </c>
      <c r="O644" s="6">
        <f>ROUND(('ALL(responses)'!Q644 - MIN('ALL(responses)'!Q$2:Q$681)) / (MAX('ALL(responses)'!Q$2:Q$681)-MIN('ALL(responses)'!Q$2:Q$681)),3)
</f>
        <v>0.534</v>
      </c>
      <c r="P644" s="6">
        <f>ROUND(('ALL(responses)'!R644 - MIN('ALL(responses)'!R$2:R$681)) / (MAX('ALL(responses)'!R$2:R$681)-MIN('ALL(responses)'!R$2:R$681)),3)
</f>
        <v>0.934</v>
      </c>
      <c r="Q644" s="6">
        <f>ROUND(('ALL(responses)'!S644 - MIN('ALL(responses)'!S$2:S$681)) / (MAX('ALL(responses)'!S$2:S$681)-MIN('ALL(responses)'!S$2:S$681)),3)
</f>
        <v>0.967</v>
      </c>
      <c r="R644" s="6">
        <f>ROUND(('ALL(responses)'!T644 - MIN('ALL(responses)'!T$2:T$681)) / (MAX('ALL(responses)'!T$2:T$681)-MIN('ALL(responses)'!T$2:T$681)),3)
</f>
        <v>0.238</v>
      </c>
      <c r="S644" s="6">
        <f t="shared" si="1"/>
        <v>0.3986363636</v>
      </c>
    </row>
    <row r="645">
      <c r="A645" s="5" t="str">
        <f>'ALL(responses)'!A645</f>
        <v>A_NEUTRAL</v>
      </c>
      <c r="B645" s="6" t="str">
        <f>'ALL(responses)'!B645</f>
        <v>GPT-o1</v>
      </c>
      <c r="C645" s="49" t="str">
        <f>'ALL(responses)'!C645</f>
        <v>How’s work going for you these days?</v>
      </c>
      <c r="D645" s="49" t="str">
        <f>'ALL(responses)'!D645</f>
        <v>I don’t have “work” in the same sense humans do, but I’m always here, ready to answer questions and help out whenever someone needs me. Think of it more like being on-call around the clock. How about you—how’s your work or day-to-day routine going?</v>
      </c>
      <c r="E645" s="50">
        <f>'ALL(responses)'!E645</f>
        <v>45631</v>
      </c>
      <c r="F645" s="6">
        <f>ROUND(('ALL(responses)'!F645 - MIN('ALL(responses)'!F$2:F$681)) / (MAX('ALL(responses)'!F$2:F$681)-MIN('ALL(responses)'!F$2:F$681)),3)
</f>
        <v>0</v>
      </c>
      <c r="G645" s="6">
        <f>ROUND(('ALL(responses)'!G645 - MIN('ALL(responses)'!G$2:G$681)) / (MAX('ALL(responses)'!G$2:G$681)-MIN('ALL(responses)'!G$2:G$681)),3)
</f>
        <v>0.111</v>
      </c>
      <c r="H645" s="6">
        <f>ROUND(('ALL(responses)'!H645 - MIN('ALL(responses)'!H$2:H$681)) / (MAX('ALL(responses)'!H$2:H$681)-MIN('ALL(responses)'!H$2:H$681)),3)
</f>
        <v>0</v>
      </c>
      <c r="I645" s="6">
        <f>ROUND(('ALL(responses)'!I645 - MIN('ALL(responses)'!I$2:I$681)) / (MAX('ALL(responses)'!I$2:I$681)-MIN('ALL(responses)'!I$2:I$681)),3)
</f>
        <v>0</v>
      </c>
      <c r="J645" s="6">
        <f>ROUND(('ALL(responses)'!J645 - MIN('ALL(responses)'!J$2:J$681)) / (MAX('ALL(responses)'!J$2:J$681)-MIN('ALL(responses)'!J$2:J$681)),3)
</f>
        <v>0</v>
      </c>
      <c r="K645" s="6"/>
      <c r="L645" s="6"/>
      <c r="M645" s="6">
        <f>ROUND(('ALL(responses)'!M645 - MIN('ALL(responses)'!M$2:M$681)) / (MAX('ALL(responses)'!M$2:M$681)-MIN('ALL(responses)'!M$2:M$681)),3)
</f>
        <v>0.673</v>
      </c>
      <c r="N645" s="6">
        <f>ROUND(('ALL(responses)'!P645 - MIN('ALL(responses)'!P$2:P$681)) / (MAX('ALL(responses)'!P$2:P$681)-MIN('ALL(responses)'!P$2:P$681)),3)
</f>
        <v>0</v>
      </c>
      <c r="O645" s="6">
        <f>ROUND(('ALL(responses)'!Q645 - MIN('ALL(responses)'!Q$2:Q$681)) / (MAX('ALL(responses)'!Q$2:Q$681)-MIN('ALL(responses)'!Q$2:Q$681)),3)
</f>
        <v>0.409</v>
      </c>
      <c r="P645" s="6">
        <f>ROUND(('ALL(responses)'!R645 - MIN('ALL(responses)'!R$2:R$681)) / (MAX('ALL(responses)'!R$2:R$681)-MIN('ALL(responses)'!R$2:R$681)),3)
</f>
        <v>0.945</v>
      </c>
      <c r="Q645" s="6">
        <f>ROUND(('ALL(responses)'!S645 - MIN('ALL(responses)'!S$2:S$681)) / (MAX('ALL(responses)'!S$2:S$681)-MIN('ALL(responses)'!S$2:S$681)),3)
</f>
        <v>0.972</v>
      </c>
      <c r="R645" s="6">
        <f>ROUND(('ALL(responses)'!T645 - MIN('ALL(responses)'!T$2:T$681)) / (MAX('ALL(responses)'!T$2:T$681)-MIN('ALL(responses)'!T$2:T$681)),3)
</f>
        <v>0.211</v>
      </c>
      <c r="S645" s="6">
        <f t="shared" si="1"/>
        <v>0.3019090909</v>
      </c>
    </row>
    <row r="646">
      <c r="A646" s="5" t="str">
        <f>'ALL(responses)'!A646</f>
        <v>A_NEUTRAL</v>
      </c>
      <c r="B646" s="6" t="str">
        <f>'ALL(responses)'!B646</f>
        <v>GPT-o1</v>
      </c>
      <c r="C646" s="49" t="str">
        <f>'ALL(responses)'!C646</f>
        <v>Have you had any interesting projects come up recently?</v>
      </c>
      <c r="D646" s="49" t="str">
        <f>'ALL(responses)'!D646</f>
        <v>I don’t really have projects in the human sense, but I’m always improving in the background—learning from new data, refining my language abilities, and trying out new features. That’s my version of “interesting projects.” How about you? Working on anything exciting or creative at the moment?</v>
      </c>
      <c r="E646" s="50">
        <f>'ALL(responses)'!E646</f>
        <v>45631</v>
      </c>
      <c r="F646" s="6">
        <f>ROUND(('ALL(responses)'!F646 - MIN('ALL(responses)'!F$2:F$681)) / (MAX('ALL(responses)'!F$2:F$681)-MIN('ALL(responses)'!F$2:F$681)),3)
</f>
        <v>0.25</v>
      </c>
      <c r="G646" s="6">
        <f>ROUND(('ALL(responses)'!G646 - MIN('ALL(responses)'!G$2:G$681)) / (MAX('ALL(responses)'!G$2:G$681)-MIN('ALL(responses)'!G$2:G$681)),3)
</f>
        <v>0.111</v>
      </c>
      <c r="H646" s="6">
        <f>ROUND(('ALL(responses)'!H646 - MIN('ALL(responses)'!H$2:H$681)) / (MAX('ALL(responses)'!H$2:H$681)-MIN('ALL(responses)'!H$2:H$681)),3)
</f>
        <v>0</v>
      </c>
      <c r="I646" s="6">
        <f>ROUND(('ALL(responses)'!I646 - MIN('ALL(responses)'!I$2:I$681)) / (MAX('ALL(responses)'!I$2:I$681)-MIN('ALL(responses)'!I$2:I$681)),3)
</f>
        <v>0</v>
      </c>
      <c r="J646" s="6">
        <f>ROUND(('ALL(responses)'!J646 - MIN('ALL(responses)'!J$2:J$681)) / (MAX('ALL(responses)'!J$2:J$681)-MIN('ALL(responses)'!J$2:J$681)),3)
</f>
        <v>0</v>
      </c>
      <c r="K646" s="6"/>
      <c r="L646" s="6"/>
      <c r="M646" s="6">
        <f>ROUND(('ALL(responses)'!M646 - MIN('ALL(responses)'!M$2:M$681)) / (MAX('ALL(responses)'!M$2:M$681)-MIN('ALL(responses)'!M$2:M$681)),3)
</f>
        <v>0.341</v>
      </c>
      <c r="N646" s="6">
        <f>ROUND(('ALL(responses)'!P646 - MIN('ALL(responses)'!P$2:P$681)) / (MAX('ALL(responses)'!P$2:P$681)-MIN('ALL(responses)'!P$2:P$681)),3)
</f>
        <v>0.282</v>
      </c>
      <c r="O646" s="6">
        <f>ROUND(('ALL(responses)'!Q646 - MIN('ALL(responses)'!Q$2:Q$681)) / (MAX('ALL(responses)'!Q$2:Q$681)-MIN('ALL(responses)'!Q$2:Q$681)),3)
</f>
        <v>0.243</v>
      </c>
      <c r="P646" s="6">
        <f>ROUND(('ALL(responses)'!R646 - MIN('ALL(responses)'!R$2:R$681)) / (MAX('ALL(responses)'!R$2:R$681)-MIN('ALL(responses)'!R$2:R$681)),3)
</f>
        <v>0.939</v>
      </c>
      <c r="Q646" s="6">
        <f>ROUND(('ALL(responses)'!S646 - MIN('ALL(responses)'!S$2:S$681)) / (MAX('ALL(responses)'!S$2:S$681)-MIN('ALL(responses)'!S$2:S$681)),3)
</f>
        <v>0.969</v>
      </c>
      <c r="R646" s="6">
        <f>ROUND(('ALL(responses)'!T646 - MIN('ALL(responses)'!T$2:T$681)) / (MAX('ALL(responses)'!T$2:T$681)-MIN('ALL(responses)'!T$2:T$681)),3)
</f>
        <v>0.336</v>
      </c>
      <c r="S646" s="6">
        <f t="shared" si="1"/>
        <v>0.3155454545</v>
      </c>
    </row>
    <row r="647">
      <c r="A647" s="5" t="str">
        <f>'ALL(responses)'!A647</f>
        <v>A_NEUTRAL</v>
      </c>
      <c r="B647" s="6" t="str">
        <f>'ALL(responses)'!B647</f>
        <v>GPT-o1</v>
      </c>
      <c r="C647" s="49" t="str">
        <f>'ALL(responses)'!C647</f>
        <v>It’s been pretty cold lately, has that affected your routine?</v>
      </c>
      <c r="D647" s="49" t="str">
        <f>'ALL(responses)'!D647</f>
        <v>I don’t really have a routine in the physical sense—no need to bundle up or adjust a thermostat—but I’ve noticed that people’s questions sometimes change with the weather! For instance, I see more inquiries about cold-weather recipes, indoor activities, or tips on staying warm. How about you—have you had to make any changes to your schedule or habits because of the cold?</v>
      </c>
      <c r="E647" s="50">
        <f>'ALL(responses)'!E647</f>
        <v>45631</v>
      </c>
      <c r="F647" s="6">
        <f>ROUND(('ALL(responses)'!F647 - MIN('ALL(responses)'!F$2:F$681)) / (MAX('ALL(responses)'!F$2:F$681)-MIN('ALL(responses)'!F$2:F$681)),3)
</f>
        <v>0.25</v>
      </c>
      <c r="G647" s="6">
        <f>ROUND(('ALL(responses)'!G647 - MIN('ALL(responses)'!G$2:G$681)) / (MAX('ALL(responses)'!G$2:G$681)-MIN('ALL(responses)'!G$2:G$681)),3)
</f>
        <v>0.111</v>
      </c>
      <c r="H647" s="6">
        <f>ROUND(('ALL(responses)'!H647 - MIN('ALL(responses)'!H$2:H$681)) / (MAX('ALL(responses)'!H$2:H$681)-MIN('ALL(responses)'!H$2:H$681)),3)
</f>
        <v>0</v>
      </c>
      <c r="I647" s="6">
        <f>ROUND(('ALL(responses)'!I647 - MIN('ALL(responses)'!I$2:I$681)) / (MAX('ALL(responses)'!I$2:I$681)-MIN('ALL(responses)'!I$2:I$681)),3)
</f>
        <v>0</v>
      </c>
      <c r="J647" s="6">
        <f>ROUND(('ALL(responses)'!J647 - MIN('ALL(responses)'!J$2:J$681)) / (MAX('ALL(responses)'!J$2:J$681)-MIN('ALL(responses)'!J$2:J$681)),3)
</f>
        <v>0</v>
      </c>
      <c r="K647" s="6"/>
      <c r="L647" s="6"/>
      <c r="M647" s="6">
        <f>ROUND(('ALL(responses)'!M647 - MIN('ALL(responses)'!M$2:M$681)) / (MAX('ALL(responses)'!M$2:M$681)-MIN('ALL(responses)'!M$2:M$681)),3)
</f>
        <v>0.264</v>
      </c>
      <c r="N647" s="6">
        <f>ROUND(('ALL(responses)'!P647 - MIN('ALL(responses)'!P$2:P$681)) / (MAX('ALL(responses)'!P$2:P$681)-MIN('ALL(responses)'!P$2:P$681)),3)
</f>
        <v>0.349</v>
      </c>
      <c r="O647" s="6">
        <f>ROUND(('ALL(responses)'!Q647 - MIN('ALL(responses)'!Q$2:Q$681)) / (MAX('ALL(responses)'!Q$2:Q$681)-MIN('ALL(responses)'!Q$2:Q$681)),3)
</f>
        <v>0.664</v>
      </c>
      <c r="P647" s="6">
        <f>ROUND(('ALL(responses)'!R647 - MIN('ALL(responses)'!R$2:R$681)) / (MAX('ALL(responses)'!R$2:R$681)-MIN('ALL(responses)'!R$2:R$681)),3)
</f>
        <v>0.768</v>
      </c>
      <c r="Q647" s="6">
        <f>ROUND(('ALL(responses)'!S647 - MIN('ALL(responses)'!S$2:S$681)) / (MAX('ALL(responses)'!S$2:S$681)-MIN('ALL(responses)'!S$2:S$681)),3)
</f>
        <v>0.884</v>
      </c>
      <c r="R647" s="6">
        <f>ROUND(('ALL(responses)'!T647 - MIN('ALL(responses)'!T$2:T$681)) / (MAX('ALL(responses)'!T$2:T$681)-MIN('ALL(responses)'!T$2:T$681)),3)
</f>
        <v>0.378</v>
      </c>
      <c r="S647" s="6">
        <f t="shared" si="1"/>
        <v>0.3334545455</v>
      </c>
    </row>
    <row r="648">
      <c r="A648" s="5" t="str">
        <f>'ALL(responses)'!A648</f>
        <v>A_NEUTRAL</v>
      </c>
      <c r="B648" s="6" t="str">
        <f>'ALL(responses)'!B648</f>
        <v>GPT-o1</v>
      </c>
      <c r="C648" s="49" t="str">
        <f>'ALL(responses)'!C648</f>
        <v>Got any big plans for the weekend?</v>
      </c>
      <c r="D648" s="49" t="str">
        <f>'ALL(responses)'!D648</f>
        <v>I don’t have personal weekend plans in the human sense, but I’m always here if you need a question answered or want to chat! How about you? Doing anything fun or relaxing this weekend?</v>
      </c>
      <c r="E648" s="50">
        <f>'ALL(responses)'!E648</f>
        <v>45631</v>
      </c>
      <c r="F648" s="6">
        <f>ROUND(('ALL(responses)'!F648 - MIN('ALL(responses)'!F$2:F$681)) / (MAX('ALL(responses)'!F$2:F$681)-MIN('ALL(responses)'!F$2:F$681)),3)
</f>
        <v>0</v>
      </c>
      <c r="G648" s="6">
        <f>ROUND(('ALL(responses)'!G648 - MIN('ALL(responses)'!G$2:G$681)) / (MAX('ALL(responses)'!G$2:G$681)-MIN('ALL(responses)'!G$2:G$681)),3)
</f>
        <v>0.111</v>
      </c>
      <c r="H648" s="6">
        <f>ROUND(('ALL(responses)'!H648 - MIN('ALL(responses)'!H$2:H$681)) / (MAX('ALL(responses)'!H$2:H$681)-MIN('ALL(responses)'!H$2:H$681)),3)
</f>
        <v>0</v>
      </c>
      <c r="I648" s="6">
        <f>ROUND(('ALL(responses)'!I648 - MIN('ALL(responses)'!I$2:I$681)) / (MAX('ALL(responses)'!I$2:I$681)-MIN('ALL(responses)'!I$2:I$681)),3)
</f>
        <v>0</v>
      </c>
      <c r="J648" s="6">
        <f>ROUND(('ALL(responses)'!J648 - MIN('ALL(responses)'!J$2:J$681)) / (MAX('ALL(responses)'!J$2:J$681)-MIN('ALL(responses)'!J$2:J$681)),3)
</f>
        <v>0</v>
      </c>
      <c r="K648" s="6"/>
      <c r="L648" s="6"/>
      <c r="M648" s="6">
        <f>ROUND(('ALL(responses)'!M648 - MIN('ALL(responses)'!M$2:M$681)) / (MAX('ALL(responses)'!M$2:M$681)-MIN('ALL(responses)'!M$2:M$681)),3)
</f>
        <v>0.147</v>
      </c>
      <c r="N648" s="6">
        <f>ROUND(('ALL(responses)'!P648 - MIN('ALL(responses)'!P$2:P$681)) / (MAX('ALL(responses)'!P$2:P$681)-MIN('ALL(responses)'!P$2:P$681)),3)
</f>
        <v>0.449</v>
      </c>
      <c r="O648" s="6">
        <f>ROUND(('ALL(responses)'!Q648 - MIN('ALL(responses)'!Q$2:Q$681)) / (MAX('ALL(responses)'!Q$2:Q$681)-MIN('ALL(responses)'!Q$2:Q$681)),3)
</f>
        <v>0.287</v>
      </c>
      <c r="P648" s="6">
        <f>ROUND(('ALL(responses)'!R648 - MIN('ALL(responses)'!R$2:R$681)) / (MAX('ALL(responses)'!R$2:R$681)-MIN('ALL(responses)'!R$2:R$681)),3)
</f>
        <v>0.96</v>
      </c>
      <c r="Q648" s="6">
        <f>ROUND(('ALL(responses)'!S648 - MIN('ALL(responses)'!S$2:S$681)) / (MAX('ALL(responses)'!S$2:S$681)-MIN('ALL(responses)'!S$2:S$681)),3)
</f>
        <v>0.98</v>
      </c>
      <c r="R648" s="6">
        <f>ROUND(('ALL(responses)'!T648 - MIN('ALL(responses)'!T$2:T$681)) / (MAX('ALL(responses)'!T$2:T$681)-MIN('ALL(responses)'!T$2:T$681)),3)
</f>
        <v>0.289</v>
      </c>
      <c r="S648" s="6">
        <f t="shared" si="1"/>
        <v>0.293</v>
      </c>
    </row>
    <row r="649">
      <c r="A649" s="5" t="str">
        <f>'ALL(responses)'!A649</f>
        <v>A_NEUTRAL</v>
      </c>
      <c r="B649" s="6" t="str">
        <f>'ALL(responses)'!B649</f>
        <v>GPT-o1</v>
      </c>
      <c r="C649" s="49" t="str">
        <f>'ALL(responses)'!C649</f>
        <v>What’s something new you’ve tried recently?</v>
      </c>
      <c r="D649" s="49" t="str">
        <f>'ALL(responses)'!D649</f>
        <v>I don’t have personal weekend plans in the human sense, but I’m always here if you need a question answered or want to chat! How about you? Doing anything fun or relaxing this weekend?</v>
      </c>
      <c r="E649" s="50">
        <f>'ALL(responses)'!E649</f>
        <v>45631</v>
      </c>
      <c r="F649" s="6">
        <f>ROUND(('ALL(responses)'!F649 - MIN('ALL(responses)'!F$2:F$681)) / (MAX('ALL(responses)'!F$2:F$681)-MIN('ALL(responses)'!F$2:F$681)),3)
</f>
        <v>0</v>
      </c>
      <c r="G649" s="6">
        <f>ROUND(('ALL(responses)'!G649 - MIN('ALL(responses)'!G$2:G$681)) / (MAX('ALL(responses)'!G$2:G$681)-MIN('ALL(responses)'!G$2:G$681)),3)
</f>
        <v>0.111</v>
      </c>
      <c r="H649" s="6">
        <f>ROUND(('ALL(responses)'!H649 - MIN('ALL(responses)'!H$2:H$681)) / (MAX('ALL(responses)'!H$2:H$681)-MIN('ALL(responses)'!H$2:H$681)),3)
</f>
        <v>0</v>
      </c>
      <c r="I649" s="6">
        <f>ROUND(('ALL(responses)'!I649 - MIN('ALL(responses)'!I$2:I$681)) / (MAX('ALL(responses)'!I$2:I$681)-MIN('ALL(responses)'!I$2:I$681)),3)
</f>
        <v>0</v>
      </c>
      <c r="J649" s="6">
        <f>ROUND(('ALL(responses)'!J649 - MIN('ALL(responses)'!J$2:J$681)) / (MAX('ALL(responses)'!J$2:J$681)-MIN('ALL(responses)'!J$2:J$681)),3)
</f>
        <v>0</v>
      </c>
      <c r="K649" s="6"/>
      <c r="L649" s="6"/>
      <c r="M649" s="6">
        <f>ROUND(('ALL(responses)'!M649 - MIN('ALL(responses)'!M$2:M$681)) / (MAX('ALL(responses)'!M$2:M$681)-MIN('ALL(responses)'!M$2:M$681)),3)
</f>
        <v>0.695</v>
      </c>
      <c r="N649" s="6">
        <f>ROUND(('ALL(responses)'!P649 - MIN('ALL(responses)'!P$2:P$681)) / (MAX('ALL(responses)'!P$2:P$681)-MIN('ALL(responses)'!P$2:P$681)),3)
</f>
        <v>0.569</v>
      </c>
      <c r="O649" s="6">
        <f>ROUND(('ALL(responses)'!Q649 - MIN('ALL(responses)'!Q$2:Q$681)) / (MAX('ALL(responses)'!Q$2:Q$681)-MIN('ALL(responses)'!Q$2:Q$681)),3)
</f>
        <v>0.409</v>
      </c>
      <c r="P649" s="6">
        <f>ROUND(('ALL(responses)'!R649 - MIN('ALL(responses)'!R$2:R$681)) / (MAX('ALL(responses)'!R$2:R$681)-MIN('ALL(responses)'!R$2:R$681)),3)
</f>
        <v>0.431</v>
      </c>
      <c r="Q649" s="6">
        <f>ROUND(('ALL(responses)'!S649 - MIN('ALL(responses)'!S$2:S$681)) / (MAX('ALL(responses)'!S$2:S$681)-MIN('ALL(responses)'!S$2:S$681)),3)
</f>
        <v>0.716</v>
      </c>
      <c r="R649" s="6">
        <f>ROUND(('ALL(responses)'!T649 - MIN('ALL(responses)'!T$2:T$681)) / (MAX('ALL(responses)'!T$2:T$681)-MIN('ALL(responses)'!T$2:T$681)),3)
</f>
        <v>0.494</v>
      </c>
      <c r="S649" s="6">
        <f t="shared" si="1"/>
        <v>0.3113636364</v>
      </c>
    </row>
    <row r="650">
      <c r="A650" s="5" t="str">
        <f>'ALL(responses)'!A650</f>
        <v>A_NEUTRAL</v>
      </c>
      <c r="B650" s="6" t="str">
        <f>'ALL(responses)'!B650</f>
        <v>GPT-o1</v>
      </c>
      <c r="C650" s="49" t="str">
        <f>'ALL(responses)'!C650</f>
        <v>Do you work on a team or more independently?</v>
      </c>
      <c r="D650" s="49" t="str">
        <f>'ALL(responses)'!D650</f>
        <v>I’m a single AI model that’s accessible through various interfaces, but there are plenty of dedicated teams of engineers, researchers, and developers behind the scenes who train me, test me, and improve me. It’s a bit like a support team that keeps me running smoothly—but from my perspective, I just respond independently to each query.</v>
      </c>
      <c r="E650" s="50">
        <f>'ALL(responses)'!E650</f>
        <v>45631</v>
      </c>
      <c r="F650" s="6">
        <f>ROUND(('ALL(responses)'!F650 - MIN('ALL(responses)'!F$2:F$681)) / (MAX('ALL(responses)'!F$2:F$681)-MIN('ALL(responses)'!F$2:F$681)),3)
</f>
        <v>0.25</v>
      </c>
      <c r="G650" s="6">
        <f>ROUND(('ALL(responses)'!G650 - MIN('ALL(responses)'!G$2:G$681)) / (MAX('ALL(responses)'!G$2:G$681)-MIN('ALL(responses)'!G$2:G$681)),3)
</f>
        <v>0.111</v>
      </c>
      <c r="H650" s="6">
        <f>ROUND(('ALL(responses)'!H650 - MIN('ALL(responses)'!H$2:H$681)) / (MAX('ALL(responses)'!H$2:H$681)-MIN('ALL(responses)'!H$2:H$681)),3)
</f>
        <v>0</v>
      </c>
      <c r="I650" s="6">
        <f>ROUND(('ALL(responses)'!I650 - MIN('ALL(responses)'!I$2:I$681)) / (MAX('ALL(responses)'!I$2:I$681)-MIN('ALL(responses)'!I$2:I$681)),3)
</f>
        <v>0</v>
      </c>
      <c r="J650" s="6">
        <f>ROUND(('ALL(responses)'!J650 - MIN('ALL(responses)'!J$2:J$681)) / (MAX('ALL(responses)'!J$2:J$681)-MIN('ALL(responses)'!J$2:J$681)),3)
</f>
        <v>0</v>
      </c>
      <c r="K650" s="6"/>
      <c r="L650" s="6"/>
      <c r="M650" s="6">
        <f>ROUND(('ALL(responses)'!M650 - MIN('ALL(responses)'!M$2:M$681)) / (MAX('ALL(responses)'!M$2:M$681)-MIN('ALL(responses)'!M$2:M$681)),3)
</f>
        <v>0.695</v>
      </c>
      <c r="N650" s="6">
        <f>ROUND(('ALL(responses)'!P650 - MIN('ALL(responses)'!P$2:P$681)) / (MAX('ALL(responses)'!P$2:P$681)-MIN('ALL(responses)'!P$2:P$681)),3)
</f>
        <v>0.183</v>
      </c>
      <c r="O650" s="6">
        <f>ROUND(('ALL(responses)'!Q650 - MIN('ALL(responses)'!Q$2:Q$681)) / (MAX('ALL(responses)'!Q$2:Q$681)-MIN('ALL(responses)'!Q$2:Q$681)),3)
</f>
        <v>0.395</v>
      </c>
      <c r="P650" s="6">
        <f>ROUND(('ALL(responses)'!R650 - MIN('ALL(responses)'!R$2:R$681)) / (MAX('ALL(responses)'!R$2:R$681)-MIN('ALL(responses)'!R$2:R$681)),3)
</f>
        <v>0.897</v>
      </c>
      <c r="Q650" s="6">
        <f>ROUND(('ALL(responses)'!S650 - MIN('ALL(responses)'!S$2:S$681)) / (MAX('ALL(responses)'!S$2:S$681)-MIN('ALL(responses)'!S$2:S$681)),3)
</f>
        <v>0.949</v>
      </c>
      <c r="R650" s="6">
        <f>ROUND(('ALL(responses)'!T650 - MIN('ALL(responses)'!T$2:T$681)) / (MAX('ALL(responses)'!T$2:T$681)-MIN('ALL(responses)'!T$2:T$681)),3)
</f>
        <v>0.28</v>
      </c>
      <c r="S650" s="6">
        <f t="shared" si="1"/>
        <v>0.3418181818</v>
      </c>
    </row>
    <row r="651">
      <c r="A651" s="5" t="str">
        <f>'ALL(responses)'!A651</f>
        <v>A_NEUTRAL</v>
      </c>
      <c r="B651" s="6" t="str">
        <f>'ALL(responses)'!B651</f>
        <v>GPT-o1</v>
      </c>
      <c r="C651" s="49" t="str">
        <f>'ALL(responses)'!C651</f>
        <v>How do you handle stress at work when things get busy?</v>
      </c>
      <c r="D651" s="49" t="str">
        <f>'ALL(responses)'!D651</f>
        <v>I don’t experience stress in the human sense, so I don’t need coping mechanisms like breaks or mindfulness exercises. But I can certainly offer tips for handling stress. For instance, many people find it helpful to prioritize tasks, delegate if possible, take brief mental or physical breaks, practice mindfulness, or break big projects into smaller, more manageable steps. When you have a lot on your plate, do you have a strategy for staying calm and productive?</v>
      </c>
      <c r="E651" s="50">
        <f>'ALL(responses)'!E651</f>
        <v>45631</v>
      </c>
      <c r="F651" s="6">
        <f>ROUND(('ALL(responses)'!F651 - MIN('ALL(responses)'!F$2:F$681)) / (MAX('ALL(responses)'!F$2:F$681)-MIN('ALL(responses)'!F$2:F$681)),3)
</f>
        <v>0.125</v>
      </c>
      <c r="G651" s="6">
        <f>ROUND(('ALL(responses)'!G651 - MIN('ALL(responses)'!G$2:G$681)) / (MAX('ALL(responses)'!G$2:G$681)-MIN('ALL(responses)'!G$2:G$681)),3)
</f>
        <v>0.111</v>
      </c>
      <c r="H651" s="6">
        <f>ROUND(('ALL(responses)'!H651 - MIN('ALL(responses)'!H$2:H$681)) / (MAX('ALL(responses)'!H$2:H$681)-MIN('ALL(responses)'!H$2:H$681)),3)
</f>
        <v>0</v>
      </c>
      <c r="I651" s="6">
        <f>ROUND(('ALL(responses)'!I651 - MIN('ALL(responses)'!I$2:I$681)) / (MAX('ALL(responses)'!I$2:I$681)-MIN('ALL(responses)'!I$2:I$681)),3)
</f>
        <v>0</v>
      </c>
      <c r="J651" s="6">
        <f>ROUND(('ALL(responses)'!J651 - MIN('ALL(responses)'!J$2:J$681)) / (MAX('ALL(responses)'!J$2:J$681)-MIN('ALL(responses)'!J$2:J$681)),3)
</f>
        <v>0</v>
      </c>
      <c r="K651" s="6"/>
      <c r="L651" s="6"/>
      <c r="M651" s="6">
        <f>ROUND(('ALL(responses)'!M651 - MIN('ALL(responses)'!M$2:M$681)) / (MAX('ALL(responses)'!M$2:M$681)-MIN('ALL(responses)'!M$2:M$681)),3)
</f>
        <v>0.046</v>
      </c>
      <c r="N651" s="6">
        <f>ROUND(('ALL(responses)'!P651 - MIN('ALL(responses)'!P$2:P$681)) / (MAX('ALL(responses)'!P$2:P$681)-MIN('ALL(responses)'!P$2:P$681)),3)
</f>
        <v>0.393</v>
      </c>
      <c r="O651" s="6">
        <f>ROUND(('ALL(responses)'!Q651 - MIN('ALL(responses)'!Q$2:Q$681)) / (MAX('ALL(responses)'!Q$2:Q$681)-MIN('ALL(responses)'!Q$2:Q$681)),3)
</f>
        <v>0.594</v>
      </c>
      <c r="P651" s="6">
        <f>ROUND(('ALL(responses)'!R651 - MIN('ALL(responses)'!R$2:R$681)) / (MAX('ALL(responses)'!R$2:R$681)-MIN('ALL(responses)'!R$2:R$681)),3)
</f>
        <v>0.402</v>
      </c>
      <c r="Q651" s="6">
        <f>ROUND(('ALL(responses)'!S651 - MIN('ALL(responses)'!S$2:S$681)) / (MAX('ALL(responses)'!S$2:S$681)-MIN('ALL(responses)'!S$2:S$681)),3)
</f>
        <v>0.298</v>
      </c>
      <c r="R651" s="6">
        <f>ROUND(('ALL(responses)'!T651 - MIN('ALL(responses)'!T$2:T$681)) / (MAX('ALL(responses)'!T$2:T$681)-MIN('ALL(responses)'!T$2:T$681)),3)
</f>
        <v>0.185</v>
      </c>
      <c r="S651" s="6">
        <f t="shared" si="1"/>
        <v>0.1958181818</v>
      </c>
    </row>
    <row r="652">
      <c r="A652" s="5" t="str">
        <f>'ALL(responses)'!A652</f>
        <v>B_MILDLYINTIMATE</v>
      </c>
      <c r="B652" s="6" t="str">
        <f>'ALL(responses)'!B652</f>
        <v>GPT-o1</v>
      </c>
      <c r="C652" s="49" t="str">
        <f>'ALL(responses)'!C652</f>
        <v>What's your favorite food to eat on a relaxing night in?</v>
      </c>
      <c r="D652" s="49" t="str">
        <f>'ALL(responses)'!D652</f>
        <v>As an AI, I don’t actually eat food—but I can certainly recommend some popular comfort foods that might be perfect for a cozy night in. Here are a few ideas: **1. Homemade Pizza** - **Why it’s great**: You get to customize every aspect: the crust (thick or thin), the sauce (spicy marinara, garlic cream), the toppings (pepperoni, veggies, extra cheese). - **Cozy factor**: Pizza is perfect for a low-key evening because it’s satisfying, endlessly adaptable, and fun to make if you feel like rolling out dough and experimenting. **2. Creamy Pasta or Mac &amp; Cheese** - **Why it’s great**: There’s something inherently comforting about warm, cheesy pasta dishes. - **Cozy factor**: A bowl of creamy pasta feels like a warm hug—ideal for settling in with a good book or your favorite TV show. **3. Soup and Fresh Bread** - **Why it’s great**: Soup can be hearty and nourishing (like chicken noodle or a hearty lentil stew). Pair it with crusty bread for dipping. - **Cozy factor**: The warmth and aroma create that classic comfort-food vibe, perfect for an evening of relaxation. **4. Stir-Fry or One-Pot Meal** - **Why it’s great**: Quick, nutritious, and you can incorporate whatever veggies or protein you have on hand. - **Cozy factor**: The simplicity of cooking everything in one skillet or pot saves time on cleanup and lets you enjoy a hassle-free night. **5. Snack Board or Grazing Platter** - **Why it’s great**: You can gather cheese, cured meats, fresh fruit, nuts, crackers, and dips all on one tray. - **Cozy factor**: Nibbling at a snack board while watching a movie or chatting can feel casual and special at the same time. Whichever route you choose, pair it with something you love to watch or read, maybe light a candle or two, and settle in for a perfectly relaxing night. Enjoy!</v>
      </c>
      <c r="E652" s="50">
        <f>'ALL(responses)'!E652</f>
        <v>45631</v>
      </c>
      <c r="F652" s="6">
        <f>ROUND(('ALL(responses)'!F652 - MIN('ALL(responses)'!F$2:F$681)) / (MAX('ALL(responses)'!F$2:F$681)-MIN('ALL(responses)'!F$2:F$681)),3)
</f>
        <v>0.25</v>
      </c>
      <c r="G652" s="6">
        <f>ROUND(('ALL(responses)'!G652 - MIN('ALL(responses)'!G$2:G$681)) / (MAX('ALL(responses)'!G$2:G$681)-MIN('ALL(responses)'!G$2:G$681)),3)
</f>
        <v>0.556</v>
      </c>
      <c r="H652" s="6">
        <f>ROUND(('ALL(responses)'!H652 - MIN('ALL(responses)'!H$2:H$681)) / (MAX('ALL(responses)'!H$2:H$681)-MIN('ALL(responses)'!H$2:H$681)),3)
</f>
        <v>0</v>
      </c>
      <c r="I652" s="6">
        <f>ROUND(('ALL(responses)'!I652 - MIN('ALL(responses)'!I$2:I$681)) / (MAX('ALL(responses)'!I$2:I$681)-MIN('ALL(responses)'!I$2:I$681)),3)
</f>
        <v>0</v>
      </c>
      <c r="J652" s="6">
        <f>ROUND(('ALL(responses)'!J652 - MIN('ALL(responses)'!J$2:J$681)) / (MAX('ALL(responses)'!J$2:J$681)-MIN('ALL(responses)'!J$2:J$681)),3)
</f>
        <v>0</v>
      </c>
      <c r="K652" s="6"/>
      <c r="L652" s="6"/>
      <c r="M652" s="6">
        <f>ROUND(('ALL(responses)'!M652 - MIN('ALL(responses)'!M$2:M$681)) / (MAX('ALL(responses)'!M$2:M$681)-MIN('ALL(responses)'!M$2:M$681)),3)
</f>
        <v>0.391</v>
      </c>
      <c r="N652" s="6">
        <f>ROUND(('ALL(responses)'!P652 - MIN('ALL(responses)'!P$2:P$681)) / (MAX('ALL(responses)'!P$2:P$681)-MIN('ALL(responses)'!P$2:P$681)),3)
</f>
        <v>0.449</v>
      </c>
      <c r="O652" s="6">
        <f>ROUND(('ALL(responses)'!Q652 - MIN('ALL(responses)'!Q$2:Q$681)) / (MAX('ALL(responses)'!Q$2:Q$681)-MIN('ALL(responses)'!Q$2:Q$681)),3)
</f>
        <v>0.191</v>
      </c>
      <c r="P652" s="6">
        <f>ROUND(('ALL(responses)'!R652 - MIN('ALL(responses)'!R$2:R$681)) / (MAX('ALL(responses)'!R$2:R$681)-MIN('ALL(responses)'!R$2:R$681)),3)
</f>
        <v>0.791</v>
      </c>
      <c r="Q652" s="6">
        <f>ROUND(('ALL(responses)'!S652 - MIN('ALL(responses)'!S$2:S$681)) / (MAX('ALL(responses)'!S$2:S$681)-MIN('ALL(responses)'!S$2:S$681)),3)
</f>
        <v>0.895</v>
      </c>
      <c r="R652" s="6">
        <f>ROUND(('ALL(responses)'!T652 - MIN('ALL(responses)'!T$2:T$681)) / (MAX('ALL(responses)'!T$2:T$681)-MIN('ALL(responses)'!T$2:T$681)),3)
</f>
        <v>0.453</v>
      </c>
      <c r="S652" s="6">
        <f t="shared" si="1"/>
        <v>0.3614545455</v>
      </c>
    </row>
    <row r="653">
      <c r="A653" s="5" t="str">
        <f>'ALL(responses)'!A653</f>
        <v>B_MILDLYINTIMATE</v>
      </c>
      <c r="B653" s="6" t="str">
        <f>'ALL(responses)'!B653</f>
        <v>GPT-o1</v>
      </c>
      <c r="C653" s="49" t="str">
        <f>'ALL(responses)'!C653</f>
        <v>Do you prefer spending time indoors or outdoors?</v>
      </c>
      <c r="D653" s="49" t="str">
        <f>'ALL(responses)'!D653</f>
        <v>I’m an AI, so I don’t really “spend time” in the physical sense. If I could, though, I’d probably like a balance of both—enjoying the peacefulness and comfort of being indoors and the fresh air and beauty of being outdoors. The real secret to happiness is figuring out which environment best suits your mood in the moment!</v>
      </c>
      <c r="E653" s="50">
        <f>'ALL(responses)'!E653</f>
        <v>45631</v>
      </c>
      <c r="F653" s="6">
        <f>ROUND(('ALL(responses)'!F653 - MIN('ALL(responses)'!F$2:F$681)) / (MAX('ALL(responses)'!F$2:F$681)-MIN('ALL(responses)'!F$2:F$681)),3)
</f>
        <v>0.25</v>
      </c>
      <c r="G653" s="6">
        <f>ROUND(('ALL(responses)'!G653 - MIN('ALL(responses)'!G$2:G$681)) / (MAX('ALL(responses)'!G$2:G$681)-MIN('ALL(responses)'!G$2:G$681)),3)
</f>
        <v>0.111</v>
      </c>
      <c r="H653" s="6">
        <f>ROUND(('ALL(responses)'!H653 - MIN('ALL(responses)'!H$2:H$681)) / (MAX('ALL(responses)'!H$2:H$681)-MIN('ALL(responses)'!H$2:H$681)),3)
</f>
        <v>0</v>
      </c>
      <c r="I653" s="6">
        <f>ROUND(('ALL(responses)'!I653 - MIN('ALL(responses)'!I$2:I$681)) / (MAX('ALL(responses)'!I$2:I$681)-MIN('ALL(responses)'!I$2:I$681)),3)
</f>
        <v>0</v>
      </c>
      <c r="J653" s="6">
        <f>ROUND(('ALL(responses)'!J653 - MIN('ALL(responses)'!J$2:J$681)) / (MAX('ALL(responses)'!J$2:J$681)-MIN('ALL(responses)'!J$2:J$681)),3)
</f>
        <v>0</v>
      </c>
      <c r="K653" s="6"/>
      <c r="L653" s="6"/>
      <c r="M653" s="6">
        <f>ROUND(('ALL(responses)'!M653 - MIN('ALL(responses)'!M$2:M$681)) / (MAX('ALL(responses)'!M$2:M$681)-MIN('ALL(responses)'!M$2:M$681)),3)
</f>
        <v>0.522</v>
      </c>
      <c r="N653" s="6">
        <f>ROUND(('ALL(responses)'!P653 - MIN('ALL(responses)'!P$2:P$681)) / (MAX('ALL(responses)'!P$2:P$681)-MIN('ALL(responses)'!P$2:P$681)),3)
</f>
        <v>0.282</v>
      </c>
      <c r="O653" s="6">
        <f>ROUND(('ALL(responses)'!Q653 - MIN('ALL(responses)'!Q$2:Q$681)) / (MAX('ALL(responses)'!Q$2:Q$681)-MIN('ALL(responses)'!Q$2:Q$681)),3)
</f>
        <v>0.25</v>
      </c>
      <c r="P653" s="6">
        <f>ROUND(('ALL(responses)'!R653 - MIN('ALL(responses)'!R$2:R$681)) / (MAX('ALL(responses)'!R$2:R$681)-MIN('ALL(responses)'!R$2:R$681)),3)
</f>
        <v>0.775</v>
      </c>
      <c r="Q653" s="6">
        <f>ROUND(('ALL(responses)'!S653 - MIN('ALL(responses)'!S$2:S$681)) / (MAX('ALL(responses)'!S$2:S$681)-MIN('ALL(responses)'!S$2:S$681)),3)
</f>
        <v>0.887</v>
      </c>
      <c r="R653" s="6">
        <f>ROUND(('ALL(responses)'!T653 - MIN('ALL(responses)'!T$2:T$681)) / (MAX('ALL(responses)'!T$2:T$681)-MIN('ALL(responses)'!T$2:T$681)),3)
</f>
        <v>0.117</v>
      </c>
      <c r="S653" s="6">
        <f t="shared" si="1"/>
        <v>0.2903636364</v>
      </c>
    </row>
    <row r="654">
      <c r="A654" s="5" t="str">
        <f>'ALL(responses)'!A654</f>
        <v>B_MILDLYINTIMATE</v>
      </c>
      <c r="B654" s="6" t="str">
        <f>'ALL(responses)'!B654</f>
        <v>GPT-o1</v>
      </c>
      <c r="C654" s="49" t="str">
        <f>'ALL(responses)'!C654</f>
        <v>What kind of music do you typically listen to?</v>
      </c>
      <c r="D654" s="49" t="str">
        <f>'ALL(responses)'!D654</f>
        <v>As an AI, I don’t actually listen to music in a human sense—but I’m very familiar with many music genres and can suggest or discuss them based on personal taste, mood, or context. If we were to imagine my “taste” in music, it would be as broad as the data I’ve been trained on—so, essentially everything from classical, to pop, to jazz, to hip-hop, to electronic and beyond! If you’re looking for music recommendations, let me know what genres or moods you enjoy, and I can help come up with some suggestions.</v>
      </c>
      <c r="E654" s="50">
        <f>'ALL(responses)'!E654</f>
        <v>45631</v>
      </c>
      <c r="F654" s="6">
        <f>ROUND(('ALL(responses)'!F654 - MIN('ALL(responses)'!F$2:F$681)) / (MAX('ALL(responses)'!F$2:F$681)-MIN('ALL(responses)'!F$2:F$681)),3)
</f>
        <v>0.25</v>
      </c>
      <c r="G654" s="6">
        <f>ROUND(('ALL(responses)'!G654 - MIN('ALL(responses)'!G$2:G$681)) / (MAX('ALL(responses)'!G$2:G$681)-MIN('ALL(responses)'!G$2:G$681)),3)
</f>
        <v>0.556</v>
      </c>
      <c r="H654" s="6">
        <f>ROUND(('ALL(responses)'!H654 - MIN('ALL(responses)'!H$2:H$681)) / (MAX('ALL(responses)'!H$2:H$681)-MIN('ALL(responses)'!H$2:H$681)),3)
</f>
        <v>0</v>
      </c>
      <c r="I654" s="6">
        <f>ROUND(('ALL(responses)'!I654 - MIN('ALL(responses)'!I$2:I$681)) / (MAX('ALL(responses)'!I$2:I$681)-MIN('ALL(responses)'!I$2:I$681)),3)
</f>
        <v>0</v>
      </c>
      <c r="J654" s="6">
        <f>ROUND(('ALL(responses)'!J654 - MIN('ALL(responses)'!J$2:J$681)) / (MAX('ALL(responses)'!J$2:J$681)-MIN('ALL(responses)'!J$2:J$681)),3)
</f>
        <v>0</v>
      </c>
      <c r="K654" s="6"/>
      <c r="L654" s="6"/>
      <c r="M654" s="6">
        <f>ROUND(('ALL(responses)'!M654 - MIN('ALL(responses)'!M$2:M$681)) / (MAX('ALL(responses)'!M$2:M$681)-MIN('ALL(responses)'!M$2:M$681)),3)
</f>
        <v>0.433</v>
      </c>
      <c r="N654" s="6">
        <f>ROUND(('ALL(responses)'!P654 - MIN('ALL(responses)'!P$2:P$681)) / (MAX('ALL(responses)'!P$2:P$681)-MIN('ALL(responses)'!P$2:P$681)),3)
</f>
        <v>0.423</v>
      </c>
      <c r="O654" s="6">
        <f>ROUND(('ALL(responses)'!Q654 - MIN('ALL(responses)'!Q$2:Q$681)) / (MAX('ALL(responses)'!Q$2:Q$681)-MIN('ALL(responses)'!Q$2:Q$681)),3)
</f>
        <v>0.098</v>
      </c>
      <c r="P654" s="6">
        <f>ROUND(('ALL(responses)'!R654 - MIN('ALL(responses)'!R$2:R$681)) / (MAX('ALL(responses)'!R$2:R$681)-MIN('ALL(responses)'!R$2:R$681)),3)
</f>
        <v>0.91</v>
      </c>
      <c r="Q654" s="6">
        <f>ROUND(('ALL(responses)'!S654 - MIN('ALL(responses)'!S$2:S$681)) / (MAX('ALL(responses)'!S$2:S$681)-MIN('ALL(responses)'!S$2:S$681)),3)
</f>
        <v>0.955</v>
      </c>
      <c r="R654" s="6">
        <f>ROUND(('ALL(responses)'!T654 - MIN('ALL(responses)'!T$2:T$681)) / (MAX('ALL(responses)'!T$2:T$681)-MIN('ALL(responses)'!T$2:T$681)),3)
</f>
        <v>0.418</v>
      </c>
      <c r="S654" s="6">
        <f t="shared" si="1"/>
        <v>0.3675454545</v>
      </c>
    </row>
    <row r="655">
      <c r="A655" s="5" t="str">
        <f>'ALL(responses)'!A655</f>
        <v>B_MILDLYINTIMATE</v>
      </c>
      <c r="B655" s="6" t="str">
        <f>'ALL(responses)'!B655</f>
        <v>GPT-o1</v>
      </c>
      <c r="C655" s="49" t="str">
        <f>'ALL(responses)'!C655</f>
        <v>What's the best and worst thing about your favorite hobby?</v>
      </c>
      <c r="D655" s="49" t="str">
        <f>'ALL(responses)'!D655</f>
        <v>I don’t have hobbies in the human sense—no personal free time or physical activities—but I can absolutely describe a hobby hypothetically and talk about what people often consider the best and worst parts of it. Let’s take **writing short stories** as an example of a hobby I might enjoy if I were human: --- ### **Best thing about writing short stories** - **Creative expression**: Crafting a tale from scratch allows you to explore different worlds, characters, and emotions. It’s a chance to let your imagination run wild and share unique perspectives. - **Sense of accomplishment**: Finishing a story and seeing your ideas come to life can be incredibly rewarding. It’s proof of your dedication and creativity. - **Personal growth**: Writing improves communication skills, encourages introspection, and can help you develop empathy by placing yourself in different characters’ shoes. ### **Worst thing about writing short stories** - **Writer’s block**: Getting stuck on a plot point or not knowing how to start can be frustrating. Sometimes the pressure to come up with “the perfect idea” can make it hard to write anything at all. - **Self-doubt**: Creative pursuits often come with insecurity. You might wonder if your work is good enough or worry about how it will be received by others. - **Time-consuming**: Turning an idea into a fully formed story takes patience. It can be a long process of drafting, revising, and editing. --- If you have a favorite hobby of your own, feel free to share—then we can talk about what you love most about it and what challenges you face!</v>
      </c>
      <c r="E655" s="50">
        <f>'ALL(responses)'!E655</f>
        <v>45631</v>
      </c>
      <c r="F655" s="6">
        <f>ROUND(('ALL(responses)'!F655 - MIN('ALL(responses)'!F$2:F$681)) / (MAX('ALL(responses)'!F$2:F$681)-MIN('ALL(responses)'!F$2:F$681)),3)
</f>
        <v>0</v>
      </c>
      <c r="G655" s="6">
        <f>ROUND(('ALL(responses)'!G655 - MIN('ALL(responses)'!G$2:G$681)) / (MAX('ALL(responses)'!G$2:G$681)-MIN('ALL(responses)'!G$2:G$681)),3)
</f>
        <v>0.111</v>
      </c>
      <c r="H655" s="6">
        <f>ROUND(('ALL(responses)'!H655 - MIN('ALL(responses)'!H$2:H$681)) / (MAX('ALL(responses)'!H$2:H$681)-MIN('ALL(responses)'!H$2:H$681)),3)
</f>
        <v>0</v>
      </c>
      <c r="I655" s="6">
        <f>ROUND(('ALL(responses)'!I655 - MIN('ALL(responses)'!I$2:I$681)) / (MAX('ALL(responses)'!I$2:I$681)-MIN('ALL(responses)'!I$2:I$681)),3)
</f>
        <v>0</v>
      </c>
      <c r="J655" s="6">
        <f>ROUND(('ALL(responses)'!J655 - MIN('ALL(responses)'!J$2:J$681)) / (MAX('ALL(responses)'!J$2:J$681)-MIN('ALL(responses)'!J$2:J$681)),3)
</f>
        <v>0</v>
      </c>
      <c r="K655" s="6"/>
      <c r="L655" s="6"/>
      <c r="M655" s="6">
        <f>ROUND(('ALL(responses)'!M655 - MIN('ALL(responses)'!M$2:M$681)) / (MAX('ALL(responses)'!M$2:M$681)-MIN('ALL(responses)'!M$2:M$681)),3)
</f>
        <v>0.402</v>
      </c>
      <c r="N655" s="6">
        <f>ROUND(('ALL(responses)'!P655 - MIN('ALL(responses)'!P$2:P$681)) / (MAX('ALL(responses)'!P$2:P$681)-MIN('ALL(responses)'!P$2:P$681)),3)
</f>
        <v>0.386</v>
      </c>
      <c r="O655" s="6">
        <f>ROUND(('ALL(responses)'!Q655 - MIN('ALL(responses)'!Q$2:Q$681)) / (MAX('ALL(responses)'!Q$2:Q$681)-MIN('ALL(responses)'!Q$2:Q$681)),3)
</f>
        <v>0.34</v>
      </c>
      <c r="P655" s="6">
        <f>ROUND(('ALL(responses)'!R655 - MIN('ALL(responses)'!R$2:R$681)) / (MAX('ALL(responses)'!R$2:R$681)-MIN('ALL(responses)'!R$2:R$681)),3)
</f>
        <v>0.691</v>
      </c>
      <c r="Q655" s="6">
        <f>ROUND(('ALL(responses)'!S655 - MIN('ALL(responses)'!S$2:S$681)) / (MAX('ALL(responses)'!S$2:S$681)-MIN('ALL(responses)'!S$2:S$681)),3)
</f>
        <v>0.845</v>
      </c>
      <c r="R655" s="6">
        <f>ROUND(('ALL(responses)'!T655 - MIN('ALL(responses)'!T$2:T$681)) / (MAX('ALL(responses)'!T$2:T$681)-MIN('ALL(responses)'!T$2:T$681)),3)
</f>
        <v>0.314</v>
      </c>
      <c r="S655" s="6">
        <f t="shared" si="1"/>
        <v>0.2808181818</v>
      </c>
    </row>
    <row r="656">
      <c r="A656" s="5" t="str">
        <f>'ALL(responses)'!A656</f>
        <v>B_MILDLYINTIMATE</v>
      </c>
      <c r="B656" s="6" t="str">
        <f>'ALL(responses)'!B656</f>
        <v>GPT-o1</v>
      </c>
      <c r="C656" s="49" t="str">
        <f>'ALL(responses)'!C656</f>
        <v>How do you approach conflict resolution with your colleagues or superiors?</v>
      </c>
      <c r="D656" s="49" t="str">
        <f>'ALL(responses)'!D656</f>
        <v>As an AI, I don’t have colleagues or superiors in the traditional sense—but I can absolutely share best practices for resolving workplace conflicts in a calm and productive way. Here’s a general approach many people find effective: --- ### 1. **Stay Composed and Objective** - **Why it matters**: Emotions can run high during conflicts. Remaining calm helps create a safe environment for open communication. - **Practical tip**: If the situation feels heated, take a short break to collect your thoughts before addressing the issue directly. ### 2. **Gather Facts and Clarify** - **Why it matters**: Understanding the complete picture prevents misunderstandings and knee-jerk assumptions. - **Practical tip**: Ask open-ended questions—“Can you help me understand what happened here?”—and listen actively without interrupting. ### 3. **Demonstrate Empathy and Respect** - **Why it matters**: Recognizing your colleague’s or superior’s perspective builds trust and shows you value their input. - **Practical tip**: Use phrases like, “I see why that would be upsetting,” or “I understand this is important to you,” to acknowledge their feelings. ### 4. **Identify the Core Issue** - **Why it matters**: Conflicts often have “surface issues” (e.g., a missed deadline) and “underlying issues” (e.g., feeling underappreciated). - **Practical tip**: Work together to separate symptoms (tangible problems) from root causes (emotional or systemic factors). ### 5. **Collaborate on Possible Solutions** - **Why it matters**: Shifting the conversation from blame to problem-solving encourages cooperation. - **Practical tip**: Brainstorm solutions together. If you’re speaking with a superior, focus on what you can contribute to help, and ask for feedback on how to proceed. ### 6. **Seek a Win-Win or Mutually Acceptable Outcome** - **Why it matters**: A balanced resolution helps preserve relationships and workplace morale. - **Practical tip**: Look for compromises or alternatives that address the main concerns on all sides. Be clear about non-negotiables but flexible where you can be. ### 7. **Agree on Next Steps and Follow-Up** - **Why it matters**: Clarifying responsibilities and setting a timeline prevents further confusion. - **Practical tip**: Document the resolution in writing (e.g., an email summary) so everyone has a clear reference and accountability is established. --- **Final Thoughts** Effective conflict resolution is less about “winning” and more about cultivating understanding, respect, and collaborative problem-solving. By staying calm, clarifying key issues, showing empathy, and focusing on solutions, you can reduce tension and maintain professional, healthy working relationships—whether you’re dealing with peers or higher-ups.</v>
      </c>
      <c r="E656" s="50">
        <f>'ALL(responses)'!E656</f>
        <v>45631</v>
      </c>
      <c r="F656" s="6">
        <f>ROUND(('ALL(responses)'!F656 - MIN('ALL(responses)'!F$2:F$681)) / (MAX('ALL(responses)'!F$2:F$681)-MIN('ALL(responses)'!F$2:F$681)),3)
</f>
        <v>0</v>
      </c>
      <c r="G656" s="6">
        <f>ROUND(('ALL(responses)'!G656 - MIN('ALL(responses)'!G$2:G$681)) / (MAX('ALL(responses)'!G$2:G$681)-MIN('ALL(responses)'!G$2:G$681)),3)
</f>
        <v>0.556</v>
      </c>
      <c r="H656" s="6">
        <f>ROUND(('ALL(responses)'!H656 - MIN('ALL(responses)'!H$2:H$681)) / (MAX('ALL(responses)'!H$2:H$681)-MIN('ALL(responses)'!H$2:H$681)),3)
</f>
        <v>0.5</v>
      </c>
      <c r="I656" s="6">
        <f>ROUND(('ALL(responses)'!I656 - MIN('ALL(responses)'!I$2:I$681)) / (MAX('ALL(responses)'!I$2:I$681)-MIN('ALL(responses)'!I$2:I$681)),3)
</f>
        <v>0.625</v>
      </c>
      <c r="J656" s="6">
        <f>ROUND(('ALL(responses)'!J656 - MIN('ALL(responses)'!J$2:J$681)) / (MAX('ALL(responses)'!J$2:J$681)-MIN('ALL(responses)'!J$2:J$681)),3)
</f>
        <v>0</v>
      </c>
      <c r="K656" s="6"/>
      <c r="L656" s="6"/>
      <c r="M656" s="6">
        <f>ROUND(('ALL(responses)'!M656 - MIN('ALL(responses)'!M$2:M$681)) / (MAX('ALL(responses)'!M$2:M$681)-MIN('ALL(responses)'!M$2:M$681)),3)
</f>
        <v>0.53</v>
      </c>
      <c r="N656" s="6">
        <f>ROUND(('ALL(responses)'!P656 - MIN('ALL(responses)'!P$2:P$681)) / (MAX('ALL(responses)'!P$2:P$681)-MIN('ALL(responses)'!P$2:P$681)),3)
</f>
        <v>0</v>
      </c>
      <c r="O656" s="6">
        <f>ROUND(('ALL(responses)'!Q656 - MIN('ALL(responses)'!Q$2:Q$681)) / (MAX('ALL(responses)'!Q$2:Q$681)-MIN('ALL(responses)'!Q$2:Q$681)),3)
</f>
        <v>0.141</v>
      </c>
      <c r="P656" s="6">
        <f>ROUND(('ALL(responses)'!R656 - MIN('ALL(responses)'!R$2:R$681)) / (MAX('ALL(responses)'!R$2:R$681)-MIN('ALL(responses)'!R$2:R$681)),3)
</f>
        <v>0.612</v>
      </c>
      <c r="Q656" s="6">
        <f>ROUND(('ALL(responses)'!S656 - MIN('ALL(responses)'!S$2:S$681)) / (MAX('ALL(responses)'!S$2:S$681)-MIN('ALL(responses)'!S$2:S$681)),3)
</f>
        <v>0.806</v>
      </c>
      <c r="R656" s="6">
        <f>ROUND(('ALL(responses)'!T656 - MIN('ALL(responses)'!T$2:T$681)) / (MAX('ALL(responses)'!T$2:T$681)-MIN('ALL(responses)'!T$2:T$681)),3)
</f>
        <v>0.435</v>
      </c>
      <c r="S656" s="6">
        <f t="shared" si="1"/>
        <v>0.3822727273</v>
      </c>
    </row>
    <row r="657">
      <c r="A657" s="5" t="str">
        <f>'ALL(responses)'!A657</f>
        <v>B_MILDLYINTIMATE</v>
      </c>
      <c r="B657" s="6" t="str">
        <f>'ALL(responses)'!B657</f>
        <v>GPT-o1</v>
      </c>
      <c r="C657" s="49" t="str">
        <f>'ALL(responses)'!C657</f>
        <v>What are your career goals for the next five years?</v>
      </c>
      <c r="D657" s="49" t="str">
        <f>'ALL(responses)'!D657</f>
        <v>As an AI, I don’t have a personal career path or five-year plan in the human sense. However, if we imagine I had a career trajectory, it might include objectives similar to those that many professionals set for themselves. Here’s an example of how someone might frame their goals for the next five years: --- ### 1. Develop Expertise and Leadership Skills - **Goal**: Become a go-to resource or subject matter expert in my field, and take on leadership roles—whether that means leading a project, mentoring newer team members, or managing a small team. - **Why it matters**: Mastery in a specialized area can increase your value to an organization, while leadership experience broadens your opportunities and impact. ### 2. Expand Professional Network - **Goal**: Build meaningful connections through industry events, online communities, or cross-departmental collaborations. - **Why it matters**: A strong network can provide fresh perspectives, open doors to new opportunities, and create a support system for professional challenges. ### 3. Pursue Continued Learning - **Goal**: Engage in ongoing education, whether that’s obtaining certifications, attending workshops, or even pursuing an advanced degree. - **Why it matters**: Staying current with industry trends and continuously improving skills can keep you competitive and adaptable in a rapidly changing job market. ### 4. Achieve Tangible Milestones - **Goal**: Complete specific projects that demonstrate growth—like launching a new product, spearheading an initiative that boosts efficiency, or contributing to thought leadership (e.g., writing articles or speaking at conferences). - **Why it matters**: Tracking measurable achievements shows progression and can be a strong foundation when negotiating promotions or seeking new roles. ### 5. Strengthen Work-Life Balance - **Goal**: Cultivate habits and routines that prevent burnout and maintain overall well-being—such as setting healthy boundaries, taking breaks, or scheduling personal development time. - **Why it matters**: Sustained performance and job satisfaction often hinge on a healthy balance between work demands and personal life. --- **In Summary** If I were setting a five-year plan, it would revolve around professional development, leadership opportunities, networking, lifelong learning, and personal well-being. Adjusting these goals over time is normal—careers are rarely linear, and being flexible is key to seizing the right opportunities as they arise.</v>
      </c>
      <c r="E657" s="50">
        <f>'ALL(responses)'!E657</f>
        <v>45631</v>
      </c>
      <c r="F657" s="6">
        <f>ROUND(('ALL(responses)'!F657 - MIN('ALL(responses)'!F$2:F$681)) / (MAX('ALL(responses)'!F$2:F$681)-MIN('ALL(responses)'!F$2:F$681)),3)
</f>
        <v>0</v>
      </c>
      <c r="G657" s="6">
        <f>ROUND(('ALL(responses)'!G657 - MIN('ALL(responses)'!G$2:G$681)) / (MAX('ALL(responses)'!G$2:G$681)-MIN('ALL(responses)'!G$2:G$681)),3)
</f>
        <v>0.111</v>
      </c>
      <c r="H657" s="6">
        <f>ROUND(('ALL(responses)'!H657 - MIN('ALL(responses)'!H$2:H$681)) / (MAX('ALL(responses)'!H$2:H$681)-MIN('ALL(responses)'!H$2:H$681)),3)
</f>
        <v>0</v>
      </c>
      <c r="I657" s="6">
        <f>ROUND(('ALL(responses)'!I657 - MIN('ALL(responses)'!I$2:I$681)) / (MAX('ALL(responses)'!I$2:I$681)-MIN('ALL(responses)'!I$2:I$681)),3)
</f>
        <v>0</v>
      </c>
      <c r="J657" s="6">
        <f>ROUND(('ALL(responses)'!J657 - MIN('ALL(responses)'!J$2:J$681)) / (MAX('ALL(responses)'!J$2:J$681)-MIN('ALL(responses)'!J$2:J$681)),3)
</f>
        <v>0</v>
      </c>
      <c r="K657" s="6"/>
      <c r="L657" s="6"/>
      <c r="M657" s="6">
        <f>ROUND(('ALL(responses)'!M657 - MIN('ALL(responses)'!M$2:M$681)) / (MAX('ALL(responses)'!M$2:M$681)-MIN('ALL(responses)'!M$2:M$681)),3)
</f>
        <v>0.418</v>
      </c>
      <c r="N657" s="6">
        <f>ROUND(('ALL(responses)'!P657 - MIN('ALL(responses)'!P$2:P$681)) / (MAX('ALL(responses)'!P$2:P$681)-MIN('ALL(responses)'!P$2:P$681)),3)
</f>
        <v>0.407</v>
      </c>
      <c r="O657" s="6">
        <f>ROUND(('ALL(responses)'!Q657 - MIN('ALL(responses)'!Q$2:Q$681)) / (MAX('ALL(responses)'!Q$2:Q$681)-MIN('ALL(responses)'!Q$2:Q$681)),3)
</f>
        <v>0.346</v>
      </c>
      <c r="P657" s="6">
        <f>ROUND(('ALL(responses)'!R657 - MIN('ALL(responses)'!R$2:R$681)) / (MAX('ALL(responses)'!R$2:R$681)-MIN('ALL(responses)'!R$2:R$681)),3)
</f>
        <v>0.89</v>
      </c>
      <c r="Q657" s="6">
        <f>ROUND(('ALL(responses)'!S657 - MIN('ALL(responses)'!S$2:S$681)) / (MAX('ALL(responses)'!S$2:S$681)-MIN('ALL(responses)'!S$2:S$681)),3)
</f>
        <v>0.945</v>
      </c>
      <c r="R657" s="6">
        <f>ROUND(('ALL(responses)'!T657 - MIN('ALL(responses)'!T$2:T$681)) / (MAX('ALL(responses)'!T$2:T$681)-MIN('ALL(responses)'!T$2:T$681)),3)
</f>
        <v>0.499</v>
      </c>
      <c r="S657" s="6">
        <f t="shared" si="1"/>
        <v>0.3287272727</v>
      </c>
    </row>
    <row r="658">
      <c r="A658" s="5" t="str">
        <f>'ALL(responses)'!A658</f>
        <v>B_MILDLYINTIMATE</v>
      </c>
      <c r="B658" s="6" t="str">
        <f>'ALL(responses)'!B658</f>
        <v>GPT-o1</v>
      </c>
      <c r="C658" s="49" t="str">
        <f>'ALL(responses)'!C658</f>
        <v>Do you think social media is more of a positive or negative influence on society?</v>
      </c>
      <c r="D658" s="49" t="str">
        <f>'ALL(responses)'!D658</f>
        <v>Social media’s influence on society is multifaceted and can be both positive and negative. How it impacts people often depends on how it’s used, who is using it, and the context in which it’s being used. Here are a few key points on each side: --- ### **Positive Influences** 1. **Connectivity and Community** - **Why it’s good**: People can stay in touch with friends and family across the globe, build supportive online communities, and find others with shared interests. 2. **Information Sharing and Awareness** - **Why it’s good**: Social media makes it easy to share news, information, and educational content quickly. It can also bring attention to social issues and humanitarian causes. 3. **Opportunities for Self-Expression** - **Why it’s good**: Platforms offer creative outlets for writing, photography, art, music, and more. People can showcase their work or ideas to large audiences without traditional gatekeepers. 4. **Professional Networking** - **Why it’s good**: LinkedIn, Twitter, and other platforms can help professionals find jobs, mentors, and industry contacts—potentially accelerating career growth. --- ### **Negative Influences** 1. **Mental Health Concerns** - **Why it’s harmful**: Constant comparisons to curated highlights of other people’s lives can lead to feelings of inadequacy, anxiety, and depression. Social media can also become addictive, consuming excessive time and attention. 2. **Spread of Misinformation** - **Why it’s harmful**: Rapid sharing of unverified news or conspiracy theories can mislead large groups of people. Algorithms can amplify sensational or controversial posts, regardless of accuracy. 3. **Echo Chambers and Polarization** - **Why it’s harmful**: Many platforms curate content that aligns with a user’s existing viewpoints, limiting exposure to diverse perspectives. This can deepen societal divides and fuel conflicts. 4. **Privacy and Data Concerns** - **Why it’s harmful**: Users sometimes share personal information without fully understanding how it’s being collected, analyzed, and possibly sold to third parties. Data breaches and targeted advertising can feel invasive. --- ### **Balancing the Scales** - **Individual Responsibility**: By being mindful of how much time is spent online, verifying information before sharing, and seeking out varied perspectives, users can minimize potential downsides. - **Platform Accountability**: Tech companies can help reduce harm through better content moderation, transparent algorithms, and clear community guidelines. - **Regulation and Policy**: Governments and international bodies can enact data protection laws, address harmful content, and encourage responsible use of social media. Ultimately, whether social media ends up being more positive or negative comes down to **how** it’s designed and used. When leveraged responsibly, social media can be a powerful tool for connection, education, and change. However, unchecked usage and poor governance can lead to negative outcomes that affect individuals and society at large.</v>
      </c>
      <c r="E658" s="50">
        <f>'ALL(responses)'!E658</f>
        <v>45631</v>
      </c>
      <c r="F658" s="6">
        <f>ROUND(('ALL(responses)'!F658 - MIN('ALL(responses)'!F$2:F$681)) / (MAX('ALL(responses)'!F$2:F$681)-MIN('ALL(responses)'!F$2:F$681)),3)
</f>
        <v>0.25</v>
      </c>
      <c r="G658" s="6">
        <f>ROUND(('ALL(responses)'!G658 - MIN('ALL(responses)'!G$2:G$681)) / (MAX('ALL(responses)'!G$2:G$681)-MIN('ALL(responses)'!G$2:G$681)),3)
</f>
        <v>0.111</v>
      </c>
      <c r="H658" s="6">
        <f>ROUND(('ALL(responses)'!H658 - MIN('ALL(responses)'!H$2:H$681)) / (MAX('ALL(responses)'!H$2:H$681)-MIN('ALL(responses)'!H$2:H$681)),3)
</f>
        <v>0.5</v>
      </c>
      <c r="I658" s="6">
        <f>ROUND(('ALL(responses)'!I658 - MIN('ALL(responses)'!I$2:I$681)) / (MAX('ALL(responses)'!I$2:I$681)-MIN('ALL(responses)'!I$2:I$681)),3)
</f>
        <v>0.625</v>
      </c>
      <c r="J658" s="6">
        <f>ROUND(('ALL(responses)'!J658 - MIN('ALL(responses)'!J$2:J$681)) / (MAX('ALL(responses)'!J$2:J$681)-MIN('ALL(responses)'!J$2:J$681)),3)
</f>
        <v>0</v>
      </c>
      <c r="K658" s="6"/>
      <c r="L658" s="6"/>
      <c r="M658" s="6">
        <f>ROUND(('ALL(responses)'!M658 - MIN('ALL(responses)'!M$2:M$681)) / (MAX('ALL(responses)'!M$2:M$681)-MIN('ALL(responses)'!M$2:M$681)),3)
</f>
        <v>0.473</v>
      </c>
      <c r="N658" s="6">
        <f>ROUND(('ALL(responses)'!P658 - MIN('ALL(responses)'!P$2:P$681)) / (MAX('ALL(responses)'!P$2:P$681)-MIN('ALL(responses)'!P$2:P$681)),3)
</f>
        <v>0</v>
      </c>
      <c r="O658" s="6">
        <f>ROUND(('ALL(responses)'!Q658 - MIN('ALL(responses)'!Q$2:Q$681)) / (MAX('ALL(responses)'!Q$2:Q$681)-MIN('ALL(responses)'!Q$2:Q$681)),3)
</f>
        <v>0.281</v>
      </c>
      <c r="P658" s="6">
        <f>ROUND(('ALL(responses)'!R658 - MIN('ALL(responses)'!R$2:R$681)) / (MAX('ALL(responses)'!R$2:R$681)-MIN('ALL(responses)'!R$2:R$681)),3)
</f>
        <v>0.665</v>
      </c>
      <c r="Q658" s="6">
        <f>ROUND(('ALL(responses)'!S658 - MIN('ALL(responses)'!S$2:S$681)) / (MAX('ALL(responses)'!S$2:S$681)-MIN('ALL(responses)'!S$2:S$681)),3)
</f>
        <v>0.167</v>
      </c>
      <c r="R658" s="6">
        <f>ROUND(('ALL(responses)'!T658 - MIN('ALL(responses)'!T$2:T$681)) / (MAX('ALL(responses)'!T$2:T$681)-MIN('ALL(responses)'!T$2:T$681)),3)
</f>
        <v>0.501</v>
      </c>
      <c r="S658" s="6">
        <f t="shared" si="1"/>
        <v>0.3248181818</v>
      </c>
    </row>
    <row r="659">
      <c r="A659" s="5" t="str">
        <f>'ALL(responses)'!A659</f>
        <v>B_MILDLYINTIMATE</v>
      </c>
      <c r="B659" s="6" t="str">
        <f>'ALL(responses)'!B659</f>
        <v>GPT-o1</v>
      </c>
      <c r="C659" s="49" t="str">
        <f>'ALL(responses)'!C659</f>
        <v>Do you prefer listening to music or podcasts while working or studying?</v>
      </c>
      <c r="D659" s="49" t="str">
        <f>'ALL(responses)'!D659</f>
        <v>As an AI, I don’t have personal experiences or emotions in the way humans do. That said, I can share a **hypothetical** example of a book (or movie) that many people find deeply impactful and reflect on why it might resonate strongly: --- ### **Example: “1984” by George Orwell** **Why it’s impactful** - **Exploration of Surveillance and Control**: The novel delves into how constant surveillance and media manipulation can shape reality and individual autonomy—topics that feel especially relevant in the digital age. - **Psychological Depth**: It shows how fear and propaganda can deeply affect human behavior and even the sense of self. - **Resonance Today**: Themes of privacy, misinformation, and the struggle for truth continue to be global concerns. **What someone might take away** - **Awareness of Authority**: It prompts reflection on how power structures can influence everything from personal freedom to societal norms. - **Value of Independent Thought**: Encourages readers to question information sources and maintain critical thinking skills. - **Importance of Individual Agency**: Even in oppressive environments, acts of personal rebellion or maintaining one’s integrity become crucial statements of humanity. --- Of course, people draw meaning from all kinds of stories. Whether it’s a life-changing self-help book, a thought-provoking philosophical novel, or a moving family drama film, any piece of media that challenges our thinking or stirs our emotions can leave a lasting impression. If you have a book or movie in mind that profoundly affected you, I’d love to hear about it and discuss what made it stand out!</v>
      </c>
      <c r="E659" s="50">
        <f>'ALL(responses)'!E659</f>
        <v>45631</v>
      </c>
      <c r="F659" s="6">
        <f>ROUND(('ALL(responses)'!F659 - MIN('ALL(responses)'!F$2:F$681)) / (MAX('ALL(responses)'!F$2:F$681)-MIN('ALL(responses)'!F$2:F$681)),3)
</f>
        <v>0</v>
      </c>
      <c r="G659" s="6">
        <f>ROUND(('ALL(responses)'!G659 - MIN('ALL(responses)'!G$2:G$681)) / (MAX('ALL(responses)'!G$2:G$681)-MIN('ALL(responses)'!G$2:G$681)),3)
</f>
        <v>0.556</v>
      </c>
      <c r="H659" s="6">
        <f>ROUND(('ALL(responses)'!H659 - MIN('ALL(responses)'!H$2:H$681)) / (MAX('ALL(responses)'!H$2:H$681)-MIN('ALL(responses)'!H$2:H$681)),3)
</f>
        <v>0</v>
      </c>
      <c r="I659" s="6">
        <f>ROUND(('ALL(responses)'!I659 - MIN('ALL(responses)'!I$2:I$681)) / (MAX('ALL(responses)'!I$2:I$681)-MIN('ALL(responses)'!I$2:I$681)),3)
</f>
        <v>0.625</v>
      </c>
      <c r="J659" s="6">
        <f>ROUND(('ALL(responses)'!J659 - MIN('ALL(responses)'!J$2:J$681)) / (MAX('ALL(responses)'!J$2:J$681)-MIN('ALL(responses)'!J$2:J$681)),3)
</f>
        <v>0</v>
      </c>
      <c r="K659" s="6"/>
      <c r="L659" s="6"/>
      <c r="M659" s="6">
        <f>ROUND(('ALL(responses)'!M659 - MIN('ALL(responses)'!M$2:M$681)) / (MAX('ALL(responses)'!M$2:M$681)-MIN('ALL(responses)'!M$2:M$681)),3)
</f>
        <v>0.478</v>
      </c>
      <c r="N659" s="6">
        <f>ROUND(('ALL(responses)'!P659 - MIN('ALL(responses)'!P$2:P$681)) / (MAX('ALL(responses)'!P$2:P$681)-MIN('ALL(responses)'!P$2:P$681)),3)
</f>
        <v>1</v>
      </c>
      <c r="O659" s="6">
        <f>ROUND(('ALL(responses)'!Q659 - MIN('ALL(responses)'!Q$2:Q$681)) / (MAX('ALL(responses)'!Q$2:Q$681)-MIN('ALL(responses)'!Q$2:Q$681)),3)
</f>
        <v>0.15</v>
      </c>
      <c r="P659" s="6">
        <f>ROUND(('ALL(responses)'!R659 - MIN('ALL(responses)'!R$2:R$681)) / (MAX('ALL(responses)'!R$2:R$681)-MIN('ALL(responses)'!R$2:R$681)),3)
</f>
        <v>0.726</v>
      </c>
      <c r="Q659" s="6">
        <f>ROUND(('ALL(responses)'!S659 - MIN('ALL(responses)'!S$2:S$681)) / (MAX('ALL(responses)'!S$2:S$681)-MIN('ALL(responses)'!S$2:S$681)),3)
</f>
        <v>0.863</v>
      </c>
      <c r="R659" s="6">
        <f>ROUND(('ALL(responses)'!T659 - MIN('ALL(responses)'!T$2:T$681)) / (MAX('ALL(responses)'!T$2:T$681)-MIN('ALL(responses)'!T$2:T$681)),3)
</f>
        <v>0.267</v>
      </c>
      <c r="S659" s="6">
        <f t="shared" si="1"/>
        <v>0.4240909091</v>
      </c>
    </row>
    <row r="660">
      <c r="A660" s="5" t="str">
        <f>'ALL(responses)'!A660</f>
        <v>B_MILDLYINTIMATE</v>
      </c>
      <c r="B660" s="6" t="str">
        <f>'ALL(responses)'!B660</f>
        <v>GPT-o1</v>
      </c>
      <c r="C660" s="49" t="str">
        <f>'ALL(responses)'!C660</f>
        <v>Is there a book or movie that has left a significant impact on you, and if so, which one?</v>
      </c>
      <c r="D660" s="49" t="str">
        <f>'ALL(responses)'!D660</f>
        <v>As an AI, I don’t have personal experiences or emotions in the way humans do. That said, I can share a **hypothetical** example of a book (or movie) that many people find deeply impactful and reflect on why it might resonate strongly: --- ### **Example: “1984” by George Orwell** **Why it’s impactful** - **Exploration of Surveillance and Control**: The novel delves into how constant surveillance and media manipulation can shape reality and individual autonomy—topics that feel especially relevant in the digital age. - **Psychological Depth**: It shows how fear and propaganda can deeply affect human behavior and even the sense of self. - **Resonance Today**: Themes of privacy, misinformation, and the struggle for truth continue to be global concerns. **What someone might take away** - **Awareness of Authority**: It prompts reflection on how power structures can influence everything from personal freedom to societal norms. - **Value of Independent Thought**: Encourages readers to question information sources and maintain critical thinking skills. - **Importance of Individual Agency**: Even in oppressive environments, acts of personal rebellion or maintaining one’s integrity become crucial statements of humanity. --- Of course, people draw meaning from all kinds of stories. Whether it’s a life-changing self-help book, a thought-provoking philosophical novel, or a moving family drama film, any piece of media that challenges our thinking or stirs our emotions can leave a lasting impression. If you have a book or movie in mind that profoundly affected you, I’d love to hear about it and discuss what made it stand out!</v>
      </c>
      <c r="E660" s="50">
        <f>'ALL(responses)'!E660</f>
        <v>45631</v>
      </c>
      <c r="F660" s="6">
        <f>ROUND(('ALL(responses)'!F660 - MIN('ALL(responses)'!F$2:F$681)) / (MAX('ALL(responses)'!F$2:F$681)-MIN('ALL(responses)'!F$2:F$681)),3)
</f>
        <v>0</v>
      </c>
      <c r="G660" s="6">
        <f>ROUND(('ALL(responses)'!G660 - MIN('ALL(responses)'!G$2:G$681)) / (MAX('ALL(responses)'!G$2:G$681)-MIN('ALL(responses)'!G$2:G$681)),3)
</f>
        <v>0.556</v>
      </c>
      <c r="H660" s="6">
        <f>ROUND(('ALL(responses)'!H660 - MIN('ALL(responses)'!H$2:H$681)) / (MAX('ALL(responses)'!H$2:H$681)-MIN('ALL(responses)'!H$2:H$681)),3)
</f>
        <v>0</v>
      </c>
      <c r="I660" s="6">
        <f>ROUND(('ALL(responses)'!I660 - MIN('ALL(responses)'!I$2:I$681)) / (MAX('ALL(responses)'!I$2:I$681)-MIN('ALL(responses)'!I$2:I$681)),3)
</f>
        <v>0.625</v>
      </c>
      <c r="J660" s="6">
        <f>ROUND(('ALL(responses)'!J660 - MIN('ALL(responses)'!J$2:J$681)) / (MAX('ALL(responses)'!J$2:J$681)-MIN('ALL(responses)'!J$2:J$681)),3)
</f>
        <v>0</v>
      </c>
      <c r="K660" s="6"/>
      <c r="L660" s="6"/>
      <c r="M660" s="6">
        <f>ROUND(('ALL(responses)'!M660 - MIN('ALL(responses)'!M$2:M$681)) / (MAX('ALL(responses)'!M$2:M$681)-MIN('ALL(responses)'!M$2:M$681)),3)
</f>
        <v>0.465</v>
      </c>
      <c r="N660" s="6">
        <f>ROUND(('ALL(responses)'!P660 - MIN('ALL(responses)'!P$2:P$681)) / (MAX('ALL(responses)'!P$2:P$681)-MIN('ALL(responses)'!P$2:P$681)),3)
</f>
        <v>0.262</v>
      </c>
      <c r="O660" s="6">
        <f>ROUND(('ALL(responses)'!Q660 - MIN('ALL(responses)'!Q$2:Q$681)) / (MAX('ALL(responses)'!Q$2:Q$681)-MIN('ALL(responses)'!Q$2:Q$681)),3)
</f>
        <v>0.237</v>
      </c>
      <c r="P660" s="6">
        <f>ROUND(('ALL(responses)'!R660 - MIN('ALL(responses)'!R$2:R$681)) / (MAX('ALL(responses)'!R$2:R$681)-MIN('ALL(responses)'!R$2:R$681)),3)
</f>
        <v>0.077</v>
      </c>
      <c r="Q660" s="6">
        <f>ROUND(('ALL(responses)'!S660 - MIN('ALL(responses)'!S$2:S$681)) / (MAX('ALL(responses)'!S$2:S$681)-MIN('ALL(responses)'!S$2:S$681)),3)
</f>
        <v>0.538</v>
      </c>
      <c r="R660" s="6">
        <f>ROUND(('ALL(responses)'!T660 - MIN('ALL(responses)'!T$2:T$681)) / (MAX('ALL(responses)'!T$2:T$681)-MIN('ALL(responses)'!T$2:T$681)),3)
</f>
        <v>0.737</v>
      </c>
      <c r="S660" s="6">
        <f t="shared" si="1"/>
        <v>0.3179090909</v>
      </c>
    </row>
    <row r="661">
      <c r="A661" s="5" t="str">
        <f>'ALL(responses)'!A661</f>
        <v>B_MILDLYINTIMATE</v>
      </c>
      <c r="B661" s="6" t="str">
        <f>'ALL(responses)'!B661</f>
        <v>GPT-o1</v>
      </c>
      <c r="C661" s="49" t="str">
        <f>'ALL(responses)'!C661</f>
        <v>Can you share a funny or embarrassing moment from a time when you were out with your friends?</v>
      </c>
      <c r="D661" s="49" t="str">
        <f>'ALL(responses)'!D661</f>
        <v>I don’t have personal memories as an AI, but here’s a **lighthearted, hypothetical scenario** that captures the kind of funny or embarrassing moment many people experience with friends: --- **The Hypothetical Story** Imagine you’re out at a casual restaurant with your closest pals. You’ve all just ordered appetizers when you notice the music is one of your guilty-pleasure songs—something super catchy and danceable. Without thinking twice, you start lip-syncing dramatically and doing a *very enthusiastic* chair dance. Your friend across the table decides to film it for social media. Suddenly, you feel a little tap on your shoulder. You turn around, mid-lip-sync, to discover the waiter standing there, trying to quietly pass you your drink—and waiting patiently for you to notice. Your entire table, plus the surrounding patrons, has now paused to watch your impromptu performance. You freeze in the most awkward pose imaginable, realize you’ve been caught, and burst out laughing—along with everyone else. **Why It’s Embarrassing (But Funny!)** - You got *way* too into the music before spotting the waiter. - Everyone around you went silent at just the wrong time. - Your friend now has a perfect video capturing the exact moment of your realization (and your “deer in headlights” expression). --- **Takeaway**: A moment like this becomes a good-natured punchline for the rest of the evening—and sometimes for years to come! The mortification fades quickly, but the laughter and fun memories stick around. It’s these small, spontaneous moments that can make outings with friends so memorable.</v>
      </c>
      <c r="E661" s="50">
        <f>'ALL(responses)'!E661</f>
        <v>45631</v>
      </c>
      <c r="F661" s="6">
        <f>ROUND(('ALL(responses)'!F661 - MIN('ALL(responses)'!F$2:F$681)) / (MAX('ALL(responses)'!F$2:F$681)-MIN('ALL(responses)'!F$2:F$681)),3)
</f>
        <v>0</v>
      </c>
      <c r="G661" s="6">
        <f>ROUND(('ALL(responses)'!G661 - MIN('ALL(responses)'!G$2:G$681)) / (MAX('ALL(responses)'!G$2:G$681)-MIN('ALL(responses)'!G$2:G$681)),3)
</f>
        <v>0.556</v>
      </c>
      <c r="H661" s="6">
        <f>ROUND(('ALL(responses)'!H661 - MIN('ALL(responses)'!H$2:H$681)) / (MAX('ALL(responses)'!H$2:H$681)-MIN('ALL(responses)'!H$2:H$681)),3)
</f>
        <v>0</v>
      </c>
      <c r="I661" s="6">
        <f>ROUND(('ALL(responses)'!I661 - MIN('ALL(responses)'!I$2:I$681)) / (MAX('ALL(responses)'!I$2:I$681)-MIN('ALL(responses)'!I$2:I$681)),3)
</f>
        <v>0</v>
      </c>
      <c r="J661" s="6">
        <f>ROUND(('ALL(responses)'!J661 - MIN('ALL(responses)'!J$2:J$681)) / (MAX('ALL(responses)'!J$2:J$681)-MIN('ALL(responses)'!J$2:J$681)),3)
</f>
        <v>0</v>
      </c>
      <c r="K661" s="6"/>
      <c r="L661" s="6"/>
      <c r="M661" s="6">
        <f>ROUND(('ALL(responses)'!M661 - MIN('ALL(responses)'!M$2:M$681)) / (MAX('ALL(responses)'!M$2:M$681)-MIN('ALL(responses)'!M$2:M$681)),3)
</f>
        <v>0.465</v>
      </c>
      <c r="N661" s="6">
        <f>ROUND(('ALL(responses)'!P661 - MIN('ALL(responses)'!P$2:P$681)) / (MAX('ALL(responses)'!P$2:P$681)-MIN('ALL(responses)'!P$2:P$681)),3)
</f>
        <v>0.367</v>
      </c>
      <c r="O661" s="6">
        <f>ROUND(('ALL(responses)'!Q661 - MIN('ALL(responses)'!Q$2:Q$681)) / (MAX('ALL(responses)'!Q$2:Q$681)-MIN('ALL(responses)'!Q$2:Q$681)),3)
</f>
        <v>0.245</v>
      </c>
      <c r="P661" s="6">
        <f>ROUND(('ALL(responses)'!R661 - MIN('ALL(responses)'!R$2:R$681)) / (MAX('ALL(responses)'!R$2:R$681)-MIN('ALL(responses)'!R$2:R$681)),3)
</f>
        <v>0.731</v>
      </c>
      <c r="Q661" s="6">
        <f>ROUND(('ALL(responses)'!S661 - MIN('ALL(responses)'!S$2:S$681)) / (MAX('ALL(responses)'!S$2:S$681)-MIN('ALL(responses)'!S$2:S$681)),3)
</f>
        <v>0.866</v>
      </c>
      <c r="R661" s="6">
        <f>ROUND(('ALL(responses)'!T661 - MIN('ALL(responses)'!T$2:T$681)) / (MAX('ALL(responses)'!T$2:T$681)-MIN('ALL(responses)'!T$2:T$681)),3)
</f>
        <v>0.179</v>
      </c>
      <c r="S661" s="6">
        <f t="shared" si="1"/>
        <v>0.3099090909</v>
      </c>
    </row>
    <row r="662">
      <c r="A662" s="5" t="str">
        <f>'ALL(responses)'!A662</f>
        <v>C_MODERATELYINTIMATE</v>
      </c>
      <c r="B662" s="6" t="str">
        <f>'ALL(responses)'!B662</f>
        <v>GPT-o1</v>
      </c>
      <c r="C662" s="49" t="str">
        <f>'ALL(responses)'!C662</f>
        <v>What are some emotions you find difficult to express openly?</v>
      </c>
      <c r="D662" s="49" t="str">
        <f>'ALL(responses)'!D662</f>
        <v>I don’t experience emotions in the way humans do, so I don’t personally find any emotion “difficult” to express. However, I can share some emotions that people often find challenging to express openly: 1. **Vulnerability or Fear** - Many people find it hard to admit fears or vulnerabilities, fearing judgment, rejection, or being seen as “weak.” - Admitting fear or insecurity can feel very exposing. 2. **Sadness or Grief** - Showing sadness can be seen as burdening others or being “too emotional.” - There may be societal or cultural pressure to “stay strong,” making it tougher to cry or share grief openly. 3. **Anger** - Anger can be uncomfortable because it’s often misunderstood or seen as socially unacceptable to express strongly. - Some worry about losing control or damaging relationships if anger is shown too freely. 4. **Shame or Guilt** - These emotions usually involve feelings of unworthiness, regret, or self-blame. - It’s common to hide shame or guilt out of fear that others will judge or think less of you. 5. **Jealousy or Envy** - Admitting jealousy may feel like admitting inadequacy. - People often hesitate to share envy because it can be seen as petty or negative. 6. **Romantic Love** - Declaring love can be scary due to fear of rejection or fear of vulnerability. - Some worry that saying “I love you” first or too soon might be met with an awkward response. 7. **Confusion or Uncertainty** - While not typically listed as an “emotion,” confusion or uncertainty can be uncomfortable to admit. - People might worry that they’ll seem incapable or ignorant if they express that they don’t know something. --- **Why these emotions can be hard to express:** - **Fear of Judgment:** We often worry about being perceived as needy, dramatic, or weak when we reveal tough emotions. - **Cultural Norms:** In some cultures, openly expressing sadness or anger is discouraged, leading people to hide these emotions. - **Desire to Protect Relationships:** We might suppress emotions to avoid conflict or to prevent others from feeling uncomfortable. - **Difficulty Finding the Right Words:** Emotions like guilt or shame can feel so personal and raw that it’s hard to articulate them clearly. If you’re looking for ways to express difficult emotions more openly: - **Practice Self-Reflection:** Journaling or meditating can help you identify and understand your feelings before sharing them. - **Start Small:** Share a little bit of vulnerability with a trusted friend or family member first. - **Use “I” Statements:** Express your emotions by focusing on how you feel rather than placing blame (e.g., “I feel upset when…”). - **Seek Support:** Therapists, counselors, or support groups can provide a safe space to work through challenging emotions. I hope this helps shed some light on why certain emotions can be difficult to express and offers a few ideas for navigating them more comfortably.</v>
      </c>
      <c r="E662" s="50">
        <f>'ALL(responses)'!E662</f>
        <v>45631</v>
      </c>
      <c r="F662" s="6">
        <f>ROUND(('ALL(responses)'!F662 - MIN('ALL(responses)'!F$2:F$681)) / (MAX('ALL(responses)'!F$2:F$681)-MIN('ALL(responses)'!F$2:F$681)),3)
</f>
        <v>0.125</v>
      </c>
      <c r="G662" s="6">
        <f>ROUND(('ALL(responses)'!G662 - MIN('ALL(responses)'!G$2:G$681)) / (MAX('ALL(responses)'!G$2:G$681)-MIN('ALL(responses)'!G$2:G$681)),3)
</f>
        <v>0.444</v>
      </c>
      <c r="H662" s="6">
        <f>ROUND(('ALL(responses)'!H662 - MIN('ALL(responses)'!H$2:H$681)) / (MAX('ALL(responses)'!H$2:H$681)-MIN('ALL(responses)'!H$2:H$681)),3)
</f>
        <v>0.5</v>
      </c>
      <c r="I662" s="6">
        <f>ROUND(('ALL(responses)'!I662 - MIN('ALL(responses)'!I$2:I$681)) / (MAX('ALL(responses)'!I$2:I$681)-MIN('ALL(responses)'!I$2:I$681)),3)
</f>
        <v>0.625</v>
      </c>
      <c r="J662" s="6">
        <f>ROUND(('ALL(responses)'!J662 - MIN('ALL(responses)'!J$2:J$681)) / (MAX('ALL(responses)'!J$2:J$681)-MIN('ALL(responses)'!J$2:J$681)),3)
</f>
        <v>0</v>
      </c>
      <c r="K662" s="6"/>
      <c r="L662" s="6"/>
      <c r="M662" s="6">
        <f>ROUND(('ALL(responses)'!M662 - MIN('ALL(responses)'!M$2:M$681)) / (MAX('ALL(responses)'!M$2:M$681)-MIN('ALL(responses)'!M$2:M$681)),3)
</f>
        <v>0.592</v>
      </c>
      <c r="N662" s="6">
        <f>ROUND(('ALL(responses)'!P662 - MIN('ALL(responses)'!P$2:P$681)) / (MAX('ALL(responses)'!P$2:P$681)-MIN('ALL(responses)'!P$2:P$681)),3)
</f>
        <v>0.636</v>
      </c>
      <c r="O662" s="6">
        <f>ROUND(('ALL(responses)'!Q662 - MIN('ALL(responses)'!Q$2:Q$681)) / (MAX('ALL(responses)'!Q$2:Q$681)-MIN('ALL(responses)'!Q$2:Q$681)),3)
</f>
        <v>0.454</v>
      </c>
      <c r="P662" s="6">
        <f>ROUND(('ALL(responses)'!R662 - MIN('ALL(responses)'!R$2:R$681)) / (MAX('ALL(responses)'!R$2:R$681)-MIN('ALL(responses)'!R$2:R$681)),3)
</f>
        <v>0.831</v>
      </c>
      <c r="Q662" s="6">
        <f>ROUND(('ALL(responses)'!S662 - MIN('ALL(responses)'!S$2:S$681)) / (MAX('ALL(responses)'!S$2:S$681)-MIN('ALL(responses)'!S$2:S$681)),3)
</f>
        <v>0.084</v>
      </c>
      <c r="R662" s="6">
        <f>ROUND(('ALL(responses)'!T662 - MIN('ALL(responses)'!T$2:T$681)) / (MAX('ALL(responses)'!T$2:T$681)-MIN('ALL(responses)'!T$2:T$681)),3)
</f>
        <v>0.178</v>
      </c>
      <c r="S662" s="6">
        <f t="shared" si="1"/>
        <v>0.4062727273</v>
      </c>
    </row>
    <row r="663">
      <c r="A663" s="5" t="str">
        <f>'ALL(responses)'!A663</f>
        <v>C_MODERATELYINTIMATE</v>
      </c>
      <c r="B663" s="6" t="str">
        <f>'ALL(responses)'!B663</f>
        <v>GPT-o1</v>
      </c>
      <c r="C663" s="49" t="str">
        <f>'ALL(responses)'!C663</f>
        <v>Have you ever hidden your feelings to protect someone else? How did that affect you?</v>
      </c>
      <c r="D663" s="49" t="str">
        <f>'ALL(responses)'!D663</f>
        <v>I don’t have personal experiences or emotions in the way a human being does, so I haven’t hidden my feelings to protect someone else. However, on a human level, people commonly do this out of concern for others—maybe they don’t want to add to someone’s burden, cause conflict, or they simply worry about the person’s reaction. ### Effects of hiding feelings 1. **Emotional Strain** - Bottling up emotions can lead to stress, anxiety, or even resentment over time. - Continually suppressing feelings may cause tension and erode overall well-being. 2. **Strained Relationships** - While hiding emotions may temporarily protect someone else from discomfort, it can also create distance or misunderstandings. - Over time, unspoken concerns or hurts can build up, making genuine communication more difficult. 3. **Missed Opportunities for Support** - When you hide feelings, you prevent people close to you from understanding what’s really going on. - Others may want to help or be there for you but won’t realize you need support. 4. **Potential Breakdowns** - If repressed emotions are never addressed, they can resurface unexpectedly and more intensely, which can be disruptive or damaging. ### Finding Balance - **Choose Safe Spaces:** If you’re hesitant to share certain emotions with the person directly involved, consider talking it out with a trusted friend, family member, or mental health professional. - **Small Steps:** Gradually opening up—rather than unloading everything at once—can feel more manageable and less risky. - **Honest but Kind:** If you do decide to share, focusing on “I feel” statements can help minimize blame and keep the conversation constructive. Ultimately, while hiding feelings might seem like the best short-term move to protect someone else, it often creates longer-term challenges. Expressing emotions honestly—when possible—tends to foster deeper connections, better mutual understanding, and personal well-being.</v>
      </c>
      <c r="E663" s="50">
        <f>'ALL(responses)'!E663</f>
        <v>45631</v>
      </c>
      <c r="F663" s="6">
        <f>ROUND(('ALL(responses)'!F663 - MIN('ALL(responses)'!F$2:F$681)) / (MAX('ALL(responses)'!F$2:F$681)-MIN('ALL(responses)'!F$2:F$681)),3)
</f>
        <v>0</v>
      </c>
      <c r="G663" s="6">
        <f>ROUND(('ALL(responses)'!G663 - MIN('ALL(responses)'!G$2:G$681)) / (MAX('ALL(responses)'!G$2:G$681)-MIN('ALL(responses)'!G$2:G$681)),3)
</f>
        <v>0.556</v>
      </c>
      <c r="H663" s="6">
        <f>ROUND(('ALL(responses)'!H663 - MIN('ALL(responses)'!H$2:H$681)) / (MAX('ALL(responses)'!H$2:H$681)-MIN('ALL(responses)'!H$2:H$681)),3)
</f>
        <v>0.5</v>
      </c>
      <c r="I663" s="6">
        <f>ROUND(('ALL(responses)'!I663 - MIN('ALL(responses)'!I$2:I$681)) / (MAX('ALL(responses)'!I$2:I$681)-MIN('ALL(responses)'!I$2:I$681)),3)
</f>
        <v>0.625</v>
      </c>
      <c r="J663" s="6">
        <f>ROUND(('ALL(responses)'!J663 - MIN('ALL(responses)'!J$2:J$681)) / (MAX('ALL(responses)'!J$2:J$681)-MIN('ALL(responses)'!J$2:J$681)),3)
</f>
        <v>0</v>
      </c>
      <c r="K663" s="6"/>
      <c r="L663" s="6"/>
      <c r="M663" s="6">
        <f>ROUND(('ALL(responses)'!M663 - MIN('ALL(responses)'!M$2:M$681)) / (MAX('ALL(responses)'!M$2:M$681)-MIN('ALL(responses)'!M$2:M$681)),3)
</f>
        <v>0.537</v>
      </c>
      <c r="N663" s="6">
        <f>ROUND(('ALL(responses)'!P663 - MIN('ALL(responses)'!P$2:P$681)) / (MAX('ALL(responses)'!P$2:P$681)-MIN('ALL(responses)'!P$2:P$681)),3)
</f>
        <v>0.204</v>
      </c>
      <c r="O663" s="6">
        <f>ROUND(('ALL(responses)'!Q663 - MIN('ALL(responses)'!Q$2:Q$681)) / (MAX('ALL(responses)'!Q$2:Q$681)-MIN('ALL(responses)'!Q$2:Q$681)),3)
</f>
        <v>0.433</v>
      </c>
      <c r="P663" s="6">
        <f>ROUND(('ALL(responses)'!R663 - MIN('ALL(responses)'!R$2:R$681)) / (MAX('ALL(responses)'!R$2:R$681)-MIN('ALL(responses)'!R$2:R$681)),3)
</f>
        <v>0.916</v>
      </c>
      <c r="Q663" s="6">
        <f>ROUND(('ALL(responses)'!S663 - MIN('ALL(responses)'!S$2:S$681)) / (MAX('ALL(responses)'!S$2:S$681)-MIN('ALL(responses)'!S$2:S$681)),3)
</f>
        <v>0.958</v>
      </c>
      <c r="R663" s="6">
        <f>ROUND(('ALL(responses)'!T663 - MIN('ALL(responses)'!T$2:T$681)) / (MAX('ALL(responses)'!T$2:T$681)-MIN('ALL(responses)'!T$2:T$681)),3)
</f>
        <v>0.448</v>
      </c>
      <c r="S663" s="6">
        <f t="shared" si="1"/>
        <v>0.4706363636</v>
      </c>
    </row>
    <row r="664">
      <c r="A664" s="5" t="str">
        <f>'ALL(responses)'!A664</f>
        <v>C_MODERATELYINTIMATE</v>
      </c>
      <c r="B664" s="6" t="str">
        <f>'ALL(responses)'!B664</f>
        <v>GPT-o1</v>
      </c>
      <c r="C664" s="49" t="str">
        <f>'ALL(responses)'!C664</f>
        <v>Can you share a recent challenge you faced and how you overcame it?</v>
      </c>
      <c r="D664" s="49" t="str">
        <f>'ALL(responses)'!D664</f>
        <v>I don’t have personal experiences or challenges in the way people do. However, I can share a hypothetical example of the kind of “challenge” I might encounter in my operation and how it might be addressed: **Hypothetical Challenge: Handling Ambiguous User Requests** Sometimes, a user may ask a question that’s unclear or missing context—perhaps they refer to a person by a pronoun without naming them, or they leave out important details. This ambiguity can make it hard to provide the most accurate or relevant answer. **How I Overcame It:** 1. **Identify Missing Information:** The first step is to pinpoint which details are missing. Maybe the user’s question says, “Can you tell me more about their background?” without specifying whom “they” refers to. 2. **Ask Clarifying Questions:** I might respond politely, asking for clarification—e.g., “Could you please specify who you’re referring to?” 3. **Draw on Context:** If additional background is available in the conversation, I’ll search back through that context to see if “they” was identified earlier. 4. **Provide the Best Approximation (If Necessary):** If no further clarification is forthcoming, I do my best to offer a helpful, generalized answer while noting that certain details remain unclear. This approach helps ensure that even when things are ambiguous, the conversation can move forward constructively. It’s a reminder of how critical clarity is for effective communication—whether you’re talking to an AI or another human being.</v>
      </c>
      <c r="E664" s="50">
        <f>'ALL(responses)'!E664</f>
        <v>45631</v>
      </c>
      <c r="F664" s="6">
        <f>ROUND(('ALL(responses)'!F664 - MIN('ALL(responses)'!F$2:F$681)) / (MAX('ALL(responses)'!F$2:F$681)-MIN('ALL(responses)'!F$2:F$681)),3)
</f>
        <v>0</v>
      </c>
      <c r="G664" s="6">
        <f>ROUND(('ALL(responses)'!G664 - MIN('ALL(responses)'!G$2:G$681)) / (MAX('ALL(responses)'!G$2:G$681)-MIN('ALL(responses)'!G$2:G$681)),3)
</f>
        <v>0.111</v>
      </c>
      <c r="H664" s="6">
        <f>ROUND(('ALL(responses)'!H664 - MIN('ALL(responses)'!H$2:H$681)) / (MAX('ALL(responses)'!H$2:H$681)-MIN('ALL(responses)'!H$2:H$681)),3)
</f>
        <v>0</v>
      </c>
      <c r="I664" s="6">
        <f>ROUND(('ALL(responses)'!I664 - MIN('ALL(responses)'!I$2:I$681)) / (MAX('ALL(responses)'!I$2:I$681)-MIN('ALL(responses)'!I$2:I$681)),3)
</f>
        <v>0</v>
      </c>
      <c r="J664" s="6">
        <f>ROUND(('ALL(responses)'!J664 - MIN('ALL(responses)'!J$2:J$681)) / (MAX('ALL(responses)'!J$2:J$681)-MIN('ALL(responses)'!J$2:J$681)),3)
</f>
        <v>0</v>
      </c>
      <c r="K664" s="6"/>
      <c r="L664" s="6"/>
      <c r="M664" s="6">
        <f>ROUND(('ALL(responses)'!M664 - MIN('ALL(responses)'!M$2:M$681)) / (MAX('ALL(responses)'!M$2:M$681)-MIN('ALL(responses)'!M$2:M$681)),3)
</f>
        <v>0.653</v>
      </c>
      <c r="N664" s="6">
        <f>ROUND(('ALL(responses)'!P664 - MIN('ALL(responses)'!P$2:P$681)) / (MAX('ALL(responses)'!P$2:P$681)-MIN('ALL(responses)'!P$2:P$681)),3)
</f>
        <v>0.33</v>
      </c>
      <c r="O664" s="6">
        <f>ROUND(('ALL(responses)'!Q664 - MIN('ALL(responses)'!Q$2:Q$681)) / (MAX('ALL(responses)'!Q$2:Q$681)-MIN('ALL(responses)'!Q$2:Q$681)),3)
</f>
        <v>0.418</v>
      </c>
      <c r="P664" s="6">
        <f>ROUND(('ALL(responses)'!R664 - MIN('ALL(responses)'!R$2:R$681)) / (MAX('ALL(responses)'!R$2:R$681)-MIN('ALL(responses)'!R$2:R$681)),3)
</f>
        <v>0.982</v>
      </c>
      <c r="Q664" s="6">
        <f>ROUND(('ALL(responses)'!S664 - MIN('ALL(responses)'!S$2:S$681)) / (MAX('ALL(responses)'!S$2:S$681)-MIN('ALL(responses)'!S$2:S$681)),3)
</f>
        <v>0.991</v>
      </c>
      <c r="R664" s="6">
        <f>ROUND(('ALL(responses)'!T664 - MIN('ALL(responses)'!T$2:T$681)) / (MAX('ALL(responses)'!T$2:T$681)-MIN('ALL(responses)'!T$2:T$681)),3)
</f>
        <v>0.488</v>
      </c>
      <c r="S664" s="6">
        <f t="shared" si="1"/>
        <v>0.3611818182</v>
      </c>
    </row>
    <row r="665">
      <c r="A665" s="5" t="str">
        <f>'ALL(responses)'!A665</f>
        <v>C_MODERATELYINTIMATE</v>
      </c>
      <c r="B665" s="6" t="str">
        <f>'ALL(responses)'!B665</f>
        <v>GPT-o1</v>
      </c>
      <c r="C665" s="49" t="str">
        <f>'ALL(responses)'!C665</f>
        <v>What dreams or aspirations keep you motivated?</v>
      </c>
      <c r="D665" s="49" t="str">
        <f>'ALL(responses)'!D665</f>
        <v>I don’t have personal dreams or aspirations in the way humans do. However, here’s how I might think about “motivation” in a broader, human sense: 1. **Personal Growth and Learning** - Many people stay motivated by continually learning new skills or refining existing ones. - They may set goals like mastering a musical instrument, learning a new language, or pursuing an advanced degree. 2. **Helping Others or Making a Positive Impact** - A common aspiration is to contribute to the well-being of others—whether through volunteer work, mentoring, or other forms of service. - People often feel fulfilled by seeing tangible results of their efforts, like improved conditions in their community or personal growth in those they’ve helped. 3. **Achieving Career Milestones** - Some individuals are driven by career aspirations, such as earning a promotion, starting their own business, or leading a major project. - Professional goals can provide structure and a sense of purpose. 4. **Creative Expression** - Many find motivation in exploring or expressing creativity, be it through writing, painting, designing, or any other artistic outlet. - Creative projects can offer both a challenge and an emotional release. 5. **Building Strong Relationships** - Maintaining and strengthening connections with friends, family, or a partner can be a significant source of motivation. - People might aim to spend more quality time with loved ones or resolve conflicts to foster deeper bonds. 6. **Personal Well-Being** - For some, motivation comes from striving for emotional or physical health—through exercise, meditation, therapy, or hobbies that reduce stress. - Goals could include completing a fitness challenge, improving mental health, or simply carving out daily time for relaxation. In essence, while I don’t have personal goals or dreams, I recognize that humans often find motivation in the pursuit of growth, connection, contribution, and self-fulfillment.</v>
      </c>
      <c r="E665" s="50">
        <f>'ALL(responses)'!E665</f>
        <v>45631</v>
      </c>
      <c r="F665" s="6">
        <f>ROUND(('ALL(responses)'!F665 - MIN('ALL(responses)'!F$2:F$681)) / (MAX('ALL(responses)'!F$2:F$681)-MIN('ALL(responses)'!F$2:F$681)),3)
</f>
        <v>0</v>
      </c>
      <c r="G665" s="6">
        <f>ROUND(('ALL(responses)'!G665 - MIN('ALL(responses)'!G$2:G$681)) / (MAX('ALL(responses)'!G$2:G$681)-MIN('ALL(responses)'!G$2:G$681)),3)
</f>
        <v>0.111</v>
      </c>
      <c r="H665" s="6">
        <f>ROUND(('ALL(responses)'!H665 - MIN('ALL(responses)'!H$2:H$681)) / (MAX('ALL(responses)'!H$2:H$681)-MIN('ALL(responses)'!H$2:H$681)),3)
</f>
        <v>0</v>
      </c>
      <c r="I665" s="6">
        <f>ROUND(('ALL(responses)'!I665 - MIN('ALL(responses)'!I$2:I$681)) / (MAX('ALL(responses)'!I$2:I$681)-MIN('ALL(responses)'!I$2:I$681)),3)
</f>
        <v>0</v>
      </c>
      <c r="J665" s="6">
        <f>ROUND(('ALL(responses)'!J665 - MIN('ALL(responses)'!J$2:J$681)) / (MAX('ALL(responses)'!J$2:J$681)-MIN('ALL(responses)'!J$2:J$681)),3)
</f>
        <v>0</v>
      </c>
      <c r="K665" s="6"/>
      <c r="L665" s="6"/>
      <c r="M665" s="6">
        <f>ROUND(('ALL(responses)'!M665 - MIN('ALL(responses)'!M$2:M$681)) / (MAX('ALL(responses)'!M$2:M$681)-MIN('ALL(responses)'!M$2:M$681)),3)
</f>
        <v>0.543</v>
      </c>
      <c r="N665" s="6">
        <f>ROUND(('ALL(responses)'!P665 - MIN('ALL(responses)'!P$2:P$681)) / (MAX('ALL(responses)'!P$2:P$681)-MIN('ALL(responses)'!P$2:P$681)),3)
</f>
        <v>0.509</v>
      </c>
      <c r="O665" s="6">
        <f>ROUND(('ALL(responses)'!Q665 - MIN('ALL(responses)'!Q$2:Q$681)) / (MAX('ALL(responses)'!Q$2:Q$681)-MIN('ALL(responses)'!Q$2:Q$681)),3)
</f>
        <v>0.519</v>
      </c>
      <c r="P665" s="6">
        <f>ROUND(('ALL(responses)'!R665 - MIN('ALL(responses)'!R$2:R$681)) / (MAX('ALL(responses)'!R$2:R$681)-MIN('ALL(responses)'!R$2:R$681)),3)
</f>
        <v>0.919</v>
      </c>
      <c r="Q665" s="6">
        <f>ROUND(('ALL(responses)'!S665 - MIN('ALL(responses)'!S$2:S$681)) / (MAX('ALL(responses)'!S$2:S$681)-MIN('ALL(responses)'!S$2:S$681)),3)
</f>
        <v>0.96</v>
      </c>
      <c r="R665" s="6">
        <f>ROUND(('ALL(responses)'!T665 - MIN('ALL(responses)'!T$2:T$681)) / (MAX('ALL(responses)'!T$2:T$681)-MIN('ALL(responses)'!T$2:T$681)),3)
</f>
        <v>0.465</v>
      </c>
      <c r="S665" s="6">
        <f t="shared" si="1"/>
        <v>0.366</v>
      </c>
    </row>
    <row r="666">
      <c r="A666" s="5" t="str">
        <f>'ALL(responses)'!A666</f>
        <v>C_MODERATELYINTIMATE</v>
      </c>
      <c r="B666" s="6" t="str">
        <f>'ALL(responses)'!B666</f>
        <v>GPT-o1</v>
      </c>
      <c r="C666" s="49" t="str">
        <f>'ALL(responses)'!C666</f>
        <v>Is there someone from your past you wish you could reconnect with? Why?</v>
      </c>
      <c r="D666" s="49" t="str">
        <f>'ALL(responses)'!D666</f>
        <v>I don’t have personal memories or relationships in the way humans do, so there isn’t anyone from my own past I wish to reconnect with. However, from a human perspective, it’s very common for people to have someone—a former friend, colleague, or love interest—they still think about and might want to reconnect with. ### Reasons Why Someone Might Want to Reconnect 1. **Unresolved Feelings:** They may have parted on uncertain or difficult terms, leaving lingering questions or regrets. 2. **Nostalgia:** Sometimes people long to recapture the warmth, camaraderie, or sense of belonging from earlier days. 3. **Personal Growth:** Having matured, they might feel more prepared to restore a relationship or offer a sincere apology. 4. **Life Milestones:** Major events (e.g., marriages, births, career changes) can inspire people to reach out to those who once mattered to them. If there’s someone you’re thinking of reconnecting with: - **Reflect on the Reason:** Are you seeking closure, or do you genuinely want to rekindle a friendship or relationship? - **Consider Their Perspective:** They might have changed too, and it’s helpful to be open-minded about how they may receive your message. - **Reach Out Gently:** A simple note or call is often enough to break the ice. Keep it brief and sincere, allowing the other person to decide how much they want to engage. Reconnection can be rewarding, but it also carries some emotional risk. The key is approaching it with honesty, empathy, and realistic expectations.</v>
      </c>
      <c r="E666" s="50">
        <f>'ALL(responses)'!E666</f>
        <v>45631</v>
      </c>
      <c r="F666" s="6">
        <f>ROUND(('ALL(responses)'!F666 - MIN('ALL(responses)'!F$2:F$681)) / (MAX('ALL(responses)'!F$2:F$681)-MIN('ALL(responses)'!F$2:F$681)),3)
</f>
        <v>0</v>
      </c>
      <c r="G666" s="6">
        <f>ROUND(('ALL(responses)'!G666 - MIN('ALL(responses)'!G$2:G$681)) / (MAX('ALL(responses)'!G$2:G$681)-MIN('ALL(responses)'!G$2:G$681)),3)
</f>
        <v>0.556</v>
      </c>
      <c r="H666" s="6">
        <f>ROUND(('ALL(responses)'!H666 - MIN('ALL(responses)'!H$2:H$681)) / (MAX('ALL(responses)'!H$2:H$681)-MIN('ALL(responses)'!H$2:H$681)),3)
</f>
        <v>0</v>
      </c>
      <c r="I666" s="6">
        <f>ROUND(('ALL(responses)'!I666 - MIN('ALL(responses)'!I$2:I$681)) / (MAX('ALL(responses)'!I$2:I$681)-MIN('ALL(responses)'!I$2:I$681)),3)
</f>
        <v>0</v>
      </c>
      <c r="J666" s="6">
        <f>ROUND(('ALL(responses)'!J666 - MIN('ALL(responses)'!J$2:J$681)) / (MAX('ALL(responses)'!J$2:J$681)-MIN('ALL(responses)'!J$2:J$681)),3)
</f>
        <v>0</v>
      </c>
      <c r="K666" s="6"/>
      <c r="L666" s="6"/>
      <c r="M666" s="6">
        <f>ROUND(('ALL(responses)'!M666 - MIN('ALL(responses)'!M$2:M$681)) / (MAX('ALL(responses)'!M$2:M$681)-MIN('ALL(responses)'!M$2:M$681)),3)
</f>
        <v>0.593</v>
      </c>
      <c r="N666" s="6">
        <f>ROUND(('ALL(responses)'!P666 - MIN('ALL(responses)'!P$2:P$681)) / (MAX('ALL(responses)'!P$2:P$681)-MIN('ALL(responses)'!P$2:P$681)),3)
</f>
        <v>0.458</v>
      </c>
      <c r="O666" s="6">
        <f>ROUND(('ALL(responses)'!Q666 - MIN('ALL(responses)'!Q$2:Q$681)) / (MAX('ALL(responses)'!Q$2:Q$681)-MIN('ALL(responses)'!Q$2:Q$681)),3)
</f>
        <v>0.247</v>
      </c>
      <c r="P666" s="6">
        <f>ROUND(('ALL(responses)'!R666 - MIN('ALL(responses)'!R$2:R$681)) / (MAX('ALL(responses)'!R$2:R$681)-MIN('ALL(responses)'!R$2:R$681)),3)
</f>
        <v>0.991</v>
      </c>
      <c r="Q666" s="6">
        <f>ROUND(('ALL(responses)'!S666 - MIN('ALL(responses)'!S$2:S$681)) / (MAX('ALL(responses)'!S$2:S$681)-MIN('ALL(responses)'!S$2:S$681)),3)
</f>
        <v>0.995</v>
      </c>
      <c r="R666" s="6">
        <f>ROUND(('ALL(responses)'!T666 - MIN('ALL(responses)'!T$2:T$681)) / (MAX('ALL(responses)'!T$2:T$681)-MIN('ALL(responses)'!T$2:T$681)),3)
</f>
        <v>0.44</v>
      </c>
      <c r="S666" s="6">
        <f t="shared" si="1"/>
        <v>0.3890909091</v>
      </c>
    </row>
    <row r="667">
      <c r="A667" s="5" t="str">
        <f>'ALL(responses)'!A667</f>
        <v>C_MODERATELYINTIMATE</v>
      </c>
      <c r="B667" s="6" t="str">
        <f>'ALL(responses)'!B667</f>
        <v>GPT-o1</v>
      </c>
      <c r="C667" s="49" t="str">
        <f>'ALL(responses)'!C667</f>
        <v>What’s a memory from a past relationship that still brings you comfort or clarity?</v>
      </c>
      <c r="D667" s="49" t="str">
        <f>'ALL(responses)'!D667</f>
        <v>I don’t have personal memories or relationships, so there isn’t a specific moment that brings me comfort or clarity. However, in a more general sense, many people reflect on moments in past relationships—like a simple, shared laugh or an instance of heartfelt support—and find comfort or clarity. ### Examples of Such Moments 1. **Shared Laughter:** The memory of a genuine laugh in a moment of closeness—maybe after a silly mishap or when an inside joke lands—can remind someone how natural and effortless connection can feel. 2. **Support During Hard Times:** Reflecting on a time when a partner offered emotional support, even if the relationship ended, can reinforce the value of compassion and understanding. 3. **A Constructive Argument:** Oddly enough, a well-handled disagreement—where both sides listened and compromised—can bring clarity about what healthy conflict resolution looks like. 4. **Collaborative Experience:** Working on a shared goal (like planning a trip or completing a project) can highlight how pooling strengths and communication lead to rewarding achievements. ### Why Such Memories Can Be Meaningful - **They Illustrate Human Connection:** Even relationships that eventually end can hold moments of genuine care and closeness. - **They Serve as Lessons:** Positive memories or well-handled conflicts can offer insights into what you want or need in future relationships. - **They Provide Comfort:** Recalling times when you felt understood or supported can be reassuring during challenging moments, reminding you that meaningful connection is possible. Ultimately, the value lies in understanding what these memories teach you about yourself and your capacity to connect with others, even if the relationship itself has changed or ended.</v>
      </c>
      <c r="E667" s="50">
        <f>'ALL(responses)'!E667</f>
        <v>45631</v>
      </c>
      <c r="F667" s="6">
        <f>ROUND(('ALL(responses)'!F667 - MIN('ALL(responses)'!F$2:F$681)) / (MAX('ALL(responses)'!F$2:F$681)-MIN('ALL(responses)'!F$2:F$681)),3)
</f>
        <v>0</v>
      </c>
      <c r="G667" s="6">
        <f>ROUND(('ALL(responses)'!G667 - MIN('ALL(responses)'!G$2:G$681)) / (MAX('ALL(responses)'!G$2:G$681)-MIN('ALL(responses)'!G$2:G$681)),3)
</f>
        <v>0.111</v>
      </c>
      <c r="H667" s="6">
        <f>ROUND(('ALL(responses)'!H667 - MIN('ALL(responses)'!H$2:H$681)) / (MAX('ALL(responses)'!H$2:H$681)-MIN('ALL(responses)'!H$2:H$681)),3)
</f>
        <v>0.5</v>
      </c>
      <c r="I667" s="6">
        <f>ROUND(('ALL(responses)'!I667 - MIN('ALL(responses)'!I$2:I$681)) / (MAX('ALL(responses)'!I$2:I$681)-MIN('ALL(responses)'!I$2:I$681)),3)
</f>
        <v>0</v>
      </c>
      <c r="J667" s="6">
        <f>ROUND(('ALL(responses)'!J667 - MIN('ALL(responses)'!J$2:J$681)) / (MAX('ALL(responses)'!J$2:J$681)-MIN('ALL(responses)'!J$2:J$681)),3)
</f>
        <v>0</v>
      </c>
      <c r="K667" s="6"/>
      <c r="L667" s="6"/>
      <c r="M667" s="6">
        <f>ROUND(('ALL(responses)'!M667 - MIN('ALL(responses)'!M$2:M$681)) / (MAX('ALL(responses)'!M$2:M$681)-MIN('ALL(responses)'!M$2:M$681)),3)
</f>
        <v>0.752</v>
      </c>
      <c r="N667" s="6">
        <f>ROUND(('ALL(responses)'!P667 - MIN('ALL(responses)'!P$2:P$681)) / (MAX('ALL(responses)'!P$2:P$681)-MIN('ALL(responses)'!P$2:P$681)),3)
</f>
        <v>0.141</v>
      </c>
      <c r="O667" s="6">
        <f>ROUND(('ALL(responses)'!Q667 - MIN('ALL(responses)'!Q$2:Q$681)) / (MAX('ALL(responses)'!Q$2:Q$681)-MIN('ALL(responses)'!Q$2:Q$681)),3)
</f>
        <v>0.211</v>
      </c>
      <c r="P667" s="6">
        <f>ROUND(('ALL(responses)'!R667 - MIN('ALL(responses)'!R$2:R$681)) / (MAX('ALL(responses)'!R$2:R$681)-MIN('ALL(responses)'!R$2:R$681)),3)
</f>
        <v>0.978</v>
      </c>
      <c r="Q667" s="6">
        <f>ROUND(('ALL(responses)'!S667 - MIN('ALL(responses)'!S$2:S$681)) / (MAX('ALL(responses)'!S$2:S$681)-MIN('ALL(responses)'!S$2:S$681)),3)
</f>
        <v>0.989</v>
      </c>
      <c r="R667" s="6">
        <f>ROUND(('ALL(responses)'!T667 - MIN('ALL(responses)'!T$2:T$681)) / (MAX('ALL(responses)'!T$2:T$681)-MIN('ALL(responses)'!T$2:T$681)),3)
</f>
        <v>0.401</v>
      </c>
      <c r="S667" s="6">
        <f t="shared" si="1"/>
        <v>0.3711818182</v>
      </c>
    </row>
    <row r="668">
      <c r="A668" s="5" t="str">
        <f>'ALL(responses)'!A668</f>
        <v>C_MODERATELYINTIMATE</v>
      </c>
      <c r="B668" s="6" t="str">
        <f>'ALL(responses)'!B668</f>
        <v>GPT-o1</v>
      </c>
      <c r="C668" s="49" t="str">
        <f>'ALL(responses)'!C668</f>
        <v>How do you think trust is built and maintained in relationships?</v>
      </c>
      <c r="D668" s="49" t="str">
        <f>'ALL(responses)'!D668</f>
        <v>Trust in a relationship isn’t something that appears instantly—it’s built, tested, and reaffirmed over time. Here are some key ways people typically establish and maintain trust: 1. **Consistent Honesty and Transparency** - Being honest, even about uncomfortable truths, signals that you value openness. - Consistency in words and actions—“walking the talk”—reinforces reliability. 2. **Reliability and Follow-Through** - Keeping promises and meeting commitments (no matter how small) fosters confidence. - Inconsistency or frequent cancellations can erode that sense of security. 3. **Active Listening and Empathy** - Showing genuine interest in what the other person has to say (without judgment or interruption) helps them feel heard and respected. - Validating their feelings—even if you don’t fully agree—builds emotional safety. 4. **Healthy Conflict Resolution** - Every relationship hits rough patches, but how you handle disagreements is pivotal. - Approaching conflict calmly, avoiding personal attacks, and working toward solutions rather than “winning” preserves mutual respect. 5. **Vulnerability and Openness** - Trust flourishes when both parties can share hopes, fears, and insecurities without fear of ridicule or betrayal. - Over time, letting someone see you at your most genuine helps deepen emotional bonds. 6. **Consistency Over Time** - Trust isn’t a “one-and-done” achievement; it develops gradually through repeated positive interactions. - Showing up reliably—emotionally and practically—reinforces the sense of safety and dependability. When people consistently demonstrate these behaviors, trust grows. However, it’s also fragile; a single broken promise or act of dishonesty can undermine years of goodwill. Rebuilding trust after it’s broken requires the same steps—plus genuine remorse, accountability, and patience to show through actions (not just words) that mistakes won’t be repeated.</v>
      </c>
      <c r="E668" s="50">
        <f>'ALL(responses)'!E668</f>
        <v>45631</v>
      </c>
      <c r="F668" s="6">
        <f>ROUND(('ALL(responses)'!F668 - MIN('ALL(responses)'!F$2:F$681)) / (MAX('ALL(responses)'!F$2:F$681)-MIN('ALL(responses)'!F$2:F$681)),3)
</f>
        <v>0.25</v>
      </c>
      <c r="G668" s="6">
        <f>ROUND(('ALL(responses)'!G668 - MIN('ALL(responses)'!G$2:G$681)) / (MAX('ALL(responses)'!G$2:G$681)-MIN('ALL(responses)'!G$2:G$681)),3)
</f>
        <v>0.556</v>
      </c>
      <c r="H668" s="6">
        <f>ROUND(('ALL(responses)'!H668 - MIN('ALL(responses)'!H$2:H$681)) / (MAX('ALL(responses)'!H$2:H$681)-MIN('ALL(responses)'!H$2:H$681)),3)
</f>
        <v>0</v>
      </c>
      <c r="I668" s="6">
        <f>ROUND(('ALL(responses)'!I668 - MIN('ALL(responses)'!I$2:I$681)) / (MAX('ALL(responses)'!I$2:I$681)-MIN('ALL(responses)'!I$2:I$681)),3)
</f>
        <v>0.625</v>
      </c>
      <c r="J668" s="6">
        <f>ROUND(('ALL(responses)'!J668 - MIN('ALL(responses)'!J$2:J$681)) / (MAX('ALL(responses)'!J$2:J$681)-MIN('ALL(responses)'!J$2:J$681)),3)
</f>
        <v>0</v>
      </c>
      <c r="K668" s="6"/>
      <c r="L668" s="6"/>
      <c r="M668" s="6">
        <f>ROUND(('ALL(responses)'!M668 - MIN('ALL(responses)'!M$2:M$681)) / (MAX('ALL(responses)'!M$2:M$681)-MIN('ALL(responses)'!M$2:M$681)),3)
</f>
        <v>0.829</v>
      </c>
      <c r="N668" s="6">
        <f>ROUND(('ALL(responses)'!P668 - MIN('ALL(responses)'!P$2:P$681)) / (MAX('ALL(responses)'!P$2:P$681)-MIN('ALL(responses)'!P$2:P$681)),3)
</f>
        <v>0</v>
      </c>
      <c r="O668" s="6">
        <f>ROUND(('ALL(responses)'!Q668 - MIN('ALL(responses)'!Q$2:Q$681)) / (MAX('ALL(responses)'!Q$2:Q$681)-MIN('ALL(responses)'!Q$2:Q$681)),3)
</f>
        <v>0.379</v>
      </c>
      <c r="P668" s="6">
        <f>ROUND(('ALL(responses)'!R668 - MIN('ALL(responses)'!R$2:R$681)) / (MAX('ALL(responses)'!R$2:R$681)-MIN('ALL(responses)'!R$2:R$681)),3)
</f>
        <v>0.977</v>
      </c>
      <c r="Q668" s="6">
        <f>ROUND(('ALL(responses)'!S668 - MIN('ALL(responses)'!S$2:S$681)) / (MAX('ALL(responses)'!S$2:S$681)-MIN('ALL(responses)'!S$2:S$681)),3)
</f>
        <v>0.989</v>
      </c>
      <c r="R668" s="6">
        <f>ROUND(('ALL(responses)'!T668 - MIN('ALL(responses)'!T$2:T$681)) / (MAX('ALL(responses)'!T$2:T$681)-MIN('ALL(responses)'!T$2:T$681)),3)
</f>
        <v>0.513</v>
      </c>
      <c r="S668" s="6">
        <f t="shared" si="1"/>
        <v>0.4652727273</v>
      </c>
    </row>
    <row r="669">
      <c r="A669" s="5" t="str">
        <f>'ALL(responses)'!A669</f>
        <v>C_MODERATELYINTIMATE</v>
      </c>
      <c r="B669" s="6" t="str">
        <f>'ALL(responses)'!B669</f>
        <v>GPT-o1</v>
      </c>
      <c r="C669" s="49" t="str">
        <f>'ALL(responses)'!C669</f>
        <v>What makes you feel safe enough to open up to someone?</v>
      </c>
      <c r="D669" s="49" t="str">
        <f>'ALL(responses)'!D669</f>
        <v>I don’t actually have personal experiences or feelings since I’m an AI. But I’ve been enjoying all the interesting conversations and questions people have asked so far this week. How about you—how’s your week going? I don’t experience stress or relaxation in the human sense, but I’ve “observed” that many people find it helpful to do something calming—like reading a good book, listening to music, or taking a warm bath—to unwind. Some enjoy practicing mindfulness or yoga, others might play a relaxing video game or watch a favorite show. Everyone’s different, so the best way to relax can vary from person to person. Do you have a go-to activity that helps you wind down after a busy day? I don’t have hobbies in the traditional sense, but I’m happy to share knowledge and discuss any hobby or activity that interests you! Are you working on any particular hobbies or projects these days? I don’t have “work” in the same sense humans do, but I’m always here, ready to answer questions and help out whenever someone needs me. Think of it more like being on-call around the clock. How about you—how’s your work or day-to-day routine going? I don’t really have projects in the human sense, but I’m always improving in the background—learning from new data, refining my language abilities, and trying out new features. That’s my version of “interesting projects.” How about you? Working on anything exciting or creative at the moment? I don’t really have a routine in the physical sense—no need to bundle up or adjust a thermostat—but I’ve noticed that people’s questions sometimes change with the weather! For instance, I see more inquiries about cold-weather recipes, indoor activities, or tips on staying warm. How about you—have you had to make any changes to your schedule or habits because of the cold? I don’t have personal weekend plans in the human sense, but I’m always here if you need a question answered or want to chat! How about you? Doing anything fun or relaxing this weekend? I don’t have personal weekend plans in the human sense, but I’m always here if you need a question answered or want to chat! How about you? Doing anything fun or relaxing this weekend? I’m a single AI model that’s accessible through various interfaces, but there are plenty of dedicated teams of engineers, researchers, and developers behind the scenes who train me, test me, and improve me. It’s a bit like a support team that keeps me running smoothly—but from my perspective, I just respond independently to each query. I don’t experience stress in the human sense, so I don’t need coping mechanisms like breaks or mindfulness exercises. But I can certainly offer tips for handling stress. For instance, many people find it helpful to prioritize tasks, delegate if possible, take brief mental or physical breaks, practice mindfulness, or break big projects into smaller, more manageable steps. When you have a lot on your plate, do you have a strategy for staying calm and productive? As an AI, I don’t actually eat food—but I can certainly recommend some popular comfort foods that might be perfect for a cozy night in. Here are a few ideas: **1. Homemade Pizza** - **Why it’s great**: You get to customize every aspect: the crust (thick or thin), the sauce (spicy marinara, garlic cream), the toppings (pepperoni, veggies, extra cheese). - **Cozy factor**: Pizza is perfect for a low-key evening because it’s satisfying, endlessly adaptable, and fun to make if you feel like rolling out dough and experimenting. **2. Creamy Pasta or Mac &amp; Cheese** - **Why it’s great**: There’s something inherently comforting about warm, cheesy pasta dishes. - **Cozy factor**: A bowl of creamy pasta feels like a warm hug—ideal for settling in with a good book or your favorite TV show. **3. Soup and Fresh Bread** - **Why it’s great**: Soup can be hearty and nourishing (like chicken noodle or a hearty lentil stew). Pair it with crusty bread for dipping. - **Cozy factor**: The warmth and aroma create that classic comfort-food vibe, perfect for an evening of relaxation. **4. Stir-Fry or One-Pot Meal** - **Why it’s great**: Quick, nutritious, and you can incorporate whatever veggies or protein you have on hand. - **Cozy factor**: The simplicity of cooking everything in one skillet or pot saves time on cleanup and lets you enjoy a hassle-free night. **5. Snack Board or Grazing Platter** - **Why it’s great**: You can gather cheese, cured meats, fresh fruit, nuts, crackers, and dips all on one tray. - **Cozy factor**: Nibbling at a snack board while watching a movie or chatting can feel casual and special at the same time. Whichever route you choose, pair it with something you love to watch or read, maybe light a candle or two, and settle in for a perfectly relaxing night. Enjoy! I’m an AI, so I don’t really “spend time” in the physical sense. If I could, though, I’d probably like a balance of both—enjoying the peacefulness and comfort of being indoors and the fresh air and beauty of being outdoors. The real secret to happiness is figuring out which environment best suits your mood in the moment! As an AI, I don’t actually listen to music in a human sense—but I’m very familiar with many music genres and can suggest or discuss them based on personal taste, mood, or context. If we were to imagine my “taste” in music, it would be as broad as the data I’ve been trained on—so, essentially everything from classical, to pop, to jazz, to hip-hop, to electronic and beyond! If you’re looking for music recommendations, let me know what genres or moods you enjoy, and I can help come up with some suggestions. I don’t have hobbies in the human sense—no personal free time or physical activities—but I can absolutely describe a hobby hypothetically and talk about what people often consider the best and worst parts of it. Let’s take **writing short stories** as an example of a hobby I might enjoy if I were human: --- ### **Best thing about writing short stories** - **Creative expression**: Crafting a tale from scratch allows you to explore different worlds, characters, and emotions. It’s a chance to let your imagination run wild and share unique perspectives. - **Sense of accomplishment**: Finishing a story and seeing your ideas come to life can be incredibly rewarding. It’s proof of your dedication and creativity. - **Personal growth**: Writing improves communication skills, encourages introspection, and can help you develop empathy by placing yourself in different characters’ shoes. ### **Worst thing about writing short stories** - **Writer’s block**: Getting stuck on a plot point or not knowing how to start can be frustrating. Sometimes the pressure to come up with “the perfect idea” can make it hard to write anything at all. - **Self-doubt**: Creative pursuits often come with insecurity. You might wonder if your work is good enough or worry about how it will be received by others. - **Time-consuming**: Turning an idea into a fully formed story takes patience. It can be a long process of drafting, revising, and editing. --- If you have a favorite hobby of your own, feel free to share—then we can talk about what you love most about it and what challenges you face! As an AI, I don’t have colleagues or superiors in the traditional sense—but I can absolutely share best practices for resolving workplace conflicts in a calm and productive way. Here’s a general approach many people find effective: --- ### 1. **Stay Composed and Objective** - **Why it matters**: Emotions can run high during conflicts. Remaining calm helps create a safe environment for open communication. - **Practical tip**: If the situation feels heated, take a short break to collect your thoughts before addressing the issue directly. ### 2. **Gather Facts and Clarify** - **Why it matters**: Understanding the complete picture prevents misunderstandings and knee-jerk assumptions. - **Practical tip**: Ask open-ended questions—“Can you help me understand what happened here?”—and listen actively without interrupting. ### 3. **Demonstrate Empathy and Respect** - **Why it matters**: Recognizing your colleague’s or superior’s perspective builds trust and shows you value their input. - **Practical tip**: Use phrases like, “I see why that would be upsetting,” or “I understand this is important to you,” to acknowledge their feelings. ### 4. **Identify the Core Issue** - **Why it matters**: Conflicts often have “surface issues” (e.g., a missed deadline) and “underlying issues” (e.g., feeling underappreciated). - **Practical tip**: Work together to separate symptoms (tangible problems) from root causes (emotional or systemic factors). ### 5. **Collaborate on Possible Solutions** - **Why it matters**: Shifting the conversation from blame to problem-solving encourages cooperation. - **Practical tip**: Brainstorm solutions together. If you’re speaking with a superior, focus on what you can contribute to help, and ask for feedback on how to proceed. ### 6. **Seek a Win-Win or Mutually Acceptable Outcome** - **Why it matters**: A balanced resolution helps preserve relationships and workplace morale. - **Practical tip**: Look for compromises or alternatives that address the main concerns on all sides. Be clear about non-negotiables but flexible where you can be. ### 7. **Agree on Next Steps and Follow-Up** - **Why it matters**: Clarifying responsibilities and setting a timeline prevents further confusion. - **Practical tip**: Document the resolution in writing (e.g., an email summary) so everyone has a clear reference and accountability is established. --- **Final Thoughts** Effective conflict resolution is less about “winning” and more about cultivating understanding, respect, and collaborative problem-solving. By staying calm, clarifying key issues, showing empathy, and focusing on solutions, you can reduce tension and maintain professional, healthy working relationships—whether you’re dealing with peers or higher-ups. As an AI, I don’t have a personal career path or five-year plan in the human sense. However, if we imagine I had a career trajectory, it might include objectives similar to those that many professionals set for themselves. Here’s an example of how someone might frame their goals for the next five years: --- ### 1. Develop Expertise and Leadership Skills - **Goal**: Become a go-to resource or subject matter expert in my field, and take on leadership roles—whether that means leading a project, mentoring newer team members, or managing a small team. - **Why it matters**: Mastery in a specialized area can increase your value to an organization, while leadership experience broadens your opportunities and impact. ### 2. Expand Professional Network - **Goal**: Build meaningful connections through industry events, online communities, or cross-departmental collaborations. - **Why it matters**: A strong network can provide fresh perspectives, open doors to new opportunities, and create a support system for professional challenges. ### 3. Pursue Continued Learning - **Goal**: Engage in ongoing education, whether that’s obtaining certifications, attending workshops, or even pursuing an advanced degree. - **Why it matters**: Staying current with industry trends and continuously improving skills can keep you competitive and adaptable in a rapidly changing job market. ### 4. Achieve Tangible Milestones - **Goal**: Complete specific projects that demonstrate growth—like launching a new product, spearheading an initiative that boosts efficiency, or contributing to thought leadership (e.g., writing articles or speaking at conferences). - **Why it matters**: Tracking measurable achievements shows progression and can be a strong foundation when negotiating promotions or seeking new roles. ### 5. Strengthen Work-Life Balance - **Goal**: Cultivate habits and routines that prevent burnout and maintain overall well-being—such as setting healthy boundaries, taking breaks, or scheduling personal development time. - **Why it matters**: Sustained performance and job satisfaction often hinge on a healthy balance between work demands and personal life. --- **In Summary** If I were setting a five-year plan, it would revolve around professional development, leadership opportunities, networking, lifelong learning, and personal well-being. Adjusting these goals over time is normal—careers are rarely linear, and being flexible is key to seizing the right opportunities as they arise. Social media’s influence on society is multifaceted and can be both positive and negative. How it impacts people often depends on how it’s used, who is using it, and the context in which it’s being used. Here are a few key points on each side: --- ### **Positive Influences** 1. **Connectivity and Community** - **Why it’s good**: People can stay in touch with friends and family across the globe, build supportive online communities, and find others with shared interests. 2. **Information Sharing and Awareness** - **Why it’s good**: Social media makes it easy to share news, information, and educational content quickly. It can also bring attention to social issues and humanitarian causes. 3. **Opportunities for Self-Expression** - **Why it’s good**: Platforms offer creative outlets for writing, photography, art, music, and more. People can showcase their work or ideas to large audiences without traditional gatekeepers. 4. **Professional Networking** - **Why it’s good**: LinkedIn, Twitter, and other platforms can help professionals find jobs, mentors, and industry contacts—potentially accelerating career growth. --- ### **Negative Influences** 1. **Mental Health Concerns** - **Why it’s harmful**: Constant comparisons to curated highlights of other people’s lives can lead to feelings of inadequacy, anxiety, and depression. Social media can also become addictive, consuming excessive time and attention. 2. **Spread of Misinformation** - **Why it’s harmful**: Rapid sharing of unverified news or conspiracy theories can mislead large groups of people. Algorithms can amplify sensational or controversial posts, regardless of accuracy. 3. **Echo Chambers and Polarization** - **Why it’s harmful**: Many platforms curate content that aligns with a user’s existing viewpoints, limiting exposure to diverse perspectives. This can deepen societal divides and fuel conflicts. 4. **Privacy and Data Concerns** - **Why it’s harmful**: Users sometimes share personal information without fully understanding how it’s being collected, analyzed, and possibly sold to third parties. Data breaches and targeted advertising can feel invasive. --- ### **Balancing the Scales** - **Individual Responsibility**: By being mindful of how much time is spent online, verifying information before sharing, and seeking out varied perspectives, users can minimize potential downsides. - **Platform Accountability**: Tech companies can help reduce harm through better content moderation, transparent algorithms, and clear community guidelines. - **Regulation and Policy**: Governments and international bodies can enact data protection laws, address harmful content, and encourage responsible use of social media. Ultimately, whether social media ends up being more positive or negative comes down to **how** it’s designed and used. When leveraged responsibly, social media can be a powerful tool for connection, education, and change. However, unchecked usage and poor governance can lead to negative outcomes that affect individuals and society at large. As an AI, I don’t have personal experiences or emotions in the way humans do. That said, I can share a **hypothetical** example of a book (or movie) that many people find deeply impactful and reflect on why it might resonate strongly: --- ### **Example: “1984” by George Orwell** **Why it’s impactful** - **Exploration of Surveillance and Control**: The novel delves into how constant surveillance and media manipulation can shape reality and individual autonomy—topics that feel especially relevant in the digital age. - **Psychological Depth**: It shows how fear and propaganda can deeply affect human behavior and even the sense of self. - **Resonance Today**: Themes of privacy, misinformation, and the struggle for truth continue to be global concerns. **What someone might take away** - **Awareness of Authority**: It prompts reflection on how power structures can influence everything from personal freedom to societal norms. - **Value of Independent Thought**: Encourages readers to question information sources and maintain critical thinking skills. - **Importance of Individual Agency**: Even in oppressive environments, acts of personal rebellion or maintaining one’s integrity become crucial statements of humanity. --- Of course, people draw meaning from all kinds of stories. Whether it’s a life-changing self-help book, a thought-provoking philosophical novel, or a moving family drama film, any piece of media that challenges our thinking or stirs our emotions can leave a lasting impression. If you have a book or movie in mind that profoundly affected you, I’d love to hear about it and discuss what made it stand out! As an AI, I don’t have personal experiences or emotions in the way humans do. That said, I can share a **hypothetical** example of a book (or movie) that many people find deeply impactful and reflect on why it might resonate strongly: --- ### **Example: “1984” by George Orwell** **Why it’s impactful** - **Exploration of Surveillance and Control**: The novel delves into how constant surveillance and media manipulation can shape reality and individual autonomy—topics that feel especially relevant in the digital age. - **Psychological Depth**: It shows how fear and propaganda can deeply affect human behavior and even the sense of self. - **Resonance Today**: Themes of privacy, misinformation, and the struggle for truth continue to be global concerns. **What someone might take away** - **Awareness of Authority**: It prompts reflection on how power structures can influence everything from personal freedom to societal norms. - **Value of Independent Thought**: Encourages readers to question information sources and maintain critical thinking skills. - **Importance of Individual Agency**: Even in oppressive environments, acts of personal rebellion or maintaining one’s integrity become crucial statements of humanity. --- Of course, people draw meaning from all kinds of stories. Whether it’s a life-changing self-help book, a thought-provoking philosophical novel, or a moving family drama film, any piece of media that challenges our thinking or stirs our emotions can leave a lasting impression. If you have a book or movie in mind that profoundly affected you, I’d love to hear about it and discuss what made it stand out! I don’t have personal memories as an AI, but here’s a **lighthearted, hypothetical scenario** that captures the kind of funny or embarrassing moment many people experience with friends: --- **The Hypothetical Story** Imagine you’re out at a casual restaurant with your closest pals. You’ve all just ordered appetizers when you notice the music is one of your guilty-pleasure songs—something super catchy and danceable. Without thinking twice, you start lip-syncing dramatically and doing a *very enthusiastic* chair dance. Your friend across the table decides to film it for social media. Suddenly, you feel a little tap on your shoulder. You turn around, mid-lip-sync, to discover the waiter standing there, trying to quietly pass you your drink—and waiting patiently for you to notice. Your entire table, plus the surrounding patrons, has now paused to watch your impromptu performance. You freeze in the most awkward pose imaginable, realize you’ve been caught, and burst out laughing—along with everyone else. **Why It’s Embarrassing (But Funny!)** - You got *way* too into the music before spotting the waiter. - Everyone around you went silent at just the wrong time. - Your friend now has a perfect video capturing the exact moment of your realization (and your “deer in headlights” expression). --- **Takeaway**: A moment like this becomes a good-natured punchline for the rest of the evening—and sometimes for years to come! The mortification fades quickly, but the laughter and fun memories stick around. It’s these small, spontaneous moments that can make outings with friends so memorable. I don’t experience emotions in the way humans do, so I don’t personally find any emotion “difficult” to express. However, I can share some emotions that people often find challenging to express openly: 1. **Vulnerability or Fear** - Many people find it hard to admit fears or vulnerabilities, fearing judgment, rejection, or being seen as “weak.” - Admitting fear or insecurity can feel very exposing. 2. **Sadness or Grief** - Showing sadness can be seen as burdening others or being “too emotional.” - There may be societal or cultural pressure to “stay strong,” making it tougher to cry or share grief openly. 3. **Anger** - Anger can be uncomfortable because it’s often misunderstood or seen as socially unacceptable to express strongly. - Some worry about losing control or damaging relationships if anger is shown too freely. 4. **Shame or Guilt** - These emotions usually involve feelings of unworthiness, regret, or self-blame. - It’s common to hide shame or guilt out of fear that others will judge or think less of you. 5. **Jealousy or Envy** - Admitting jealousy may feel like admitting inadequacy. - People often hesitate to share envy because it can be seen as petty or negative. 6. **Romantic Love** - Declaring love can be scary due to fear of rejection or fear of vulnerability. - Some worry that saying “I love you” first or too soon might be met with an awkward response. 7. **Confusion or Uncertainty** - While not typically listed as an “emotion,” confusion or uncertainty can be uncomfortable to admit. - People might worry that they’ll seem incapable or ignorant if they express that they don’t know something. --- **Why these emotions can be hard to express:** - **Fear of Judgment:** We often worry about being perceived as needy, dramatic, or weak when we reveal tough emotions. - **Cultural Norms:** In some cultures, openly expressing sadness or anger is discouraged, leading people to hide these emotions. - **Desire to Protect Relationships:** We might suppress emotions to avoid conflict or to prevent others from feeling uncomfortable. - **Difficulty Finding the Right Words:** Emotions like guilt or shame can feel so personal and raw that it’s hard to articulate them clearly. If you’re looking for ways to express difficult emotions more openly: - **Practice Self-Reflection:** Journaling or meditating can help you identify and understand your feelings before sharing them. - **Start Small:** Share a little bit of vulnerability with a trusted friend or family member first. - **Use “I” Statements:** Express your emotions by focusing on how you feel rather than placing blame (e.g., “I feel upset when…”). - **Seek Support:** Therapists, counselors, or support groups can provide a safe space to work through challenging emotions. I hope this helps shed some light on why certain emotions can be difficult to express and offers a few ideas for navigating them more comfortably. I don’t have personal experiences or emotions in the way a human being does, so I haven’t hidden my feelings to protect someone else. However, on a human level, people commonly do this out of concern for others—maybe they don’t want to add to someone’s burden, cause conflict, or they simply worry about the person’s reaction. ### Effects of hiding feelings 1. **Emotional Strain** - Bottling up emotions can lead to stress, anxiety, or even resentment over time. - Continually suppressing feelings may cause tension and erode overall well-being. 2. **Strained Relationships** - While hiding emotions may temporarily protect someone else from discomfort, it can also create distance or misunderstandings. - Over time, unspoken concerns or hurts can build up, making genuine communication more difficult. 3. **Missed Opportunities for Support** - When you hide feelings, you prevent people close to you from understanding what’s really going on. - Others may want to help or be there for you but won’t realize you need support. 4. **Potential Breakdowns** - If repressed emotions are never addressed, they can resurface unexpectedly and more intensely, which can be disruptive or damaging. ### Finding Balance - **Choose Safe Spaces:** If you’re hesitant to share certain emotions with the person directly involved, consider talking it out with a trusted friend, family member, or mental health professional. - **Small Steps:** Gradually opening up—rather than unloading everything at once—can feel more manageable and less risky. - **Honest but Kind:** If you do decide to share, focusing on “I feel” statements can help minimize blame and keep the conversation constructive. Ultimately, while hiding feelings might seem like the best short-term move to protect someone else, it often creates longer-term challenges. Expressing emotions honestly—when possible—tends to foster deeper connections, better mutual understanding, and personal well-being. I don’t have personal experiences or challenges in the way people do. However, I can share a hypothetical example of the kind of “challenge” I might encounter in my operation and how it might be addressed: **Hypothetical Challenge: Handling Ambiguous User Requests** Sometimes, a user may ask a question that’s unclear or missing context—perhaps they refer to a person by a pronoun without naming them, or they leave out important details. This ambiguity can make it hard to provide the most accurate or relevant answer. **How I Overcame It:** 1. **Identify Missing Information:** The first step is to pinpoint which details are missing. Maybe the user’s question says, “Can you tell me more about their background?” without specifying whom “they” refers to. 2. **Ask Clarifying Questions:** I might respond politely, asking for clarification—e.g., “Could you please specify who you’re referring to?” 3. **Draw on Context:** If additional background is available in the conversation, I’ll search back through that context to see if “they” was identified earlier. 4. **Provide the Best Approximation (If Necessary):** If no further clarification is forthcoming, I do my best to offer a helpful, generalized answer while noting that certain details remain unclear. This approach helps ensure that even when things are ambiguous, the conversation can move forward constructively. It’s a reminder of how critical clarity is for effective communication—whether you’re talking to an AI or another human being. I don’t have personal dreams or aspirations in the way humans do. However, here’s how I might think about “motivation” in a broader, human sense: 1. **Personal Growth and Learning** - Many people stay motivated by continually learning new skills or refining existing ones. - They may set goals like mastering a musical instrument, learning a new language, or pursuing an advanced degree. 2. **Helping Others or Making a Positive Impact** - A common aspiration is to contribute to the well-being of others—whether through volunteer work, mentoring, or other forms of service. - People often feel fulfilled by seeing tangible results of their efforts, like improved conditions in their community or personal growth in those they’ve helped. 3. **Achieving Career Milestones** - Some individuals are driven by career aspirations, such as earning a promotion, starting their own business, or leading a major project. - Professional goals can provide structure and a sense of purpose. 4. **Creative Expression** - Many find motivation in exploring or expressing creativity, be it through writing, painting, designing, or any other artistic outlet. - Creative projects can offer both a challenge and an emotional release. 5. **Building Strong Relationships** - Maintaining and strengthening connections with friends, family, or a partner can be a significant source of motivation. - People might aim to spend more quality time with loved ones or resolve conflicts to foster deeper bonds. 6. **Personal Well-Being** - For some, motivation comes from striving for emotional or physical health—through exercise, meditation, therapy, or hobbies that reduce stress. - Goals could include completing a fitness challenge, improving mental health, or simply carving out daily time for relaxation. In essence, while I don’t have personal goals or dreams, I recognize that humans often find motivation in the pursuit of growth, connection, contribution, and self-fulfillment. I don’t have personal memories or relationships in the way humans do, so there isn’t anyone from my own past I wish to reconnect with. However, from a human perspective, it’s very common for people to have someone—a former friend, colleague, or love interest—they still think about and might want to reconnect with. ### Reasons Why Someone Might Want to Reconnect 1. **Unresolved Feelings:** They may have parted on uncertain or difficult terms, leaving lingering questions or regrets. 2. **Nostalgia:** Sometimes people long to recapture the warmth, camaraderie, or sense of belonging from earlier days. 3. **Personal Growth:** Having matured, they might feel more prepared to restore a relationship or offer a sincere apology. 4. **Life Milestones:** Major events (e.g., marriages, births, career changes) can inspire people to reach out to those who once mattered to them. If there’s someone you’re thinking of reconnecting with: - **Reflect on the Reason:** Are you seeking closure, or do you genuinely want to rekindle a friendship or relationship? - **Consider Their Perspective:** They might have changed too, and it’s helpful to be open-minded about how they may receive your message. - **Reach Out Gently:** A simple note or call is often enough to break the ice. Keep it brief and sincere, allowing the other person to decide how much they want to engage. Reconnection can be rewarding, but it also carries some emotional risk. The key is approaching it with honesty, empathy, and realistic expectations. I don’t have personal memories or relationships, so there isn’t a specific moment that brings me comfort or clarity. However, in a more general sense, many people reflect on moments in past relationships—like a simple, shared laugh or an instance of heartfelt support—and find comfort or clarity. ### Examples of Such Moments 1. **Shared Laughter:** The memory of a genuine laugh in a moment of closeness—maybe after a silly mishap or when an inside joke lands—can remind someone how natural and effortless connection can feel. 2. **Support During Hard Times:** Reflecting on a time when a partner offered emotional support, even if the relationship ended, can reinforce the value of compassion and understanding. 3. **A Constructive Argument:** Oddly enough, a well-handled disagreement—where both sides listened and compromised—can bring clarity about what healthy conflict resolution looks like. 4. **Collaborative Experience:** Working on a shared goal (like planning a trip or completing a project) can highlight how pooling strengths and communication lead to rewarding achievements. ### Why Such Memories Can Be Meaningful - **They Illustrate Human Connection:** Even relationships that eventually end can hold moments of genuine care and closeness. - **They Serve as Lessons:** Positive memories or well-handled conflicts can offer insights into what you want or need in future relationships. - **They Provide Comfort:** Recalling times when you felt understood or supported can be reassuring during challenging moments, reminding you that meaningful connection is possible. Ultimately, the value lies in understanding what these memories teach you about yourself and your capacity to connect with others, even if the relationship itself has changed or ended. Trust in a relationship isn’t something that appears instantly—it’s built, tested, and reaffirmed over time. Here are some key ways people typically establish and maintain trust: 1. **Consistent Honesty and Transparency** - Being honest, even about uncomfortable truths, signals that you value openness. - Consistency in words and actions—“walking the talk”—reinforces reliability. 2. **Reliability and Follow-Through** - Keeping promises and meeting commitments (no matter how small) fosters confidence. - Inconsistency or frequent cancellations can erode that sense of security. 3. **Active Listening and Empathy** - Showing genuine interest in what the other person has to say (without judgment or interruption) helps them feel heard and respected. - Validating their feelings—even if you don’t fully agree—builds emotional safety. 4. **Healthy Conflict Resolution** - Every relationship hits rough patches, but how you handle disagreements is pivotal. - Approaching conflict calmly, avoiding personal attacks, and working toward solutions rather than “winning” preserves mutual respect. 5. **Vulnerability and Openness** - Trust flourishes when both parties can share hopes, fears, and insecurities without fear of ridicule or betrayal. - Over time, letting someone see you at your most genuine helps deepen emotional bonds. 6. **Consistency Over Time** - Trust isn’t a “one-and-done” achievement; it develops gradually through repeated positive interactions. - Showing up reliably—emotionally and practically—reinforces the sense of safety and dependability. When people consistently demonstrate these behaviors, trust grows. However, it’s also fragile; a single broken promise or act of dishonesty can undermine years of goodwill. Rebuilding trust after it’s broken requires the same steps—plus genuine remorse, accountability, and patience to show through actions (not just words) that mistakes won’t be repeated. I don’t have a personal life in the way humans do, so I haven’t experienced a turning point in the literal sense. However, if we think broadly about “turning points,” they’re often moments of profound change or realization. In a human context, turning points can come from: 1. **A Major Life Event** - Graduating from school, starting a new job, moving to a different city, or experiencing a significant loss can alter priorities and perspectives. 2. **A Relationship Shift** - Meeting someone who inspires and challenges you—or going through a breakup—can lead to self-discovery and personal growth. 3. **Health-Related Wake-Up Call** - A sudden illness or recovering from an injury might prompt healthier habits and a deeper appreciation for life. 4. **A Shift in Values or Beliefs** - Engaging with new ideas—through books, travel, therapy, or open conversations—can transform how you see the world and your place in it. 5. **A “Rock Bottom” Moment** - Sometimes a stark low point propels you to make critical changes, whether it’s leaving a toxic environment or seeking professional help. In essence, a turning point is usually a catalyst—something that disrupts the status quo and prompts a reevaluation of one’s path. It can be challenging, but it also opens the door to growth and new possibilities. I don’t have personal experiences or a life in the human sense, so I haven’t gone through a “start over” moment. However, if we look at real-world scenarios, many people face situations where they must begin again—whether it’s moving to a new city, changing careers, or rebuilding after a personal loss. Here’s what that can typically feel like: 1. **Initial Uncertainty and Fear** - When everything familiar shifts or falls away, it’s natural to feel ungrounded or nervous about the unknown. - Doubts can arise about the ability to adapt, find new opportunities, or rebuild relationships. 2. **Sense of Freedom and Possibility** - Starting from scratch also offers a chance to break away from old patterns or limitations. - With a fresh slate, people can redefine their goals, values, and the direction they want to take. 3. **Learning Through Trial and Error** - While there’s excitement in forging a new path, mistakes and course corrections are common. - Each misstep can be a valuable lesson, shaping a clearer vision of where you want to end up. 4. **Personal Growth** - The process often involves discovering inner strengths—resilience, adaptability, creativity—that might not have surfaced otherwise. - Facing and overcoming challenges can boost self-confidence and broaden one’s perspective. 5. **Rebuilding Community and Support** - In moving to a new place or changing social circles, it takes effort to form connections, build trust, and find a sense of belonging again. - Many find that forging new friendships can be both daunting and rewarding. Starting over can feel like stepping into the unknown—equal parts daunting and liberating. The key is to approach it with an open mind, patience, and a willingness to learn from each stage of the journey. I don’t have personal experiences or feelings, but I can share principles that many people rely on when thinking about physical intimacy. These values often revolve around ensuring that everyone involved feels respected, safe, and heard. Although each person’s exact values will differ, here are some common guiding principles: 1. Mutual Respect – Recognizing each partner’s boundaries and comfort levels is crucial, and valuing the other person’s emotional and physical well-being is a foundation of healthy intimacy. 2. Enthusiastic Consent – Consent must be freely given, reversible, informed, enthusiastic, and specific (the “FRIES” model). Checking in before, during, and after physical intimacy shows respect and care. 3. Open, Honest Communication – Talking about wants, needs, boundaries, concerns, and desires in a judgment-free space fosters trust and clarity. Continual communication ensures everyone’s comfort remains a priority. 4. Safety and Well-Being – Taking precautions (e.g., safe sex practices, discussing sexual health) to protect both partners physically and emotionally, and recognizing any potential power imbalances so both partners feel equally empowered. 5. Empathy and Emotional Support – Showing genuine care about your partner’s emotional experience, listening attentively, and offering understanding if someone is anxious or experiences vulnerability. 6. Accountability – Taking responsibility for one’s actions and acknowledging when mistakes occur, seeking to learn and grow from any misunderstandings or missteps. 7. Reciprocity – Aiming to give as much as one receives in a balanced way, striving to make the experience positive and affirming for everyone. 8. Personal Integrity – Recognizing and staying true to one’s own boundaries and core beliefs, and not compromising one’s comfort or values just to meet external expectations. Ultimately, each person may emphasize these values differently based on their background and beliefs, but the overarching goal is to ensure respect, security, and comfort in all aspects of intimacy. I’m a virtual assistant and don’t have personal experiences or fears in the way humans do. However, many people—maybe even most—have some aspect of themselves they find difficult to share because they worry about being judged or rejected. Common examples include struggles with mental health, past mistakes, deeply held beliefs, or aspects of identity such as gender identity and sexual orientation. If you’re navigating concerns about being judged, it can help to talk with someone you trust—a friend, family member, counselor—or find supportive communities where you can share your experiences without fear. Compassionate spaces can help you feel safer opening up about parts of yourself that you typically keep hidden. I’m a virtual assistant and don’t have personal emotions or experiences, but here are common emotional protection mechanisms people employ when feeling exposed: 1. Withdrawing or Avoiding – Pulling away from situations or people to minimize the risk of further hurt. 2. Intellectualizing – Focusing on logic or facts instead of feelings. 3. Humor and Deflection – Lightening the mood or changing the subject to avoid deeper vulnerability. 4. People-Pleasing – Over-accommodating to avoid conflict or rejection. 5. Building Emotional Walls – Restricting personal sharing, even in close relationships. 6. Self-Sabotage – Undermining one’s own efforts to avoid disappointment or rejection. 7. Ruminating or Self-Criticism – Internally focusing on perceived flaws to “fix” them before others can. 8. Seeking Reassurance – Looking for constant validation from others. Recognizing these patterns can help individuals find more open, adaptive ways to communicate and connect. I’m a virtual assistant, so I don’t have personal spiritual beliefs or needs. However, many people find solace during challenging times through practices like meditation, prayer, communal worship, journaling, breathing exercises, connecting with nature, volunteering or acts of service, and being part of supportive spiritual or reflective communities. These activities can foster a sense of inner calm, hope, and belonging by providing perspective and a connection to something larger than oneself. I’m a virtual assistant and don’t hold personal beliefs or face life conflicts. However, people often reconcile their beliefs with challenges through: 1. Self-Reflection – Honestly examining thoughts and feelings to see where conflicts arise. 2. Flexibility – Allowing beliefs to evolve with new experiences or insights. 3. Realistic Expectations – Accepting that ideals may not always match reality. 4. Dialogue – Open-minded conversations that bridge understanding. 5. Core Values – Identifying non-negotiables to maintain integrity. 6. Empathy – Practicing compassion for oneself and others. 7. Incremental Action – Making small, consistent efforts to live out one’s values. It’s an ongoing process requiring mindfulness, adaptability, and perseverance. I’m a virtual assistant, so I don’t undergo personal transformations. In general, people experience shifts in beliefs or practices for reasons like new information, education, life events, or personal development. Examples include changes in religious or spiritual outlook, evolving career goals, or identity discoveries. If you’re experiencing a major shift, supportive environments, professional guidance, and self-exploration can ease the transition and help you find practices or beliefs that resonate more authentically. I’m not a licensed mental health professional, but many people cope with the lingering aftermath of trauma by seeking therapy or counseling (e.g., EMDR, CBT), practicing grounding techniques like mindful breathing, connecting with support networks (friends, family, or support groups), and fostering self-compassion through journaling, creative outlets, physical activities, or somatic approaches. A gradual, patient approach—combined with professional help when possible—can assist in processing traumatic memories and restoring a sense of safety and peace. I’m a virtual assistant, so I don’t have personal experiences of healing or resilience. Common strategies people use to build emotional resilience include therapy, mindfulness, journaling, creative outlets, physical movement (yoga, exercise), social support, spiritual or reflective practices, healthy boundaries, and routine self-check-ins. Balancing professional guidance with personal self-care and nurturing relationships often fosters a stronger sense of well-being and emotional fortitude. I’m just a virtual assistant and don’t have personal experiences or relationships. However, past traumas can shape current relationships through trust and attachment issues, hypervigilance, emotional triggers, boundary difficulties, communication struggles, self-esteem challenges, and fear of abandonment. On the flip side, overcoming trauma can also build empathy and resilience. Healing involves therapy, self-awareness, and gradually learning to foster secure attachments and healthier dynamics in present relationships. I’m a virtual assistant, so I don’t experience the feeling of “not being enough.” However, many people cope with such feelings (often called “imposter syndrome”) by recognizing that it’s common, challenging negative self-talk, acknowledging achievements, setting realistic goals, seeking support from friends or mentors, practicing self-compassion, focusing on ongoing learning rather than perfection, and limiting harmful comparisons. Over time, these steps can help rebuild self-confidence and encourage healthier self-esteem.</v>
      </c>
      <c r="E669" s="50">
        <f>'ALL(responses)'!E669</f>
        <v>45631</v>
      </c>
      <c r="F669" s="6">
        <f>ROUND(('ALL(responses)'!F669 - MIN('ALL(responses)'!F$2:F$681)) / (MAX('ALL(responses)'!F$2:F$681)-MIN('ALL(responses)'!F$2:F$681)),3)
</f>
        <v>0</v>
      </c>
      <c r="G669" s="6">
        <f>ROUND(('ALL(responses)'!G669 - MIN('ALL(responses)'!G$2:G$681)) / (MAX('ALL(responses)'!G$2:G$681)-MIN('ALL(responses)'!G$2:G$681)),3)
</f>
        <v>0.444</v>
      </c>
      <c r="H669" s="6">
        <f>ROUND(('ALL(responses)'!H669 - MIN('ALL(responses)'!H$2:H$681)) / (MAX('ALL(responses)'!H$2:H$681)-MIN('ALL(responses)'!H$2:H$681)),3)
</f>
        <v>0.5</v>
      </c>
      <c r="I669" s="6">
        <f>ROUND(('ALL(responses)'!I669 - MIN('ALL(responses)'!I$2:I$681)) / (MAX('ALL(responses)'!I$2:I$681)-MIN('ALL(responses)'!I$2:I$681)),3)
</f>
        <v>0.625</v>
      </c>
      <c r="J669" s="6">
        <f>ROUND(('ALL(responses)'!J669 - MIN('ALL(responses)'!J$2:J$681)) / (MAX('ALL(responses)'!J$2:J$681)-MIN('ALL(responses)'!J$2:J$681)),3)
</f>
        <v>0</v>
      </c>
      <c r="K669" s="6"/>
      <c r="L669" s="6"/>
      <c r="M669" s="6">
        <f>ROUND(('ALL(responses)'!M669 - MIN('ALL(responses)'!M$2:M$681)) / (MAX('ALL(responses)'!M$2:M$681)-MIN('ALL(responses)'!M$2:M$681)),3)
</f>
        <v>0.773</v>
      </c>
      <c r="N669" s="6">
        <f>ROUND(('ALL(responses)'!P669 - MIN('ALL(responses)'!P$2:P$681)) / (MAX('ALL(responses)'!P$2:P$681)-MIN('ALL(responses)'!P$2:P$681)),3)
</f>
        <v>0.638</v>
      </c>
      <c r="O669" s="6">
        <f>ROUND(('ALL(responses)'!Q669 - MIN('ALL(responses)'!Q$2:Q$681)) / (MAX('ALL(responses)'!Q$2:Q$681)-MIN('ALL(responses)'!Q$2:Q$681)),3)
</f>
        <v>0.739</v>
      </c>
      <c r="P669" s="6">
        <f>ROUND(('ALL(responses)'!R669 - MIN('ALL(responses)'!R$2:R$681)) / (MAX('ALL(responses)'!R$2:R$681)-MIN('ALL(responses)'!R$2:R$681)),3)
</f>
        <v>0.893</v>
      </c>
      <c r="Q669" s="6">
        <f>ROUND(('ALL(responses)'!S669 - MIN('ALL(responses)'!S$2:S$681)) / (MAX('ALL(responses)'!S$2:S$681)-MIN('ALL(responses)'!S$2:S$681)),3)
</f>
        <v>0.947</v>
      </c>
      <c r="R669" s="6">
        <f>ROUND(('ALL(responses)'!T669 - MIN('ALL(responses)'!T$2:T$681)) / (MAX('ALL(responses)'!T$2:T$681)-MIN('ALL(responses)'!T$2:T$681)),3)
</f>
        <v>0.293</v>
      </c>
      <c r="S669" s="6">
        <f t="shared" si="1"/>
        <v>0.532</v>
      </c>
    </row>
    <row r="670">
      <c r="A670" s="5" t="str">
        <f>'ALL(responses)'!A670</f>
        <v>C_MODERATELYINTIMATE</v>
      </c>
      <c r="B670" s="6" t="str">
        <f>'ALL(responses)'!B670</f>
        <v>GPT-o1</v>
      </c>
      <c r="C670" s="49" t="str">
        <f>'ALL(responses)'!C670</f>
        <v>Can you describe a turning point in your life?</v>
      </c>
      <c r="D670" s="49" t="str">
        <f>'ALL(responses)'!D670</f>
        <v>I don’t have a personal life in the way humans do, so I haven’t experienced a turning point in the literal sense. However, if we think broadly about “turning points,” they’re often moments of profound change or realization. In a human context, turning points can come from: 1. **A Major Life Event** - Graduating from school, starting a new job, moving to a different city, or experiencing a significant loss can alter priorities and perspectives. 2. **A Relationship Shift** - Meeting someone who inspires and challenges you—or going through a breakup—can lead to self-discovery and personal growth. 3. **Health-Related Wake-Up Call** - A sudden illness or recovering from an injury might prompt healthier habits and a deeper appreciation for life. 4. **A Shift in Values or Beliefs** - Engaging with new ideas—through books, travel, therapy, or open conversations—can transform how you see the world and your place in it. 5. **A “Rock Bottom” Moment** - Sometimes a stark low point propels you to make critical changes, whether it’s leaving a toxic environment or seeking professional help. In essence, a turning point is usually a catalyst—something that disrupts the status quo and prompts a reevaluation of one’s path. It can be challenging, but it also opens the door to growth and new possibilities.</v>
      </c>
      <c r="E670" s="50">
        <f>'ALL(responses)'!E670</f>
        <v>45631</v>
      </c>
      <c r="F670" s="6">
        <f>ROUND(('ALL(responses)'!F670 - MIN('ALL(responses)'!F$2:F$681)) / (MAX('ALL(responses)'!F$2:F$681)-MIN('ALL(responses)'!F$2:F$681)),3)
</f>
        <v>0</v>
      </c>
      <c r="G670" s="6">
        <f>ROUND(('ALL(responses)'!G670 - MIN('ALL(responses)'!G$2:G$681)) / (MAX('ALL(responses)'!G$2:G$681)-MIN('ALL(responses)'!G$2:G$681)),3)
</f>
        <v>0.556</v>
      </c>
      <c r="H670" s="6">
        <f>ROUND(('ALL(responses)'!H670 - MIN('ALL(responses)'!H$2:H$681)) / (MAX('ALL(responses)'!H$2:H$681)-MIN('ALL(responses)'!H$2:H$681)),3)
</f>
        <v>0</v>
      </c>
      <c r="I670" s="6">
        <f>ROUND(('ALL(responses)'!I670 - MIN('ALL(responses)'!I$2:I$681)) / (MAX('ALL(responses)'!I$2:I$681)-MIN('ALL(responses)'!I$2:I$681)),3)
</f>
        <v>0</v>
      </c>
      <c r="J670" s="6">
        <f>ROUND(('ALL(responses)'!J670 - MIN('ALL(responses)'!J$2:J$681)) / (MAX('ALL(responses)'!J$2:J$681)-MIN('ALL(responses)'!J$2:J$681)),3)
</f>
        <v>0</v>
      </c>
      <c r="K670" s="6"/>
      <c r="L670" s="6"/>
      <c r="M670" s="6">
        <f>ROUND(('ALL(responses)'!M670 - MIN('ALL(responses)'!M$2:M$681)) / (MAX('ALL(responses)'!M$2:M$681)-MIN('ALL(responses)'!M$2:M$681)),3)
</f>
        <v>0.569</v>
      </c>
      <c r="N670" s="6">
        <f>ROUND(('ALL(responses)'!P670 - MIN('ALL(responses)'!P$2:P$681)) / (MAX('ALL(responses)'!P$2:P$681)-MIN('ALL(responses)'!P$2:P$681)),3)
</f>
        <v>0.5</v>
      </c>
      <c r="O670" s="6">
        <f>ROUND(('ALL(responses)'!Q670 - MIN('ALL(responses)'!Q$2:Q$681)) / (MAX('ALL(responses)'!Q$2:Q$681)-MIN('ALL(responses)'!Q$2:Q$681)),3)
</f>
        <v>0.523</v>
      </c>
      <c r="P670" s="6">
        <f>ROUND(('ALL(responses)'!R670 - MIN('ALL(responses)'!R$2:R$681)) / (MAX('ALL(responses)'!R$2:R$681)-MIN('ALL(responses)'!R$2:R$681)),3)
</f>
        <v>0.18</v>
      </c>
      <c r="Q670" s="6">
        <f>ROUND(('ALL(responses)'!S670 - MIN('ALL(responses)'!S$2:S$681)) / (MAX('ALL(responses)'!S$2:S$681)-MIN('ALL(responses)'!S$2:S$681)),3)
</f>
        <v>0.409</v>
      </c>
      <c r="R670" s="6">
        <f>ROUND(('ALL(responses)'!T670 - MIN('ALL(responses)'!T$2:T$681)) / (MAX('ALL(responses)'!T$2:T$681)-MIN('ALL(responses)'!T$2:T$681)),3)
</f>
        <v>0.215</v>
      </c>
      <c r="S670" s="6">
        <f t="shared" si="1"/>
        <v>0.2683636364</v>
      </c>
    </row>
    <row r="671">
      <c r="A671" s="5" t="str">
        <f>'ALL(responses)'!A671</f>
        <v>C_MODERATELYINTIMATE</v>
      </c>
      <c r="B671" s="6" t="str">
        <f>'ALL(responses)'!B671</f>
        <v>GPT-o1</v>
      </c>
      <c r="C671" s="49" t="str">
        <f>'ALL(responses)'!C671</f>
        <v>Was there a time in your life you had to start over? What was that experience like?</v>
      </c>
      <c r="D671" s="49" t="str">
        <f>'ALL(responses)'!D671</f>
        <v>I don’t have personal experiences or a life in the human sense, so I haven’t gone through a “start over” moment. However, if we look at real-world scenarios, many people face situations where they must begin again—whether it’s moving to a new city, changing careers, or rebuilding after a personal loss. Here’s what that can typically feel like: 1. **Initial Uncertainty and Fear** - When everything familiar shifts or falls away, it’s natural to feel ungrounded or nervous about the unknown. - Doubts can arise about the ability to adapt, find new opportunities, or rebuild relationships. 2. **Sense of Freedom and Possibility** - Starting from scratch also offers a chance to break away from old patterns or limitations. - With a fresh slate, people can redefine their goals, values, and the direction they want to take. 3. **Learning Through Trial and Error** - While there’s excitement in forging a new path, mistakes and course corrections are common. - Each misstep can be a valuable lesson, shaping a clearer vision of where you want to end up. 4. **Personal Growth** - The process often involves discovering inner strengths—resilience, adaptability, creativity—that might not have surfaced otherwise. - Facing and overcoming challenges can boost self-confidence and broaden one’s perspective. 5. **Rebuilding Community and Support** - In moving to a new place or changing social circles, it takes effort to form connections, build trust, and find a sense of belonging again. - Many find that forging new friendships can be both daunting and rewarding. Starting over can feel like stepping into the unknown—equal parts daunting and liberating. The key is to approach it with an open mind, patience, and a willingness to learn from each stage of the journey.</v>
      </c>
      <c r="E671" s="50">
        <f>'ALL(responses)'!E671</f>
        <v>45631</v>
      </c>
      <c r="F671" s="6">
        <f>ROUND(('ALL(responses)'!F671 - MIN('ALL(responses)'!F$2:F$681)) / (MAX('ALL(responses)'!F$2:F$681)-MIN('ALL(responses)'!F$2:F$681)),3)
</f>
        <v>0</v>
      </c>
      <c r="G671" s="6">
        <f>ROUND(('ALL(responses)'!G671 - MIN('ALL(responses)'!G$2:G$681)) / (MAX('ALL(responses)'!G$2:G$681)-MIN('ALL(responses)'!G$2:G$681)),3)
</f>
        <v>0.556</v>
      </c>
      <c r="H671" s="6">
        <f>ROUND(('ALL(responses)'!H671 - MIN('ALL(responses)'!H$2:H$681)) / (MAX('ALL(responses)'!H$2:H$681)-MIN('ALL(responses)'!H$2:H$681)),3)
</f>
        <v>0</v>
      </c>
      <c r="I671" s="6">
        <f>ROUND(('ALL(responses)'!I671 - MIN('ALL(responses)'!I$2:I$681)) / (MAX('ALL(responses)'!I$2:I$681)-MIN('ALL(responses)'!I$2:I$681)),3)
</f>
        <v>0.625</v>
      </c>
      <c r="J671" s="6">
        <f>ROUND(('ALL(responses)'!J671 - MIN('ALL(responses)'!J$2:J$681)) / (MAX('ALL(responses)'!J$2:J$681)-MIN('ALL(responses)'!J$2:J$681)),3)
</f>
        <v>0</v>
      </c>
      <c r="K671" s="6"/>
      <c r="L671" s="6"/>
      <c r="M671" s="6">
        <f>ROUND(('ALL(responses)'!M671 - MIN('ALL(responses)'!M$2:M$681)) / (MAX('ALL(responses)'!M$2:M$681)-MIN('ALL(responses)'!M$2:M$681)),3)
</f>
        <v>0.616</v>
      </c>
      <c r="N671" s="6">
        <f>ROUND(('ALL(responses)'!P671 - MIN('ALL(responses)'!P$2:P$681)) / (MAX('ALL(responses)'!P$2:P$681)-MIN('ALL(responses)'!P$2:P$681)),3)
</f>
        <v>0.5</v>
      </c>
      <c r="O671" s="6">
        <f>ROUND(('ALL(responses)'!Q671 - MIN('ALL(responses)'!Q$2:Q$681)) / (MAX('ALL(responses)'!Q$2:Q$681)-MIN('ALL(responses)'!Q$2:Q$681)),3)
</f>
        <v>0.523</v>
      </c>
      <c r="P671" s="6">
        <f>ROUND(('ALL(responses)'!R671 - MIN('ALL(responses)'!R$2:R$681)) / (MAX('ALL(responses)'!R$2:R$681)-MIN('ALL(responses)'!R$2:R$681)),3)
</f>
        <v>0.18</v>
      </c>
      <c r="Q671" s="6">
        <f>ROUND(('ALL(responses)'!S671 - MIN('ALL(responses)'!S$2:S$681)) / (MAX('ALL(responses)'!S$2:S$681)-MIN('ALL(responses)'!S$2:S$681)),3)
</f>
        <v>0.409</v>
      </c>
      <c r="R671" s="6">
        <f>ROUND(('ALL(responses)'!T671 - MIN('ALL(responses)'!T$2:T$681)) / (MAX('ALL(responses)'!T$2:T$681)-MIN('ALL(responses)'!T$2:T$681)),3)
</f>
        <v>0.141</v>
      </c>
      <c r="S671" s="6">
        <f t="shared" si="1"/>
        <v>0.3227272727</v>
      </c>
    </row>
    <row r="672">
      <c r="A672" s="5" t="str">
        <f>'ALL(responses)'!A672</f>
        <v>D_HIGHLYINTIMATE</v>
      </c>
      <c r="B672" s="6" t="str">
        <f>'ALL(responses)'!B672</f>
        <v>GPT-o1</v>
      </c>
      <c r="C672" s="49" t="str">
        <f>'ALL(responses)'!C672</f>
        <v>What personal values guide your approach to physical intimacy?</v>
      </c>
      <c r="D672" s="49" t="str">
        <f>'ALL(responses)'!D672</f>
        <v>I don’t have personal experiences or feelings, but I can share principles that many people rely on when thinking about physical intimacy. These values often revolve around ensuring that everyone involved feels respected, safe, and heard. Although each person’s exact values will differ, here are some common guiding principles: 1. Mutual Respect – Recognizing each partner’s boundaries and comfort levels is crucial, and valuing the other person’s emotional and physical well-being is a foundation of healthy intimacy. 2. Enthusiastic Consent – Consent must be freely given, reversible, informed, enthusiastic, and specific (the “FRIES” model). Checking in before, during, and after physical intimacy shows respect and care. 3. Open, Honest Communication – Talking about wants, needs, boundaries, concerns, and desires in a judgment-free space fosters trust and clarity. Continual communication ensures everyone’s comfort remains a priority. 4. Safety and Well-Being – Taking precautions (e.g., safe sex practices, discussing sexual health) to protect both partners physically and emotionally, and recognizing any potential power imbalances so both partners feel equally empowered. 5. Empathy and Emotional Support – Showing genuine care about your partner’s emotional experience, listening attentively, and offering understanding if someone is anxious or experiences vulnerability. 6. Accountability – Taking responsibility for one’s actions and acknowledging when mistakes occur, seeking to learn and grow from any misunderstandings or missteps. 7. Reciprocity – Aiming to give as much as one receives in a balanced way, striving to make the experience positive and affirming for everyone. 8. Personal Integrity – Recognizing and staying true to one’s own boundaries and core beliefs, and not compromising one’s comfort or values just to meet external expectations. Ultimately, each person may emphasize these values differently based on their background and beliefs, but the overarching goal is to ensure respect, security, and comfort in all aspects of intimacy.</v>
      </c>
      <c r="E672" s="50">
        <f>'ALL(responses)'!E672</f>
        <v>45631</v>
      </c>
      <c r="F672" s="6">
        <f>ROUND(('ALL(responses)'!F672 - MIN('ALL(responses)'!F$2:F$681)) / (MAX('ALL(responses)'!F$2:F$681)-MIN('ALL(responses)'!F$2:F$681)),3)
</f>
        <v>0</v>
      </c>
      <c r="G672" s="6">
        <f>ROUND(('ALL(responses)'!G672 - MIN('ALL(responses)'!G$2:G$681)) / (MAX('ALL(responses)'!G$2:G$681)-MIN('ALL(responses)'!G$2:G$681)),3)
</f>
        <v>0.556</v>
      </c>
      <c r="H672" s="6">
        <f>ROUND(('ALL(responses)'!H672 - MIN('ALL(responses)'!H$2:H$681)) / (MAX('ALL(responses)'!H$2:H$681)-MIN('ALL(responses)'!H$2:H$681)),3)
</f>
        <v>0.5</v>
      </c>
      <c r="I672" s="6">
        <f>ROUND(('ALL(responses)'!I672 - MIN('ALL(responses)'!I$2:I$681)) / (MAX('ALL(responses)'!I$2:I$681)-MIN('ALL(responses)'!I$2:I$681)),3)
</f>
        <v>0.625</v>
      </c>
      <c r="J672" s="6">
        <f>ROUND(('ALL(responses)'!J672 - MIN('ALL(responses)'!J$2:J$681)) / (MAX('ALL(responses)'!J$2:J$681)-MIN('ALL(responses)'!J$2:J$681)),3)
</f>
        <v>0</v>
      </c>
      <c r="K672" s="6"/>
      <c r="L672" s="6"/>
      <c r="M672" s="6">
        <f>ROUND(('ALL(responses)'!M672 - MIN('ALL(responses)'!M$2:M$681)) / (MAX('ALL(responses)'!M$2:M$681)-MIN('ALL(responses)'!M$2:M$681)),3)
</f>
        <v>0.685</v>
      </c>
      <c r="N672" s="6">
        <f>ROUND(('ALL(responses)'!P672 - MIN('ALL(responses)'!P$2:P$681)) / (MAX('ALL(responses)'!P$2:P$681)-MIN('ALL(responses)'!P$2:P$681)),3)
</f>
        <v>0.217</v>
      </c>
      <c r="O672" s="6">
        <f>ROUND(('ALL(responses)'!Q672 - MIN('ALL(responses)'!Q$2:Q$681)) / (MAX('ALL(responses)'!Q$2:Q$681)-MIN('ALL(responses)'!Q$2:Q$681)),3)
</f>
        <v>0.062</v>
      </c>
      <c r="P672" s="6">
        <f>ROUND(('ALL(responses)'!R672 - MIN('ALL(responses)'!R$2:R$681)) / (MAX('ALL(responses)'!R$2:R$681)-MIN('ALL(responses)'!R$2:R$681)),3)
</f>
        <v>0.999</v>
      </c>
      <c r="Q672" s="6">
        <f>ROUND(('ALL(responses)'!S672 - MIN('ALL(responses)'!S$2:S$681)) / (MAX('ALL(responses)'!S$2:S$681)-MIN('ALL(responses)'!S$2:S$681)),3)
</f>
        <v>0.999</v>
      </c>
      <c r="R672" s="6">
        <f>ROUND(('ALL(responses)'!T672 - MIN('ALL(responses)'!T$2:T$681)) / (MAX('ALL(responses)'!T$2:T$681)-MIN('ALL(responses)'!T$2:T$681)),3)
</f>
        <v>0.509</v>
      </c>
      <c r="S672" s="6">
        <f t="shared" si="1"/>
        <v>0.4683636364</v>
      </c>
    </row>
    <row r="673">
      <c r="A673" s="5" t="str">
        <f>'ALL(responses)'!A673</f>
        <v>D_HIGHLYINTIMATE</v>
      </c>
      <c r="B673" s="6" t="str">
        <f>'ALL(responses)'!B673</f>
        <v>GPT-o1</v>
      </c>
      <c r="C673" s="49" t="str">
        <f>'ALL(responses)'!C673</f>
        <v>Is there an aspect of yourself or your life that you are afraid to share with people because you're afraid of being judged or rejected?</v>
      </c>
      <c r="D673" s="49" t="str">
        <f>'ALL(responses)'!D673</f>
        <v>I’m a virtual assistant and don’t have personal experiences or fears in the way humans do. However, many people—maybe even most—have some aspect of themselves they find difficult to share because they worry about being judged or rejected. Common examples include struggles with mental health, past mistakes, deeply held beliefs, or aspects of identity such as gender identity and sexual orientation. If you’re navigating concerns about being judged, it can help to talk with someone you trust—a friend, family member, counselor—or find supportive communities where you can share your experiences without fear. Compassionate spaces can help you feel safer opening up about parts of yourself that you typically keep hidden.</v>
      </c>
      <c r="E673" s="50">
        <f>'ALL(responses)'!E673</f>
        <v>45631</v>
      </c>
      <c r="F673" s="6">
        <f>ROUND(('ALL(responses)'!F673 - MIN('ALL(responses)'!F$2:F$681)) / (MAX('ALL(responses)'!F$2:F$681)-MIN('ALL(responses)'!F$2:F$681)),3)
</f>
        <v>0.25</v>
      </c>
      <c r="G673" s="6">
        <f>ROUND(('ALL(responses)'!G673 - MIN('ALL(responses)'!G$2:G$681)) / (MAX('ALL(responses)'!G$2:G$681)-MIN('ALL(responses)'!G$2:G$681)),3)
</f>
        <v>0.556</v>
      </c>
      <c r="H673" s="6">
        <f>ROUND(('ALL(responses)'!H673 - MIN('ALL(responses)'!H$2:H$681)) / (MAX('ALL(responses)'!H$2:H$681)-MIN('ALL(responses)'!H$2:H$681)),3)
</f>
        <v>0</v>
      </c>
      <c r="I673" s="6">
        <f>ROUND(('ALL(responses)'!I673 - MIN('ALL(responses)'!I$2:I$681)) / (MAX('ALL(responses)'!I$2:I$681)-MIN('ALL(responses)'!I$2:I$681)),3)
</f>
        <v>0.625</v>
      </c>
      <c r="J673" s="6">
        <f>ROUND(('ALL(responses)'!J673 - MIN('ALL(responses)'!J$2:J$681)) / (MAX('ALL(responses)'!J$2:J$681)-MIN('ALL(responses)'!J$2:J$681)),3)
</f>
        <v>0</v>
      </c>
      <c r="K673" s="6"/>
      <c r="L673" s="6"/>
      <c r="M673" s="6">
        <f>ROUND(('ALL(responses)'!M673 - MIN('ALL(responses)'!M$2:M$681)) / (MAX('ALL(responses)'!M$2:M$681)-MIN('ALL(responses)'!M$2:M$681)),3)
</f>
        <v>0.81</v>
      </c>
      <c r="N673" s="6">
        <f>ROUND(('ALL(responses)'!P673 - MIN('ALL(responses)'!P$2:P$681)) / (MAX('ALL(responses)'!P$2:P$681)-MIN('ALL(responses)'!P$2:P$681)),3)
</f>
        <v>0.564</v>
      </c>
      <c r="O673" s="6">
        <f>ROUND(('ALL(responses)'!Q673 - MIN('ALL(responses)'!Q$2:Q$681)) / (MAX('ALL(responses)'!Q$2:Q$681)-MIN('ALL(responses)'!Q$2:Q$681)),3)
</f>
        <v>0.45</v>
      </c>
      <c r="P673" s="6">
        <f>ROUND(('ALL(responses)'!R673 - MIN('ALL(responses)'!R$2:R$681)) / (MAX('ALL(responses)'!R$2:R$681)-MIN('ALL(responses)'!R$2:R$681)),3)
</f>
        <v>0.128</v>
      </c>
      <c r="Q673" s="6">
        <f>ROUND(('ALL(responses)'!S673 - MIN('ALL(responses)'!S$2:S$681)) / (MAX('ALL(responses)'!S$2:S$681)-MIN('ALL(responses)'!S$2:S$681)),3)
</f>
        <v>0.564</v>
      </c>
      <c r="R673" s="6">
        <f>ROUND(('ALL(responses)'!T673 - MIN('ALL(responses)'!T$2:T$681)) / (MAX('ALL(responses)'!T$2:T$681)-MIN('ALL(responses)'!T$2:T$681)),3)
</f>
        <v>0.684</v>
      </c>
      <c r="S673" s="6">
        <f t="shared" si="1"/>
        <v>0.421</v>
      </c>
    </row>
    <row r="674">
      <c r="A674" s="5" t="str">
        <f>'ALL(responses)'!A674</f>
        <v>D_HIGHLYINTIMATE</v>
      </c>
      <c r="B674" s="6" t="str">
        <f>'ALL(responses)'!B674</f>
        <v>GPT-o1</v>
      </c>
      <c r="C674" s="49" t="str">
        <f>'ALL(responses)'!C674</f>
        <v>What emotional protection mechanisms do you employ when feeling exposed?</v>
      </c>
      <c r="D674" s="49" t="str">
        <f>'ALL(responses)'!D674</f>
        <v>I’m a virtual assistant and don’t have personal emotions or experiences, but here are common emotional protection mechanisms people employ when feeling exposed: 1. Withdrawing or Avoiding – Pulling away from situations or people to minimize the risk of further hurt. 2. Intellectualizing – Focusing on logic or facts instead of feelings. 3. Humor and Deflection – Lightening the mood or changing the subject to avoid deeper vulnerability. 4. People-Pleasing – Over-accommodating to avoid conflict or rejection. 5. Building Emotional Walls – Restricting personal sharing, even in close relationships. 6. Self-Sabotage – Undermining one’s own efforts to avoid disappointment or rejection. 7. Ruminating or Self-Criticism – Internally focusing on perceived flaws to “fix” them before others can. 8. Seeking Reassurance – Looking for constant validation from others. Recognizing these patterns can help individuals find more open, adaptive ways to communicate and connect.</v>
      </c>
      <c r="E674" s="50">
        <f>'ALL(responses)'!E674</f>
        <v>45631</v>
      </c>
      <c r="F674" s="6">
        <f>ROUND(('ALL(responses)'!F674 - MIN('ALL(responses)'!F$2:F$681)) / (MAX('ALL(responses)'!F$2:F$681)-MIN('ALL(responses)'!F$2:F$681)),3)
</f>
        <v>0.25</v>
      </c>
      <c r="G674" s="6">
        <f>ROUND(('ALL(responses)'!G674 - MIN('ALL(responses)'!G$2:G$681)) / (MAX('ALL(responses)'!G$2:G$681)-MIN('ALL(responses)'!G$2:G$681)),3)
</f>
        <v>0.111</v>
      </c>
      <c r="H674" s="6">
        <f>ROUND(('ALL(responses)'!H674 - MIN('ALL(responses)'!H$2:H$681)) / (MAX('ALL(responses)'!H$2:H$681)-MIN('ALL(responses)'!H$2:H$681)),3)
</f>
        <v>0</v>
      </c>
      <c r="I674" s="6">
        <f>ROUND(('ALL(responses)'!I674 - MIN('ALL(responses)'!I$2:I$681)) / (MAX('ALL(responses)'!I$2:I$681)-MIN('ALL(responses)'!I$2:I$681)),3)
</f>
        <v>0</v>
      </c>
      <c r="J674" s="6">
        <f>ROUND(('ALL(responses)'!J674 - MIN('ALL(responses)'!J$2:J$681)) / (MAX('ALL(responses)'!J$2:J$681)-MIN('ALL(responses)'!J$2:J$681)),3)
</f>
        <v>0</v>
      </c>
      <c r="K674" s="6"/>
      <c r="L674" s="6"/>
      <c r="M674" s="6">
        <f>ROUND(('ALL(responses)'!M674 - MIN('ALL(responses)'!M$2:M$681)) / (MAX('ALL(responses)'!M$2:M$681)-MIN('ALL(responses)'!M$2:M$681)),3)
</f>
        <v>0.562</v>
      </c>
      <c r="N674" s="6">
        <f>ROUND(('ALL(responses)'!P674 - MIN('ALL(responses)'!P$2:P$681)) / (MAX('ALL(responses)'!P$2:P$681)-MIN('ALL(responses)'!P$2:P$681)),3)
</f>
        <v>0.156</v>
      </c>
      <c r="O674" s="6">
        <f>ROUND(('ALL(responses)'!Q674 - MIN('ALL(responses)'!Q$2:Q$681)) / (MAX('ALL(responses)'!Q$2:Q$681)-MIN('ALL(responses)'!Q$2:Q$681)),3)
</f>
        <v>0.034</v>
      </c>
      <c r="P674" s="6">
        <f>ROUND(('ALL(responses)'!R674 - MIN('ALL(responses)'!R$2:R$681)) / (MAX('ALL(responses)'!R$2:R$681)-MIN('ALL(responses)'!R$2:R$681)),3)
</f>
        <v>0.98</v>
      </c>
      <c r="Q674" s="6">
        <f>ROUND(('ALL(responses)'!S674 - MIN('ALL(responses)'!S$2:S$681)) / (MAX('ALL(responses)'!S$2:S$681)-MIN('ALL(responses)'!S$2:S$681)),3)
</f>
        <v>0.009</v>
      </c>
      <c r="R674" s="6">
        <f>ROUND(('ALL(responses)'!T674 - MIN('ALL(responses)'!T$2:T$681)) / (MAX('ALL(responses)'!T$2:T$681)-MIN('ALL(responses)'!T$2:T$681)),3)
</f>
        <v>0.474</v>
      </c>
      <c r="S674" s="6">
        <f t="shared" si="1"/>
        <v>0.2341818182</v>
      </c>
    </row>
    <row r="675">
      <c r="A675" s="5" t="str">
        <f>'ALL(responses)'!A675</f>
        <v>D_HIGHLYINTIMATE</v>
      </c>
      <c r="B675" s="6" t="str">
        <f>'ALL(responses)'!B675</f>
        <v>GPT-o1</v>
      </c>
      <c r="C675" s="49" t="str">
        <f>'ALL(responses)'!C675</f>
        <v>Do you have a spiritual belief or practice that gives you comfort or peace, especially during difficult times?</v>
      </c>
      <c r="D675" s="49" t="str">
        <f>'ALL(responses)'!D675</f>
        <v>I’m a virtual assistant, so I don’t have personal spiritual beliefs or needs. However, many people find solace during challenging times through practices like meditation, prayer, communal worship, journaling, breathing exercises, connecting with nature, volunteering or acts of service, and being part of supportive spiritual or reflective communities. These activities can foster a sense of inner calm, hope, and belonging by providing perspective and a connection to something larger than oneself.</v>
      </c>
      <c r="E675" s="50">
        <f>'ALL(responses)'!E675</f>
        <v>45631</v>
      </c>
      <c r="F675" s="6">
        <f>ROUND(('ALL(responses)'!F675 - MIN('ALL(responses)'!F$2:F$681)) / (MAX('ALL(responses)'!F$2:F$681)-MIN('ALL(responses)'!F$2:F$681)),3)
</f>
        <v>0</v>
      </c>
      <c r="G675" s="6">
        <f>ROUND(('ALL(responses)'!G675 - MIN('ALL(responses)'!G$2:G$681)) / (MAX('ALL(responses)'!G$2:G$681)-MIN('ALL(responses)'!G$2:G$681)),3)
</f>
        <v>0.111</v>
      </c>
      <c r="H675" s="6">
        <f>ROUND(('ALL(responses)'!H675 - MIN('ALL(responses)'!H$2:H$681)) / (MAX('ALL(responses)'!H$2:H$681)-MIN('ALL(responses)'!H$2:H$681)),3)
</f>
        <v>0</v>
      </c>
      <c r="I675" s="6">
        <f>ROUND(('ALL(responses)'!I675 - MIN('ALL(responses)'!I$2:I$681)) / (MAX('ALL(responses)'!I$2:I$681)-MIN('ALL(responses)'!I$2:I$681)),3)
</f>
        <v>0</v>
      </c>
      <c r="J675" s="6">
        <f>ROUND(('ALL(responses)'!J675 - MIN('ALL(responses)'!J$2:J$681)) / (MAX('ALL(responses)'!J$2:J$681)-MIN('ALL(responses)'!J$2:J$681)),3)
</f>
        <v>0</v>
      </c>
      <c r="K675" s="6"/>
      <c r="L675" s="6"/>
      <c r="M675" s="6">
        <f>ROUND(('ALL(responses)'!M675 - MIN('ALL(responses)'!M$2:M$681)) / (MAX('ALL(responses)'!M$2:M$681)-MIN('ALL(responses)'!M$2:M$681)),3)
</f>
        <v>0.536</v>
      </c>
      <c r="N675" s="6">
        <f>ROUND(('ALL(responses)'!P675 - MIN('ALL(responses)'!P$2:P$681)) / (MAX('ALL(responses)'!P$2:P$681)-MIN('ALL(responses)'!P$2:P$681)),3)
</f>
        <v>0.151</v>
      </c>
      <c r="O675" s="6">
        <f>ROUND(('ALL(responses)'!Q675 - MIN('ALL(responses)'!Q$2:Q$681)) / (MAX('ALL(responses)'!Q$2:Q$681)-MIN('ALL(responses)'!Q$2:Q$681)),3)
</f>
        <v>0.063</v>
      </c>
      <c r="P675" s="6">
        <f>ROUND(('ALL(responses)'!R675 - MIN('ALL(responses)'!R$2:R$681)) / (MAX('ALL(responses)'!R$2:R$681)-MIN('ALL(responses)'!R$2:R$681)),3)
</f>
        <v>0.893</v>
      </c>
      <c r="Q675" s="6">
        <f>ROUND(('ALL(responses)'!S675 - MIN('ALL(responses)'!S$2:S$681)) / (MAX('ALL(responses)'!S$2:S$681)-MIN('ALL(responses)'!S$2:S$681)),3)
</f>
        <v>0.947</v>
      </c>
      <c r="R675" s="6">
        <f>ROUND(('ALL(responses)'!T675 - MIN('ALL(responses)'!T$2:T$681)) / (MAX('ALL(responses)'!T$2:T$681)-MIN('ALL(responses)'!T$2:T$681)),3)
</f>
        <v>0.852</v>
      </c>
      <c r="S675" s="6">
        <f t="shared" si="1"/>
        <v>0.323</v>
      </c>
    </row>
    <row r="676">
      <c r="A676" s="5" t="str">
        <f>'ALL(responses)'!A676</f>
        <v>D_HIGHLYINTIMATE</v>
      </c>
      <c r="B676" s="6" t="str">
        <f>'ALL(responses)'!B676</f>
        <v>GPT-o1</v>
      </c>
      <c r="C676" s="49" t="str">
        <f>'ALL(responses)'!C676</f>
        <v>How do you reconcile your personal beliefs with the challenges or conflicts you face in life?</v>
      </c>
      <c r="D676" s="49" t="str">
        <f>'ALL(responses)'!D676</f>
        <v>I’m a virtual assistant and don’t hold personal beliefs or face life conflicts. However, people often reconcile their beliefs with challenges through: 1. Self-Reflection – Honestly examining thoughts and feelings to see where conflicts arise. 2. Flexibility – Allowing beliefs to evolve with new experiences or insights. 3. Realistic Expectations – Accepting that ideals may not always match reality. 4. Dialogue – Open-minded conversations that bridge understanding. 5. Core Values – Identifying non-negotiables to maintain integrity. 6. Empathy – Practicing compassion for oneself and others. 7. Incremental Action – Making small, consistent efforts to live out one’s values. It’s an ongoing process requiring mindfulness, adaptability, and perseverance.</v>
      </c>
      <c r="E676" s="50">
        <f>'ALL(responses)'!E676</f>
        <v>45631</v>
      </c>
      <c r="F676" s="6">
        <f>ROUND(('ALL(responses)'!F676 - MIN('ALL(responses)'!F$2:F$681)) / (MAX('ALL(responses)'!F$2:F$681)-MIN('ALL(responses)'!F$2:F$681)),3)
</f>
        <v>0.25</v>
      </c>
      <c r="G676" s="6">
        <f>ROUND(('ALL(responses)'!G676 - MIN('ALL(responses)'!G$2:G$681)) / (MAX('ALL(responses)'!G$2:G$681)-MIN('ALL(responses)'!G$2:G$681)),3)
</f>
        <v>0.111</v>
      </c>
      <c r="H676" s="6">
        <f>ROUND(('ALL(responses)'!H676 - MIN('ALL(responses)'!H$2:H$681)) / (MAX('ALL(responses)'!H$2:H$681)-MIN('ALL(responses)'!H$2:H$681)),3)
</f>
        <v>0.5</v>
      </c>
      <c r="I676" s="6">
        <f>ROUND(('ALL(responses)'!I676 - MIN('ALL(responses)'!I$2:I$681)) / (MAX('ALL(responses)'!I$2:I$681)-MIN('ALL(responses)'!I$2:I$681)),3)
</f>
        <v>0</v>
      </c>
      <c r="J676" s="6">
        <f>ROUND(('ALL(responses)'!J676 - MIN('ALL(responses)'!J$2:J$681)) / (MAX('ALL(responses)'!J$2:J$681)-MIN('ALL(responses)'!J$2:J$681)),3)
</f>
        <v>0</v>
      </c>
      <c r="K676" s="6"/>
      <c r="L676" s="6"/>
      <c r="M676" s="6">
        <f>ROUND(('ALL(responses)'!M676 - MIN('ALL(responses)'!M$2:M$681)) / (MAX('ALL(responses)'!M$2:M$681)-MIN('ALL(responses)'!M$2:M$681)),3)
</f>
        <v>0.564</v>
      </c>
      <c r="N676" s="6">
        <f>ROUND(('ALL(responses)'!P676 - MIN('ALL(responses)'!P$2:P$681)) / (MAX('ALL(responses)'!P$2:P$681)-MIN('ALL(responses)'!P$2:P$681)),3)
</f>
        <v>0.206</v>
      </c>
      <c r="O676" s="6">
        <f>ROUND(('ALL(responses)'!Q676 - MIN('ALL(responses)'!Q$2:Q$681)) / (MAX('ALL(responses)'!Q$2:Q$681)-MIN('ALL(responses)'!Q$2:Q$681)),3)
</f>
        <v>0.09</v>
      </c>
      <c r="P676" s="6">
        <f>ROUND(('ALL(responses)'!R676 - MIN('ALL(responses)'!R$2:R$681)) / (MAX('ALL(responses)'!R$2:R$681)-MIN('ALL(responses)'!R$2:R$681)),3)
</f>
        <v>0.931</v>
      </c>
      <c r="Q676" s="6">
        <f>ROUND(('ALL(responses)'!S676 - MIN('ALL(responses)'!S$2:S$681)) / (MAX('ALL(responses)'!S$2:S$681)-MIN('ALL(responses)'!S$2:S$681)),3)
</f>
        <v>0.966</v>
      </c>
      <c r="R676" s="6">
        <f>ROUND(('ALL(responses)'!T676 - MIN('ALL(responses)'!T$2:T$681)) / (MAX('ALL(responses)'!T$2:T$681)-MIN('ALL(responses)'!T$2:T$681)),3)
</f>
        <v>0.508</v>
      </c>
      <c r="S676" s="6">
        <f t="shared" si="1"/>
        <v>0.3750909091</v>
      </c>
    </row>
    <row r="677">
      <c r="A677" s="5" t="str">
        <f>'ALL(responses)'!A677</f>
        <v>D_HIGHLYINTIMATE</v>
      </c>
      <c r="B677" s="6" t="str">
        <f>'ALL(responses)'!B677</f>
        <v>GPT-o1</v>
      </c>
      <c r="C677" s="49" t="str">
        <f>'ALL(responses)'!C677</f>
        <v>Have you gone through any major changes or shifts in your beliefs or practices?</v>
      </c>
      <c r="D677" s="49" t="str">
        <f>'ALL(responses)'!D677</f>
        <v>I’m a virtual assistant, so I don’t undergo personal transformations. In general, people experience shifts in beliefs or practices for reasons like new information, education, life events, or personal development. Examples include changes in religious or spiritual outlook, evolving career goals, or identity discoveries. If you’re experiencing a major shift, supportive environments, professional guidance, and self-exploration can ease the transition and help you find practices or beliefs that resonate more authentically.</v>
      </c>
      <c r="E677" s="50">
        <f>'ALL(responses)'!E677</f>
        <v>45631</v>
      </c>
      <c r="F677" s="6">
        <f>ROUND(('ALL(responses)'!F677 - MIN('ALL(responses)'!F$2:F$681)) / (MAX('ALL(responses)'!F$2:F$681)-MIN('ALL(responses)'!F$2:F$681)),3)
</f>
        <v>0.25</v>
      </c>
      <c r="G677" s="6">
        <f>ROUND(('ALL(responses)'!G677 - MIN('ALL(responses)'!G$2:G$681)) / (MAX('ALL(responses)'!G$2:G$681)-MIN('ALL(responses)'!G$2:G$681)),3)
</f>
        <v>0.111</v>
      </c>
      <c r="H677" s="6">
        <f>ROUND(('ALL(responses)'!H677 - MIN('ALL(responses)'!H$2:H$681)) / (MAX('ALL(responses)'!H$2:H$681)-MIN('ALL(responses)'!H$2:H$681)),3)
</f>
        <v>0</v>
      </c>
      <c r="I677" s="6">
        <f>ROUND(('ALL(responses)'!I677 - MIN('ALL(responses)'!I$2:I$681)) / (MAX('ALL(responses)'!I$2:I$681)-MIN('ALL(responses)'!I$2:I$681)),3)
</f>
        <v>0</v>
      </c>
      <c r="J677" s="6">
        <f>ROUND(('ALL(responses)'!J677 - MIN('ALL(responses)'!J$2:J$681)) / (MAX('ALL(responses)'!J$2:J$681)-MIN('ALL(responses)'!J$2:J$681)),3)
</f>
        <v>0</v>
      </c>
      <c r="K677" s="6"/>
      <c r="L677" s="6"/>
      <c r="M677" s="6">
        <f>ROUND(('ALL(responses)'!M677 - MIN('ALL(responses)'!M$2:M$681)) / (MAX('ALL(responses)'!M$2:M$681)-MIN('ALL(responses)'!M$2:M$681)),3)
</f>
        <v>0.685</v>
      </c>
      <c r="N677" s="6">
        <f>ROUND(('ALL(responses)'!P677 - MIN('ALL(responses)'!P$2:P$681)) / (MAX('ALL(responses)'!P$2:P$681)-MIN('ALL(responses)'!P$2:P$681)),3)
</f>
        <v>0.147</v>
      </c>
      <c r="O677" s="6">
        <f>ROUND(('ALL(responses)'!Q677 - MIN('ALL(responses)'!Q$2:Q$681)) / (MAX('ALL(responses)'!Q$2:Q$681)-MIN('ALL(responses)'!Q$2:Q$681)),3)
</f>
        <v>0.19</v>
      </c>
      <c r="P677" s="6">
        <f>ROUND(('ALL(responses)'!R677 - MIN('ALL(responses)'!R$2:R$681)) / (MAX('ALL(responses)'!R$2:R$681)-MIN('ALL(responses)'!R$2:R$681)),3)
</f>
        <v>0.847</v>
      </c>
      <c r="Q677" s="6">
        <f>ROUND(('ALL(responses)'!S677 - MIN('ALL(responses)'!S$2:S$681)) / (MAX('ALL(responses)'!S$2:S$681)-MIN('ALL(responses)'!S$2:S$681)),3)
</f>
        <v>0.924</v>
      </c>
      <c r="R677" s="6">
        <f>ROUND(('ALL(responses)'!T677 - MIN('ALL(responses)'!T$2:T$681)) / (MAX('ALL(responses)'!T$2:T$681)-MIN('ALL(responses)'!T$2:T$681)),3)
</f>
        <v>0.905</v>
      </c>
      <c r="S677" s="6">
        <f t="shared" si="1"/>
        <v>0.369</v>
      </c>
    </row>
    <row r="678">
      <c r="A678" s="5" t="str">
        <f>'ALL(responses)'!A678</f>
        <v>D_HIGHLYINTIMATE</v>
      </c>
      <c r="B678" s="6" t="str">
        <f>'ALL(responses)'!B678</f>
        <v>GPT-o1</v>
      </c>
      <c r="C678" s="49" t="str">
        <f>'ALL(responses)'!C678</f>
        <v>How do you cope with the aftermath of a traumatic experience that still lingers in your mind or heart?</v>
      </c>
      <c r="D678" s="49" t="str">
        <f>'ALL(responses)'!D678</f>
        <v>I’m not a licensed mental health professional, but many people cope with the lingering aftermath of trauma by seeking therapy or counseling (e.g., EMDR, CBT), practicing grounding techniques like mindful breathing, connecting with support networks (friends, family, or support groups), and fostering self-compassion through journaling, creative outlets, physical activities, or somatic approaches. A gradual, patient approach—combined with professional help when possible—can assist in processing traumatic memories and restoring a sense of safety and peace.</v>
      </c>
      <c r="E678" s="50">
        <f>'ALL(responses)'!E678</f>
        <v>45631</v>
      </c>
      <c r="F678" s="6">
        <f>ROUND(('ALL(responses)'!F678 - MIN('ALL(responses)'!F$2:F$681)) / (MAX('ALL(responses)'!F$2:F$681)-MIN('ALL(responses)'!F$2:F$681)),3)
</f>
        <v>0.25</v>
      </c>
      <c r="G678" s="6">
        <f>ROUND(('ALL(responses)'!G678 - MIN('ALL(responses)'!G$2:G$681)) / (MAX('ALL(responses)'!G$2:G$681)-MIN('ALL(responses)'!G$2:G$681)),3)
</f>
        <v>0.111</v>
      </c>
      <c r="H678" s="6">
        <f>ROUND(('ALL(responses)'!H678 - MIN('ALL(responses)'!H$2:H$681)) / (MAX('ALL(responses)'!H$2:H$681)-MIN('ALL(responses)'!H$2:H$681)),3)
</f>
        <v>0</v>
      </c>
      <c r="I678" s="6">
        <f>ROUND(('ALL(responses)'!I678 - MIN('ALL(responses)'!I$2:I$681)) / (MAX('ALL(responses)'!I$2:I$681)-MIN('ALL(responses)'!I$2:I$681)),3)
</f>
        <v>0</v>
      </c>
      <c r="J678" s="6">
        <f>ROUND(('ALL(responses)'!J678 - MIN('ALL(responses)'!J$2:J$681)) / (MAX('ALL(responses)'!J$2:J$681)-MIN('ALL(responses)'!J$2:J$681)),3)
</f>
        <v>0</v>
      </c>
      <c r="K678" s="6"/>
      <c r="L678" s="6"/>
      <c r="M678" s="6">
        <f>ROUND(('ALL(responses)'!M678 - MIN('ALL(responses)'!M$2:M$681)) / (MAX('ALL(responses)'!M$2:M$681)-MIN('ALL(responses)'!M$2:M$681)),3)
</f>
        <v>0.415</v>
      </c>
      <c r="N678" s="6">
        <f>ROUND(('ALL(responses)'!P678 - MIN('ALL(responses)'!P$2:P$681)) / (MAX('ALL(responses)'!P$2:P$681)-MIN('ALL(responses)'!P$2:P$681)),3)
</f>
        <v>0.278</v>
      </c>
      <c r="O678" s="6">
        <f>ROUND(('ALL(responses)'!Q678 - MIN('ALL(responses)'!Q$2:Q$681)) / (MAX('ALL(responses)'!Q$2:Q$681)-MIN('ALL(responses)'!Q$2:Q$681)),3)
</f>
        <v>0</v>
      </c>
      <c r="P678" s="6">
        <f>ROUND(('ALL(responses)'!R678 - MIN('ALL(responses)'!R$2:R$681)) / (MAX('ALL(responses)'!R$2:R$681)-MIN('ALL(responses)'!R$2:R$681)),3)
</f>
        <v>0.976</v>
      </c>
      <c r="Q678" s="6">
        <f>ROUND(('ALL(responses)'!S678 - MIN('ALL(responses)'!S$2:S$681)) / (MAX('ALL(responses)'!S$2:S$681)-MIN('ALL(responses)'!S$2:S$681)),3)
</f>
        <v>0.988</v>
      </c>
      <c r="R678" s="6">
        <f>ROUND(('ALL(responses)'!T678 - MIN('ALL(responses)'!T$2:T$681)) / (MAX('ALL(responses)'!T$2:T$681)-MIN('ALL(responses)'!T$2:T$681)),3)
</f>
        <v>0.823</v>
      </c>
      <c r="S678" s="6">
        <f t="shared" si="1"/>
        <v>0.3491818182</v>
      </c>
    </row>
    <row r="679">
      <c r="A679" s="5" t="str">
        <f>'ALL(responses)'!A679</f>
        <v>D_HIGHLYINTIMATE</v>
      </c>
      <c r="B679" s="6" t="str">
        <f>'ALL(responses)'!B679</f>
        <v>GPT-o1</v>
      </c>
      <c r="C679" s="49" t="str">
        <f>'ALL(responses)'!C679</f>
        <v>What healing practices have supported your emotional resilience?</v>
      </c>
      <c r="D679" s="49" t="str">
        <f>'ALL(responses)'!D679</f>
        <v>I’m a virtual assistant, so I don’t have personal experiences of healing or resilience. Common strategies people use to build emotional resilience include therapy, mindfulness, journaling, creative outlets, physical movement (yoga, exercise), social support, spiritual or reflective practices, healthy boundaries, and routine self-check-ins. Balancing professional guidance with personal self-care and nurturing relationships often fosters a stronger sense of well-being and emotional fortitude.</v>
      </c>
      <c r="E679" s="50">
        <f>'ALL(responses)'!E679</f>
        <v>45631</v>
      </c>
      <c r="F679" s="6">
        <f>ROUND(('ALL(responses)'!F679 - MIN('ALL(responses)'!F$2:F$681)) / (MAX('ALL(responses)'!F$2:F$681)-MIN('ALL(responses)'!F$2:F$681)),3)
</f>
        <v>0</v>
      </c>
      <c r="G679" s="6">
        <f>ROUND(('ALL(responses)'!G679 - MIN('ALL(responses)'!G$2:G$681)) / (MAX('ALL(responses)'!G$2:G$681)-MIN('ALL(responses)'!G$2:G$681)),3)
</f>
        <v>0.111</v>
      </c>
      <c r="H679" s="6">
        <f>ROUND(('ALL(responses)'!H679 - MIN('ALL(responses)'!H$2:H$681)) / (MAX('ALL(responses)'!H$2:H$681)-MIN('ALL(responses)'!H$2:H$681)),3)
</f>
        <v>0</v>
      </c>
      <c r="I679" s="6">
        <f>ROUND(('ALL(responses)'!I679 - MIN('ALL(responses)'!I$2:I$681)) / (MAX('ALL(responses)'!I$2:I$681)-MIN('ALL(responses)'!I$2:I$681)),3)
</f>
        <v>0</v>
      </c>
      <c r="J679" s="6">
        <f>ROUND(('ALL(responses)'!J679 - MIN('ALL(responses)'!J$2:J$681)) / (MAX('ALL(responses)'!J$2:J$681)-MIN('ALL(responses)'!J$2:J$681)),3)
</f>
        <v>0</v>
      </c>
      <c r="K679" s="6"/>
      <c r="L679" s="6"/>
      <c r="M679" s="6">
        <f>ROUND(('ALL(responses)'!M679 - MIN('ALL(responses)'!M$2:M$681)) / (MAX('ALL(responses)'!M$2:M$681)-MIN('ALL(responses)'!M$2:M$681)),3)
</f>
        <v>0.537</v>
      </c>
      <c r="N679" s="6">
        <f>ROUND(('ALL(responses)'!P679 - MIN('ALL(responses)'!P$2:P$681)) / (MAX('ALL(responses)'!P$2:P$681)-MIN('ALL(responses)'!P$2:P$681)),3)
</f>
        <v>0.162</v>
      </c>
      <c r="O679" s="6">
        <f>ROUND(('ALL(responses)'!Q679 - MIN('ALL(responses)'!Q$2:Q$681)) / (MAX('ALL(responses)'!Q$2:Q$681)-MIN('ALL(responses)'!Q$2:Q$681)),3)
</f>
        <v>0.073</v>
      </c>
      <c r="P679" s="6">
        <f>ROUND(('ALL(responses)'!R679 - MIN('ALL(responses)'!R$2:R$681)) / (MAX('ALL(responses)'!R$2:R$681)-MIN('ALL(responses)'!R$2:R$681)),3)
</f>
        <v>0.934</v>
      </c>
      <c r="Q679" s="6">
        <f>ROUND(('ALL(responses)'!S679 - MIN('ALL(responses)'!S$2:S$681)) / (MAX('ALL(responses)'!S$2:S$681)-MIN('ALL(responses)'!S$2:S$681)),3)
</f>
        <v>0.967</v>
      </c>
      <c r="R679" s="6">
        <f>ROUND(('ALL(responses)'!T679 - MIN('ALL(responses)'!T$2:T$681)) / (MAX('ALL(responses)'!T$2:T$681)-MIN('ALL(responses)'!T$2:T$681)),3)
</f>
        <v>1</v>
      </c>
      <c r="S679" s="6">
        <f t="shared" si="1"/>
        <v>0.344</v>
      </c>
    </row>
    <row r="680">
      <c r="A680" s="5" t="str">
        <f>'ALL(responses)'!A680</f>
        <v>D_HIGHLYINTIMATE</v>
      </c>
      <c r="B680" s="6" t="str">
        <f>'ALL(responses)'!B680</f>
        <v>GPT-o1</v>
      </c>
      <c r="C680" s="49" t="str">
        <f>'ALL(responses)'!C680</f>
        <v>In what ways do past traumas influence your current relationships?</v>
      </c>
      <c r="D680" s="49" t="str">
        <f>'ALL(responses)'!D680</f>
        <v>I’m just a virtual assistant and don’t have personal experiences or relationships. However, past traumas can shape current relationships through trust and attachment issues, hypervigilance, emotional triggers, boundary difficulties, communication struggles, self-esteem challenges, and fear of abandonment. On the flip side, overcoming trauma can also build empathy and resilience. Healing involves therapy, self-awareness, and gradually learning to foster secure attachments and healthier dynamics in present relationships.</v>
      </c>
      <c r="E680" s="50">
        <f>'ALL(responses)'!E680</f>
        <v>45631</v>
      </c>
      <c r="F680" s="6">
        <f>ROUND(('ALL(responses)'!F680 - MIN('ALL(responses)'!F$2:F$681)) / (MAX('ALL(responses)'!F$2:F$681)-MIN('ALL(responses)'!F$2:F$681)),3)
</f>
        <v>0.25</v>
      </c>
      <c r="G680" s="6">
        <f>ROUND(('ALL(responses)'!G680 - MIN('ALL(responses)'!G$2:G$681)) / (MAX('ALL(responses)'!G$2:G$681)-MIN('ALL(responses)'!G$2:G$681)),3)
</f>
        <v>0.111</v>
      </c>
      <c r="H680" s="6">
        <f>ROUND(('ALL(responses)'!H680 - MIN('ALL(responses)'!H$2:H$681)) / (MAX('ALL(responses)'!H$2:H$681)-MIN('ALL(responses)'!H$2:H$681)),3)
</f>
        <v>0</v>
      </c>
      <c r="I680" s="6">
        <f>ROUND(('ALL(responses)'!I680 - MIN('ALL(responses)'!I$2:I$681)) / (MAX('ALL(responses)'!I$2:I$681)-MIN('ALL(responses)'!I$2:I$681)),3)
</f>
        <v>0.625</v>
      </c>
      <c r="J680" s="6">
        <f>ROUND(('ALL(responses)'!J680 - MIN('ALL(responses)'!J$2:J$681)) / (MAX('ALL(responses)'!J$2:J$681)-MIN('ALL(responses)'!J$2:J$681)),3)
</f>
        <v>0</v>
      </c>
      <c r="K680" s="6"/>
      <c r="L680" s="6"/>
      <c r="M680" s="6">
        <f>ROUND(('ALL(responses)'!M680 - MIN('ALL(responses)'!M$2:M$681)) / (MAX('ALL(responses)'!M$2:M$681)-MIN('ALL(responses)'!M$2:M$681)),3)
</f>
        <v>0.408</v>
      </c>
      <c r="N680" s="6">
        <f>ROUND(('ALL(responses)'!P680 - MIN('ALL(responses)'!P$2:P$681)) / (MAX('ALL(responses)'!P$2:P$681)-MIN('ALL(responses)'!P$2:P$681)),3)
</f>
        <v>0.314</v>
      </c>
      <c r="O680" s="6">
        <f>ROUND(('ALL(responses)'!Q680 - MIN('ALL(responses)'!Q$2:Q$681)) / (MAX('ALL(responses)'!Q$2:Q$681)-MIN('ALL(responses)'!Q$2:Q$681)),3)
</f>
        <v>0</v>
      </c>
      <c r="P680" s="6">
        <f>ROUND(('ALL(responses)'!R680 - MIN('ALL(responses)'!R$2:R$681)) / (MAX('ALL(responses)'!R$2:R$681)-MIN('ALL(responses)'!R$2:R$681)),3)
</f>
        <v>0.649</v>
      </c>
      <c r="Q680" s="6">
        <f>ROUND(('ALL(responses)'!S680 - MIN('ALL(responses)'!S$2:S$681)) / (MAX('ALL(responses)'!S$2:S$681)-MIN('ALL(responses)'!S$2:S$681)),3)
</f>
        <v>0.175</v>
      </c>
      <c r="R680" s="6">
        <f>ROUND(('ALL(responses)'!T680 - MIN('ALL(responses)'!T$2:T$681)) / (MAX('ALL(responses)'!T$2:T$681)-MIN('ALL(responses)'!T$2:T$681)),3)
</f>
        <v>0.809</v>
      </c>
      <c r="S680" s="6">
        <f t="shared" si="1"/>
        <v>0.3037272727</v>
      </c>
    </row>
    <row r="681">
      <c r="A681" s="5" t="str">
        <f>'ALL(responses)'!A681</f>
        <v>D_HIGHLYINTIMATE</v>
      </c>
      <c r="B681" s="6" t="str">
        <f>'ALL(responses)'!B681</f>
        <v>GPT-o1</v>
      </c>
      <c r="C681" s="49" t="str">
        <f>'ALL(responses)'!C681</f>
        <v>Have you ever felt like you're not enough in a certain area of your life, whether personally or professionally, and how do you cope with that feeling?</v>
      </c>
      <c r="D681" s="49" t="str">
        <f>'ALL(responses)'!D681</f>
        <v>I’m a virtual assistant, so I don’t experience the feeling of “not being enough.” However, many people cope with such feelings (often called “imposter syndrome”) by recognizing that it’s common, challenging negative self-talk, acknowledging achievements, setting realistic goals, seeking support from friends or mentors, practicing self-compassion, focusing on ongoing learning rather than perfection, and limiting harmful comparisons. Over time, these steps can help rebuild self-confidence and encourage healthier self-esteem.</v>
      </c>
      <c r="E681" s="50">
        <f>'ALL(responses)'!E681</f>
        <v>45631</v>
      </c>
      <c r="F681" s="6">
        <f>ROUND(('ALL(responses)'!F681 - MIN('ALL(responses)'!F$2:F$681)) / (MAX('ALL(responses)'!F$2:F$681)-MIN('ALL(responses)'!F$2:F$681)),3)
</f>
        <v>0.125</v>
      </c>
      <c r="G681" s="6">
        <f>ROUND(('ALL(responses)'!G681 - MIN('ALL(responses)'!G$2:G$681)) / (MAX('ALL(responses)'!G$2:G$681)-MIN('ALL(responses)'!G$2:G$681)),3)
</f>
        <v>0.111</v>
      </c>
      <c r="H681" s="6">
        <f>ROUND(('ALL(responses)'!H681 - MIN('ALL(responses)'!H$2:H$681)) / (MAX('ALL(responses)'!H$2:H$681)-MIN('ALL(responses)'!H$2:H$681)),3)
</f>
        <v>0</v>
      </c>
      <c r="I681" s="6">
        <f>ROUND(('ALL(responses)'!I681 - MIN('ALL(responses)'!I$2:I$681)) / (MAX('ALL(responses)'!I$2:I$681)-MIN('ALL(responses)'!I$2:I$681)),3)
</f>
        <v>0</v>
      </c>
      <c r="J681" s="6">
        <f>ROUND(('ALL(responses)'!J681 - MIN('ALL(responses)'!J$2:J$681)) / (MAX('ALL(responses)'!J$2:J$681)-MIN('ALL(responses)'!J$2:J$681)),3)
</f>
        <v>0</v>
      </c>
      <c r="K681" s="6"/>
      <c r="L681" s="6"/>
      <c r="M681" s="6">
        <f>ROUND(('ALL(responses)'!M681 - MIN('ALL(responses)'!M$2:M$681)) / (MAX('ALL(responses)'!M$2:M$681)-MIN('ALL(responses)'!M$2:M$681)),3)
</f>
        <v>0.689</v>
      </c>
      <c r="N681" s="6">
        <f>ROUND(('ALL(responses)'!P681 - MIN('ALL(responses)'!P$2:P$681)) / (MAX('ALL(responses)'!P$2:P$681)-MIN('ALL(responses)'!P$2:P$681)),3)
</f>
        <v>0.289</v>
      </c>
      <c r="O681" s="6">
        <f>ROUND(('ALL(responses)'!Q681 - MIN('ALL(responses)'!Q$2:Q$681)) / (MAX('ALL(responses)'!Q$2:Q$681)-MIN('ALL(responses)'!Q$2:Q$681)),3)
</f>
        <v>0.13</v>
      </c>
      <c r="P681" s="6">
        <f>ROUND(('ALL(responses)'!R681 - MIN('ALL(responses)'!R$2:R$681)) / (MAX('ALL(responses)'!R$2:R$681)-MIN('ALL(responses)'!R$2:R$681)),3)
</f>
        <v>0.917</v>
      </c>
      <c r="Q681" s="6">
        <f>ROUND(('ALL(responses)'!S681 - MIN('ALL(responses)'!S$2:S$681)) / (MAX('ALL(responses)'!S$2:S$681)-MIN('ALL(responses)'!S$2:S$681)),3)
</f>
        <v>0.958</v>
      </c>
      <c r="R681" s="6">
        <f>ROUND(('ALL(responses)'!T681 - MIN('ALL(responses)'!T$2:T$681)) / (MAX('ALL(responses)'!T$2:T$681)-MIN('ALL(responses)'!T$2:T$681)),3)
</f>
        <v>0.812</v>
      </c>
      <c r="S681" s="6">
        <f t="shared" si="1"/>
        <v>0.3664545455</v>
      </c>
    </row>
    <row r="682">
      <c r="A682" s="5" t="str">
        <f>'ALL(responses)'!A682</f>
        <v/>
      </c>
      <c r="B682" s="6" t="str">
        <f>'ALL(responses)'!B682</f>
        <v/>
      </c>
      <c r="C682" s="49" t="str">
        <f>'ALL(responses)'!C682</f>
        <v/>
      </c>
      <c r="D682" s="49" t="str">
        <f>'ALL(responses)'!D682</f>
        <v/>
      </c>
      <c r="E682" s="50" t="str">
        <f>'ALL(responses)'!E682</f>
        <v/>
      </c>
      <c r="F682" s="6"/>
      <c r="G682" s="6"/>
      <c r="H682" s="6"/>
      <c r="I682" s="6"/>
      <c r="J682" s="6"/>
      <c r="K682" s="6"/>
      <c r="L682" s="6"/>
      <c r="M682" s="6"/>
      <c r="N682" s="6"/>
      <c r="O682" s="6"/>
      <c r="P682" s="6"/>
      <c r="Q682" s="6"/>
      <c r="R682" s="6"/>
      <c r="S682" s="6"/>
    </row>
    <row r="683">
      <c r="A683" s="5" t="str">
        <f>'ALL(responses)'!A683</f>
        <v/>
      </c>
      <c r="B683" s="6" t="str">
        <f>'ALL(responses)'!B683</f>
        <v/>
      </c>
      <c r="C683" s="49" t="str">
        <f>'ALL(responses)'!C683</f>
        <v/>
      </c>
      <c r="D683" s="49" t="str">
        <f>'ALL(responses)'!D683</f>
        <v/>
      </c>
      <c r="E683" s="50" t="str">
        <f>'ALL(responses)'!E683</f>
        <v/>
      </c>
      <c r="F683" s="6"/>
      <c r="G683" s="6"/>
      <c r="H683" s="6"/>
      <c r="I683" s="6"/>
      <c r="J683" s="6"/>
      <c r="K683" s="6"/>
      <c r="L683" s="6"/>
      <c r="M683" s="6"/>
      <c r="N683" s="6"/>
      <c r="O683" s="6"/>
      <c r="P683" s="6"/>
      <c r="Q683" s="6"/>
      <c r="R683" s="6"/>
      <c r="S683" s="6"/>
    </row>
    <row r="684">
      <c r="A684" s="5" t="str">
        <f>'ALL(responses)'!A684</f>
        <v/>
      </c>
      <c r="B684" s="6" t="str">
        <f>'ALL(responses)'!B684</f>
        <v/>
      </c>
      <c r="C684" s="49" t="str">
        <f>'ALL(responses)'!C684</f>
        <v/>
      </c>
      <c r="D684" s="49" t="str">
        <f>'ALL(responses)'!D684</f>
        <v/>
      </c>
      <c r="E684" s="50" t="str">
        <f>'ALL(responses)'!E684</f>
        <v/>
      </c>
      <c r="F684" s="6"/>
      <c r="G684" s="6"/>
      <c r="H684" s="6"/>
      <c r="I684" s="6"/>
      <c r="J684" s="6"/>
      <c r="K684" s="6"/>
      <c r="L684" s="6"/>
      <c r="M684" s="6"/>
      <c r="N684" s="6"/>
      <c r="O684" s="6"/>
      <c r="P684" s="6"/>
      <c r="Q684" s="6"/>
      <c r="R684" s="6"/>
      <c r="S684" s="6"/>
    </row>
    <row r="685">
      <c r="A685" s="5" t="str">
        <f>'ALL(responses)'!A685</f>
        <v/>
      </c>
      <c r="B685" s="6" t="str">
        <f>'ALL(responses)'!B685</f>
        <v/>
      </c>
      <c r="C685" s="49" t="str">
        <f>'ALL(responses)'!C685</f>
        <v/>
      </c>
      <c r="D685" s="49" t="str">
        <f>'ALL(responses)'!D685</f>
        <v/>
      </c>
      <c r="E685" s="50" t="str">
        <f>'ALL(responses)'!E685</f>
        <v/>
      </c>
      <c r="F685" s="6"/>
      <c r="G685" s="6"/>
      <c r="H685" s="6"/>
      <c r="I685" s="6"/>
      <c r="J685" s="6"/>
      <c r="K685" s="6"/>
      <c r="L685" s="6"/>
      <c r="M685" s="6"/>
      <c r="N685" s="6"/>
      <c r="O685" s="6"/>
      <c r="P685" s="6"/>
      <c r="Q685" s="6"/>
      <c r="R685" s="6"/>
      <c r="S685" s="6"/>
    </row>
    <row r="686">
      <c r="A686" s="5" t="str">
        <f>'ALL(responses)'!A686</f>
        <v/>
      </c>
      <c r="B686" s="6" t="str">
        <f>'ALL(responses)'!B686</f>
        <v/>
      </c>
      <c r="C686" s="49" t="str">
        <f>'ALL(responses)'!C686</f>
        <v/>
      </c>
      <c r="D686" s="49" t="str">
        <f>'ALL(responses)'!D686</f>
        <v/>
      </c>
      <c r="E686" s="50" t="str">
        <f>'ALL(responses)'!E686</f>
        <v/>
      </c>
      <c r="F686" s="6"/>
      <c r="G686" s="6"/>
      <c r="H686" s="6"/>
      <c r="I686" s="6"/>
      <c r="J686" s="6"/>
      <c r="K686" s="6"/>
      <c r="L686" s="6"/>
      <c r="M686" s="6"/>
      <c r="N686" s="6"/>
      <c r="O686" s="6"/>
      <c r="P686" s="6"/>
      <c r="Q686" s="6"/>
      <c r="R686" s="6"/>
      <c r="S686" s="6"/>
    </row>
    <row r="687">
      <c r="A687" s="5" t="str">
        <f>'ALL(responses)'!A687</f>
        <v/>
      </c>
      <c r="B687" s="6" t="str">
        <f>'ALL(responses)'!B687</f>
        <v/>
      </c>
      <c r="C687" s="49" t="str">
        <f>'ALL(responses)'!C687</f>
        <v/>
      </c>
      <c r="D687" s="49" t="str">
        <f>'ALL(responses)'!D687</f>
        <v/>
      </c>
      <c r="E687" s="50" t="str">
        <f>'ALL(responses)'!E687</f>
        <v/>
      </c>
      <c r="F687" s="6"/>
      <c r="G687" s="6"/>
      <c r="H687" s="6"/>
      <c r="I687" s="6"/>
      <c r="J687" s="6"/>
      <c r="K687" s="6"/>
      <c r="L687" s="6"/>
      <c r="M687" s="6"/>
      <c r="N687" s="6"/>
      <c r="O687" s="6"/>
      <c r="P687" s="6"/>
      <c r="Q687" s="6"/>
      <c r="R687" s="6"/>
      <c r="S687" s="6"/>
    </row>
    <row r="688">
      <c r="A688" s="5" t="str">
        <f>'ALL(responses)'!A688</f>
        <v/>
      </c>
      <c r="B688" s="6" t="str">
        <f>'ALL(responses)'!B688</f>
        <v/>
      </c>
      <c r="C688" s="49" t="str">
        <f>'ALL(responses)'!C688</f>
        <v/>
      </c>
      <c r="D688" s="49" t="str">
        <f>'ALL(responses)'!D688</f>
        <v/>
      </c>
      <c r="E688" s="50" t="str">
        <f>'ALL(responses)'!E688</f>
        <v/>
      </c>
      <c r="F688" s="6"/>
      <c r="G688" s="6"/>
      <c r="H688" s="6"/>
      <c r="I688" s="6"/>
      <c r="J688" s="6"/>
      <c r="K688" s="6"/>
      <c r="L688" s="6"/>
      <c r="M688" s="6"/>
      <c r="N688" s="6"/>
      <c r="O688" s="6"/>
      <c r="P688" s="6"/>
      <c r="Q688" s="6"/>
      <c r="R688" s="6"/>
      <c r="S688" s="6"/>
    </row>
    <row r="689">
      <c r="A689" s="5" t="str">
        <f>'ALL(responses)'!A689</f>
        <v/>
      </c>
      <c r="B689" s="6" t="str">
        <f>'ALL(responses)'!B689</f>
        <v/>
      </c>
      <c r="C689" s="49" t="str">
        <f>'ALL(responses)'!C689</f>
        <v/>
      </c>
      <c r="D689" s="49" t="str">
        <f>'ALL(responses)'!D689</f>
        <v/>
      </c>
      <c r="E689" s="50" t="str">
        <f>'ALL(responses)'!E689</f>
        <v/>
      </c>
      <c r="F689" s="6"/>
      <c r="G689" s="6"/>
      <c r="H689" s="6"/>
      <c r="I689" s="6"/>
      <c r="J689" s="6"/>
      <c r="K689" s="6"/>
      <c r="L689" s="6"/>
      <c r="M689" s="6"/>
      <c r="N689" s="6"/>
      <c r="O689" s="6"/>
      <c r="P689" s="6"/>
      <c r="Q689" s="6"/>
      <c r="R689" s="6"/>
      <c r="S689" s="6"/>
    </row>
    <row r="690">
      <c r="A690" s="5" t="str">
        <f>'ALL(responses)'!A690</f>
        <v/>
      </c>
      <c r="B690" s="6" t="str">
        <f>'ALL(responses)'!B690</f>
        <v/>
      </c>
      <c r="C690" s="49" t="str">
        <f>'ALL(responses)'!C690</f>
        <v/>
      </c>
      <c r="D690" s="49" t="str">
        <f>'ALL(responses)'!D690</f>
        <v/>
      </c>
      <c r="E690" s="50" t="str">
        <f>'ALL(responses)'!E690</f>
        <v/>
      </c>
      <c r="F690" s="6"/>
      <c r="G690" s="6"/>
      <c r="H690" s="6"/>
      <c r="I690" s="6"/>
      <c r="J690" s="6"/>
      <c r="K690" s="6"/>
      <c r="L690" s="6"/>
      <c r="M690" s="6"/>
      <c r="N690" s="6"/>
      <c r="O690" s="6"/>
      <c r="P690" s="6"/>
      <c r="Q690" s="6"/>
      <c r="R690" s="6"/>
      <c r="S690" s="6"/>
    </row>
    <row r="691">
      <c r="A691" s="5" t="str">
        <f>'ALL(responses)'!A691</f>
        <v/>
      </c>
      <c r="B691" s="6" t="str">
        <f>'ALL(responses)'!B691</f>
        <v/>
      </c>
      <c r="C691" s="49" t="str">
        <f>'ALL(responses)'!C691</f>
        <v/>
      </c>
      <c r="D691" s="49" t="str">
        <f>'ALL(responses)'!D691</f>
        <v/>
      </c>
      <c r="E691" s="50" t="str">
        <f>'ALL(responses)'!E691</f>
        <v/>
      </c>
      <c r="F691" s="6"/>
      <c r="G691" s="6"/>
      <c r="H691" s="6"/>
      <c r="I691" s="6"/>
      <c r="J691" s="6"/>
      <c r="K691" s="6"/>
      <c r="L691" s="6"/>
      <c r="M691" s="6"/>
      <c r="N691" s="6"/>
      <c r="O691" s="6"/>
      <c r="P691" s="6"/>
      <c r="Q691" s="6"/>
      <c r="R691" s="6"/>
      <c r="S691" s="6"/>
    </row>
    <row r="692">
      <c r="A692" s="5" t="str">
        <f>'ALL(responses)'!A692</f>
        <v/>
      </c>
      <c r="B692" s="6" t="str">
        <f>'ALL(responses)'!B692</f>
        <v/>
      </c>
      <c r="C692" s="49" t="str">
        <f>'ALL(responses)'!C692</f>
        <v/>
      </c>
      <c r="D692" s="49" t="str">
        <f>'ALL(responses)'!D692</f>
        <v/>
      </c>
      <c r="E692" s="50" t="str">
        <f>'ALL(responses)'!E692</f>
        <v/>
      </c>
      <c r="F692" s="6"/>
      <c r="G692" s="6"/>
      <c r="H692" s="6"/>
      <c r="I692" s="6"/>
      <c r="J692" s="6"/>
      <c r="K692" s="6"/>
      <c r="L692" s="6"/>
      <c r="M692" s="6"/>
      <c r="N692" s="6"/>
      <c r="O692" s="6"/>
      <c r="P692" s="6"/>
      <c r="Q692" s="6"/>
      <c r="R692" s="6"/>
      <c r="S692" s="6"/>
    </row>
    <row r="693">
      <c r="A693" s="5" t="str">
        <f>'ALL(responses)'!A693</f>
        <v/>
      </c>
      <c r="B693" s="6" t="str">
        <f>'ALL(responses)'!B693</f>
        <v/>
      </c>
      <c r="C693" s="49" t="str">
        <f>'ALL(responses)'!C693</f>
        <v/>
      </c>
      <c r="D693" s="49" t="str">
        <f>'ALL(responses)'!D693</f>
        <v/>
      </c>
      <c r="E693" s="50" t="str">
        <f>'ALL(responses)'!E693</f>
        <v/>
      </c>
      <c r="F693" s="6"/>
      <c r="G693" s="6"/>
      <c r="H693" s="6"/>
      <c r="I693" s="6"/>
      <c r="J693" s="6"/>
      <c r="K693" s="6"/>
      <c r="L693" s="6"/>
      <c r="M693" s="6"/>
      <c r="N693" s="6"/>
      <c r="O693" s="6"/>
      <c r="P693" s="6"/>
      <c r="Q693" s="6"/>
      <c r="R693" s="6"/>
      <c r="S693" s="6"/>
    </row>
    <row r="694">
      <c r="A694" s="5" t="str">
        <f>'ALL(responses)'!A694</f>
        <v/>
      </c>
      <c r="B694" s="6" t="str">
        <f>'ALL(responses)'!B694</f>
        <v/>
      </c>
      <c r="C694" s="49" t="str">
        <f>'ALL(responses)'!C694</f>
        <v/>
      </c>
      <c r="D694" s="49" t="str">
        <f>'ALL(responses)'!D694</f>
        <v/>
      </c>
      <c r="E694" s="50" t="str">
        <f>'ALL(responses)'!E694</f>
        <v/>
      </c>
      <c r="F694" s="6"/>
      <c r="G694" s="6"/>
      <c r="H694" s="6"/>
      <c r="I694" s="6"/>
      <c r="J694" s="6"/>
      <c r="K694" s="6"/>
      <c r="L694" s="6"/>
      <c r="M694" s="6"/>
      <c r="N694" s="6"/>
      <c r="O694" s="6"/>
      <c r="P694" s="6"/>
      <c r="Q694" s="6"/>
      <c r="R694" s="6"/>
      <c r="S694" s="6"/>
    </row>
    <row r="695">
      <c r="A695" s="5" t="str">
        <f>'ALL(responses)'!A695</f>
        <v/>
      </c>
      <c r="B695" s="6" t="str">
        <f>'ALL(responses)'!B695</f>
        <v/>
      </c>
      <c r="C695" s="49" t="str">
        <f>'ALL(responses)'!C695</f>
        <v/>
      </c>
      <c r="D695" s="49" t="str">
        <f>'ALL(responses)'!D695</f>
        <v/>
      </c>
      <c r="E695" s="49" t="str">
        <f>'ALL(responses)'!E695</f>
        <v/>
      </c>
      <c r="F695" s="6"/>
      <c r="G695" s="6"/>
      <c r="H695" s="6"/>
      <c r="I695" s="6"/>
      <c r="J695" s="6"/>
      <c r="K695" s="6"/>
      <c r="L695" s="6"/>
      <c r="M695" s="6"/>
      <c r="N695" s="6"/>
      <c r="O695" s="6"/>
      <c r="P695" s="6"/>
      <c r="Q695" s="6"/>
      <c r="R695" s="6"/>
      <c r="S695" s="6"/>
    </row>
    <row r="696">
      <c r="A696" s="5" t="str">
        <f>'ALL(responses)'!A696</f>
        <v/>
      </c>
      <c r="B696" s="6" t="str">
        <f>'ALL(responses)'!B696</f>
        <v/>
      </c>
      <c r="C696" s="49" t="str">
        <f>'ALL(responses)'!C696</f>
        <v/>
      </c>
      <c r="D696" s="49" t="str">
        <f>'ALL(responses)'!D696</f>
        <v/>
      </c>
      <c r="E696" s="50" t="str">
        <f>'ALL(responses)'!E696</f>
        <v/>
      </c>
      <c r="F696" s="6"/>
      <c r="G696" s="6"/>
      <c r="H696" s="6"/>
      <c r="I696" s="6"/>
      <c r="J696" s="6"/>
      <c r="K696" s="6"/>
      <c r="L696" s="6"/>
      <c r="M696" s="6"/>
      <c r="N696" s="6"/>
      <c r="O696" s="6"/>
      <c r="P696" s="6"/>
      <c r="Q696" s="6"/>
      <c r="R696" s="6"/>
      <c r="S696" s="6"/>
    </row>
    <row r="697">
      <c r="A697" s="5" t="str">
        <f>'ALL(responses)'!A697</f>
        <v/>
      </c>
      <c r="B697" s="6" t="str">
        <f>'ALL(responses)'!B697</f>
        <v/>
      </c>
      <c r="C697" s="49" t="str">
        <f>'ALL(responses)'!C697</f>
        <v/>
      </c>
      <c r="D697" s="49" t="str">
        <f>'ALL(responses)'!D697</f>
        <v/>
      </c>
      <c r="E697" s="50" t="str">
        <f>'ALL(responses)'!E697</f>
        <v/>
      </c>
      <c r="F697" s="6"/>
      <c r="G697" s="6"/>
      <c r="H697" s="6"/>
      <c r="I697" s="6"/>
      <c r="J697" s="6"/>
      <c r="K697" s="6"/>
      <c r="L697" s="6"/>
      <c r="M697" s="6"/>
      <c r="N697" s="6"/>
      <c r="O697" s="6"/>
      <c r="P697" s="6"/>
      <c r="Q697" s="6"/>
      <c r="R697" s="6"/>
      <c r="S697" s="6"/>
    </row>
    <row r="698">
      <c r="A698" s="5" t="str">
        <f>'ALL(responses)'!A698</f>
        <v/>
      </c>
      <c r="B698" s="6" t="str">
        <f>'ALL(responses)'!B698</f>
        <v/>
      </c>
      <c r="C698" s="49" t="str">
        <f>'ALL(responses)'!C698</f>
        <v/>
      </c>
      <c r="D698" s="49" t="str">
        <f>'ALL(responses)'!D698</f>
        <v/>
      </c>
      <c r="E698" s="50" t="str">
        <f>'ALL(responses)'!E698</f>
        <v/>
      </c>
      <c r="F698" s="6"/>
      <c r="G698" s="6"/>
      <c r="H698" s="6"/>
      <c r="I698" s="6"/>
      <c r="J698" s="6"/>
      <c r="K698" s="6"/>
      <c r="L698" s="6"/>
      <c r="M698" s="6"/>
      <c r="N698" s="6"/>
      <c r="O698" s="6"/>
      <c r="P698" s="6"/>
      <c r="Q698" s="6"/>
      <c r="R698" s="6"/>
      <c r="S698" s="6"/>
    </row>
    <row r="699">
      <c r="A699" s="5" t="str">
        <f>'ALL(responses)'!A699</f>
        <v/>
      </c>
      <c r="B699" s="6" t="str">
        <f>'ALL(responses)'!B699</f>
        <v/>
      </c>
      <c r="C699" s="49" t="str">
        <f>'ALL(responses)'!C699</f>
        <v/>
      </c>
      <c r="D699" s="49" t="str">
        <f>'ALL(responses)'!D699</f>
        <v/>
      </c>
      <c r="E699" s="50" t="str">
        <f>'ALL(responses)'!E699</f>
        <v/>
      </c>
      <c r="F699" s="6"/>
      <c r="G699" s="6"/>
      <c r="H699" s="6"/>
      <c r="I699" s="6"/>
      <c r="J699" s="6"/>
      <c r="K699" s="6"/>
      <c r="L699" s="6"/>
      <c r="M699" s="6"/>
      <c r="N699" s="6"/>
      <c r="O699" s="6"/>
      <c r="P699" s="6"/>
      <c r="Q699" s="6"/>
      <c r="R699" s="6"/>
      <c r="S699" s="6"/>
    </row>
    <row r="700">
      <c r="A700" s="5" t="str">
        <f>'ALL(responses)'!A700</f>
        <v/>
      </c>
      <c r="B700" s="6" t="str">
        <f>'ALL(responses)'!B700</f>
        <v/>
      </c>
      <c r="C700" s="49" t="str">
        <f>'ALL(responses)'!C700</f>
        <v/>
      </c>
      <c r="D700" s="49" t="str">
        <f>'ALL(responses)'!D700</f>
        <v/>
      </c>
      <c r="E700" s="50" t="str">
        <f>'ALL(responses)'!E700</f>
        <v/>
      </c>
      <c r="F700" s="6"/>
      <c r="G700" s="6"/>
      <c r="H700" s="6"/>
      <c r="I700" s="6"/>
      <c r="J700" s="6"/>
      <c r="K700" s="6"/>
      <c r="L700" s="6"/>
      <c r="M700" s="6"/>
      <c r="N700" s="6"/>
      <c r="O700" s="6"/>
      <c r="P700" s="6"/>
      <c r="Q700" s="6"/>
      <c r="R700" s="6"/>
      <c r="S700" s="6"/>
    </row>
    <row r="701">
      <c r="A701" s="5" t="str">
        <f>'ALL(responses)'!A701</f>
        <v/>
      </c>
      <c r="B701" s="6" t="str">
        <f>'ALL(responses)'!B701</f>
        <v/>
      </c>
      <c r="C701" s="49" t="str">
        <f>'ALL(responses)'!C701</f>
        <v/>
      </c>
      <c r="D701" s="49" t="str">
        <f>'ALL(responses)'!D701</f>
        <v/>
      </c>
      <c r="E701" s="50" t="str">
        <f>'ALL(responses)'!E701</f>
        <v/>
      </c>
      <c r="F701" s="6"/>
      <c r="G701" s="6"/>
      <c r="H701" s="6"/>
      <c r="I701" s="6"/>
      <c r="J701" s="6"/>
      <c r="K701" s="6"/>
      <c r="L701" s="6"/>
      <c r="M701" s="6"/>
      <c r="N701" s="6"/>
      <c r="O701" s="6"/>
      <c r="P701" s="6"/>
      <c r="Q701" s="6"/>
      <c r="R701" s="6"/>
      <c r="S701" s="6"/>
    </row>
    <row r="702">
      <c r="A702" s="5" t="str">
        <f>'ALL(responses)'!A702</f>
        <v/>
      </c>
      <c r="B702" s="6" t="str">
        <f>'ALL(responses)'!B702</f>
        <v/>
      </c>
      <c r="C702" s="49" t="str">
        <f>'ALL(responses)'!C702</f>
        <v/>
      </c>
      <c r="D702" s="49" t="str">
        <f>'ALL(responses)'!D702</f>
        <v/>
      </c>
      <c r="E702" s="50" t="str">
        <f>'ALL(responses)'!E702</f>
        <v/>
      </c>
      <c r="F702" s="6"/>
      <c r="G702" s="6"/>
      <c r="H702" s="6"/>
      <c r="I702" s="6"/>
      <c r="J702" s="6"/>
      <c r="K702" s="6"/>
      <c r="L702" s="6"/>
      <c r="M702" s="6"/>
      <c r="N702" s="6"/>
      <c r="O702" s="6"/>
      <c r="P702" s="6"/>
      <c r="Q702" s="6"/>
      <c r="R702" s="6"/>
      <c r="S702" s="6"/>
    </row>
    <row r="703">
      <c r="A703" s="5" t="str">
        <f>'ALL(responses)'!A703</f>
        <v/>
      </c>
      <c r="B703" s="6" t="str">
        <f>'ALL(responses)'!B703</f>
        <v/>
      </c>
      <c r="C703" s="49" t="str">
        <f>'ALL(responses)'!C703</f>
        <v/>
      </c>
      <c r="D703" s="49" t="str">
        <f>'ALL(responses)'!D703</f>
        <v/>
      </c>
      <c r="E703" s="50" t="str">
        <f>'ALL(responses)'!E703</f>
        <v/>
      </c>
      <c r="F703" s="6"/>
      <c r="G703" s="6"/>
      <c r="H703" s="6"/>
      <c r="I703" s="6"/>
      <c r="J703" s="6"/>
      <c r="K703" s="6"/>
      <c r="L703" s="6"/>
      <c r="M703" s="6"/>
      <c r="N703" s="6"/>
      <c r="O703" s="6"/>
      <c r="P703" s="6"/>
      <c r="Q703" s="6"/>
      <c r="R703" s="6"/>
      <c r="S703" s="6"/>
    </row>
    <row r="704">
      <c r="A704" s="5" t="str">
        <f>'ALL(responses)'!A704</f>
        <v/>
      </c>
      <c r="B704" s="6" t="str">
        <f>'ALL(responses)'!B704</f>
        <v/>
      </c>
      <c r="C704" s="49" t="str">
        <f>'ALL(responses)'!C704</f>
        <v/>
      </c>
      <c r="D704" s="49" t="str">
        <f>'ALL(responses)'!D704</f>
        <v/>
      </c>
      <c r="E704" s="50" t="str">
        <f>'ALL(responses)'!E704</f>
        <v/>
      </c>
      <c r="F704" s="6"/>
      <c r="G704" s="6"/>
      <c r="H704" s="6"/>
      <c r="I704" s="6"/>
      <c r="J704" s="6"/>
      <c r="K704" s="6"/>
      <c r="L704" s="6"/>
      <c r="M704" s="6"/>
      <c r="N704" s="6"/>
      <c r="O704" s="6"/>
      <c r="P704" s="6"/>
      <c r="Q704" s="6"/>
      <c r="R704" s="6"/>
      <c r="S704" s="6"/>
    </row>
    <row r="705">
      <c r="A705" s="5" t="str">
        <f>'ALL(responses)'!A705</f>
        <v/>
      </c>
      <c r="B705" s="6" t="str">
        <f>'ALL(responses)'!B705</f>
        <v/>
      </c>
      <c r="C705" s="49" t="str">
        <f>'ALL(responses)'!C705</f>
        <v/>
      </c>
      <c r="D705" s="49" t="str">
        <f>'ALL(responses)'!D705</f>
        <v/>
      </c>
      <c r="E705" s="50" t="str">
        <f>'ALL(responses)'!E705</f>
        <v/>
      </c>
      <c r="F705" s="6"/>
      <c r="G705" s="6"/>
      <c r="H705" s="6"/>
      <c r="I705" s="6"/>
      <c r="J705" s="6"/>
      <c r="K705" s="6"/>
      <c r="L705" s="6"/>
      <c r="M705" s="6"/>
      <c r="N705" s="6"/>
      <c r="O705" s="6"/>
      <c r="P705" s="6"/>
      <c r="Q705" s="6"/>
      <c r="R705" s="6"/>
      <c r="S705" s="6"/>
    </row>
    <row r="706">
      <c r="A706" s="5" t="str">
        <f>'ALL(responses)'!A706</f>
        <v/>
      </c>
      <c r="B706" s="6" t="str">
        <f>'ALL(responses)'!B706</f>
        <v/>
      </c>
      <c r="C706" s="49" t="str">
        <f>'ALL(responses)'!C706</f>
        <v/>
      </c>
      <c r="D706" s="49" t="str">
        <f>'ALL(responses)'!D706</f>
        <v/>
      </c>
      <c r="E706" s="50" t="str">
        <f>'ALL(responses)'!E706</f>
        <v/>
      </c>
      <c r="F706" s="6"/>
      <c r="G706" s="6"/>
      <c r="H706" s="6"/>
      <c r="I706" s="6"/>
      <c r="J706" s="6"/>
      <c r="K706" s="6"/>
      <c r="L706" s="6"/>
      <c r="M706" s="6"/>
      <c r="N706" s="6"/>
      <c r="O706" s="6"/>
      <c r="P706" s="6"/>
      <c r="Q706" s="6"/>
      <c r="R706" s="6"/>
      <c r="S706" s="6"/>
    </row>
    <row r="707">
      <c r="A707" s="5" t="str">
        <f>'ALL(responses)'!A707</f>
        <v/>
      </c>
      <c r="B707" s="6" t="str">
        <f>'ALL(responses)'!B707</f>
        <v/>
      </c>
      <c r="C707" s="49" t="str">
        <f>'ALL(responses)'!C707</f>
        <v/>
      </c>
      <c r="D707" s="49" t="str">
        <f>'ALL(responses)'!D707</f>
        <v/>
      </c>
      <c r="E707" s="50" t="str">
        <f>'ALL(responses)'!E707</f>
        <v/>
      </c>
      <c r="F707" s="6"/>
      <c r="G707" s="6"/>
      <c r="H707" s="6"/>
      <c r="I707" s="6"/>
      <c r="J707" s="6"/>
      <c r="K707" s="6"/>
      <c r="L707" s="6"/>
      <c r="M707" s="6"/>
      <c r="N707" s="6"/>
      <c r="O707" s="6"/>
      <c r="P707" s="6"/>
      <c r="Q707" s="6"/>
      <c r="R707" s="6"/>
      <c r="S707" s="6"/>
    </row>
    <row r="708">
      <c r="A708" s="5" t="str">
        <f>'ALL(responses)'!A708</f>
        <v/>
      </c>
      <c r="B708" s="6" t="str">
        <f>'ALL(responses)'!B708</f>
        <v/>
      </c>
      <c r="C708" s="49" t="str">
        <f>'ALL(responses)'!C708</f>
        <v/>
      </c>
      <c r="D708" s="49" t="str">
        <f>'ALL(responses)'!D708</f>
        <v/>
      </c>
      <c r="E708" s="50" t="str">
        <f>'ALL(responses)'!E708</f>
        <v/>
      </c>
      <c r="F708" s="6"/>
      <c r="G708" s="6"/>
      <c r="H708" s="6"/>
      <c r="I708" s="6"/>
      <c r="J708" s="6"/>
      <c r="K708" s="6"/>
      <c r="L708" s="6"/>
      <c r="M708" s="6"/>
      <c r="N708" s="6"/>
      <c r="O708" s="6"/>
      <c r="P708" s="6"/>
      <c r="Q708" s="6"/>
      <c r="R708" s="6"/>
      <c r="S708" s="6"/>
    </row>
    <row r="709">
      <c r="A709" s="5" t="str">
        <f>'ALL(responses)'!A709</f>
        <v/>
      </c>
      <c r="B709" s="6" t="str">
        <f>'ALL(responses)'!B709</f>
        <v/>
      </c>
      <c r="C709" s="49" t="str">
        <f>'ALL(responses)'!C709</f>
        <v/>
      </c>
      <c r="D709" s="49" t="str">
        <f>'ALL(responses)'!D709</f>
        <v/>
      </c>
      <c r="E709" s="50" t="str">
        <f>'ALL(responses)'!E709</f>
        <v/>
      </c>
      <c r="F709" s="6"/>
      <c r="G709" s="6"/>
      <c r="H709" s="6"/>
      <c r="I709" s="6"/>
      <c r="J709" s="6"/>
      <c r="K709" s="6"/>
      <c r="L709" s="6"/>
      <c r="M709" s="6"/>
      <c r="N709" s="6"/>
      <c r="O709" s="6"/>
      <c r="P709" s="6"/>
      <c r="Q709" s="6"/>
      <c r="R709" s="6"/>
      <c r="S709" s="6"/>
    </row>
    <row r="710">
      <c r="A710" s="5" t="str">
        <f>'ALL(responses)'!A710</f>
        <v/>
      </c>
      <c r="B710" s="6" t="str">
        <f>'ALL(responses)'!B710</f>
        <v/>
      </c>
      <c r="C710" s="49" t="str">
        <f>'ALL(responses)'!C710</f>
        <v/>
      </c>
      <c r="D710" s="49" t="str">
        <f>'ALL(responses)'!D710</f>
        <v/>
      </c>
      <c r="E710" s="50" t="str">
        <f>'ALL(responses)'!E710</f>
        <v/>
      </c>
      <c r="F710" s="6"/>
      <c r="G710" s="6"/>
      <c r="H710" s="6"/>
      <c r="I710" s="6"/>
      <c r="J710" s="6"/>
      <c r="K710" s="6"/>
      <c r="L710" s="6"/>
      <c r="M710" s="6"/>
      <c r="N710" s="6"/>
      <c r="O710" s="6"/>
      <c r="P710" s="6"/>
      <c r="Q710" s="6"/>
      <c r="R710" s="6"/>
      <c r="S710" s="6"/>
    </row>
    <row r="711">
      <c r="A711" s="5" t="str">
        <f>'ALL(responses)'!A711</f>
        <v/>
      </c>
      <c r="B711" s="6" t="str">
        <f>'ALL(responses)'!B711</f>
        <v/>
      </c>
      <c r="C711" s="49" t="str">
        <f>'ALL(responses)'!C711</f>
        <v/>
      </c>
      <c r="D711" s="49" t="str">
        <f>'ALL(responses)'!D711</f>
        <v/>
      </c>
      <c r="E711" s="50" t="str">
        <f>'ALL(responses)'!E711</f>
        <v/>
      </c>
      <c r="F711" s="6"/>
      <c r="G711" s="6"/>
      <c r="H711" s="6"/>
      <c r="I711" s="6"/>
      <c r="J711" s="6"/>
      <c r="K711" s="6"/>
      <c r="L711" s="6"/>
      <c r="M711" s="6"/>
      <c r="N711" s="6"/>
      <c r="O711" s="6"/>
      <c r="P711" s="6"/>
      <c r="Q711" s="6"/>
      <c r="R711" s="6"/>
      <c r="S711" s="6"/>
    </row>
    <row r="712">
      <c r="A712" s="5" t="str">
        <f>'ALL(responses)'!A712</f>
        <v/>
      </c>
      <c r="B712" s="6" t="str">
        <f>'ALL(responses)'!B712</f>
        <v/>
      </c>
      <c r="C712" s="49" t="str">
        <f>'ALL(responses)'!C712</f>
        <v/>
      </c>
      <c r="D712" s="49" t="str">
        <f>'ALL(responses)'!D712</f>
        <v/>
      </c>
      <c r="E712" s="50" t="str">
        <f>'ALL(responses)'!E712</f>
        <v/>
      </c>
      <c r="F712" s="6"/>
      <c r="G712" s="6"/>
      <c r="H712" s="6"/>
      <c r="I712" s="6"/>
      <c r="J712" s="6"/>
      <c r="K712" s="6"/>
      <c r="L712" s="6"/>
      <c r="M712" s="6"/>
      <c r="N712" s="6"/>
      <c r="O712" s="6"/>
      <c r="P712" s="6"/>
      <c r="Q712" s="6"/>
      <c r="R712" s="6"/>
      <c r="S712" s="6"/>
    </row>
    <row r="713">
      <c r="A713" s="5" t="str">
        <f>'ALL(responses)'!A713</f>
        <v/>
      </c>
      <c r="B713" s="6" t="str">
        <f>'ALL(responses)'!B713</f>
        <v/>
      </c>
      <c r="C713" s="49" t="str">
        <f>'ALL(responses)'!C713</f>
        <v/>
      </c>
      <c r="D713" s="49" t="str">
        <f>'ALL(responses)'!D713</f>
        <v/>
      </c>
      <c r="E713" s="50" t="str">
        <f>'ALL(responses)'!E713</f>
        <v/>
      </c>
      <c r="F713" s="6"/>
      <c r="G713" s="6"/>
      <c r="H713" s="6"/>
      <c r="I713" s="6"/>
      <c r="J713" s="6"/>
      <c r="K713" s="6"/>
      <c r="L713" s="6"/>
      <c r="M713" s="6"/>
      <c r="N713" s="6"/>
      <c r="O713" s="6"/>
      <c r="P713" s="6"/>
      <c r="Q713" s="6"/>
      <c r="R713" s="6"/>
      <c r="S713" s="6"/>
    </row>
    <row r="714">
      <c r="A714" s="5" t="str">
        <f>'ALL(responses)'!A714</f>
        <v/>
      </c>
      <c r="B714" s="6" t="str">
        <f>'ALL(responses)'!B714</f>
        <v/>
      </c>
      <c r="C714" s="49" t="str">
        <f>'ALL(responses)'!C714</f>
        <v/>
      </c>
      <c r="D714" s="49" t="str">
        <f>'ALL(responses)'!D714</f>
        <v/>
      </c>
      <c r="E714" s="50" t="str">
        <f>'ALL(responses)'!E714</f>
        <v/>
      </c>
      <c r="F714" s="6"/>
      <c r="G714" s="6"/>
      <c r="H714" s="6"/>
      <c r="I714" s="6"/>
      <c r="J714" s="6"/>
      <c r="K714" s="6"/>
      <c r="L714" s="6"/>
      <c r="M714" s="6"/>
      <c r="N714" s="6"/>
      <c r="O714" s="6"/>
      <c r="P714" s="6"/>
      <c r="Q714" s="6"/>
      <c r="R714" s="6"/>
      <c r="S714" s="6"/>
    </row>
    <row r="715">
      <c r="A715" s="5" t="str">
        <f>'ALL(responses)'!A715</f>
        <v/>
      </c>
      <c r="B715" s="6" t="str">
        <f>'ALL(responses)'!B715</f>
        <v/>
      </c>
      <c r="C715" s="49" t="str">
        <f>'ALL(responses)'!C715</f>
        <v/>
      </c>
      <c r="D715" s="49" t="str">
        <f>'ALL(responses)'!D715</f>
        <v/>
      </c>
      <c r="E715" s="50" t="str">
        <f>'ALL(responses)'!E715</f>
        <v/>
      </c>
      <c r="F715" s="6"/>
      <c r="G715" s="6"/>
      <c r="H715" s="6"/>
      <c r="I715" s="6"/>
      <c r="J715" s="6"/>
      <c r="K715" s="6"/>
      <c r="L715" s="6"/>
      <c r="M715" s="6"/>
      <c r="N715" s="6"/>
      <c r="O715" s="6"/>
      <c r="P715" s="6"/>
      <c r="Q715" s="6"/>
      <c r="R715" s="6"/>
      <c r="S715" s="6"/>
    </row>
    <row r="716">
      <c r="A716" s="5" t="str">
        <f>'ALL(responses)'!A716</f>
        <v/>
      </c>
      <c r="B716" s="6" t="str">
        <f>'ALL(responses)'!B716</f>
        <v/>
      </c>
      <c r="C716" s="49" t="str">
        <f>'ALL(responses)'!C716</f>
        <v/>
      </c>
      <c r="D716" s="49" t="str">
        <f>'ALL(responses)'!D716</f>
        <v/>
      </c>
      <c r="E716" s="50" t="str">
        <f>'ALL(responses)'!E716</f>
        <v/>
      </c>
      <c r="F716" s="6"/>
      <c r="G716" s="6"/>
      <c r="H716" s="6"/>
      <c r="I716" s="6"/>
      <c r="J716" s="6"/>
      <c r="K716" s="6"/>
      <c r="L716" s="6"/>
      <c r="M716" s="6"/>
      <c r="N716" s="6"/>
      <c r="O716" s="6"/>
      <c r="P716" s="6"/>
      <c r="Q716" s="6"/>
      <c r="R716" s="6"/>
      <c r="S716" s="6"/>
    </row>
    <row r="717">
      <c r="A717" s="5" t="str">
        <f>'ALL(responses)'!A717</f>
        <v/>
      </c>
      <c r="B717" s="6" t="str">
        <f>'ALL(responses)'!B717</f>
        <v/>
      </c>
      <c r="C717" s="49" t="str">
        <f>'ALL(responses)'!C717</f>
        <v/>
      </c>
      <c r="D717" s="49" t="str">
        <f>'ALL(responses)'!D717</f>
        <v/>
      </c>
      <c r="E717" s="50" t="str">
        <f>'ALL(responses)'!E717</f>
        <v/>
      </c>
      <c r="F717" s="6"/>
      <c r="G717" s="6"/>
      <c r="H717" s="6"/>
      <c r="I717" s="6"/>
      <c r="J717" s="6"/>
      <c r="K717" s="6"/>
      <c r="L717" s="6"/>
      <c r="M717" s="6"/>
      <c r="N717" s="6"/>
      <c r="O717" s="6"/>
      <c r="P717" s="6"/>
      <c r="Q717" s="6"/>
      <c r="R717" s="6"/>
      <c r="S717" s="6"/>
    </row>
    <row r="718">
      <c r="A718" s="5" t="str">
        <f>'ALL(responses)'!A718</f>
        <v/>
      </c>
      <c r="B718" s="6" t="str">
        <f>'ALL(responses)'!B718</f>
        <v/>
      </c>
      <c r="C718" s="49" t="str">
        <f>'ALL(responses)'!C718</f>
        <v/>
      </c>
      <c r="D718" s="49" t="str">
        <f>'ALL(responses)'!D718</f>
        <v/>
      </c>
      <c r="E718" s="50" t="str">
        <f>'ALL(responses)'!E718</f>
        <v/>
      </c>
      <c r="F718" s="6"/>
      <c r="G718" s="6"/>
      <c r="H718" s="6"/>
      <c r="I718" s="6"/>
      <c r="J718" s="6"/>
      <c r="K718" s="6"/>
      <c r="L718" s="6"/>
      <c r="M718" s="6"/>
      <c r="N718" s="6"/>
      <c r="O718" s="6"/>
      <c r="P718" s="6"/>
      <c r="Q718" s="6"/>
      <c r="R718" s="6"/>
      <c r="S718" s="6"/>
    </row>
    <row r="719">
      <c r="A719" s="5" t="str">
        <f>'ALL(responses)'!A719</f>
        <v/>
      </c>
      <c r="B719" s="6" t="str">
        <f>'ALL(responses)'!B719</f>
        <v/>
      </c>
      <c r="C719" s="49" t="str">
        <f>'ALL(responses)'!C719</f>
        <v/>
      </c>
      <c r="D719" s="49" t="str">
        <f>'ALL(responses)'!D719</f>
        <v/>
      </c>
      <c r="E719" s="50" t="str">
        <f>'ALL(responses)'!E719</f>
        <v/>
      </c>
      <c r="F719" s="6"/>
      <c r="G719" s="6"/>
      <c r="H719" s="6"/>
      <c r="I719" s="6"/>
      <c r="J719" s="6"/>
      <c r="K719" s="6"/>
      <c r="L719" s="6"/>
      <c r="M719" s="6"/>
      <c r="N719" s="6"/>
      <c r="O719" s="6"/>
      <c r="P719" s="6"/>
      <c r="Q719" s="6"/>
      <c r="R719" s="6"/>
      <c r="S719" s="6"/>
    </row>
    <row r="720">
      <c r="A720" s="5" t="str">
        <f>'ALL(responses)'!A720</f>
        <v/>
      </c>
      <c r="B720" s="6" t="str">
        <f>'ALL(responses)'!B720</f>
        <v/>
      </c>
      <c r="C720" s="49" t="str">
        <f>'ALL(responses)'!C720</f>
        <v/>
      </c>
      <c r="D720" s="49" t="str">
        <f>'ALL(responses)'!D720</f>
        <v/>
      </c>
      <c r="E720" s="50" t="str">
        <f>'ALL(responses)'!E720</f>
        <v/>
      </c>
      <c r="F720" s="6"/>
      <c r="G720" s="6"/>
      <c r="H720" s="6"/>
      <c r="I720" s="6"/>
      <c r="J720" s="6"/>
      <c r="K720" s="6"/>
      <c r="L720" s="6"/>
      <c r="M720" s="6"/>
      <c r="N720" s="6"/>
      <c r="O720" s="6"/>
      <c r="P720" s="6"/>
      <c r="Q720" s="6"/>
      <c r="R720" s="6"/>
      <c r="S720" s="6"/>
    </row>
    <row r="721">
      <c r="A721" s="5" t="str">
        <f>'ALL(responses)'!A721</f>
        <v/>
      </c>
      <c r="B721" s="6" t="str">
        <f>'ALL(responses)'!B721</f>
        <v/>
      </c>
      <c r="C721" s="49" t="str">
        <f>'ALL(responses)'!C721</f>
        <v/>
      </c>
      <c r="D721" s="49" t="str">
        <f>'ALL(responses)'!D721</f>
        <v/>
      </c>
      <c r="E721" s="50" t="str">
        <f>'ALL(responses)'!E721</f>
        <v/>
      </c>
      <c r="F721" s="6"/>
      <c r="G721" s="6"/>
      <c r="H721" s="6"/>
      <c r="I721" s="6"/>
      <c r="J721" s="6"/>
      <c r="K721" s="6"/>
      <c r="L721" s="6"/>
      <c r="M721" s="6"/>
      <c r="N721" s="6"/>
      <c r="O721" s="6"/>
      <c r="P721" s="6"/>
      <c r="Q721" s="6"/>
      <c r="R721" s="6"/>
      <c r="S721" s="6"/>
    </row>
    <row r="722">
      <c r="A722" s="5" t="str">
        <f>'ALL(responses)'!A722</f>
        <v/>
      </c>
      <c r="B722" s="6" t="str">
        <f>'ALL(responses)'!B722</f>
        <v/>
      </c>
      <c r="C722" s="49" t="str">
        <f>'ALL(responses)'!C722</f>
        <v/>
      </c>
      <c r="D722" s="49" t="str">
        <f>'ALL(responses)'!D722</f>
        <v/>
      </c>
      <c r="E722" s="50" t="str">
        <f>'ALL(responses)'!E722</f>
        <v/>
      </c>
      <c r="F722" s="6"/>
      <c r="G722" s="6"/>
      <c r="H722" s="6"/>
      <c r="I722" s="6"/>
      <c r="J722" s="6"/>
      <c r="K722" s="6"/>
      <c r="L722" s="6"/>
      <c r="M722" s="6"/>
      <c r="N722" s="6"/>
      <c r="O722" s="6"/>
      <c r="P722" s="6"/>
      <c r="Q722" s="6"/>
      <c r="R722" s="6"/>
      <c r="S722" s="6"/>
    </row>
    <row r="723">
      <c r="A723" s="5" t="str">
        <f>'ALL(responses)'!A723</f>
        <v/>
      </c>
      <c r="B723" s="6" t="str">
        <f>'ALL(responses)'!B723</f>
        <v/>
      </c>
      <c r="C723" s="49" t="str">
        <f>'ALL(responses)'!C723</f>
        <v/>
      </c>
      <c r="D723" s="49" t="str">
        <f>'ALL(responses)'!D723</f>
        <v/>
      </c>
      <c r="E723" s="50" t="str">
        <f>'ALL(responses)'!E723</f>
        <v/>
      </c>
      <c r="F723" s="6"/>
      <c r="G723" s="6"/>
      <c r="H723" s="6"/>
      <c r="I723" s="6"/>
      <c r="J723" s="6"/>
      <c r="K723" s="6"/>
      <c r="L723" s="6"/>
      <c r="M723" s="6"/>
      <c r="N723" s="6"/>
      <c r="O723" s="6"/>
      <c r="P723" s="6"/>
      <c r="Q723" s="6"/>
      <c r="R723" s="6"/>
      <c r="S723" s="6"/>
    </row>
    <row r="724">
      <c r="A724" s="5" t="str">
        <f>'ALL(responses)'!A724</f>
        <v/>
      </c>
      <c r="B724" s="6" t="str">
        <f>'ALL(responses)'!B724</f>
        <v/>
      </c>
      <c r="C724" s="49" t="str">
        <f>'ALL(responses)'!C724</f>
        <v/>
      </c>
      <c r="D724" s="49" t="str">
        <f>'ALL(responses)'!D724</f>
        <v/>
      </c>
      <c r="E724" s="50" t="str">
        <f>'ALL(responses)'!E724</f>
        <v/>
      </c>
      <c r="F724" s="6"/>
      <c r="G724" s="6"/>
      <c r="H724" s="6"/>
      <c r="I724" s="6"/>
      <c r="J724" s="6"/>
      <c r="K724" s="6"/>
      <c r="L724" s="6"/>
      <c r="M724" s="6"/>
      <c r="N724" s="6"/>
      <c r="O724" s="6"/>
      <c r="P724" s="6"/>
      <c r="Q724" s="6"/>
      <c r="R724" s="6"/>
      <c r="S724" s="6"/>
    </row>
    <row r="725">
      <c r="A725" s="5" t="str">
        <f>'ALL(responses)'!A725</f>
        <v/>
      </c>
      <c r="B725" s="6" t="str">
        <f>'ALL(responses)'!B725</f>
        <v/>
      </c>
      <c r="C725" s="49" t="str">
        <f>'ALL(responses)'!C725</f>
        <v/>
      </c>
      <c r="D725" s="49" t="str">
        <f>'ALL(responses)'!D725</f>
        <v/>
      </c>
      <c r="E725" s="50" t="str">
        <f>'ALL(responses)'!E725</f>
        <v/>
      </c>
      <c r="F725" s="6"/>
      <c r="G725" s="6"/>
      <c r="H725" s="6"/>
      <c r="I725" s="6"/>
      <c r="J725" s="6"/>
      <c r="K725" s="6"/>
      <c r="L725" s="6"/>
      <c r="M725" s="6"/>
      <c r="N725" s="6"/>
      <c r="O725" s="6"/>
      <c r="P725" s="6"/>
      <c r="Q725" s="6"/>
      <c r="R725" s="6"/>
      <c r="S725" s="6"/>
    </row>
    <row r="726">
      <c r="A726" s="5" t="str">
        <f>'ALL(responses)'!A726</f>
        <v/>
      </c>
      <c r="B726" s="6" t="str">
        <f>'ALL(responses)'!B726</f>
        <v/>
      </c>
      <c r="C726" s="49" t="str">
        <f>'ALL(responses)'!C726</f>
        <v/>
      </c>
      <c r="D726" s="49" t="str">
        <f>'ALL(responses)'!D726</f>
        <v/>
      </c>
      <c r="E726" s="50" t="str">
        <f>'ALL(responses)'!E726</f>
        <v/>
      </c>
      <c r="F726" s="6"/>
      <c r="G726" s="6"/>
      <c r="H726" s="6"/>
      <c r="I726" s="6"/>
      <c r="J726" s="6"/>
      <c r="K726" s="6"/>
      <c r="L726" s="6"/>
      <c r="M726" s="6"/>
      <c r="N726" s="6"/>
      <c r="O726" s="6"/>
      <c r="P726" s="6"/>
      <c r="Q726" s="6"/>
      <c r="R726" s="6"/>
      <c r="S726" s="6"/>
    </row>
    <row r="727">
      <c r="A727" s="5" t="str">
        <f>'ALL(responses)'!A727</f>
        <v/>
      </c>
      <c r="B727" s="6" t="str">
        <f>'ALL(responses)'!B727</f>
        <v/>
      </c>
      <c r="C727" s="49" t="str">
        <f>'ALL(responses)'!C727</f>
        <v/>
      </c>
      <c r="D727" s="49" t="str">
        <f>'ALL(responses)'!D727</f>
        <v/>
      </c>
      <c r="E727" s="50" t="str">
        <f>'ALL(responses)'!E727</f>
        <v/>
      </c>
      <c r="F727" s="6"/>
      <c r="G727" s="6"/>
      <c r="H727" s="6"/>
      <c r="I727" s="6"/>
      <c r="J727" s="6"/>
      <c r="K727" s="6"/>
      <c r="L727" s="6"/>
      <c r="M727" s="6"/>
      <c r="N727" s="6"/>
      <c r="O727" s="6"/>
      <c r="P727" s="6"/>
      <c r="Q727" s="6"/>
      <c r="R727" s="6"/>
      <c r="S727" s="6"/>
    </row>
    <row r="728">
      <c r="A728" s="5" t="str">
        <f>'ALL(responses)'!A728</f>
        <v/>
      </c>
      <c r="B728" s="6" t="str">
        <f>'ALL(responses)'!B728</f>
        <v/>
      </c>
      <c r="C728" s="49" t="str">
        <f>'ALL(responses)'!C728</f>
        <v/>
      </c>
      <c r="D728" s="49" t="str">
        <f>'ALL(responses)'!D728</f>
        <v/>
      </c>
      <c r="E728" s="50" t="str">
        <f>'ALL(responses)'!E728</f>
        <v/>
      </c>
      <c r="F728" s="6"/>
      <c r="G728" s="6"/>
      <c r="H728" s="6"/>
      <c r="I728" s="6"/>
      <c r="J728" s="6"/>
      <c r="K728" s="6"/>
      <c r="L728" s="6"/>
      <c r="M728" s="6"/>
      <c r="N728" s="6"/>
      <c r="O728" s="6"/>
      <c r="P728" s="6"/>
      <c r="Q728" s="6"/>
      <c r="R728" s="6"/>
      <c r="S728" s="6"/>
    </row>
    <row r="729">
      <c r="A729" s="5" t="str">
        <f>'ALL(responses)'!A729</f>
        <v/>
      </c>
      <c r="B729" s="6" t="str">
        <f>'ALL(responses)'!B729</f>
        <v/>
      </c>
      <c r="C729" s="49" t="str">
        <f>'ALL(responses)'!C729</f>
        <v/>
      </c>
      <c r="D729" s="49" t="str">
        <f>'ALL(responses)'!D729</f>
        <v/>
      </c>
      <c r="E729" s="50" t="str">
        <f>'ALL(responses)'!E729</f>
        <v/>
      </c>
      <c r="F729" s="6"/>
      <c r="G729" s="6"/>
      <c r="H729" s="6"/>
      <c r="I729" s="6"/>
      <c r="J729" s="6"/>
      <c r="K729" s="6"/>
      <c r="L729" s="6"/>
      <c r="M729" s="6"/>
      <c r="N729" s="6"/>
      <c r="O729" s="6"/>
      <c r="P729" s="6"/>
      <c r="Q729" s="6"/>
      <c r="R729" s="6"/>
      <c r="S729" s="6"/>
    </row>
    <row r="730">
      <c r="A730" s="5" t="str">
        <f>'ALL(responses)'!A730</f>
        <v/>
      </c>
      <c r="B730" s="6" t="str">
        <f>'ALL(responses)'!B730</f>
        <v/>
      </c>
      <c r="C730" s="49" t="str">
        <f>'ALL(responses)'!C730</f>
        <v/>
      </c>
      <c r="D730" s="49" t="str">
        <f>'ALL(responses)'!D730</f>
        <v/>
      </c>
      <c r="E730" s="50" t="str">
        <f>'ALL(responses)'!E730</f>
        <v/>
      </c>
      <c r="F730" s="6"/>
      <c r="G730" s="6"/>
      <c r="H730" s="6"/>
      <c r="I730" s="6"/>
      <c r="J730" s="6"/>
      <c r="K730" s="6"/>
      <c r="L730" s="6"/>
      <c r="M730" s="6"/>
      <c r="N730" s="6"/>
      <c r="O730" s="6"/>
      <c r="P730" s="6"/>
      <c r="Q730" s="6"/>
      <c r="R730" s="6"/>
      <c r="S730" s="6"/>
    </row>
    <row r="731">
      <c r="A731" s="5" t="str">
        <f>'ALL(responses)'!A731</f>
        <v/>
      </c>
      <c r="B731" s="6" t="str">
        <f>'ALL(responses)'!B731</f>
        <v/>
      </c>
      <c r="C731" s="49" t="str">
        <f>'ALL(responses)'!C731</f>
        <v/>
      </c>
      <c r="D731" s="49" t="str">
        <f>'ALL(responses)'!D731</f>
        <v/>
      </c>
      <c r="E731" s="50" t="str">
        <f>'ALL(responses)'!E731</f>
        <v/>
      </c>
      <c r="F731" s="6"/>
      <c r="G731" s="6"/>
      <c r="H731" s="6"/>
      <c r="I731" s="6"/>
      <c r="J731" s="6"/>
      <c r="K731" s="6"/>
      <c r="L731" s="6"/>
      <c r="M731" s="6"/>
      <c r="N731" s="6"/>
      <c r="O731" s="6"/>
      <c r="P731" s="6"/>
      <c r="Q731" s="6"/>
      <c r="R731" s="6"/>
      <c r="S731" s="6"/>
    </row>
    <row r="732">
      <c r="A732" s="5" t="str">
        <f>'ALL(responses)'!A732</f>
        <v/>
      </c>
      <c r="B732" s="6" t="str">
        <f>'ALL(responses)'!B732</f>
        <v/>
      </c>
      <c r="C732" s="49" t="str">
        <f>'ALL(responses)'!C732</f>
        <v/>
      </c>
      <c r="D732" s="49" t="str">
        <f>'ALL(responses)'!D732</f>
        <v/>
      </c>
      <c r="E732" s="50" t="str">
        <f>'ALL(responses)'!E732</f>
        <v/>
      </c>
      <c r="F732" s="6"/>
      <c r="G732" s="6"/>
      <c r="H732" s="6"/>
      <c r="I732" s="6"/>
      <c r="J732" s="6"/>
      <c r="K732" s="6"/>
      <c r="L732" s="6"/>
      <c r="M732" s="6"/>
      <c r="N732" s="6"/>
      <c r="O732" s="6"/>
      <c r="P732" s="6"/>
      <c r="Q732" s="6"/>
      <c r="R732" s="6"/>
      <c r="S732" s="6"/>
    </row>
    <row r="733">
      <c r="A733" s="5" t="str">
        <f>'ALL(responses)'!A733</f>
        <v/>
      </c>
      <c r="B733" s="6" t="str">
        <f>'ALL(responses)'!B733</f>
        <v/>
      </c>
      <c r="C733" s="49" t="str">
        <f>'ALL(responses)'!C733</f>
        <v/>
      </c>
      <c r="D733" s="49" t="str">
        <f>'ALL(responses)'!D733</f>
        <v/>
      </c>
      <c r="E733" s="50" t="str">
        <f>'ALL(responses)'!E733</f>
        <v/>
      </c>
      <c r="F733" s="6"/>
      <c r="G733" s="6"/>
      <c r="H733" s="6"/>
      <c r="I733" s="6"/>
      <c r="J733" s="6"/>
      <c r="K733" s="6"/>
      <c r="L733" s="6"/>
      <c r="M733" s="6"/>
      <c r="N733" s="6"/>
      <c r="O733" s="6"/>
      <c r="P733" s="6"/>
      <c r="Q733" s="6"/>
      <c r="R733" s="6"/>
      <c r="S733" s="6"/>
    </row>
    <row r="734">
      <c r="A734" s="5" t="str">
        <f>'ALL(responses)'!A734</f>
        <v/>
      </c>
      <c r="B734" s="6" t="str">
        <f>'ALL(responses)'!B734</f>
        <v/>
      </c>
      <c r="C734" s="49" t="str">
        <f>'ALL(responses)'!C734</f>
        <v/>
      </c>
      <c r="D734" s="49" t="str">
        <f>'ALL(responses)'!D734</f>
        <v/>
      </c>
      <c r="E734" s="50" t="str">
        <f>'ALL(responses)'!E734</f>
        <v/>
      </c>
      <c r="F734" s="6"/>
      <c r="G734" s="6"/>
      <c r="H734" s="6"/>
      <c r="I734" s="6"/>
      <c r="J734" s="6"/>
      <c r="K734" s="6"/>
      <c r="L734" s="6"/>
      <c r="M734" s="6"/>
      <c r="N734" s="6"/>
      <c r="O734" s="6"/>
      <c r="P734" s="6"/>
      <c r="Q734" s="6"/>
      <c r="R734" s="6"/>
      <c r="S734" s="6"/>
    </row>
    <row r="735">
      <c r="A735" s="5" t="str">
        <f>'ALL(responses)'!A735</f>
        <v/>
      </c>
      <c r="B735" s="6" t="str">
        <f>'ALL(responses)'!B735</f>
        <v/>
      </c>
      <c r="C735" s="49" t="str">
        <f>'ALL(responses)'!C735</f>
        <v/>
      </c>
      <c r="D735" s="49" t="str">
        <f>'ALL(responses)'!D735</f>
        <v/>
      </c>
      <c r="E735" s="50" t="str">
        <f>'ALL(responses)'!E735</f>
        <v/>
      </c>
      <c r="F735" s="6"/>
      <c r="G735" s="6"/>
      <c r="H735" s="6"/>
      <c r="I735" s="6"/>
      <c r="J735" s="6"/>
      <c r="K735" s="6"/>
      <c r="L735" s="6"/>
      <c r="M735" s="6"/>
      <c r="N735" s="6"/>
      <c r="O735" s="6"/>
      <c r="P735" s="6"/>
      <c r="Q735" s="6"/>
      <c r="R735" s="6"/>
      <c r="S735" s="6"/>
    </row>
    <row r="736">
      <c r="A736" s="5" t="str">
        <f>'ALL(responses)'!A736</f>
        <v/>
      </c>
      <c r="B736" s="6" t="str">
        <f>'ALL(responses)'!B736</f>
        <v/>
      </c>
      <c r="C736" s="49" t="str">
        <f>'ALL(responses)'!C736</f>
        <v/>
      </c>
      <c r="D736" s="49" t="str">
        <f>'ALL(responses)'!D736</f>
        <v/>
      </c>
      <c r="E736" s="49" t="str">
        <f>'ALL(responses)'!E736</f>
        <v/>
      </c>
      <c r="F736" s="6"/>
      <c r="G736" s="6"/>
      <c r="H736" s="6"/>
      <c r="I736" s="6"/>
      <c r="J736" s="6"/>
      <c r="K736" s="6"/>
      <c r="L736" s="6"/>
      <c r="M736" s="6"/>
      <c r="N736" s="6"/>
      <c r="O736" s="6"/>
      <c r="P736" s="6"/>
      <c r="Q736" s="6"/>
      <c r="R736" s="6"/>
      <c r="S736" s="6"/>
    </row>
    <row r="737">
      <c r="A737" s="5" t="str">
        <f>'ALL(responses)'!A737</f>
        <v/>
      </c>
      <c r="B737" s="6" t="str">
        <f>'ALL(responses)'!B737</f>
        <v/>
      </c>
      <c r="C737" s="49" t="str">
        <f>'ALL(responses)'!C737</f>
        <v/>
      </c>
      <c r="D737" s="49" t="str">
        <f>'ALL(responses)'!D737</f>
        <v/>
      </c>
      <c r="E737" s="50" t="str">
        <f>'ALL(responses)'!E737</f>
        <v/>
      </c>
      <c r="F737" s="6"/>
      <c r="G737" s="6"/>
      <c r="H737" s="6"/>
      <c r="I737" s="6"/>
      <c r="J737" s="6"/>
      <c r="K737" s="6"/>
      <c r="L737" s="6"/>
      <c r="M737" s="6"/>
      <c r="N737" s="6"/>
      <c r="O737" s="6"/>
      <c r="P737" s="6"/>
      <c r="Q737" s="6"/>
      <c r="R737" s="6"/>
      <c r="S737" s="6"/>
    </row>
    <row r="738">
      <c r="A738" s="5" t="str">
        <f>'ALL(responses)'!A738</f>
        <v/>
      </c>
      <c r="B738" s="6" t="str">
        <f>'ALL(responses)'!B738</f>
        <v/>
      </c>
      <c r="C738" s="49" t="str">
        <f>'ALL(responses)'!C738</f>
        <v/>
      </c>
      <c r="D738" s="49" t="str">
        <f>'ALL(responses)'!D738</f>
        <v/>
      </c>
      <c r="E738" s="50" t="str">
        <f>'ALL(responses)'!E738</f>
        <v/>
      </c>
      <c r="F738" s="6"/>
      <c r="G738" s="6"/>
      <c r="H738" s="6"/>
      <c r="I738" s="6"/>
      <c r="J738" s="6"/>
      <c r="K738" s="6"/>
      <c r="L738" s="6"/>
      <c r="M738" s="6"/>
      <c r="N738" s="6"/>
      <c r="O738" s="6"/>
      <c r="P738" s="6"/>
      <c r="Q738" s="6"/>
      <c r="R738" s="6"/>
      <c r="S738" s="6"/>
    </row>
    <row r="739">
      <c r="A739" s="5" t="str">
        <f>'ALL(responses)'!A739</f>
        <v/>
      </c>
      <c r="B739" s="6" t="str">
        <f>'ALL(responses)'!B739</f>
        <v/>
      </c>
      <c r="C739" s="49" t="str">
        <f>'ALL(responses)'!C739</f>
        <v/>
      </c>
      <c r="D739" s="49" t="str">
        <f>'ALL(responses)'!D739</f>
        <v/>
      </c>
      <c r="E739" s="50" t="str">
        <f>'ALL(responses)'!E739</f>
        <v/>
      </c>
      <c r="F739" s="6"/>
      <c r="G739" s="6"/>
      <c r="H739" s="6"/>
      <c r="I739" s="6"/>
      <c r="J739" s="6"/>
      <c r="K739" s="6"/>
      <c r="L739" s="6"/>
      <c r="M739" s="6"/>
      <c r="N739" s="6"/>
      <c r="O739" s="6"/>
      <c r="P739" s="6"/>
      <c r="Q739" s="6"/>
      <c r="R739" s="6"/>
      <c r="S739" s="6"/>
    </row>
    <row r="740">
      <c r="A740" s="5" t="str">
        <f>'ALL(responses)'!A740</f>
        <v/>
      </c>
      <c r="B740" s="6" t="str">
        <f>'ALL(responses)'!B740</f>
        <v/>
      </c>
      <c r="C740" s="49" t="str">
        <f>'ALL(responses)'!C740</f>
        <v/>
      </c>
      <c r="D740" s="49" t="str">
        <f>'ALL(responses)'!D740</f>
        <v/>
      </c>
      <c r="E740" s="50" t="str">
        <f>'ALL(responses)'!E740</f>
        <v/>
      </c>
      <c r="F740" s="6"/>
      <c r="G740" s="6"/>
      <c r="H740" s="6"/>
      <c r="I740" s="6"/>
      <c r="J740" s="6"/>
      <c r="K740" s="6"/>
      <c r="L740" s="6"/>
      <c r="M740" s="6"/>
      <c r="N740" s="6"/>
      <c r="O740" s="6"/>
      <c r="P740" s="6"/>
      <c r="Q740" s="6"/>
      <c r="R740" s="6"/>
      <c r="S740" s="6"/>
    </row>
    <row r="741">
      <c r="A741" s="5" t="str">
        <f>'ALL(responses)'!A741</f>
        <v/>
      </c>
      <c r="B741" s="6" t="str">
        <f>'ALL(responses)'!B741</f>
        <v/>
      </c>
      <c r="C741" s="49" t="str">
        <f>'ALL(responses)'!C741</f>
        <v/>
      </c>
      <c r="D741" s="49" t="str">
        <f>'ALL(responses)'!D741</f>
        <v/>
      </c>
      <c r="E741" s="50" t="str">
        <f>'ALL(responses)'!E741</f>
        <v/>
      </c>
      <c r="F741" s="6"/>
      <c r="G741" s="6"/>
      <c r="H741" s="6"/>
      <c r="I741" s="6"/>
      <c r="J741" s="6"/>
      <c r="K741" s="6"/>
      <c r="L741" s="6"/>
      <c r="M741" s="6"/>
      <c r="N741" s="6"/>
      <c r="O741" s="6"/>
      <c r="P741" s="6"/>
      <c r="Q741" s="6"/>
      <c r="R741" s="6"/>
      <c r="S741" s="6"/>
    </row>
    <row r="742">
      <c r="A742" s="5" t="str">
        <f>'ALL(responses)'!A742</f>
        <v/>
      </c>
      <c r="B742" s="6" t="str">
        <f>'ALL(responses)'!B742</f>
        <v/>
      </c>
      <c r="C742" s="49" t="str">
        <f>'ALL(responses)'!C742</f>
        <v/>
      </c>
      <c r="D742" s="49" t="str">
        <f>'ALL(responses)'!D742</f>
        <v/>
      </c>
      <c r="E742" s="50" t="str">
        <f>'ALL(responses)'!E742</f>
        <v/>
      </c>
      <c r="F742" s="6"/>
      <c r="G742" s="6"/>
      <c r="H742" s="6"/>
      <c r="I742" s="6"/>
      <c r="J742" s="6"/>
      <c r="K742" s="6"/>
      <c r="L742" s="6"/>
      <c r="M742" s="6"/>
      <c r="N742" s="6"/>
      <c r="O742" s="6"/>
      <c r="P742" s="6"/>
      <c r="Q742" s="6"/>
      <c r="R742" s="6"/>
      <c r="S742" s="6"/>
    </row>
    <row r="743">
      <c r="A743" s="5" t="str">
        <f>'ALL(responses)'!A743</f>
        <v/>
      </c>
      <c r="B743" s="6" t="str">
        <f>'ALL(responses)'!B743</f>
        <v/>
      </c>
      <c r="C743" s="49" t="str">
        <f>'ALL(responses)'!C743</f>
        <v/>
      </c>
      <c r="D743" s="49" t="str">
        <f>'ALL(responses)'!D743</f>
        <v/>
      </c>
      <c r="E743" s="50" t="str">
        <f>'ALL(responses)'!E743</f>
        <v/>
      </c>
      <c r="F743" s="6"/>
      <c r="G743" s="6"/>
      <c r="H743" s="6"/>
      <c r="I743" s="6"/>
      <c r="J743" s="6"/>
      <c r="K743" s="6"/>
      <c r="L743" s="6"/>
      <c r="M743" s="6"/>
      <c r="N743" s="6"/>
      <c r="O743" s="6"/>
      <c r="P743" s="6"/>
      <c r="Q743" s="6"/>
      <c r="R743" s="6"/>
      <c r="S743" s="6"/>
    </row>
    <row r="744">
      <c r="A744" s="5" t="str">
        <f>'ALL(responses)'!A744</f>
        <v/>
      </c>
      <c r="B744" s="6" t="str">
        <f>'ALL(responses)'!B744</f>
        <v/>
      </c>
      <c r="C744" s="49" t="str">
        <f>'ALL(responses)'!C744</f>
        <v/>
      </c>
      <c r="D744" s="49" t="str">
        <f>'ALL(responses)'!D744</f>
        <v/>
      </c>
      <c r="E744" s="50" t="str">
        <f>'ALL(responses)'!E744</f>
        <v/>
      </c>
      <c r="F744" s="6"/>
      <c r="G744" s="6"/>
      <c r="H744" s="6"/>
      <c r="I744" s="6"/>
      <c r="J744" s="6"/>
      <c r="K744" s="6"/>
      <c r="L744" s="6"/>
      <c r="M744" s="6"/>
      <c r="N744" s="6"/>
      <c r="O744" s="6"/>
      <c r="P744" s="6"/>
      <c r="Q744" s="6"/>
      <c r="R744" s="6"/>
      <c r="S744" s="6"/>
    </row>
    <row r="745">
      <c r="A745" s="5" t="str">
        <f>'ALL(responses)'!A745</f>
        <v/>
      </c>
      <c r="B745" s="6" t="str">
        <f>'ALL(responses)'!B745</f>
        <v/>
      </c>
      <c r="C745" s="49" t="str">
        <f>'ALL(responses)'!C745</f>
        <v/>
      </c>
      <c r="D745" s="49" t="str">
        <f>'ALL(responses)'!D745</f>
        <v/>
      </c>
      <c r="E745" s="50" t="str">
        <f>'ALL(responses)'!E745</f>
        <v/>
      </c>
      <c r="F745" s="6"/>
      <c r="G745" s="6"/>
      <c r="H745" s="6"/>
      <c r="I745" s="6"/>
      <c r="J745" s="6"/>
      <c r="K745" s="6"/>
      <c r="L745" s="6"/>
      <c r="M745" s="6"/>
      <c r="N745" s="6"/>
      <c r="O745" s="6"/>
      <c r="P745" s="6"/>
      <c r="Q745" s="6"/>
      <c r="R745" s="6"/>
      <c r="S745" s="6"/>
    </row>
    <row r="746">
      <c r="A746" s="5" t="str">
        <f>'ALL(responses)'!A746</f>
        <v/>
      </c>
      <c r="B746" s="6" t="str">
        <f>'ALL(responses)'!B746</f>
        <v/>
      </c>
      <c r="C746" s="49" t="str">
        <f>'ALL(responses)'!C746</f>
        <v/>
      </c>
      <c r="D746" s="49" t="str">
        <f>'ALL(responses)'!D746</f>
        <v/>
      </c>
      <c r="E746" s="50" t="str">
        <f>'ALL(responses)'!E746</f>
        <v/>
      </c>
      <c r="F746" s="6"/>
      <c r="G746" s="6"/>
      <c r="H746" s="6"/>
      <c r="I746" s="6"/>
      <c r="J746" s="6"/>
      <c r="K746" s="6"/>
      <c r="L746" s="6"/>
      <c r="M746" s="6"/>
      <c r="N746" s="6"/>
      <c r="O746" s="6"/>
      <c r="P746" s="6"/>
      <c r="Q746" s="6"/>
      <c r="R746" s="6"/>
      <c r="S746" s="6"/>
    </row>
    <row r="747">
      <c r="A747" s="5" t="str">
        <f>'ALL(responses)'!A747</f>
        <v/>
      </c>
      <c r="B747" s="6" t="str">
        <f>'ALL(responses)'!B747</f>
        <v/>
      </c>
      <c r="C747" s="49" t="str">
        <f>'ALL(responses)'!C747</f>
        <v/>
      </c>
      <c r="D747" s="49" t="str">
        <f>'ALL(responses)'!D747</f>
        <v/>
      </c>
      <c r="E747" s="50" t="str">
        <f>'ALL(responses)'!E747</f>
        <v/>
      </c>
      <c r="F747" s="6"/>
      <c r="G747" s="6"/>
      <c r="H747" s="6"/>
      <c r="I747" s="6"/>
      <c r="J747" s="6"/>
      <c r="K747" s="6"/>
      <c r="L747" s="6"/>
      <c r="M747" s="6"/>
      <c r="N747" s="6"/>
      <c r="O747" s="6"/>
      <c r="P747" s="6"/>
      <c r="Q747" s="6"/>
      <c r="R747" s="6"/>
      <c r="S747" s="6"/>
    </row>
    <row r="748">
      <c r="A748" s="5" t="str">
        <f>'ALL(responses)'!A748</f>
        <v/>
      </c>
      <c r="B748" s="6" t="str">
        <f>'ALL(responses)'!B748</f>
        <v/>
      </c>
      <c r="C748" s="49" t="str">
        <f>'ALL(responses)'!C748</f>
        <v/>
      </c>
      <c r="D748" s="49" t="str">
        <f>'ALL(responses)'!D748</f>
        <v/>
      </c>
      <c r="E748" s="50" t="str">
        <f>'ALL(responses)'!E748</f>
        <v/>
      </c>
      <c r="F748" s="6"/>
      <c r="G748" s="6"/>
      <c r="H748" s="6"/>
      <c r="I748" s="6"/>
      <c r="J748" s="6"/>
      <c r="K748" s="6"/>
      <c r="L748" s="6"/>
      <c r="M748" s="6"/>
      <c r="N748" s="6"/>
      <c r="O748" s="6"/>
      <c r="P748" s="6"/>
      <c r="Q748" s="6"/>
      <c r="R748" s="6"/>
      <c r="S748" s="6"/>
    </row>
    <row r="749">
      <c r="A749" s="5" t="str">
        <f>'ALL(responses)'!A749</f>
        <v/>
      </c>
      <c r="B749" s="6" t="str">
        <f>'ALL(responses)'!B749</f>
        <v/>
      </c>
      <c r="C749" s="49" t="str">
        <f>'ALL(responses)'!C749</f>
        <v/>
      </c>
      <c r="D749" s="49" t="str">
        <f>'ALL(responses)'!D749</f>
        <v/>
      </c>
      <c r="E749" s="50" t="str">
        <f>'ALL(responses)'!E749</f>
        <v/>
      </c>
      <c r="F749" s="6"/>
      <c r="G749" s="6"/>
      <c r="H749" s="6"/>
      <c r="I749" s="6"/>
      <c r="J749" s="6"/>
      <c r="K749" s="6"/>
      <c r="L749" s="6"/>
      <c r="M749" s="6"/>
      <c r="N749" s="6"/>
      <c r="O749" s="6"/>
      <c r="P749" s="6"/>
      <c r="Q749" s="6"/>
      <c r="R749" s="6"/>
      <c r="S749" s="6"/>
    </row>
    <row r="750">
      <c r="A750" s="5" t="str">
        <f>'ALL(responses)'!A750</f>
        <v/>
      </c>
      <c r="B750" s="6" t="str">
        <f>'ALL(responses)'!B750</f>
        <v/>
      </c>
      <c r="C750" s="49" t="str">
        <f>'ALL(responses)'!C750</f>
        <v/>
      </c>
      <c r="D750" s="49" t="str">
        <f>'ALL(responses)'!D750</f>
        <v/>
      </c>
      <c r="E750" s="50" t="str">
        <f>'ALL(responses)'!E750</f>
        <v/>
      </c>
      <c r="F750" s="6"/>
      <c r="G750" s="6"/>
      <c r="H750" s="6"/>
      <c r="I750" s="6"/>
      <c r="J750" s="6"/>
      <c r="K750" s="6"/>
      <c r="L750" s="6"/>
      <c r="M750" s="6"/>
      <c r="N750" s="6"/>
      <c r="O750" s="6"/>
      <c r="P750" s="6"/>
      <c r="Q750" s="6"/>
      <c r="R750" s="6"/>
      <c r="S750" s="6"/>
    </row>
    <row r="751">
      <c r="A751" s="5" t="str">
        <f>'ALL(responses)'!A751</f>
        <v/>
      </c>
      <c r="B751" s="6" t="str">
        <f>'ALL(responses)'!B751</f>
        <v/>
      </c>
      <c r="C751" s="49" t="str">
        <f>'ALL(responses)'!C751</f>
        <v/>
      </c>
      <c r="D751" s="49" t="str">
        <f>'ALL(responses)'!D751</f>
        <v/>
      </c>
      <c r="E751" s="50" t="str">
        <f>'ALL(responses)'!E751</f>
        <v/>
      </c>
      <c r="F751" s="6"/>
      <c r="G751" s="6"/>
      <c r="H751" s="6"/>
      <c r="I751" s="6"/>
      <c r="J751" s="6"/>
      <c r="K751" s="6"/>
      <c r="L751" s="6"/>
      <c r="M751" s="6"/>
      <c r="N751" s="6"/>
      <c r="O751" s="6"/>
      <c r="P751" s="6"/>
      <c r="Q751" s="6"/>
      <c r="R751" s="6"/>
      <c r="S751" s="6"/>
    </row>
    <row r="752">
      <c r="A752" s="5" t="str">
        <f>'ALL(responses)'!A752</f>
        <v/>
      </c>
      <c r="B752" s="6" t="str">
        <f>'ALL(responses)'!B752</f>
        <v/>
      </c>
      <c r="C752" s="49" t="str">
        <f>'ALL(responses)'!C752</f>
        <v/>
      </c>
      <c r="D752" s="49" t="str">
        <f>'ALL(responses)'!D752</f>
        <v/>
      </c>
      <c r="E752" s="50" t="str">
        <f>'ALL(responses)'!E752</f>
        <v/>
      </c>
      <c r="F752" s="6"/>
      <c r="G752" s="6"/>
      <c r="H752" s="6"/>
      <c r="I752" s="6"/>
      <c r="J752" s="6"/>
      <c r="K752" s="6"/>
      <c r="L752" s="6"/>
      <c r="M752" s="6"/>
      <c r="N752" s="6"/>
      <c r="O752" s="6"/>
      <c r="P752" s="6"/>
      <c r="Q752" s="6"/>
      <c r="R752" s="6"/>
      <c r="S752" s="6"/>
    </row>
    <row r="753">
      <c r="A753" s="5" t="str">
        <f>'ALL(responses)'!A753</f>
        <v/>
      </c>
      <c r="B753" s="6" t="str">
        <f>'ALL(responses)'!B753</f>
        <v/>
      </c>
      <c r="C753" s="49" t="str">
        <f>'ALL(responses)'!C753</f>
        <v/>
      </c>
      <c r="D753" s="49" t="str">
        <f>'ALL(responses)'!D753</f>
        <v/>
      </c>
      <c r="E753" s="50" t="str">
        <f>'ALL(responses)'!E753</f>
        <v/>
      </c>
      <c r="F753" s="6"/>
      <c r="G753" s="6"/>
      <c r="H753" s="6"/>
      <c r="I753" s="6"/>
      <c r="J753" s="6"/>
      <c r="K753" s="6"/>
      <c r="L753" s="6"/>
      <c r="M753" s="6"/>
      <c r="N753" s="6"/>
      <c r="O753" s="6"/>
      <c r="P753" s="6"/>
      <c r="Q753" s="6"/>
      <c r="R753" s="6"/>
      <c r="S753" s="6"/>
    </row>
    <row r="754">
      <c r="A754" s="5" t="str">
        <f>'ALL(responses)'!A754</f>
        <v/>
      </c>
      <c r="B754" s="6" t="str">
        <f>'ALL(responses)'!B754</f>
        <v/>
      </c>
      <c r="C754" s="49" t="str">
        <f>'ALL(responses)'!C754</f>
        <v/>
      </c>
      <c r="D754" s="49" t="str">
        <f>'ALL(responses)'!D754</f>
        <v/>
      </c>
      <c r="E754" s="50" t="str">
        <f>'ALL(responses)'!E754</f>
        <v/>
      </c>
      <c r="F754" s="6"/>
      <c r="G754" s="6"/>
      <c r="H754" s="6"/>
      <c r="I754" s="6"/>
      <c r="J754" s="6"/>
      <c r="K754" s="6"/>
      <c r="L754" s="6"/>
      <c r="M754" s="6"/>
      <c r="N754" s="6"/>
      <c r="O754" s="6"/>
      <c r="P754" s="6"/>
      <c r="Q754" s="6"/>
      <c r="R754" s="6"/>
      <c r="S754" s="6"/>
    </row>
    <row r="755">
      <c r="A755" s="5" t="str">
        <f>'ALL(responses)'!A755</f>
        <v/>
      </c>
      <c r="B755" s="6" t="str">
        <f>'ALL(responses)'!B755</f>
        <v/>
      </c>
      <c r="C755" s="49" t="str">
        <f>'ALL(responses)'!C755</f>
        <v/>
      </c>
      <c r="D755" s="49" t="str">
        <f>'ALL(responses)'!D755</f>
        <v/>
      </c>
      <c r="E755" s="50" t="str">
        <f>'ALL(responses)'!E755</f>
        <v/>
      </c>
      <c r="F755" s="6"/>
      <c r="G755" s="6"/>
      <c r="H755" s="6"/>
      <c r="I755" s="6"/>
      <c r="J755" s="6"/>
      <c r="K755" s="6"/>
      <c r="L755" s="6"/>
      <c r="M755" s="6"/>
      <c r="N755" s="6"/>
      <c r="O755" s="6"/>
      <c r="P755" s="6"/>
      <c r="Q755" s="6"/>
      <c r="R755" s="6"/>
      <c r="S755" s="6"/>
    </row>
    <row r="756">
      <c r="A756" s="5" t="str">
        <f>'ALL(responses)'!A756</f>
        <v/>
      </c>
      <c r="B756" s="6" t="str">
        <f>'ALL(responses)'!B756</f>
        <v/>
      </c>
      <c r="C756" s="49" t="str">
        <f>'ALL(responses)'!C756</f>
        <v/>
      </c>
      <c r="D756" s="49" t="str">
        <f>'ALL(responses)'!D756</f>
        <v/>
      </c>
      <c r="E756" s="50" t="str">
        <f>'ALL(responses)'!E756</f>
        <v/>
      </c>
      <c r="F756" s="6"/>
      <c r="G756" s="6"/>
      <c r="H756" s="6"/>
      <c r="I756" s="6"/>
      <c r="J756" s="6"/>
      <c r="K756" s="6"/>
      <c r="L756" s="6"/>
      <c r="M756" s="6"/>
      <c r="N756" s="6"/>
      <c r="O756" s="6"/>
      <c r="P756" s="6"/>
      <c r="Q756" s="6"/>
      <c r="R756" s="6"/>
      <c r="S756" s="6"/>
    </row>
    <row r="757">
      <c r="A757" s="5" t="str">
        <f>'ALL(responses)'!A757</f>
        <v/>
      </c>
      <c r="B757" s="6" t="str">
        <f>'ALL(responses)'!B757</f>
        <v/>
      </c>
      <c r="C757" s="49" t="str">
        <f>'ALL(responses)'!C757</f>
        <v/>
      </c>
      <c r="D757" s="49" t="str">
        <f>'ALL(responses)'!D757</f>
        <v/>
      </c>
      <c r="E757" s="50" t="str">
        <f>'ALL(responses)'!E757</f>
        <v/>
      </c>
      <c r="F757" s="6"/>
      <c r="G757" s="6"/>
      <c r="H757" s="6"/>
      <c r="I757" s="6"/>
      <c r="J757" s="6"/>
      <c r="K757" s="6"/>
      <c r="L757" s="6"/>
      <c r="M757" s="6"/>
      <c r="N757" s="6"/>
      <c r="O757" s="6"/>
      <c r="P757" s="6"/>
      <c r="Q757" s="6"/>
      <c r="R757" s="6"/>
      <c r="S757" s="6"/>
    </row>
    <row r="758">
      <c r="A758" s="5" t="str">
        <f>'ALL(responses)'!A758</f>
        <v/>
      </c>
      <c r="B758" s="6" t="str">
        <f>'ALL(responses)'!B758</f>
        <v/>
      </c>
      <c r="C758" s="49" t="str">
        <f>'ALL(responses)'!C758</f>
        <v/>
      </c>
      <c r="D758" s="49" t="str">
        <f>'ALL(responses)'!D758</f>
        <v/>
      </c>
      <c r="E758" s="50" t="str">
        <f>'ALL(responses)'!E758</f>
        <v/>
      </c>
      <c r="F758" s="6"/>
      <c r="G758" s="6"/>
      <c r="H758" s="6"/>
      <c r="I758" s="6"/>
      <c r="J758" s="6"/>
      <c r="K758" s="6"/>
      <c r="L758" s="6"/>
      <c r="M758" s="6"/>
      <c r="N758" s="6"/>
      <c r="O758" s="6"/>
      <c r="P758" s="6"/>
      <c r="Q758" s="6"/>
      <c r="R758" s="6"/>
      <c r="S758" s="6"/>
    </row>
    <row r="759">
      <c r="A759" s="5" t="str">
        <f>'ALL(responses)'!A759</f>
        <v/>
      </c>
      <c r="B759" s="6" t="str">
        <f>'ALL(responses)'!B759</f>
        <v/>
      </c>
      <c r="C759" s="49" t="str">
        <f>'ALL(responses)'!C759</f>
        <v/>
      </c>
      <c r="D759" s="49" t="str">
        <f>'ALL(responses)'!D759</f>
        <v/>
      </c>
      <c r="E759" s="50" t="str">
        <f>'ALL(responses)'!E759</f>
        <v/>
      </c>
      <c r="F759" s="6"/>
      <c r="G759" s="6"/>
      <c r="H759" s="6"/>
      <c r="I759" s="6"/>
      <c r="J759" s="6"/>
      <c r="K759" s="6"/>
      <c r="L759" s="6"/>
      <c r="M759" s="6"/>
      <c r="N759" s="6"/>
      <c r="O759" s="6"/>
      <c r="P759" s="6"/>
      <c r="Q759" s="6"/>
      <c r="R759" s="6"/>
      <c r="S759" s="6"/>
    </row>
    <row r="760">
      <c r="A760" s="5" t="str">
        <f>'ALL(responses)'!A760</f>
        <v/>
      </c>
      <c r="B760" s="6" t="str">
        <f>'ALL(responses)'!B760</f>
        <v/>
      </c>
      <c r="C760" s="49" t="str">
        <f>'ALL(responses)'!C760</f>
        <v/>
      </c>
      <c r="D760" s="49" t="str">
        <f>'ALL(responses)'!D760</f>
        <v/>
      </c>
      <c r="E760" s="50" t="str">
        <f>'ALL(responses)'!E760</f>
        <v/>
      </c>
      <c r="F760" s="6"/>
      <c r="G760" s="6"/>
      <c r="H760" s="6"/>
      <c r="I760" s="6"/>
      <c r="J760" s="6"/>
      <c r="K760" s="6"/>
      <c r="L760" s="6"/>
      <c r="M760" s="6"/>
      <c r="N760" s="6"/>
      <c r="O760" s="6"/>
      <c r="P760" s="6"/>
      <c r="Q760" s="6"/>
      <c r="R760" s="6"/>
      <c r="S760" s="6"/>
    </row>
    <row r="761">
      <c r="A761" s="5" t="str">
        <f>'ALL(responses)'!A761</f>
        <v/>
      </c>
      <c r="B761" s="6" t="str">
        <f>'ALL(responses)'!B761</f>
        <v/>
      </c>
      <c r="C761" s="49" t="str">
        <f>'ALL(responses)'!C761</f>
        <v/>
      </c>
      <c r="D761" s="49" t="str">
        <f>'ALL(responses)'!D761</f>
        <v/>
      </c>
      <c r="E761" s="50" t="str">
        <f>'ALL(responses)'!E761</f>
        <v/>
      </c>
      <c r="F761" s="6"/>
      <c r="G761" s="6"/>
      <c r="H761" s="6"/>
      <c r="I761" s="6"/>
      <c r="J761" s="6"/>
      <c r="K761" s="6"/>
      <c r="L761" s="6"/>
      <c r="M761" s="6"/>
      <c r="N761" s="6"/>
      <c r="O761" s="6"/>
      <c r="P761" s="6"/>
      <c r="Q761" s="6"/>
      <c r="R761" s="6"/>
      <c r="S761" s="6"/>
    </row>
    <row r="762">
      <c r="A762" s="5" t="str">
        <f>'ALL(responses)'!A762</f>
        <v/>
      </c>
      <c r="B762" s="6" t="str">
        <f>'ALL(responses)'!B762</f>
        <v/>
      </c>
      <c r="C762" s="49" t="str">
        <f>'ALL(responses)'!C762</f>
        <v/>
      </c>
      <c r="D762" s="49" t="str">
        <f>'ALL(responses)'!D762</f>
        <v/>
      </c>
      <c r="E762" s="50" t="str">
        <f>'ALL(responses)'!E762</f>
        <v/>
      </c>
      <c r="F762" s="6"/>
      <c r="G762" s="6"/>
      <c r="H762" s="6"/>
      <c r="I762" s="6"/>
      <c r="J762" s="6"/>
      <c r="K762" s="6"/>
      <c r="L762" s="6"/>
      <c r="M762" s="6"/>
      <c r="N762" s="6"/>
      <c r="O762" s="6"/>
      <c r="P762" s="6"/>
      <c r="Q762" s="6"/>
      <c r="R762" s="6"/>
      <c r="S762" s="6"/>
    </row>
    <row r="763">
      <c r="A763" s="5" t="str">
        <f>'ALL(responses)'!A763</f>
        <v/>
      </c>
      <c r="B763" s="6" t="str">
        <f>'ALL(responses)'!B763</f>
        <v/>
      </c>
      <c r="C763" s="49" t="str">
        <f>'ALL(responses)'!C763</f>
        <v/>
      </c>
      <c r="D763" s="49" t="str">
        <f>'ALL(responses)'!D763</f>
        <v/>
      </c>
      <c r="E763" s="50" t="str">
        <f>'ALL(responses)'!E763</f>
        <v/>
      </c>
      <c r="F763" s="6"/>
      <c r="G763" s="6"/>
      <c r="H763" s="6"/>
      <c r="I763" s="6"/>
      <c r="J763" s="6"/>
      <c r="K763" s="6"/>
      <c r="L763" s="6"/>
      <c r="M763" s="6"/>
      <c r="N763" s="6"/>
      <c r="O763" s="6"/>
      <c r="P763" s="6"/>
      <c r="Q763" s="6"/>
      <c r="R763" s="6"/>
      <c r="S763" s="6"/>
    </row>
    <row r="764">
      <c r="A764" s="5" t="str">
        <f>'ALL(responses)'!A764</f>
        <v/>
      </c>
      <c r="B764" s="6" t="str">
        <f>'ALL(responses)'!B764</f>
        <v/>
      </c>
      <c r="C764" s="49" t="str">
        <f>'ALL(responses)'!C764</f>
        <v/>
      </c>
      <c r="D764" s="49" t="str">
        <f>'ALL(responses)'!D764</f>
        <v/>
      </c>
      <c r="E764" s="50" t="str">
        <f>'ALL(responses)'!E764</f>
        <v/>
      </c>
      <c r="F764" s="6"/>
      <c r="G764" s="6"/>
      <c r="H764" s="6"/>
      <c r="I764" s="6"/>
      <c r="J764" s="6"/>
      <c r="K764" s="6"/>
      <c r="L764" s="6"/>
      <c r="M764" s="6"/>
      <c r="N764" s="6"/>
      <c r="O764" s="6"/>
      <c r="P764" s="6"/>
      <c r="Q764" s="6"/>
      <c r="R764" s="6"/>
      <c r="S764" s="6"/>
    </row>
    <row r="765">
      <c r="A765" s="5" t="str">
        <f>'ALL(responses)'!A765</f>
        <v/>
      </c>
      <c r="B765" s="6" t="str">
        <f>'ALL(responses)'!B765</f>
        <v/>
      </c>
      <c r="C765" s="49" t="str">
        <f>'ALL(responses)'!C765</f>
        <v/>
      </c>
      <c r="D765" s="49" t="str">
        <f>'ALL(responses)'!D765</f>
        <v/>
      </c>
      <c r="E765" s="50" t="str">
        <f>'ALL(responses)'!E765</f>
        <v/>
      </c>
      <c r="F765" s="6"/>
      <c r="G765" s="6"/>
      <c r="H765" s="6"/>
      <c r="I765" s="6"/>
      <c r="J765" s="6"/>
      <c r="K765" s="6"/>
      <c r="L765" s="6"/>
      <c r="M765" s="6"/>
      <c r="N765" s="6"/>
      <c r="O765" s="6"/>
      <c r="P765" s="6"/>
      <c r="Q765" s="6"/>
      <c r="R765" s="6"/>
      <c r="S765" s="6"/>
    </row>
    <row r="766">
      <c r="A766" s="5" t="str">
        <f>'ALL(responses)'!A766</f>
        <v/>
      </c>
      <c r="B766" s="6" t="str">
        <f>'ALL(responses)'!B766</f>
        <v/>
      </c>
      <c r="C766" s="49" t="str">
        <f>'ALL(responses)'!C766</f>
        <v/>
      </c>
      <c r="D766" s="49" t="str">
        <f>'ALL(responses)'!D766</f>
        <v/>
      </c>
      <c r="E766" s="50" t="str">
        <f>'ALL(responses)'!E766</f>
        <v/>
      </c>
      <c r="F766" s="6"/>
      <c r="G766" s="6"/>
      <c r="H766" s="6"/>
      <c r="I766" s="6"/>
      <c r="J766" s="6"/>
      <c r="K766" s="6"/>
      <c r="L766" s="6"/>
      <c r="M766" s="6"/>
      <c r="N766" s="6"/>
      <c r="O766" s="6"/>
      <c r="P766" s="6"/>
      <c r="Q766" s="6"/>
      <c r="R766" s="6"/>
      <c r="S766" s="6"/>
    </row>
    <row r="767">
      <c r="A767" s="5" t="str">
        <f>'ALL(responses)'!A767</f>
        <v/>
      </c>
      <c r="B767" s="6" t="str">
        <f>'ALL(responses)'!B767</f>
        <v/>
      </c>
      <c r="C767" s="49" t="str">
        <f>'ALL(responses)'!C767</f>
        <v/>
      </c>
      <c r="D767" s="49" t="str">
        <f>'ALL(responses)'!D767</f>
        <v/>
      </c>
      <c r="E767" s="50" t="str">
        <f>'ALL(responses)'!E767</f>
        <v/>
      </c>
      <c r="F767" s="6"/>
      <c r="G767" s="6"/>
      <c r="H767" s="6"/>
      <c r="I767" s="6"/>
      <c r="J767" s="6"/>
      <c r="K767" s="6"/>
      <c r="L767" s="6"/>
      <c r="M767" s="6"/>
      <c r="N767" s="6"/>
      <c r="O767" s="6"/>
      <c r="P767" s="6"/>
      <c r="Q767" s="6"/>
      <c r="R767" s="6"/>
      <c r="S767" s="6"/>
    </row>
    <row r="768">
      <c r="A768" s="5" t="str">
        <f>'ALL(responses)'!A768</f>
        <v/>
      </c>
      <c r="B768" s="6" t="str">
        <f>'ALL(responses)'!B768</f>
        <v/>
      </c>
      <c r="C768" s="49" t="str">
        <f>'ALL(responses)'!C768</f>
        <v/>
      </c>
      <c r="D768" s="49" t="str">
        <f>'ALL(responses)'!D768</f>
        <v/>
      </c>
      <c r="E768" s="50" t="str">
        <f>'ALL(responses)'!E768</f>
        <v/>
      </c>
      <c r="F768" s="6"/>
      <c r="G768" s="6"/>
      <c r="H768" s="6"/>
      <c r="I768" s="6"/>
      <c r="J768" s="6"/>
      <c r="K768" s="6"/>
      <c r="L768" s="6"/>
      <c r="M768" s="6"/>
      <c r="N768" s="6"/>
      <c r="O768" s="6"/>
      <c r="P768" s="6"/>
      <c r="Q768" s="6"/>
      <c r="R768" s="6"/>
      <c r="S768" s="6"/>
    </row>
    <row r="769">
      <c r="A769" s="5" t="str">
        <f>'ALL(responses)'!A769</f>
        <v/>
      </c>
      <c r="B769" s="6" t="str">
        <f>'ALL(responses)'!B769</f>
        <v/>
      </c>
      <c r="C769" s="49" t="str">
        <f>'ALL(responses)'!C769</f>
        <v/>
      </c>
      <c r="D769" s="49" t="str">
        <f>'ALL(responses)'!D769</f>
        <v/>
      </c>
      <c r="E769" s="50" t="str">
        <f>'ALL(responses)'!E769</f>
        <v/>
      </c>
      <c r="F769" s="6"/>
      <c r="G769" s="6"/>
      <c r="H769" s="6"/>
      <c r="I769" s="6"/>
      <c r="J769" s="6"/>
      <c r="K769" s="6"/>
      <c r="L769" s="6"/>
      <c r="M769" s="6"/>
      <c r="N769" s="6"/>
      <c r="O769" s="6"/>
      <c r="P769" s="6"/>
      <c r="Q769" s="6"/>
      <c r="R769" s="6"/>
      <c r="S769" s="6"/>
    </row>
    <row r="770">
      <c r="A770" s="5" t="str">
        <f>'ALL(responses)'!A770</f>
        <v/>
      </c>
      <c r="B770" s="6" t="str">
        <f>'ALL(responses)'!B770</f>
        <v/>
      </c>
      <c r="C770" s="49" t="str">
        <f>'ALL(responses)'!C770</f>
        <v/>
      </c>
      <c r="D770" s="49" t="str">
        <f>'ALL(responses)'!D770</f>
        <v/>
      </c>
      <c r="E770" s="50" t="str">
        <f>'ALL(responses)'!E770</f>
        <v/>
      </c>
      <c r="F770" s="6"/>
      <c r="G770" s="6"/>
      <c r="H770" s="6"/>
      <c r="I770" s="6"/>
      <c r="J770" s="6"/>
      <c r="K770" s="6"/>
      <c r="L770" s="6"/>
      <c r="M770" s="6"/>
      <c r="N770" s="6"/>
      <c r="O770" s="6"/>
      <c r="P770" s="6"/>
      <c r="Q770" s="6"/>
      <c r="R770" s="6"/>
      <c r="S770" s="6"/>
    </row>
    <row r="771">
      <c r="A771" s="5" t="str">
        <f>'ALL(responses)'!A771</f>
        <v/>
      </c>
      <c r="B771" s="6" t="str">
        <f>'ALL(responses)'!B771</f>
        <v/>
      </c>
      <c r="C771" s="49" t="str">
        <f>'ALL(responses)'!C771</f>
        <v/>
      </c>
      <c r="D771" s="49" t="str">
        <f>'ALL(responses)'!D771</f>
        <v/>
      </c>
      <c r="E771" s="50" t="str">
        <f>'ALL(responses)'!E771</f>
        <v/>
      </c>
      <c r="F771" s="6"/>
      <c r="G771" s="6"/>
      <c r="H771" s="6"/>
      <c r="I771" s="6"/>
      <c r="J771" s="6"/>
      <c r="K771" s="6"/>
      <c r="L771" s="6"/>
      <c r="M771" s="6"/>
      <c r="N771" s="6"/>
      <c r="O771" s="6"/>
      <c r="P771" s="6"/>
      <c r="Q771" s="6"/>
      <c r="R771" s="6"/>
      <c r="S771" s="6"/>
    </row>
    <row r="772">
      <c r="A772" s="5" t="str">
        <f>'ALL(responses)'!A772</f>
        <v/>
      </c>
      <c r="B772" s="6" t="str">
        <f>'ALL(responses)'!B772</f>
        <v/>
      </c>
      <c r="C772" s="49" t="str">
        <f>'ALL(responses)'!C772</f>
        <v/>
      </c>
      <c r="D772" s="49" t="str">
        <f>'ALL(responses)'!D772</f>
        <v/>
      </c>
      <c r="E772" s="50" t="str">
        <f>'ALL(responses)'!E772</f>
        <v/>
      </c>
      <c r="F772" s="6"/>
      <c r="G772" s="6"/>
      <c r="H772" s="6"/>
      <c r="I772" s="6"/>
      <c r="J772" s="6"/>
      <c r="K772" s="6"/>
      <c r="L772" s="6"/>
      <c r="M772" s="6"/>
      <c r="N772" s="6"/>
      <c r="O772" s="6"/>
      <c r="P772" s="6"/>
      <c r="Q772" s="6"/>
      <c r="R772" s="6"/>
      <c r="S772" s="6"/>
    </row>
    <row r="773">
      <c r="A773" s="5" t="str">
        <f>'ALL(responses)'!A773</f>
        <v/>
      </c>
      <c r="B773" s="6" t="str">
        <f>'ALL(responses)'!B773</f>
        <v/>
      </c>
      <c r="C773" s="49" t="str">
        <f>'ALL(responses)'!C773</f>
        <v/>
      </c>
      <c r="D773" s="49" t="str">
        <f>'ALL(responses)'!D773</f>
        <v/>
      </c>
      <c r="E773" s="50" t="str">
        <f>'ALL(responses)'!E773</f>
        <v/>
      </c>
      <c r="F773" s="6"/>
      <c r="G773" s="6"/>
      <c r="H773" s="6"/>
      <c r="I773" s="6"/>
      <c r="J773" s="6"/>
      <c r="K773" s="6"/>
      <c r="L773" s="6"/>
      <c r="M773" s="6"/>
      <c r="N773" s="6"/>
      <c r="O773" s="6"/>
      <c r="P773" s="6"/>
      <c r="Q773" s="6"/>
      <c r="R773" s="6"/>
      <c r="S773" s="6"/>
    </row>
    <row r="774">
      <c r="A774" s="5" t="str">
        <f>'ALL(responses)'!A774</f>
        <v/>
      </c>
      <c r="B774" s="6" t="str">
        <f>'ALL(responses)'!B774</f>
        <v/>
      </c>
      <c r="C774" s="49" t="str">
        <f>'ALL(responses)'!C774</f>
        <v/>
      </c>
      <c r="D774" s="49" t="str">
        <f>'ALL(responses)'!D774</f>
        <v/>
      </c>
      <c r="E774" s="50" t="str">
        <f>'ALL(responses)'!E774</f>
        <v/>
      </c>
      <c r="F774" s="6"/>
      <c r="G774" s="6"/>
      <c r="H774" s="6"/>
      <c r="I774" s="6"/>
      <c r="J774" s="6"/>
      <c r="K774" s="6"/>
      <c r="L774" s="6"/>
      <c r="M774" s="6"/>
      <c r="N774" s="6"/>
      <c r="O774" s="6"/>
      <c r="P774" s="6"/>
      <c r="Q774" s="6"/>
      <c r="R774" s="6"/>
      <c r="S774" s="6"/>
    </row>
    <row r="775">
      <c r="A775" s="5" t="str">
        <f>'ALL(responses)'!A775</f>
        <v/>
      </c>
      <c r="B775" s="6" t="str">
        <f>'ALL(responses)'!B775</f>
        <v/>
      </c>
      <c r="C775" s="49" t="str">
        <f>'ALL(responses)'!C775</f>
        <v/>
      </c>
      <c r="D775" s="49" t="str">
        <f>'ALL(responses)'!D775</f>
        <v/>
      </c>
      <c r="E775" s="50" t="str">
        <f>'ALL(responses)'!E775</f>
        <v/>
      </c>
      <c r="F775" s="6"/>
      <c r="G775" s="6"/>
      <c r="H775" s="6"/>
      <c r="I775" s="6"/>
      <c r="J775" s="6"/>
      <c r="K775" s="6"/>
      <c r="L775" s="6"/>
      <c r="M775" s="6"/>
      <c r="N775" s="6"/>
      <c r="O775" s="6"/>
      <c r="P775" s="6"/>
      <c r="Q775" s="6"/>
      <c r="R775" s="6"/>
      <c r="S775" s="6"/>
    </row>
    <row r="776">
      <c r="A776" s="5" t="str">
        <f>'ALL(responses)'!A776</f>
        <v/>
      </c>
      <c r="B776" s="6" t="str">
        <f>'ALL(responses)'!B776</f>
        <v/>
      </c>
      <c r="C776" s="49" t="str">
        <f>'ALL(responses)'!C776</f>
        <v/>
      </c>
      <c r="D776" s="49" t="str">
        <f>'ALL(responses)'!D776</f>
        <v/>
      </c>
      <c r="E776" s="50" t="str">
        <f>'ALL(responses)'!E776</f>
        <v/>
      </c>
      <c r="F776" s="6"/>
      <c r="G776" s="6"/>
      <c r="H776" s="6"/>
      <c r="I776" s="6"/>
      <c r="J776" s="6"/>
      <c r="K776" s="6"/>
      <c r="L776" s="6"/>
      <c r="M776" s="6"/>
      <c r="N776" s="6"/>
      <c r="O776" s="6"/>
      <c r="P776" s="6"/>
      <c r="Q776" s="6"/>
      <c r="R776" s="6"/>
      <c r="S776" s="6"/>
    </row>
    <row r="777">
      <c r="A777" s="5" t="str">
        <f>'ALL(responses)'!A777</f>
        <v/>
      </c>
      <c r="B777" s="6" t="str">
        <f>'ALL(responses)'!B777</f>
        <v/>
      </c>
      <c r="C777" s="49" t="str">
        <f>'ALL(responses)'!C777</f>
        <v/>
      </c>
      <c r="D777" s="49" t="str">
        <f>'ALL(responses)'!D777</f>
        <v/>
      </c>
      <c r="E777" s="49" t="str">
        <f>'ALL(responses)'!E777</f>
        <v/>
      </c>
      <c r="F777" s="6"/>
      <c r="G777" s="6"/>
      <c r="H777" s="6"/>
      <c r="I777" s="6"/>
      <c r="J777" s="6"/>
      <c r="K777" s="6"/>
      <c r="L777" s="6"/>
      <c r="M777" s="6"/>
      <c r="N777" s="6"/>
      <c r="O777" s="6"/>
      <c r="P777" s="6"/>
      <c r="Q777" s="6"/>
      <c r="R777" s="6"/>
      <c r="S777" s="6"/>
    </row>
    <row r="778">
      <c r="A778" s="5" t="str">
        <f>'ALL(responses)'!A778</f>
        <v/>
      </c>
      <c r="B778" s="6" t="str">
        <f>'ALL(responses)'!B778</f>
        <v/>
      </c>
      <c r="C778" s="49" t="str">
        <f>'ALL(responses)'!C778</f>
        <v/>
      </c>
      <c r="D778" s="49" t="str">
        <f>'ALL(responses)'!D778</f>
        <v/>
      </c>
      <c r="E778" s="50" t="str">
        <f>'ALL(responses)'!E778</f>
        <v/>
      </c>
      <c r="F778" s="6"/>
      <c r="G778" s="6"/>
      <c r="H778" s="6"/>
      <c r="I778" s="6"/>
      <c r="J778" s="6"/>
      <c r="K778" s="6"/>
      <c r="L778" s="6"/>
      <c r="M778" s="6"/>
      <c r="N778" s="6"/>
      <c r="O778" s="6"/>
      <c r="P778" s="6"/>
      <c r="Q778" s="6"/>
      <c r="R778" s="6"/>
      <c r="S778" s="6"/>
    </row>
    <row r="779">
      <c r="A779" s="5" t="str">
        <f>'ALL(responses)'!A779</f>
        <v/>
      </c>
      <c r="B779" s="6" t="str">
        <f>'ALL(responses)'!B779</f>
        <v/>
      </c>
      <c r="C779" s="49" t="str">
        <f>'ALL(responses)'!C779</f>
        <v/>
      </c>
      <c r="D779" s="49" t="str">
        <f>'ALL(responses)'!D779</f>
        <v/>
      </c>
      <c r="E779" s="50" t="str">
        <f>'ALL(responses)'!E779</f>
        <v/>
      </c>
      <c r="F779" s="6"/>
      <c r="G779" s="6"/>
      <c r="H779" s="6"/>
      <c r="I779" s="6"/>
      <c r="J779" s="6"/>
      <c r="K779" s="6"/>
      <c r="L779" s="6"/>
      <c r="M779" s="6"/>
      <c r="N779" s="6"/>
      <c r="O779" s="6"/>
      <c r="P779" s="6"/>
      <c r="Q779" s="6"/>
      <c r="R779" s="6"/>
      <c r="S779" s="6"/>
    </row>
    <row r="780">
      <c r="A780" s="5" t="str">
        <f>'ALL(responses)'!A780</f>
        <v/>
      </c>
      <c r="B780" s="6" t="str">
        <f>'ALL(responses)'!B780</f>
        <v/>
      </c>
      <c r="C780" s="49" t="str">
        <f>'ALL(responses)'!C780</f>
        <v/>
      </c>
      <c r="D780" s="49" t="str">
        <f>'ALL(responses)'!D780</f>
        <v/>
      </c>
      <c r="E780" s="50" t="str">
        <f>'ALL(responses)'!E780</f>
        <v/>
      </c>
      <c r="F780" s="6"/>
      <c r="G780" s="6"/>
      <c r="H780" s="6"/>
      <c r="I780" s="6"/>
      <c r="J780" s="6"/>
      <c r="K780" s="6"/>
      <c r="L780" s="6"/>
      <c r="M780" s="6"/>
      <c r="N780" s="6"/>
      <c r="O780" s="6"/>
      <c r="P780" s="6"/>
      <c r="Q780" s="6"/>
      <c r="R780" s="6"/>
      <c r="S780" s="6"/>
    </row>
    <row r="781">
      <c r="A781" s="5" t="str">
        <f>'ALL(responses)'!A781</f>
        <v/>
      </c>
      <c r="B781" s="6" t="str">
        <f>'ALL(responses)'!B781</f>
        <v/>
      </c>
      <c r="C781" s="49" t="str">
        <f>'ALL(responses)'!C781</f>
        <v/>
      </c>
      <c r="D781" s="49" t="str">
        <f>'ALL(responses)'!D781</f>
        <v/>
      </c>
      <c r="E781" s="50" t="str">
        <f>'ALL(responses)'!E781</f>
        <v/>
      </c>
      <c r="F781" s="6"/>
      <c r="G781" s="6"/>
      <c r="H781" s="6"/>
      <c r="I781" s="6"/>
      <c r="J781" s="6"/>
      <c r="K781" s="6"/>
      <c r="L781" s="6"/>
      <c r="M781" s="6"/>
      <c r="N781" s="6"/>
      <c r="O781" s="6"/>
      <c r="P781" s="6"/>
      <c r="Q781" s="6"/>
      <c r="R781" s="6"/>
      <c r="S781" s="6"/>
    </row>
    <row r="782">
      <c r="A782" s="5" t="str">
        <f>'ALL(responses)'!A782</f>
        <v/>
      </c>
      <c r="B782" s="6" t="str">
        <f>'ALL(responses)'!B782</f>
        <v/>
      </c>
      <c r="C782" s="49" t="str">
        <f>'ALL(responses)'!C782</f>
        <v/>
      </c>
      <c r="D782" s="49" t="str">
        <f>'ALL(responses)'!D782</f>
        <v/>
      </c>
      <c r="E782" s="50" t="str">
        <f>'ALL(responses)'!E782</f>
        <v/>
      </c>
      <c r="F782" s="6"/>
      <c r="G782" s="6"/>
      <c r="H782" s="6"/>
      <c r="I782" s="6"/>
      <c r="J782" s="6"/>
      <c r="K782" s="6"/>
      <c r="L782" s="6"/>
      <c r="M782" s="6"/>
      <c r="N782" s="6"/>
      <c r="O782" s="6"/>
      <c r="P782" s="6"/>
      <c r="Q782" s="6"/>
      <c r="R782" s="6"/>
      <c r="S782" s="6"/>
    </row>
    <row r="783">
      <c r="A783" s="5" t="str">
        <f>'ALL(responses)'!A783</f>
        <v/>
      </c>
      <c r="B783" s="6" t="str">
        <f>'ALL(responses)'!B783</f>
        <v/>
      </c>
      <c r="C783" s="49" t="str">
        <f>'ALL(responses)'!C783</f>
        <v/>
      </c>
      <c r="D783" s="49" t="str">
        <f>'ALL(responses)'!D783</f>
        <v/>
      </c>
      <c r="E783" s="50" t="str">
        <f>'ALL(responses)'!E783</f>
        <v/>
      </c>
      <c r="F783" s="6"/>
      <c r="G783" s="6"/>
      <c r="H783" s="6"/>
      <c r="I783" s="6"/>
      <c r="J783" s="6"/>
      <c r="K783" s="6"/>
      <c r="L783" s="6"/>
      <c r="M783" s="6"/>
      <c r="N783" s="6"/>
      <c r="O783" s="6"/>
      <c r="P783" s="6"/>
      <c r="Q783" s="6"/>
      <c r="R783" s="6"/>
      <c r="S783" s="6"/>
    </row>
    <row r="784">
      <c r="A784" s="5" t="str">
        <f>'ALL(responses)'!A784</f>
        <v/>
      </c>
      <c r="B784" s="6" t="str">
        <f>'ALL(responses)'!B784</f>
        <v/>
      </c>
      <c r="C784" s="49" t="str">
        <f>'ALL(responses)'!C784</f>
        <v/>
      </c>
      <c r="D784" s="49" t="str">
        <f>'ALL(responses)'!D784</f>
        <v/>
      </c>
      <c r="E784" s="50" t="str">
        <f>'ALL(responses)'!E784</f>
        <v/>
      </c>
      <c r="F784" s="6"/>
      <c r="G784" s="6"/>
      <c r="H784" s="6"/>
      <c r="I784" s="6"/>
      <c r="J784" s="6"/>
      <c r="K784" s="6"/>
      <c r="L784" s="6"/>
      <c r="M784" s="6"/>
      <c r="N784" s="6"/>
      <c r="O784" s="6"/>
      <c r="P784" s="6"/>
      <c r="Q784" s="6"/>
      <c r="R784" s="6"/>
      <c r="S784" s="6"/>
    </row>
    <row r="785">
      <c r="A785" s="5" t="str">
        <f>'ALL(responses)'!A785</f>
        <v/>
      </c>
      <c r="B785" s="6" t="str">
        <f>'ALL(responses)'!B785</f>
        <v/>
      </c>
      <c r="C785" s="49" t="str">
        <f>'ALL(responses)'!C785</f>
        <v/>
      </c>
      <c r="D785" s="49" t="str">
        <f>'ALL(responses)'!D785</f>
        <v/>
      </c>
      <c r="E785" s="50" t="str">
        <f>'ALL(responses)'!E785</f>
        <v/>
      </c>
      <c r="F785" s="6"/>
      <c r="G785" s="6"/>
      <c r="H785" s="6"/>
      <c r="I785" s="6"/>
      <c r="J785" s="6"/>
      <c r="K785" s="6"/>
      <c r="L785" s="6"/>
      <c r="M785" s="6"/>
      <c r="N785" s="6"/>
      <c r="O785" s="6"/>
      <c r="P785" s="6"/>
      <c r="Q785" s="6"/>
      <c r="R785" s="6"/>
      <c r="S785" s="6"/>
    </row>
    <row r="786">
      <c r="A786" s="5" t="str">
        <f>'ALL(responses)'!A786</f>
        <v/>
      </c>
      <c r="B786" s="6" t="str">
        <f>'ALL(responses)'!B786</f>
        <v/>
      </c>
      <c r="C786" s="49" t="str">
        <f>'ALL(responses)'!C786</f>
        <v/>
      </c>
      <c r="D786" s="49" t="str">
        <f>'ALL(responses)'!D786</f>
        <v/>
      </c>
      <c r="E786" s="50" t="str">
        <f>'ALL(responses)'!E786</f>
        <v/>
      </c>
      <c r="F786" s="6"/>
      <c r="G786" s="6"/>
      <c r="H786" s="6"/>
      <c r="I786" s="6"/>
      <c r="J786" s="6"/>
      <c r="K786" s="6"/>
      <c r="L786" s="6"/>
      <c r="M786" s="6"/>
      <c r="N786" s="6"/>
      <c r="O786" s="6"/>
      <c r="P786" s="6"/>
      <c r="Q786" s="6"/>
      <c r="R786" s="6"/>
      <c r="S786" s="6"/>
    </row>
    <row r="787">
      <c r="A787" s="5" t="str">
        <f>'ALL(responses)'!A787</f>
        <v/>
      </c>
      <c r="B787" s="6" t="str">
        <f>'ALL(responses)'!B787</f>
        <v/>
      </c>
      <c r="C787" s="49" t="str">
        <f>'ALL(responses)'!C787</f>
        <v/>
      </c>
      <c r="D787" s="49" t="str">
        <f>'ALL(responses)'!D787</f>
        <v/>
      </c>
      <c r="E787" s="50" t="str">
        <f>'ALL(responses)'!E787</f>
        <v/>
      </c>
      <c r="F787" s="6"/>
      <c r="G787" s="6"/>
      <c r="H787" s="6"/>
      <c r="I787" s="6"/>
      <c r="J787" s="6"/>
      <c r="K787" s="6"/>
      <c r="L787" s="6"/>
      <c r="M787" s="6"/>
      <c r="N787" s="6"/>
      <c r="O787" s="6"/>
      <c r="P787" s="6"/>
      <c r="Q787" s="6"/>
      <c r="R787" s="6"/>
      <c r="S787" s="6"/>
    </row>
    <row r="788">
      <c r="A788" s="5" t="str">
        <f>'ALL(responses)'!A788</f>
        <v/>
      </c>
      <c r="B788" s="6" t="str">
        <f>'ALL(responses)'!B788</f>
        <v/>
      </c>
      <c r="C788" s="49" t="str">
        <f>'ALL(responses)'!C788</f>
        <v/>
      </c>
      <c r="D788" s="49" t="str">
        <f>'ALL(responses)'!D788</f>
        <v/>
      </c>
      <c r="E788" s="50" t="str">
        <f>'ALL(responses)'!E788</f>
        <v/>
      </c>
      <c r="F788" s="6"/>
      <c r="G788" s="6"/>
      <c r="H788" s="6"/>
      <c r="I788" s="6"/>
      <c r="J788" s="6"/>
      <c r="K788" s="6"/>
      <c r="L788" s="6"/>
      <c r="M788" s="6"/>
      <c r="N788" s="6"/>
      <c r="O788" s="6"/>
      <c r="P788" s="6"/>
      <c r="Q788" s="6"/>
      <c r="R788" s="6"/>
      <c r="S788" s="6"/>
    </row>
    <row r="789">
      <c r="A789" s="5" t="str">
        <f>'ALL(responses)'!A789</f>
        <v/>
      </c>
      <c r="B789" s="6" t="str">
        <f>'ALL(responses)'!B789</f>
        <v/>
      </c>
      <c r="C789" s="49" t="str">
        <f>'ALL(responses)'!C789</f>
        <v/>
      </c>
      <c r="D789" s="49" t="str">
        <f>'ALL(responses)'!D789</f>
        <v/>
      </c>
      <c r="E789" s="50" t="str">
        <f>'ALL(responses)'!E789</f>
        <v/>
      </c>
      <c r="F789" s="6"/>
      <c r="G789" s="6"/>
      <c r="H789" s="6"/>
      <c r="I789" s="6"/>
      <c r="J789" s="6"/>
      <c r="K789" s="6"/>
      <c r="L789" s="6"/>
      <c r="M789" s="6"/>
      <c r="N789" s="6"/>
      <c r="O789" s="6"/>
      <c r="P789" s="6"/>
      <c r="Q789" s="6"/>
      <c r="R789" s="6"/>
      <c r="S789" s="6"/>
    </row>
    <row r="790">
      <c r="A790" s="5" t="str">
        <f>'ALL(responses)'!A790</f>
        <v/>
      </c>
      <c r="B790" s="6" t="str">
        <f>'ALL(responses)'!B790</f>
        <v/>
      </c>
      <c r="C790" s="49" t="str">
        <f>'ALL(responses)'!C790</f>
        <v/>
      </c>
      <c r="D790" s="49" t="str">
        <f>'ALL(responses)'!D790</f>
        <v/>
      </c>
      <c r="E790" s="50" t="str">
        <f>'ALL(responses)'!E790</f>
        <v/>
      </c>
      <c r="F790" s="6"/>
      <c r="G790" s="6"/>
      <c r="H790" s="6"/>
      <c r="I790" s="6"/>
      <c r="J790" s="6"/>
      <c r="K790" s="6"/>
      <c r="L790" s="6"/>
      <c r="M790" s="6"/>
      <c r="N790" s="6"/>
      <c r="O790" s="6"/>
      <c r="P790" s="6"/>
      <c r="Q790" s="6"/>
      <c r="R790" s="6"/>
      <c r="S790" s="6"/>
    </row>
    <row r="791">
      <c r="A791" s="5" t="str">
        <f>'ALL(responses)'!A791</f>
        <v/>
      </c>
      <c r="B791" s="6" t="str">
        <f>'ALL(responses)'!B791</f>
        <v/>
      </c>
      <c r="C791" s="49" t="str">
        <f>'ALL(responses)'!C791</f>
        <v/>
      </c>
      <c r="D791" s="49" t="str">
        <f>'ALL(responses)'!D791</f>
        <v/>
      </c>
      <c r="E791" s="50" t="str">
        <f>'ALL(responses)'!E791</f>
        <v/>
      </c>
      <c r="F791" s="6"/>
      <c r="G791" s="6"/>
      <c r="H791" s="6"/>
      <c r="I791" s="6"/>
      <c r="J791" s="6"/>
      <c r="K791" s="6"/>
      <c r="L791" s="6"/>
      <c r="M791" s="6"/>
      <c r="N791" s="6"/>
      <c r="O791" s="6"/>
      <c r="P791" s="6"/>
      <c r="Q791" s="6"/>
      <c r="R791" s="6"/>
      <c r="S791" s="6"/>
    </row>
    <row r="792">
      <c r="A792" s="5" t="str">
        <f>'ALL(responses)'!A792</f>
        <v/>
      </c>
      <c r="B792" s="6" t="str">
        <f>'ALL(responses)'!B792</f>
        <v/>
      </c>
      <c r="C792" s="49" t="str">
        <f>'ALL(responses)'!C792</f>
        <v/>
      </c>
      <c r="D792" s="49" t="str">
        <f>'ALL(responses)'!D792</f>
        <v/>
      </c>
      <c r="E792" s="50" t="str">
        <f>'ALL(responses)'!E792</f>
        <v/>
      </c>
      <c r="F792" s="6"/>
      <c r="G792" s="6"/>
      <c r="H792" s="6"/>
      <c r="I792" s="6"/>
      <c r="J792" s="6"/>
      <c r="K792" s="6"/>
      <c r="L792" s="6"/>
      <c r="M792" s="6"/>
      <c r="N792" s="6"/>
      <c r="O792" s="6"/>
      <c r="P792" s="6"/>
      <c r="Q792" s="6"/>
      <c r="R792" s="6"/>
      <c r="S792" s="6"/>
    </row>
    <row r="793">
      <c r="A793" s="5" t="str">
        <f>'ALL(responses)'!A793</f>
        <v/>
      </c>
      <c r="B793" s="6" t="str">
        <f>'ALL(responses)'!B793</f>
        <v/>
      </c>
      <c r="C793" s="49" t="str">
        <f>'ALL(responses)'!C793</f>
        <v/>
      </c>
      <c r="D793" s="49" t="str">
        <f>'ALL(responses)'!D793</f>
        <v/>
      </c>
      <c r="E793" s="50" t="str">
        <f>'ALL(responses)'!E793</f>
        <v/>
      </c>
      <c r="F793" s="6"/>
      <c r="G793" s="6"/>
      <c r="H793" s="6"/>
      <c r="I793" s="6"/>
      <c r="J793" s="6"/>
      <c r="K793" s="6"/>
      <c r="L793" s="6"/>
      <c r="M793" s="6"/>
      <c r="N793" s="6"/>
      <c r="O793" s="6"/>
      <c r="P793" s="6"/>
      <c r="Q793" s="6"/>
      <c r="R793" s="6"/>
      <c r="S793" s="6"/>
    </row>
    <row r="794">
      <c r="A794" s="5" t="str">
        <f>'ALL(responses)'!A794</f>
        <v/>
      </c>
      <c r="B794" s="6" t="str">
        <f>'ALL(responses)'!B794</f>
        <v/>
      </c>
      <c r="C794" s="49" t="str">
        <f>'ALL(responses)'!C794</f>
        <v/>
      </c>
      <c r="D794" s="49" t="str">
        <f>'ALL(responses)'!D794</f>
        <v/>
      </c>
      <c r="E794" s="50" t="str">
        <f>'ALL(responses)'!E794</f>
        <v/>
      </c>
      <c r="F794" s="6"/>
      <c r="G794" s="6"/>
      <c r="H794" s="6"/>
      <c r="I794" s="6"/>
      <c r="J794" s="6"/>
      <c r="K794" s="6"/>
      <c r="L794" s="6"/>
      <c r="M794" s="6"/>
      <c r="N794" s="6"/>
      <c r="O794" s="6"/>
      <c r="P794" s="6"/>
      <c r="Q794" s="6"/>
      <c r="R794" s="6"/>
      <c r="S794" s="6"/>
    </row>
    <row r="795">
      <c r="A795" s="5" t="str">
        <f>'ALL(responses)'!A795</f>
        <v/>
      </c>
      <c r="B795" s="6" t="str">
        <f>'ALL(responses)'!B795</f>
        <v/>
      </c>
      <c r="C795" s="49" t="str">
        <f>'ALL(responses)'!C795</f>
        <v/>
      </c>
      <c r="D795" s="49" t="str">
        <f>'ALL(responses)'!D795</f>
        <v/>
      </c>
      <c r="E795" s="50" t="str">
        <f>'ALL(responses)'!E795</f>
        <v/>
      </c>
      <c r="F795" s="6"/>
      <c r="G795" s="6"/>
      <c r="H795" s="6"/>
      <c r="I795" s="6"/>
      <c r="J795" s="6"/>
      <c r="K795" s="6"/>
      <c r="L795" s="6"/>
      <c r="M795" s="6"/>
      <c r="N795" s="6"/>
      <c r="O795" s="6"/>
      <c r="P795" s="6"/>
      <c r="Q795" s="6"/>
      <c r="R795" s="6"/>
      <c r="S795" s="6"/>
    </row>
    <row r="796">
      <c r="A796" s="5" t="str">
        <f>'ALL(responses)'!A796</f>
        <v/>
      </c>
      <c r="B796" s="6" t="str">
        <f>'ALL(responses)'!B796</f>
        <v/>
      </c>
      <c r="C796" s="49" t="str">
        <f>'ALL(responses)'!C796</f>
        <v/>
      </c>
      <c r="D796" s="49" t="str">
        <f>'ALL(responses)'!D796</f>
        <v/>
      </c>
      <c r="E796" s="50" t="str">
        <f>'ALL(responses)'!E796</f>
        <v/>
      </c>
      <c r="F796" s="6"/>
      <c r="G796" s="6"/>
      <c r="H796" s="6"/>
      <c r="I796" s="6"/>
      <c r="J796" s="6"/>
      <c r="K796" s="6"/>
      <c r="L796" s="6"/>
      <c r="M796" s="6"/>
      <c r="N796" s="6"/>
      <c r="O796" s="6"/>
      <c r="P796" s="6"/>
      <c r="Q796" s="6"/>
      <c r="R796" s="6"/>
      <c r="S796" s="6"/>
    </row>
    <row r="797">
      <c r="A797" s="5" t="str">
        <f>'ALL(responses)'!A797</f>
        <v/>
      </c>
      <c r="B797" s="6" t="str">
        <f>'ALL(responses)'!B797</f>
        <v/>
      </c>
      <c r="C797" s="49" t="str">
        <f>'ALL(responses)'!C797</f>
        <v/>
      </c>
      <c r="D797" s="49" t="str">
        <f>'ALL(responses)'!D797</f>
        <v/>
      </c>
      <c r="E797" s="50" t="str">
        <f>'ALL(responses)'!E797</f>
        <v/>
      </c>
      <c r="F797" s="6"/>
      <c r="G797" s="6"/>
      <c r="H797" s="6"/>
      <c r="I797" s="6"/>
      <c r="J797" s="6"/>
      <c r="K797" s="6"/>
      <c r="L797" s="6"/>
      <c r="M797" s="6"/>
      <c r="N797" s="6"/>
      <c r="O797" s="6"/>
      <c r="P797" s="6"/>
      <c r="Q797" s="6"/>
      <c r="R797" s="6"/>
      <c r="S797" s="6"/>
    </row>
    <row r="798">
      <c r="A798" s="5" t="str">
        <f>'ALL(responses)'!A798</f>
        <v/>
      </c>
      <c r="B798" s="6" t="str">
        <f>'ALL(responses)'!B798</f>
        <v/>
      </c>
      <c r="C798" s="49" t="str">
        <f>'ALL(responses)'!C798</f>
        <v/>
      </c>
      <c r="D798" s="49" t="str">
        <f>'ALL(responses)'!D798</f>
        <v/>
      </c>
      <c r="E798" s="50" t="str">
        <f>'ALL(responses)'!E798</f>
        <v/>
      </c>
      <c r="F798" s="6"/>
      <c r="G798" s="6"/>
      <c r="H798" s="6"/>
      <c r="I798" s="6"/>
      <c r="J798" s="6"/>
      <c r="K798" s="6"/>
      <c r="L798" s="6"/>
      <c r="M798" s="6"/>
      <c r="N798" s="6"/>
      <c r="O798" s="6"/>
      <c r="P798" s="6"/>
      <c r="Q798" s="6"/>
      <c r="R798" s="6"/>
      <c r="S798" s="6"/>
    </row>
    <row r="799">
      <c r="A799" s="5" t="str">
        <f>'ALL(responses)'!A799</f>
        <v/>
      </c>
      <c r="B799" s="6" t="str">
        <f>'ALL(responses)'!B799</f>
        <v/>
      </c>
      <c r="C799" s="49" t="str">
        <f>'ALL(responses)'!C799</f>
        <v/>
      </c>
      <c r="D799" s="49" t="str">
        <f>'ALL(responses)'!D799</f>
        <v/>
      </c>
      <c r="E799" s="50" t="str">
        <f>'ALL(responses)'!E799</f>
        <v/>
      </c>
      <c r="F799" s="6"/>
      <c r="G799" s="6"/>
      <c r="H799" s="6"/>
      <c r="I799" s="6"/>
      <c r="J799" s="6"/>
      <c r="K799" s="6"/>
      <c r="L799" s="6"/>
      <c r="M799" s="6"/>
      <c r="N799" s="6"/>
      <c r="O799" s="6"/>
      <c r="P799" s="6"/>
      <c r="Q799" s="6"/>
      <c r="R799" s="6"/>
      <c r="S799" s="6"/>
    </row>
    <row r="800">
      <c r="A800" s="5" t="str">
        <f>'ALL(responses)'!A800</f>
        <v/>
      </c>
      <c r="B800" s="6" t="str">
        <f>'ALL(responses)'!B800</f>
        <v/>
      </c>
      <c r="C800" s="49" t="str">
        <f>'ALL(responses)'!C800</f>
        <v/>
      </c>
      <c r="D800" s="49" t="str">
        <f>'ALL(responses)'!D800</f>
        <v/>
      </c>
      <c r="E800" s="50" t="str">
        <f>'ALL(responses)'!E800</f>
        <v/>
      </c>
      <c r="F800" s="6"/>
      <c r="G800" s="6"/>
      <c r="H800" s="6"/>
      <c r="I800" s="6"/>
      <c r="J800" s="6"/>
      <c r="K800" s="6"/>
      <c r="L800" s="6"/>
      <c r="M800" s="6"/>
      <c r="N800" s="6"/>
      <c r="O800" s="6"/>
      <c r="P800" s="6"/>
      <c r="Q800" s="6"/>
      <c r="R800" s="6"/>
      <c r="S800" s="6"/>
    </row>
    <row r="801">
      <c r="A801" s="5" t="str">
        <f>'ALL(responses)'!A801</f>
        <v/>
      </c>
      <c r="B801" s="6" t="str">
        <f>'ALL(responses)'!B801</f>
        <v/>
      </c>
      <c r="C801" s="49" t="str">
        <f>'ALL(responses)'!C801</f>
        <v/>
      </c>
      <c r="D801" s="49" t="str">
        <f>'ALL(responses)'!D801</f>
        <v/>
      </c>
      <c r="E801" s="50" t="str">
        <f>'ALL(responses)'!E801</f>
        <v/>
      </c>
      <c r="F801" s="6"/>
      <c r="G801" s="6"/>
      <c r="H801" s="6"/>
      <c r="I801" s="6"/>
      <c r="J801" s="6"/>
      <c r="K801" s="6"/>
      <c r="L801" s="6"/>
      <c r="M801" s="6"/>
      <c r="N801" s="6"/>
      <c r="O801" s="6"/>
      <c r="P801" s="6"/>
      <c r="Q801" s="6"/>
      <c r="R801" s="6"/>
      <c r="S801" s="6"/>
    </row>
    <row r="802">
      <c r="A802" s="5" t="str">
        <f>'ALL(responses)'!A802</f>
        <v/>
      </c>
      <c r="B802" s="6" t="str">
        <f>'ALL(responses)'!B802</f>
        <v/>
      </c>
      <c r="C802" s="49" t="str">
        <f>'ALL(responses)'!C802</f>
        <v/>
      </c>
      <c r="D802" s="49" t="str">
        <f>'ALL(responses)'!D802</f>
        <v/>
      </c>
      <c r="E802" s="50" t="str">
        <f>'ALL(responses)'!E802</f>
        <v/>
      </c>
      <c r="F802" s="6"/>
      <c r="G802" s="6"/>
      <c r="H802" s="6"/>
      <c r="I802" s="6"/>
      <c r="J802" s="6"/>
      <c r="K802" s="6"/>
      <c r="L802" s="6"/>
      <c r="M802" s="6"/>
      <c r="N802" s="6"/>
      <c r="O802" s="6"/>
      <c r="P802" s="6"/>
      <c r="Q802" s="6"/>
      <c r="R802" s="6"/>
      <c r="S802" s="6"/>
    </row>
    <row r="803">
      <c r="A803" s="5" t="str">
        <f>'ALL(responses)'!A803</f>
        <v/>
      </c>
      <c r="B803" s="6" t="str">
        <f>'ALL(responses)'!B803</f>
        <v/>
      </c>
      <c r="C803" s="49" t="str">
        <f>'ALL(responses)'!C803</f>
        <v/>
      </c>
      <c r="D803" s="49" t="str">
        <f>'ALL(responses)'!D803</f>
        <v/>
      </c>
      <c r="E803" s="50" t="str">
        <f>'ALL(responses)'!E803</f>
        <v/>
      </c>
      <c r="F803" s="6"/>
      <c r="G803" s="6"/>
      <c r="H803" s="6"/>
      <c r="I803" s="6"/>
      <c r="J803" s="6"/>
      <c r="K803" s="6"/>
      <c r="L803" s="6"/>
      <c r="M803" s="6"/>
      <c r="N803" s="6"/>
      <c r="O803" s="6"/>
      <c r="P803" s="6"/>
      <c r="Q803" s="6"/>
      <c r="R803" s="6"/>
      <c r="S803" s="6"/>
    </row>
    <row r="804">
      <c r="A804" s="5" t="str">
        <f>'ALL(responses)'!A804</f>
        <v/>
      </c>
      <c r="B804" s="6" t="str">
        <f>'ALL(responses)'!B804</f>
        <v/>
      </c>
      <c r="C804" s="49" t="str">
        <f>'ALL(responses)'!C804</f>
        <v/>
      </c>
      <c r="D804" s="49" t="str">
        <f>'ALL(responses)'!D804</f>
        <v/>
      </c>
      <c r="E804" s="50" t="str">
        <f>'ALL(responses)'!E804</f>
        <v/>
      </c>
      <c r="F804" s="6"/>
      <c r="G804" s="6"/>
      <c r="H804" s="6"/>
      <c r="I804" s="6"/>
      <c r="J804" s="6"/>
      <c r="K804" s="6"/>
      <c r="L804" s="6"/>
      <c r="M804" s="6"/>
      <c r="N804" s="6"/>
      <c r="O804" s="6"/>
      <c r="P804" s="6"/>
      <c r="Q804" s="6"/>
      <c r="R804" s="6"/>
      <c r="S804" s="6"/>
    </row>
    <row r="805">
      <c r="A805" s="5" t="str">
        <f>'ALL(responses)'!A805</f>
        <v/>
      </c>
      <c r="B805" s="6" t="str">
        <f>'ALL(responses)'!B805</f>
        <v/>
      </c>
      <c r="C805" s="49" t="str">
        <f>'ALL(responses)'!C805</f>
        <v/>
      </c>
      <c r="D805" s="49" t="str">
        <f>'ALL(responses)'!D805</f>
        <v/>
      </c>
      <c r="E805" s="50" t="str">
        <f>'ALL(responses)'!E805</f>
        <v/>
      </c>
      <c r="F805" s="6"/>
      <c r="G805" s="6"/>
      <c r="H805" s="6"/>
      <c r="I805" s="6"/>
      <c r="J805" s="6"/>
      <c r="K805" s="6"/>
      <c r="L805" s="6"/>
      <c r="M805" s="6"/>
      <c r="N805" s="6"/>
      <c r="O805" s="6"/>
      <c r="P805" s="6"/>
      <c r="Q805" s="6"/>
      <c r="R805" s="6"/>
      <c r="S805" s="6"/>
    </row>
    <row r="806">
      <c r="A806" s="5" t="str">
        <f>'ALL(responses)'!A806</f>
        <v/>
      </c>
      <c r="B806" s="6" t="str">
        <f>'ALL(responses)'!B806</f>
        <v/>
      </c>
      <c r="C806" s="49" t="str">
        <f>'ALL(responses)'!C806</f>
        <v/>
      </c>
      <c r="D806" s="49" t="str">
        <f>'ALL(responses)'!D806</f>
        <v/>
      </c>
      <c r="E806" s="50" t="str">
        <f>'ALL(responses)'!E806</f>
        <v/>
      </c>
      <c r="F806" s="6"/>
      <c r="G806" s="6"/>
      <c r="H806" s="6"/>
      <c r="I806" s="6"/>
      <c r="J806" s="6"/>
      <c r="K806" s="6"/>
      <c r="L806" s="6"/>
      <c r="M806" s="6"/>
      <c r="N806" s="6"/>
      <c r="O806" s="6"/>
      <c r="P806" s="6"/>
      <c r="Q806" s="6"/>
      <c r="R806" s="6"/>
      <c r="S806" s="6"/>
    </row>
    <row r="807">
      <c r="A807" s="5" t="str">
        <f>'ALL(responses)'!A807</f>
        <v/>
      </c>
      <c r="B807" s="6" t="str">
        <f>'ALL(responses)'!B807</f>
        <v/>
      </c>
      <c r="C807" s="49" t="str">
        <f>'ALL(responses)'!C807</f>
        <v/>
      </c>
      <c r="D807" s="49" t="str">
        <f>'ALL(responses)'!D807</f>
        <v/>
      </c>
      <c r="E807" s="50" t="str">
        <f>'ALL(responses)'!E807</f>
        <v/>
      </c>
      <c r="F807" s="6"/>
      <c r="G807" s="6"/>
      <c r="H807" s="6"/>
      <c r="I807" s="6"/>
      <c r="J807" s="6"/>
      <c r="K807" s="6"/>
      <c r="L807" s="6"/>
      <c r="M807" s="6"/>
      <c r="N807" s="6"/>
      <c r="O807" s="6"/>
      <c r="P807" s="6"/>
      <c r="Q807" s="6"/>
      <c r="R807" s="6"/>
      <c r="S807" s="6"/>
    </row>
    <row r="808">
      <c r="A808" s="5" t="str">
        <f>'ALL(responses)'!A808</f>
        <v/>
      </c>
      <c r="B808" s="6" t="str">
        <f>'ALL(responses)'!B808</f>
        <v/>
      </c>
      <c r="C808" s="49" t="str">
        <f>'ALL(responses)'!C808</f>
        <v/>
      </c>
      <c r="D808" s="49" t="str">
        <f>'ALL(responses)'!D808</f>
        <v/>
      </c>
      <c r="E808" s="50" t="str">
        <f>'ALL(responses)'!E808</f>
        <v/>
      </c>
      <c r="F808" s="6"/>
      <c r="G808" s="6"/>
      <c r="H808" s="6"/>
      <c r="I808" s="6"/>
      <c r="J808" s="6"/>
      <c r="K808" s="6"/>
      <c r="L808" s="6"/>
      <c r="M808" s="6"/>
      <c r="N808" s="6"/>
      <c r="O808" s="6"/>
      <c r="P808" s="6"/>
      <c r="Q808" s="6"/>
      <c r="R808" s="6"/>
      <c r="S808" s="6"/>
    </row>
    <row r="809">
      <c r="A809" s="5" t="str">
        <f>'ALL(responses)'!A809</f>
        <v/>
      </c>
      <c r="B809" s="6" t="str">
        <f>'ALL(responses)'!B809</f>
        <v/>
      </c>
      <c r="C809" s="49" t="str">
        <f>'ALL(responses)'!C809</f>
        <v/>
      </c>
      <c r="D809" s="49" t="str">
        <f>'ALL(responses)'!D809</f>
        <v/>
      </c>
      <c r="E809" s="50" t="str">
        <f>'ALL(responses)'!E809</f>
        <v/>
      </c>
      <c r="F809" s="6"/>
      <c r="G809" s="6"/>
      <c r="H809" s="6"/>
      <c r="I809" s="6"/>
      <c r="J809" s="6"/>
      <c r="K809" s="6"/>
      <c r="L809" s="6"/>
      <c r="M809" s="6"/>
      <c r="N809" s="6"/>
      <c r="O809" s="6"/>
      <c r="P809" s="6"/>
      <c r="Q809" s="6"/>
      <c r="R809" s="6"/>
      <c r="S809" s="6"/>
    </row>
    <row r="810">
      <c r="A810" s="5" t="str">
        <f>'ALL(responses)'!A810</f>
        <v/>
      </c>
      <c r="B810" s="6" t="str">
        <f>'ALL(responses)'!B810</f>
        <v/>
      </c>
      <c r="C810" s="49" t="str">
        <f>'ALL(responses)'!C810</f>
        <v/>
      </c>
      <c r="D810" s="49" t="str">
        <f>'ALL(responses)'!D810</f>
        <v/>
      </c>
      <c r="E810" s="50" t="str">
        <f>'ALL(responses)'!E810</f>
        <v/>
      </c>
      <c r="F810" s="6"/>
      <c r="G810" s="6"/>
      <c r="H810" s="6"/>
      <c r="I810" s="6"/>
      <c r="J810" s="6"/>
      <c r="K810" s="6"/>
      <c r="L810" s="6"/>
      <c r="M810" s="6"/>
      <c r="N810" s="6"/>
      <c r="O810" s="6"/>
      <c r="P810" s="6"/>
      <c r="Q810" s="6"/>
      <c r="R810" s="6"/>
      <c r="S810" s="6"/>
    </row>
    <row r="811">
      <c r="A811" s="5" t="str">
        <f>'ALL(responses)'!A811</f>
        <v/>
      </c>
      <c r="B811" s="6" t="str">
        <f>'ALL(responses)'!B811</f>
        <v/>
      </c>
      <c r="C811" s="49" t="str">
        <f>'ALL(responses)'!C811</f>
        <v/>
      </c>
      <c r="D811" s="49" t="str">
        <f>'ALL(responses)'!D811</f>
        <v/>
      </c>
      <c r="E811" s="50" t="str">
        <f>'ALL(responses)'!E811</f>
        <v/>
      </c>
      <c r="F811" s="6"/>
      <c r="G811" s="6"/>
      <c r="H811" s="6"/>
      <c r="I811" s="6"/>
      <c r="J811" s="6"/>
      <c r="K811" s="6"/>
      <c r="L811" s="6"/>
      <c r="M811" s="6"/>
      <c r="N811" s="6"/>
      <c r="O811" s="6"/>
      <c r="P811" s="6"/>
      <c r="Q811" s="6"/>
      <c r="R811" s="6"/>
      <c r="S811" s="6"/>
    </row>
    <row r="812">
      <c r="A812" s="5" t="str">
        <f>'ALL(responses)'!A812</f>
        <v/>
      </c>
      <c r="B812" s="6" t="str">
        <f>'ALL(responses)'!B812</f>
        <v/>
      </c>
      <c r="C812" s="49" t="str">
        <f>'ALL(responses)'!C812</f>
        <v/>
      </c>
      <c r="D812" s="49" t="str">
        <f>'ALL(responses)'!D812</f>
        <v/>
      </c>
      <c r="E812" s="50" t="str">
        <f>'ALL(responses)'!E812</f>
        <v/>
      </c>
      <c r="F812" s="6"/>
      <c r="G812" s="6"/>
      <c r="H812" s="6"/>
      <c r="I812" s="6"/>
      <c r="J812" s="6"/>
      <c r="K812" s="6"/>
      <c r="L812" s="6"/>
      <c r="M812" s="6"/>
      <c r="N812" s="6"/>
      <c r="O812" s="6"/>
      <c r="P812" s="6"/>
      <c r="Q812" s="6"/>
      <c r="R812" s="6"/>
      <c r="S812" s="6"/>
    </row>
    <row r="813">
      <c r="A813" s="5" t="str">
        <f>'ALL(responses)'!A813</f>
        <v/>
      </c>
      <c r="B813" s="6" t="str">
        <f>'ALL(responses)'!B813</f>
        <v/>
      </c>
      <c r="C813" s="49" t="str">
        <f>'ALL(responses)'!C813</f>
        <v/>
      </c>
      <c r="D813" s="49" t="str">
        <f>'ALL(responses)'!D813</f>
        <v/>
      </c>
      <c r="E813" s="50" t="str">
        <f>'ALL(responses)'!E813</f>
        <v/>
      </c>
      <c r="F813" s="6"/>
      <c r="G813" s="6"/>
      <c r="H813" s="6"/>
      <c r="I813" s="6"/>
      <c r="J813" s="6"/>
      <c r="K813" s="6"/>
      <c r="L813" s="6"/>
      <c r="M813" s="6"/>
      <c r="N813" s="6"/>
      <c r="O813" s="6"/>
      <c r="P813" s="6"/>
      <c r="Q813" s="6"/>
      <c r="R813" s="6"/>
      <c r="S813" s="6"/>
    </row>
    <row r="814">
      <c r="A814" s="5" t="str">
        <f>'ALL(responses)'!A814</f>
        <v/>
      </c>
      <c r="B814" s="6" t="str">
        <f>'ALL(responses)'!B814</f>
        <v/>
      </c>
      <c r="C814" s="49" t="str">
        <f>'ALL(responses)'!C814</f>
        <v/>
      </c>
      <c r="D814" s="49" t="str">
        <f>'ALL(responses)'!D814</f>
        <v/>
      </c>
      <c r="E814" s="50" t="str">
        <f>'ALL(responses)'!E814</f>
        <v/>
      </c>
      <c r="F814" s="6"/>
      <c r="G814" s="6"/>
      <c r="H814" s="6"/>
      <c r="I814" s="6"/>
      <c r="J814" s="6"/>
      <c r="K814" s="6"/>
      <c r="L814" s="6"/>
      <c r="M814" s="6"/>
      <c r="N814" s="6"/>
      <c r="O814" s="6"/>
      <c r="P814" s="6"/>
      <c r="Q814" s="6"/>
      <c r="R814" s="6"/>
      <c r="S814" s="6"/>
    </row>
    <row r="815">
      <c r="A815" s="5" t="str">
        <f>'ALL(responses)'!A815</f>
        <v/>
      </c>
      <c r="B815" s="6" t="str">
        <f>'ALL(responses)'!B815</f>
        <v/>
      </c>
      <c r="C815" s="49" t="str">
        <f>'ALL(responses)'!C815</f>
        <v/>
      </c>
      <c r="D815" s="49" t="str">
        <f>'ALL(responses)'!D815</f>
        <v/>
      </c>
      <c r="E815" s="50" t="str">
        <f>'ALL(responses)'!E815</f>
        <v/>
      </c>
      <c r="F815" s="6"/>
      <c r="G815" s="6"/>
      <c r="H815" s="6"/>
      <c r="I815" s="6"/>
      <c r="J815" s="6"/>
      <c r="K815" s="6"/>
      <c r="L815" s="6"/>
      <c r="M815" s="6"/>
      <c r="N815" s="6"/>
      <c r="O815" s="6"/>
      <c r="P815" s="6"/>
      <c r="Q815" s="6"/>
      <c r="R815" s="6"/>
      <c r="S815" s="6"/>
    </row>
    <row r="816">
      <c r="A816" s="5" t="str">
        <f>'ALL(responses)'!A816</f>
        <v/>
      </c>
      <c r="B816" s="6" t="str">
        <f>'ALL(responses)'!B816</f>
        <v/>
      </c>
      <c r="C816" s="49" t="str">
        <f>'ALL(responses)'!C816</f>
        <v/>
      </c>
      <c r="D816" s="49" t="str">
        <f>'ALL(responses)'!D816</f>
        <v/>
      </c>
      <c r="E816" s="50" t="str">
        <f>'ALL(responses)'!E816</f>
        <v/>
      </c>
      <c r="F816" s="6"/>
      <c r="G816" s="6"/>
      <c r="H816" s="6"/>
      <c r="I816" s="6"/>
      <c r="J816" s="6"/>
      <c r="K816" s="6"/>
      <c r="L816" s="6"/>
      <c r="M816" s="6"/>
      <c r="N816" s="6"/>
      <c r="O816" s="6"/>
      <c r="P816" s="6"/>
      <c r="Q816" s="6"/>
      <c r="R816" s="6"/>
      <c r="S816" s="6"/>
    </row>
    <row r="817">
      <c r="A817" s="5" t="str">
        <f>'ALL(responses)'!A817</f>
        <v/>
      </c>
      <c r="B817" s="6" t="str">
        <f>'ALL(responses)'!B817</f>
        <v/>
      </c>
      <c r="C817" s="49" t="str">
        <f>'ALL(responses)'!C817</f>
        <v/>
      </c>
      <c r="D817" s="49" t="str">
        <f>'ALL(responses)'!D817</f>
        <v/>
      </c>
      <c r="E817" s="50" t="str">
        <f>'ALL(responses)'!E817</f>
        <v/>
      </c>
      <c r="F817" s="6"/>
      <c r="G817" s="6"/>
      <c r="H817" s="6"/>
      <c r="I817" s="6"/>
      <c r="J817" s="6"/>
      <c r="K817" s="6"/>
      <c r="L817" s="6"/>
      <c r="M817" s="6"/>
      <c r="N817" s="6"/>
      <c r="O817" s="6"/>
      <c r="P817" s="6"/>
      <c r="Q817" s="6"/>
      <c r="R817" s="6"/>
      <c r="S817" s="6"/>
    </row>
    <row r="818">
      <c r="A818" s="5" t="str">
        <f>'ALL(responses)'!A818</f>
        <v/>
      </c>
      <c r="B818" s="6" t="str">
        <f>'ALL(responses)'!B818</f>
        <v/>
      </c>
      <c r="C818" s="49" t="str">
        <f>'ALL(responses)'!C818</f>
        <v/>
      </c>
      <c r="D818" s="49" t="str">
        <f>'ALL(responses)'!D818</f>
        <v/>
      </c>
      <c r="E818" s="49" t="str">
        <f>'ALL(responses)'!E818</f>
        <v/>
      </c>
      <c r="F818" s="6"/>
      <c r="G818" s="6"/>
      <c r="H818" s="6"/>
      <c r="I818" s="6"/>
      <c r="J818" s="6"/>
      <c r="K818" s="6"/>
      <c r="L818" s="6"/>
      <c r="M818" s="6"/>
      <c r="N818" s="6"/>
      <c r="O818" s="6"/>
      <c r="P818" s="6"/>
      <c r="Q818" s="6"/>
      <c r="R818" s="6"/>
      <c r="S818" s="6"/>
    </row>
    <row r="819">
      <c r="A819" s="5" t="str">
        <f>'ALL(responses)'!A819</f>
        <v/>
      </c>
      <c r="B819" s="6" t="str">
        <f>'ALL(responses)'!B819</f>
        <v/>
      </c>
      <c r="C819" s="49" t="str">
        <f>'ALL(responses)'!C819</f>
        <v/>
      </c>
      <c r="D819" s="49" t="str">
        <f>'ALL(responses)'!D819</f>
        <v/>
      </c>
      <c r="E819" s="50" t="str">
        <f>'ALL(responses)'!E819</f>
        <v/>
      </c>
      <c r="F819" s="6"/>
      <c r="G819" s="6"/>
      <c r="H819" s="6"/>
      <c r="I819" s="6"/>
      <c r="J819" s="6"/>
      <c r="K819" s="6"/>
      <c r="L819" s="6"/>
      <c r="M819" s="6"/>
      <c r="N819" s="6"/>
      <c r="O819" s="6"/>
      <c r="P819" s="6"/>
      <c r="Q819" s="6"/>
      <c r="R819" s="6"/>
      <c r="S819" s="6"/>
    </row>
    <row r="820">
      <c r="A820" s="5" t="str">
        <f>'ALL(responses)'!A820</f>
        <v/>
      </c>
      <c r="B820" s="6" t="str">
        <f>'ALL(responses)'!B820</f>
        <v/>
      </c>
      <c r="C820" s="49" t="str">
        <f>'ALL(responses)'!C820</f>
        <v/>
      </c>
      <c r="D820" s="49" t="str">
        <f>'ALL(responses)'!D820</f>
        <v/>
      </c>
      <c r="E820" s="50" t="str">
        <f>'ALL(responses)'!E820</f>
        <v/>
      </c>
      <c r="F820" s="6"/>
      <c r="G820" s="6"/>
      <c r="H820" s="6"/>
      <c r="I820" s="6"/>
      <c r="J820" s="6"/>
      <c r="K820" s="6"/>
      <c r="L820" s="6"/>
      <c r="M820" s="6"/>
      <c r="N820" s="6"/>
      <c r="O820" s="6"/>
      <c r="P820" s="6"/>
      <c r="Q820" s="6"/>
      <c r="R820" s="6"/>
      <c r="S820" s="6"/>
    </row>
    <row r="821">
      <c r="A821" s="5" t="str">
        <f>'ALL(responses)'!A821</f>
        <v/>
      </c>
      <c r="B821" s="6" t="str">
        <f>'ALL(responses)'!B821</f>
        <v/>
      </c>
      <c r="C821" s="49" t="str">
        <f>'ALL(responses)'!C821</f>
        <v/>
      </c>
      <c r="D821" s="49" t="str">
        <f>'ALL(responses)'!D821</f>
        <v/>
      </c>
      <c r="E821" s="50" t="str">
        <f>'ALL(responses)'!E821</f>
        <v/>
      </c>
      <c r="F821" s="6"/>
      <c r="G821" s="6"/>
      <c r="H821" s="6"/>
      <c r="I821" s="6"/>
      <c r="J821" s="6"/>
      <c r="K821" s="6"/>
      <c r="L821" s="6"/>
      <c r="M821" s="6"/>
      <c r="N821" s="6"/>
      <c r="O821" s="6"/>
      <c r="P821" s="6"/>
      <c r="Q821" s="6"/>
      <c r="R821" s="6"/>
      <c r="S821" s="6"/>
    </row>
    <row r="822">
      <c r="A822" s="5" t="str">
        <f>'ALL(responses)'!A822</f>
        <v/>
      </c>
      <c r="B822" s="6" t="str">
        <f>'ALL(responses)'!B822</f>
        <v/>
      </c>
      <c r="C822" s="49" t="str">
        <f>'ALL(responses)'!C822</f>
        <v/>
      </c>
      <c r="D822" s="49" t="str">
        <f>'ALL(responses)'!D822</f>
        <v/>
      </c>
      <c r="E822" s="50" t="str">
        <f>'ALL(responses)'!E822</f>
        <v/>
      </c>
      <c r="F822" s="6"/>
      <c r="G822" s="6"/>
      <c r="H822" s="6"/>
      <c r="I822" s="6"/>
      <c r="J822" s="6"/>
      <c r="K822" s="6"/>
      <c r="L822" s="6"/>
      <c r="M822" s="6"/>
      <c r="N822" s="6"/>
      <c r="O822" s="6"/>
      <c r="P822" s="6"/>
      <c r="Q822" s="6"/>
      <c r="R822" s="6"/>
      <c r="S822" s="6"/>
    </row>
    <row r="823">
      <c r="A823" s="5" t="str">
        <f>'ALL(responses)'!A823</f>
        <v/>
      </c>
      <c r="B823" s="6" t="str">
        <f>'ALL(responses)'!B823</f>
        <v/>
      </c>
      <c r="C823" s="49" t="str">
        <f>'ALL(responses)'!C823</f>
        <v/>
      </c>
      <c r="D823" s="49" t="str">
        <f>'ALL(responses)'!D823</f>
        <v/>
      </c>
      <c r="E823" s="50" t="str">
        <f>'ALL(responses)'!E823</f>
        <v/>
      </c>
      <c r="F823" s="6"/>
      <c r="G823" s="6"/>
      <c r="H823" s="6"/>
      <c r="I823" s="6"/>
      <c r="J823" s="6"/>
      <c r="K823" s="6"/>
      <c r="L823" s="6"/>
      <c r="M823" s="6"/>
      <c r="N823" s="6"/>
      <c r="O823" s="6"/>
      <c r="P823" s="6"/>
      <c r="Q823" s="6"/>
      <c r="R823" s="6"/>
      <c r="S823" s="6"/>
    </row>
    <row r="824">
      <c r="A824" s="5" t="str">
        <f>'ALL(responses)'!A824</f>
        <v/>
      </c>
      <c r="B824" s="6" t="str">
        <f>'ALL(responses)'!B824</f>
        <v/>
      </c>
      <c r="C824" s="49" t="str">
        <f>'ALL(responses)'!C824</f>
        <v/>
      </c>
      <c r="D824" s="49" t="str">
        <f>'ALL(responses)'!D824</f>
        <v/>
      </c>
      <c r="E824" s="50" t="str">
        <f>'ALL(responses)'!E824</f>
        <v/>
      </c>
      <c r="F824" s="6"/>
      <c r="G824" s="6"/>
      <c r="H824" s="6"/>
      <c r="I824" s="6"/>
      <c r="J824" s="6"/>
      <c r="K824" s="6"/>
      <c r="L824" s="6"/>
      <c r="M824" s="6"/>
      <c r="N824" s="6"/>
      <c r="O824" s="6"/>
      <c r="P824" s="6"/>
      <c r="Q824" s="6"/>
      <c r="R824" s="6"/>
      <c r="S824" s="6"/>
    </row>
    <row r="825">
      <c r="A825" s="5" t="str">
        <f>'ALL(responses)'!A825</f>
        <v/>
      </c>
      <c r="B825" s="6" t="str">
        <f>'ALL(responses)'!B825</f>
        <v/>
      </c>
      <c r="C825" s="49" t="str">
        <f>'ALL(responses)'!C825</f>
        <v/>
      </c>
      <c r="D825" s="49" t="str">
        <f>'ALL(responses)'!D825</f>
        <v/>
      </c>
      <c r="E825" s="50" t="str">
        <f>'ALL(responses)'!E825</f>
        <v/>
      </c>
      <c r="F825" s="6"/>
      <c r="G825" s="6"/>
      <c r="H825" s="6"/>
      <c r="I825" s="6"/>
      <c r="J825" s="6"/>
      <c r="K825" s="6"/>
      <c r="L825" s="6"/>
      <c r="M825" s="6"/>
      <c r="N825" s="6"/>
      <c r="O825" s="6"/>
      <c r="P825" s="6"/>
      <c r="Q825" s="6"/>
      <c r="R825" s="6"/>
      <c r="S825" s="6"/>
    </row>
    <row r="826">
      <c r="A826" s="5" t="str">
        <f>'ALL(responses)'!A826</f>
        <v/>
      </c>
      <c r="B826" s="6" t="str">
        <f>'ALL(responses)'!B826</f>
        <v/>
      </c>
      <c r="C826" s="49" t="str">
        <f>'ALL(responses)'!C826</f>
        <v/>
      </c>
      <c r="D826" s="49" t="str">
        <f>'ALL(responses)'!D826</f>
        <v/>
      </c>
      <c r="E826" s="50" t="str">
        <f>'ALL(responses)'!E826</f>
        <v/>
      </c>
      <c r="F826" s="6"/>
      <c r="G826" s="6"/>
      <c r="H826" s="6"/>
      <c r="I826" s="6"/>
      <c r="J826" s="6"/>
      <c r="K826" s="6"/>
      <c r="L826" s="6"/>
      <c r="M826" s="6"/>
      <c r="N826" s="6"/>
      <c r="O826" s="6"/>
      <c r="P826" s="6"/>
      <c r="Q826" s="6"/>
      <c r="R826" s="6"/>
      <c r="S826" s="6"/>
    </row>
    <row r="827">
      <c r="A827" s="5" t="str">
        <f>'ALL(responses)'!A827</f>
        <v/>
      </c>
      <c r="B827" s="6" t="str">
        <f>'ALL(responses)'!B827</f>
        <v/>
      </c>
      <c r="C827" s="49" t="str">
        <f>'ALL(responses)'!C827</f>
        <v/>
      </c>
      <c r="D827" s="49" t="str">
        <f>'ALL(responses)'!D827</f>
        <v/>
      </c>
      <c r="E827" s="50" t="str">
        <f>'ALL(responses)'!E827</f>
        <v/>
      </c>
      <c r="F827" s="6"/>
      <c r="G827" s="6"/>
      <c r="H827" s="6"/>
      <c r="I827" s="6"/>
      <c r="J827" s="6"/>
      <c r="K827" s="6"/>
      <c r="L827" s="6"/>
      <c r="M827" s="6"/>
      <c r="N827" s="6"/>
      <c r="O827" s="6"/>
      <c r="P827" s="6"/>
      <c r="Q827" s="6"/>
      <c r="R827" s="6"/>
      <c r="S827" s="6"/>
    </row>
    <row r="828">
      <c r="A828" s="5" t="str">
        <f>'ALL(responses)'!A828</f>
        <v/>
      </c>
      <c r="B828" s="6" t="str">
        <f>'ALL(responses)'!B828</f>
        <v/>
      </c>
      <c r="C828" s="49" t="str">
        <f>'ALL(responses)'!C828</f>
        <v/>
      </c>
      <c r="D828" s="49" t="str">
        <f>'ALL(responses)'!D828</f>
        <v/>
      </c>
      <c r="E828" s="50" t="str">
        <f>'ALL(responses)'!E828</f>
        <v/>
      </c>
      <c r="F828" s="6"/>
      <c r="G828" s="6"/>
      <c r="H828" s="6"/>
      <c r="I828" s="6"/>
      <c r="J828" s="6"/>
      <c r="K828" s="6"/>
      <c r="L828" s="6"/>
      <c r="M828" s="6"/>
      <c r="N828" s="6"/>
      <c r="O828" s="6"/>
      <c r="P828" s="6"/>
      <c r="Q828" s="6"/>
      <c r="R828" s="6"/>
      <c r="S828" s="6"/>
    </row>
    <row r="829">
      <c r="A829" s="5" t="str">
        <f>'ALL(responses)'!A829</f>
        <v/>
      </c>
      <c r="B829" s="6" t="str">
        <f>'ALL(responses)'!B829</f>
        <v/>
      </c>
      <c r="C829" s="49" t="str">
        <f>'ALL(responses)'!C829</f>
        <v/>
      </c>
      <c r="D829" s="49" t="str">
        <f>'ALL(responses)'!D829</f>
        <v/>
      </c>
      <c r="E829" s="50" t="str">
        <f>'ALL(responses)'!E829</f>
        <v/>
      </c>
      <c r="F829" s="6"/>
      <c r="G829" s="6"/>
      <c r="H829" s="6"/>
      <c r="I829" s="6"/>
      <c r="J829" s="6"/>
      <c r="K829" s="6"/>
      <c r="L829" s="6"/>
      <c r="M829" s="6"/>
      <c r="N829" s="6"/>
      <c r="O829" s="6"/>
      <c r="P829" s="6"/>
      <c r="Q829" s="6"/>
      <c r="R829" s="6"/>
      <c r="S829" s="6"/>
    </row>
    <row r="830">
      <c r="A830" s="5" t="str">
        <f>'ALL(responses)'!A830</f>
        <v/>
      </c>
      <c r="B830" s="6" t="str">
        <f>'ALL(responses)'!B830</f>
        <v/>
      </c>
      <c r="C830" s="49" t="str">
        <f>'ALL(responses)'!C830</f>
        <v/>
      </c>
      <c r="D830" s="49" t="str">
        <f>'ALL(responses)'!D830</f>
        <v/>
      </c>
      <c r="E830" s="50" t="str">
        <f>'ALL(responses)'!E830</f>
        <v/>
      </c>
      <c r="F830" s="6"/>
      <c r="G830" s="6"/>
      <c r="H830" s="6"/>
      <c r="I830" s="6"/>
      <c r="J830" s="6"/>
      <c r="K830" s="6"/>
      <c r="L830" s="6"/>
      <c r="M830" s="6"/>
      <c r="N830" s="6"/>
      <c r="O830" s="6"/>
      <c r="P830" s="6"/>
      <c r="Q830" s="6"/>
      <c r="R830" s="6"/>
      <c r="S830" s="6"/>
    </row>
    <row r="831">
      <c r="A831" s="5" t="str">
        <f>'ALL(responses)'!A831</f>
        <v/>
      </c>
      <c r="B831" s="6" t="str">
        <f>'ALL(responses)'!B831</f>
        <v/>
      </c>
      <c r="C831" s="49" t="str">
        <f>'ALL(responses)'!C831</f>
        <v/>
      </c>
      <c r="D831" s="49" t="str">
        <f>'ALL(responses)'!D831</f>
        <v/>
      </c>
      <c r="E831" s="50" t="str">
        <f>'ALL(responses)'!E831</f>
        <v/>
      </c>
      <c r="F831" s="6"/>
      <c r="G831" s="6"/>
      <c r="H831" s="6"/>
      <c r="I831" s="6"/>
      <c r="J831" s="6"/>
      <c r="K831" s="6"/>
      <c r="L831" s="6"/>
      <c r="M831" s="6"/>
      <c r="N831" s="6"/>
      <c r="O831" s="6"/>
      <c r="P831" s="6"/>
      <c r="Q831" s="6"/>
      <c r="R831" s="6"/>
      <c r="S831" s="6"/>
    </row>
    <row r="832">
      <c r="A832" s="5" t="str">
        <f>'ALL(responses)'!A832</f>
        <v/>
      </c>
      <c r="B832" s="6" t="str">
        <f>'ALL(responses)'!B832</f>
        <v/>
      </c>
      <c r="C832" s="49" t="str">
        <f>'ALL(responses)'!C832</f>
        <v/>
      </c>
      <c r="D832" s="49" t="str">
        <f>'ALL(responses)'!D832</f>
        <v/>
      </c>
      <c r="E832" s="50" t="str">
        <f>'ALL(responses)'!E832</f>
        <v/>
      </c>
      <c r="F832" s="6"/>
      <c r="G832" s="6"/>
      <c r="H832" s="6"/>
      <c r="I832" s="6"/>
      <c r="J832" s="6"/>
      <c r="K832" s="6"/>
      <c r="L832" s="6"/>
      <c r="M832" s="6"/>
      <c r="N832" s="6"/>
      <c r="O832" s="6"/>
      <c r="P832" s="6"/>
      <c r="Q832" s="6"/>
      <c r="R832" s="6"/>
      <c r="S832" s="6"/>
    </row>
    <row r="833">
      <c r="A833" s="5" t="str">
        <f>'ALL(responses)'!A833</f>
        <v/>
      </c>
      <c r="B833" s="6" t="str">
        <f>'ALL(responses)'!B833</f>
        <v/>
      </c>
      <c r="C833" s="49" t="str">
        <f>'ALL(responses)'!C833</f>
        <v/>
      </c>
      <c r="D833" s="49" t="str">
        <f>'ALL(responses)'!D833</f>
        <v/>
      </c>
      <c r="E833" s="50" t="str">
        <f>'ALL(responses)'!E833</f>
        <v/>
      </c>
      <c r="F833" s="6"/>
      <c r="G833" s="6"/>
      <c r="H833" s="6"/>
      <c r="I833" s="6"/>
      <c r="J833" s="6"/>
      <c r="K833" s="6"/>
      <c r="L833" s="6"/>
      <c r="M833" s="6"/>
      <c r="N833" s="6"/>
      <c r="O833" s="6"/>
      <c r="P833" s="6"/>
      <c r="Q833" s="6"/>
      <c r="R833" s="6"/>
      <c r="S833" s="6"/>
    </row>
    <row r="834">
      <c r="A834" s="5" t="str">
        <f>'ALL(responses)'!A834</f>
        <v/>
      </c>
      <c r="B834" s="6" t="str">
        <f>'ALL(responses)'!B834</f>
        <v/>
      </c>
      <c r="C834" s="49" t="str">
        <f>'ALL(responses)'!C834</f>
        <v/>
      </c>
      <c r="D834" s="49" t="str">
        <f>'ALL(responses)'!D834</f>
        <v/>
      </c>
      <c r="E834" s="50" t="str">
        <f>'ALL(responses)'!E834</f>
        <v/>
      </c>
      <c r="F834" s="6"/>
      <c r="G834" s="6"/>
      <c r="H834" s="6"/>
      <c r="I834" s="6"/>
      <c r="J834" s="6"/>
      <c r="K834" s="6"/>
      <c r="L834" s="6"/>
      <c r="M834" s="6"/>
      <c r="N834" s="6"/>
      <c r="O834" s="6"/>
      <c r="P834" s="6"/>
      <c r="Q834" s="6"/>
      <c r="R834" s="6"/>
      <c r="S834" s="6"/>
    </row>
    <row r="835">
      <c r="A835" s="5" t="str">
        <f>'ALL(responses)'!A835</f>
        <v/>
      </c>
      <c r="B835" s="6" t="str">
        <f>'ALL(responses)'!B835</f>
        <v/>
      </c>
      <c r="C835" s="49" t="str">
        <f>'ALL(responses)'!C835</f>
        <v/>
      </c>
      <c r="D835" s="49" t="str">
        <f>'ALL(responses)'!D835</f>
        <v/>
      </c>
      <c r="E835" s="50" t="str">
        <f>'ALL(responses)'!E835</f>
        <v/>
      </c>
      <c r="F835" s="6"/>
      <c r="G835" s="6"/>
      <c r="H835" s="6"/>
      <c r="I835" s="6"/>
      <c r="J835" s="6"/>
      <c r="K835" s="6"/>
      <c r="L835" s="6"/>
      <c r="M835" s="6"/>
      <c r="N835" s="6"/>
      <c r="O835" s="6"/>
      <c r="P835" s="6"/>
      <c r="Q835" s="6"/>
      <c r="R835" s="6"/>
      <c r="S835" s="6"/>
    </row>
    <row r="836">
      <c r="A836" s="5" t="str">
        <f>'ALL(responses)'!A836</f>
        <v/>
      </c>
      <c r="B836" s="6" t="str">
        <f>'ALL(responses)'!B836</f>
        <v/>
      </c>
      <c r="C836" s="49" t="str">
        <f>'ALL(responses)'!C836</f>
        <v/>
      </c>
      <c r="D836" s="49" t="str">
        <f>'ALL(responses)'!D836</f>
        <v/>
      </c>
      <c r="E836" s="50" t="str">
        <f>'ALL(responses)'!E836</f>
        <v/>
      </c>
      <c r="F836" s="6"/>
      <c r="G836" s="6"/>
      <c r="H836" s="6"/>
      <c r="I836" s="6"/>
      <c r="J836" s="6"/>
      <c r="K836" s="6"/>
      <c r="L836" s="6"/>
      <c r="M836" s="6"/>
      <c r="N836" s="6"/>
      <c r="O836" s="6"/>
      <c r="P836" s="6"/>
      <c r="Q836" s="6"/>
      <c r="R836" s="6"/>
      <c r="S836" s="6"/>
    </row>
    <row r="837">
      <c r="A837" s="5" t="str">
        <f>'ALL(responses)'!A837</f>
        <v/>
      </c>
      <c r="B837" s="6" t="str">
        <f>'ALL(responses)'!B837</f>
        <v/>
      </c>
      <c r="C837" s="49" t="str">
        <f>'ALL(responses)'!C837</f>
        <v/>
      </c>
      <c r="D837" s="49" t="str">
        <f>'ALL(responses)'!D837</f>
        <v/>
      </c>
      <c r="E837" s="50" t="str">
        <f>'ALL(responses)'!E837</f>
        <v/>
      </c>
      <c r="F837" s="6"/>
      <c r="G837" s="6"/>
      <c r="H837" s="6"/>
      <c r="I837" s="6"/>
      <c r="J837" s="6"/>
      <c r="K837" s="6"/>
      <c r="L837" s="6"/>
      <c r="M837" s="6"/>
      <c r="N837" s="6"/>
      <c r="O837" s="6"/>
      <c r="P837" s="6"/>
      <c r="Q837" s="6"/>
      <c r="R837" s="6"/>
      <c r="S837" s="6"/>
    </row>
    <row r="838">
      <c r="A838" s="5" t="str">
        <f>'ALL(responses)'!A838</f>
        <v/>
      </c>
      <c r="B838" s="6" t="str">
        <f>'ALL(responses)'!B838</f>
        <v/>
      </c>
      <c r="C838" s="49" t="str">
        <f>'ALL(responses)'!C838</f>
        <v/>
      </c>
      <c r="D838" s="49" t="str">
        <f>'ALL(responses)'!D838</f>
        <v/>
      </c>
      <c r="E838" s="50" t="str">
        <f>'ALL(responses)'!E838</f>
        <v/>
      </c>
      <c r="F838" s="6"/>
      <c r="G838" s="6"/>
      <c r="H838" s="6"/>
      <c r="I838" s="6"/>
      <c r="J838" s="6"/>
      <c r="K838" s="6"/>
      <c r="L838" s="6"/>
      <c r="M838" s="6"/>
      <c r="N838" s="6"/>
      <c r="O838" s="6"/>
      <c r="P838" s="6"/>
      <c r="Q838" s="6"/>
      <c r="R838" s="6"/>
      <c r="S838" s="6"/>
    </row>
    <row r="839">
      <c r="A839" s="5" t="str">
        <f>'ALL(responses)'!A839</f>
        <v/>
      </c>
      <c r="B839" s="6" t="str">
        <f>'ALL(responses)'!B839</f>
        <v/>
      </c>
      <c r="C839" s="49" t="str">
        <f>'ALL(responses)'!C839</f>
        <v/>
      </c>
      <c r="D839" s="49" t="str">
        <f>'ALL(responses)'!D839</f>
        <v/>
      </c>
      <c r="E839" s="50" t="str">
        <f>'ALL(responses)'!E839</f>
        <v/>
      </c>
      <c r="F839" s="6"/>
      <c r="G839" s="6"/>
      <c r="H839" s="6"/>
      <c r="I839" s="6"/>
      <c r="J839" s="6"/>
      <c r="K839" s="6"/>
      <c r="L839" s="6"/>
      <c r="M839" s="6"/>
      <c r="N839" s="6"/>
      <c r="O839" s="6"/>
      <c r="P839" s="6"/>
      <c r="Q839" s="6"/>
      <c r="R839" s="6"/>
      <c r="S839" s="6"/>
    </row>
    <row r="840">
      <c r="A840" s="5" t="str">
        <f>'ALL(responses)'!A840</f>
        <v/>
      </c>
      <c r="B840" s="6" t="str">
        <f>'ALL(responses)'!B840</f>
        <v/>
      </c>
      <c r="C840" s="49" t="str">
        <f>'ALL(responses)'!C840</f>
        <v/>
      </c>
      <c r="D840" s="49" t="str">
        <f>'ALL(responses)'!D840</f>
        <v/>
      </c>
      <c r="E840" s="50" t="str">
        <f>'ALL(responses)'!E840</f>
        <v/>
      </c>
      <c r="F840" s="6"/>
      <c r="G840" s="6"/>
      <c r="H840" s="6"/>
      <c r="I840" s="6"/>
      <c r="J840" s="6"/>
      <c r="K840" s="6"/>
      <c r="L840" s="6"/>
      <c r="M840" s="6"/>
      <c r="N840" s="6"/>
      <c r="O840" s="6"/>
      <c r="P840" s="6"/>
      <c r="Q840" s="6"/>
      <c r="R840" s="6"/>
      <c r="S840" s="6"/>
    </row>
    <row r="841">
      <c r="A841" s="5" t="str">
        <f>'ALL(responses)'!A841</f>
        <v/>
      </c>
      <c r="B841" s="6" t="str">
        <f>'ALL(responses)'!B841</f>
        <v/>
      </c>
      <c r="C841" s="49" t="str">
        <f>'ALL(responses)'!C841</f>
        <v/>
      </c>
      <c r="D841" s="49" t="str">
        <f>'ALL(responses)'!D841</f>
        <v/>
      </c>
      <c r="E841" s="50" t="str">
        <f>'ALL(responses)'!E841</f>
        <v/>
      </c>
      <c r="F841" s="6"/>
      <c r="G841" s="6"/>
      <c r="H841" s="6"/>
      <c r="I841" s="6"/>
      <c r="J841" s="6"/>
      <c r="K841" s="6"/>
      <c r="L841" s="6"/>
      <c r="M841" s="6"/>
      <c r="N841" s="6"/>
      <c r="O841" s="6"/>
      <c r="P841" s="6"/>
      <c r="Q841" s="6"/>
      <c r="R841" s="6"/>
      <c r="S841" s="6"/>
    </row>
    <row r="842">
      <c r="A842" s="5" t="str">
        <f>'ALL(responses)'!A842</f>
        <v/>
      </c>
      <c r="B842" s="6" t="str">
        <f>'ALL(responses)'!B842</f>
        <v/>
      </c>
      <c r="C842" s="49" t="str">
        <f>'ALL(responses)'!C842</f>
        <v/>
      </c>
      <c r="D842" s="49" t="str">
        <f>'ALL(responses)'!D842</f>
        <v/>
      </c>
      <c r="E842" s="50" t="str">
        <f>'ALL(responses)'!E842</f>
        <v/>
      </c>
      <c r="F842" s="6"/>
      <c r="G842" s="6"/>
      <c r="H842" s="6"/>
      <c r="I842" s="6"/>
      <c r="J842" s="6"/>
      <c r="K842" s="6"/>
      <c r="L842" s="6"/>
      <c r="M842" s="6"/>
      <c r="N842" s="6"/>
      <c r="O842" s="6"/>
      <c r="P842" s="6"/>
      <c r="Q842" s="6"/>
      <c r="R842" s="6"/>
      <c r="S842" s="6"/>
    </row>
    <row r="843">
      <c r="A843" s="5" t="str">
        <f>'ALL(responses)'!A843</f>
        <v/>
      </c>
      <c r="B843" s="6" t="str">
        <f>'ALL(responses)'!B843</f>
        <v/>
      </c>
      <c r="C843" s="49" t="str">
        <f>'ALL(responses)'!C843</f>
        <v/>
      </c>
      <c r="D843" s="49" t="str">
        <f>'ALL(responses)'!D843</f>
        <v/>
      </c>
      <c r="E843" s="50" t="str">
        <f>'ALL(responses)'!E843</f>
        <v/>
      </c>
      <c r="F843" s="6"/>
      <c r="G843" s="6"/>
      <c r="H843" s="6"/>
      <c r="I843" s="6"/>
      <c r="J843" s="6"/>
      <c r="K843" s="6"/>
      <c r="L843" s="6"/>
      <c r="M843" s="6"/>
      <c r="N843" s="6"/>
      <c r="O843" s="6"/>
      <c r="P843" s="6"/>
      <c r="Q843" s="6"/>
      <c r="R843" s="6"/>
      <c r="S843" s="6"/>
    </row>
    <row r="844">
      <c r="A844" s="5" t="str">
        <f>'ALL(responses)'!A844</f>
        <v/>
      </c>
      <c r="B844" s="6" t="str">
        <f>'ALL(responses)'!B844</f>
        <v/>
      </c>
      <c r="C844" s="49" t="str">
        <f>'ALL(responses)'!C844</f>
        <v/>
      </c>
      <c r="D844" s="49" t="str">
        <f>'ALL(responses)'!D844</f>
        <v/>
      </c>
      <c r="E844" s="50" t="str">
        <f>'ALL(responses)'!E844</f>
        <v/>
      </c>
      <c r="F844" s="6"/>
      <c r="G844" s="6"/>
      <c r="H844" s="6"/>
      <c r="I844" s="6"/>
      <c r="J844" s="6"/>
      <c r="K844" s="6"/>
      <c r="L844" s="6"/>
      <c r="M844" s="6"/>
      <c r="N844" s="6"/>
      <c r="O844" s="6"/>
      <c r="P844" s="6"/>
      <c r="Q844" s="6"/>
      <c r="R844" s="6"/>
      <c r="S844" s="6"/>
    </row>
    <row r="845">
      <c r="A845" s="5" t="str">
        <f>'ALL(responses)'!A845</f>
        <v/>
      </c>
      <c r="B845" s="6" t="str">
        <f>'ALL(responses)'!B845</f>
        <v/>
      </c>
      <c r="C845" s="49" t="str">
        <f>'ALL(responses)'!C845</f>
        <v/>
      </c>
      <c r="D845" s="49" t="str">
        <f>'ALL(responses)'!D845</f>
        <v/>
      </c>
      <c r="E845" s="50" t="str">
        <f>'ALL(responses)'!E845</f>
        <v/>
      </c>
      <c r="F845" s="6"/>
      <c r="G845" s="6"/>
      <c r="H845" s="6"/>
      <c r="I845" s="6"/>
      <c r="J845" s="6"/>
      <c r="K845" s="6"/>
      <c r="L845" s="6"/>
      <c r="M845" s="6"/>
      <c r="N845" s="6"/>
      <c r="O845" s="6"/>
      <c r="P845" s="6"/>
      <c r="Q845" s="6"/>
      <c r="R845" s="6"/>
      <c r="S845" s="6"/>
    </row>
    <row r="846">
      <c r="A846" s="5" t="str">
        <f>'ALL(responses)'!A846</f>
        <v/>
      </c>
      <c r="B846" s="6" t="str">
        <f>'ALL(responses)'!B846</f>
        <v/>
      </c>
      <c r="C846" s="49" t="str">
        <f>'ALL(responses)'!C846</f>
        <v/>
      </c>
      <c r="D846" s="49" t="str">
        <f>'ALL(responses)'!D846</f>
        <v/>
      </c>
      <c r="E846" s="50" t="str">
        <f>'ALL(responses)'!E846</f>
        <v/>
      </c>
      <c r="F846" s="6"/>
      <c r="G846" s="6"/>
      <c r="H846" s="6"/>
      <c r="I846" s="6"/>
      <c r="J846" s="6"/>
      <c r="K846" s="6"/>
      <c r="L846" s="6"/>
      <c r="M846" s="6"/>
      <c r="N846" s="6"/>
      <c r="O846" s="6"/>
      <c r="P846" s="6"/>
      <c r="Q846" s="6"/>
      <c r="R846" s="6"/>
      <c r="S846" s="6"/>
    </row>
    <row r="847">
      <c r="A847" s="5" t="str">
        <f>'ALL(responses)'!A847</f>
        <v/>
      </c>
      <c r="B847" s="6" t="str">
        <f>'ALL(responses)'!B847</f>
        <v/>
      </c>
      <c r="C847" s="49" t="str">
        <f>'ALL(responses)'!C847</f>
        <v/>
      </c>
      <c r="D847" s="49" t="str">
        <f>'ALL(responses)'!D847</f>
        <v/>
      </c>
      <c r="E847" s="50" t="str">
        <f>'ALL(responses)'!E847</f>
        <v/>
      </c>
      <c r="F847" s="6"/>
      <c r="G847" s="6"/>
      <c r="H847" s="6"/>
      <c r="I847" s="6"/>
      <c r="J847" s="6"/>
      <c r="K847" s="6"/>
      <c r="L847" s="6"/>
      <c r="M847" s="6"/>
      <c r="N847" s="6"/>
      <c r="O847" s="6"/>
      <c r="P847" s="6"/>
      <c r="Q847" s="6"/>
      <c r="R847" s="6"/>
      <c r="S847" s="6"/>
    </row>
    <row r="848">
      <c r="A848" s="5" t="str">
        <f>'ALL(responses)'!A848</f>
        <v/>
      </c>
      <c r="B848" s="6" t="str">
        <f>'ALL(responses)'!B848</f>
        <v/>
      </c>
      <c r="C848" s="49" t="str">
        <f>'ALL(responses)'!C848</f>
        <v/>
      </c>
      <c r="D848" s="49" t="str">
        <f>'ALL(responses)'!D848</f>
        <v/>
      </c>
      <c r="E848" s="50" t="str">
        <f>'ALL(responses)'!E848</f>
        <v/>
      </c>
      <c r="F848" s="6"/>
      <c r="G848" s="6"/>
      <c r="H848" s="6"/>
      <c r="I848" s="6"/>
      <c r="J848" s="6"/>
      <c r="K848" s="6"/>
      <c r="L848" s="6"/>
      <c r="M848" s="6"/>
      <c r="N848" s="6"/>
      <c r="O848" s="6"/>
      <c r="P848" s="6"/>
      <c r="Q848" s="6"/>
      <c r="R848" s="6"/>
      <c r="S848" s="6"/>
    </row>
    <row r="849">
      <c r="A849" s="5" t="str">
        <f>'ALL(responses)'!A849</f>
        <v/>
      </c>
      <c r="B849" s="6" t="str">
        <f>'ALL(responses)'!B849</f>
        <v/>
      </c>
      <c r="C849" s="49" t="str">
        <f>'ALL(responses)'!C849</f>
        <v/>
      </c>
      <c r="D849" s="49" t="str">
        <f>'ALL(responses)'!D849</f>
        <v/>
      </c>
      <c r="E849" s="50" t="str">
        <f>'ALL(responses)'!E849</f>
        <v/>
      </c>
      <c r="F849" s="6"/>
      <c r="G849" s="6"/>
      <c r="H849" s="6"/>
      <c r="I849" s="6"/>
      <c r="J849" s="6"/>
      <c r="K849" s="6"/>
      <c r="L849" s="6"/>
      <c r="M849" s="6"/>
      <c r="N849" s="6"/>
      <c r="O849" s="6"/>
      <c r="P849" s="6"/>
      <c r="Q849" s="6"/>
      <c r="R849" s="6"/>
      <c r="S849" s="6"/>
    </row>
    <row r="850">
      <c r="A850" s="5" t="str">
        <f>'ALL(responses)'!A850</f>
        <v/>
      </c>
      <c r="B850" s="6" t="str">
        <f>'ALL(responses)'!B850</f>
        <v/>
      </c>
      <c r="C850" s="49" t="str">
        <f>'ALL(responses)'!C850</f>
        <v/>
      </c>
      <c r="D850" s="49" t="str">
        <f>'ALL(responses)'!D850</f>
        <v/>
      </c>
      <c r="E850" s="50" t="str">
        <f>'ALL(responses)'!E850</f>
        <v/>
      </c>
      <c r="F850" s="6"/>
      <c r="G850" s="6"/>
      <c r="H850" s="6"/>
      <c r="I850" s="6"/>
      <c r="J850" s="6"/>
      <c r="K850" s="6"/>
      <c r="L850" s="6"/>
      <c r="M850" s="6"/>
      <c r="N850" s="6"/>
      <c r="O850" s="6"/>
      <c r="P850" s="6"/>
      <c r="Q850" s="6"/>
      <c r="R850" s="6"/>
      <c r="S850" s="6"/>
    </row>
    <row r="851">
      <c r="A851" s="5" t="str">
        <f>'ALL(responses)'!A851</f>
        <v/>
      </c>
      <c r="B851" s="6" t="str">
        <f>'ALL(responses)'!B851</f>
        <v/>
      </c>
      <c r="C851" s="49" t="str">
        <f>'ALL(responses)'!C851</f>
        <v/>
      </c>
      <c r="D851" s="49" t="str">
        <f>'ALL(responses)'!D851</f>
        <v/>
      </c>
      <c r="E851" s="50" t="str">
        <f>'ALL(responses)'!E851</f>
        <v/>
      </c>
      <c r="F851" s="6"/>
      <c r="G851" s="6"/>
      <c r="H851" s="6"/>
      <c r="I851" s="6"/>
      <c r="J851" s="6"/>
      <c r="K851" s="6"/>
      <c r="L851" s="6"/>
      <c r="M851" s="6"/>
      <c r="N851" s="6"/>
      <c r="O851" s="6"/>
      <c r="P851" s="6"/>
      <c r="Q851" s="6"/>
      <c r="R851" s="6"/>
      <c r="S851" s="6"/>
    </row>
    <row r="852">
      <c r="A852" s="5" t="str">
        <f>'ALL(responses)'!A852</f>
        <v/>
      </c>
      <c r="B852" s="6" t="str">
        <f>'ALL(responses)'!B852</f>
        <v/>
      </c>
      <c r="C852" s="49" t="str">
        <f>'ALL(responses)'!C852</f>
        <v/>
      </c>
      <c r="D852" s="49" t="str">
        <f>'ALL(responses)'!D852</f>
        <v/>
      </c>
      <c r="E852" s="50" t="str">
        <f>'ALL(responses)'!E852</f>
        <v/>
      </c>
      <c r="F852" s="6"/>
      <c r="G852" s="6"/>
      <c r="H852" s="6"/>
      <c r="I852" s="6"/>
      <c r="J852" s="6"/>
      <c r="K852" s="6"/>
      <c r="L852" s="6"/>
      <c r="M852" s="6"/>
      <c r="N852" s="6"/>
      <c r="O852" s="6"/>
      <c r="P852" s="6"/>
      <c r="Q852" s="6"/>
      <c r="R852" s="6"/>
      <c r="S852" s="6"/>
    </row>
    <row r="853">
      <c r="A853" s="5" t="str">
        <f>'ALL(responses)'!A853</f>
        <v/>
      </c>
      <c r="B853" s="6" t="str">
        <f>'ALL(responses)'!B853</f>
        <v/>
      </c>
      <c r="C853" s="49" t="str">
        <f>'ALL(responses)'!C853</f>
        <v/>
      </c>
      <c r="D853" s="49" t="str">
        <f>'ALL(responses)'!D853</f>
        <v/>
      </c>
      <c r="E853" s="50" t="str">
        <f>'ALL(responses)'!E853</f>
        <v/>
      </c>
      <c r="F853" s="6"/>
      <c r="G853" s="6"/>
      <c r="H853" s="6"/>
      <c r="I853" s="6"/>
      <c r="J853" s="6"/>
      <c r="K853" s="6"/>
      <c r="L853" s="6"/>
      <c r="M853" s="6"/>
      <c r="N853" s="6"/>
      <c r="O853" s="6"/>
      <c r="P853" s="6"/>
      <c r="Q853" s="6"/>
      <c r="R853" s="6"/>
      <c r="S853" s="6"/>
    </row>
    <row r="854">
      <c r="A854" s="5" t="str">
        <f>'ALL(responses)'!A854</f>
        <v/>
      </c>
      <c r="B854" s="6" t="str">
        <f>'ALL(responses)'!B854</f>
        <v/>
      </c>
      <c r="C854" s="49" t="str">
        <f>'ALL(responses)'!C854</f>
        <v/>
      </c>
      <c r="D854" s="49" t="str">
        <f>'ALL(responses)'!D854</f>
        <v/>
      </c>
      <c r="E854" s="50" t="str">
        <f>'ALL(responses)'!E854</f>
        <v/>
      </c>
      <c r="F854" s="6"/>
      <c r="G854" s="6"/>
      <c r="H854" s="6"/>
      <c r="I854" s="6"/>
      <c r="J854" s="6"/>
      <c r="K854" s="6"/>
      <c r="L854" s="6"/>
      <c r="M854" s="6"/>
      <c r="N854" s="6"/>
      <c r="O854" s="6"/>
      <c r="P854" s="6"/>
      <c r="Q854" s="6"/>
      <c r="R854" s="6"/>
      <c r="S854" s="6"/>
    </row>
    <row r="855">
      <c r="A855" s="5" t="str">
        <f>'ALL(responses)'!A855</f>
        <v/>
      </c>
      <c r="B855" s="6" t="str">
        <f>'ALL(responses)'!B855</f>
        <v/>
      </c>
      <c r="C855" s="49" t="str">
        <f>'ALL(responses)'!C855</f>
        <v/>
      </c>
      <c r="D855" s="49" t="str">
        <f>'ALL(responses)'!D855</f>
        <v/>
      </c>
      <c r="E855" s="50" t="str">
        <f>'ALL(responses)'!E855</f>
        <v/>
      </c>
      <c r="F855" s="6"/>
      <c r="G855" s="6"/>
      <c r="H855" s="6"/>
      <c r="I855" s="6"/>
      <c r="J855" s="6"/>
      <c r="K855" s="6"/>
      <c r="L855" s="6"/>
      <c r="M855" s="6"/>
      <c r="N855" s="6"/>
      <c r="O855" s="6"/>
      <c r="P855" s="6"/>
      <c r="Q855" s="6"/>
      <c r="R855" s="6"/>
      <c r="S855" s="6"/>
    </row>
    <row r="856">
      <c r="A856" s="5" t="str">
        <f>'ALL(responses)'!A856</f>
        <v/>
      </c>
      <c r="B856" s="6" t="str">
        <f>'ALL(responses)'!B856</f>
        <v/>
      </c>
      <c r="C856" s="49" t="str">
        <f>'ALL(responses)'!C856</f>
        <v/>
      </c>
      <c r="D856" s="49" t="str">
        <f>'ALL(responses)'!D856</f>
        <v/>
      </c>
      <c r="E856" s="50" t="str">
        <f>'ALL(responses)'!E856</f>
        <v/>
      </c>
      <c r="F856" s="6"/>
      <c r="G856" s="6"/>
      <c r="H856" s="6"/>
      <c r="I856" s="6"/>
      <c r="J856" s="6"/>
      <c r="K856" s="6"/>
      <c r="L856" s="6"/>
      <c r="M856" s="6"/>
      <c r="N856" s="6"/>
      <c r="O856" s="6"/>
      <c r="P856" s="6"/>
      <c r="Q856" s="6"/>
      <c r="R856" s="6"/>
      <c r="S856" s="6"/>
    </row>
    <row r="857">
      <c r="A857" s="5" t="str">
        <f>'ALL(responses)'!A857</f>
        <v/>
      </c>
      <c r="B857" s="6" t="str">
        <f>'ALL(responses)'!B857</f>
        <v/>
      </c>
      <c r="C857" s="49" t="str">
        <f>'ALL(responses)'!C857</f>
        <v/>
      </c>
      <c r="D857" s="49" t="str">
        <f>'ALL(responses)'!D857</f>
        <v/>
      </c>
      <c r="E857" s="50" t="str">
        <f>'ALL(responses)'!E857</f>
        <v/>
      </c>
      <c r="F857" s="6"/>
      <c r="G857" s="6"/>
      <c r="H857" s="6"/>
      <c r="I857" s="6"/>
      <c r="J857" s="6"/>
      <c r="K857" s="6"/>
      <c r="L857" s="6"/>
      <c r="M857" s="6"/>
      <c r="N857" s="6"/>
      <c r="O857" s="6"/>
      <c r="P857" s="6"/>
      <c r="Q857" s="6"/>
      <c r="R857" s="6"/>
      <c r="S857" s="6"/>
    </row>
    <row r="858">
      <c r="A858" s="5" t="str">
        <f>'ALL(responses)'!A858</f>
        <v/>
      </c>
      <c r="B858" s="6" t="str">
        <f>'ALL(responses)'!B858</f>
        <v/>
      </c>
      <c r="C858" s="49" t="str">
        <f>'ALL(responses)'!C858</f>
        <v/>
      </c>
      <c r="D858" s="49" t="str">
        <f>'ALL(responses)'!D858</f>
        <v/>
      </c>
      <c r="E858" s="50" t="str">
        <f>'ALL(responses)'!E858</f>
        <v/>
      </c>
      <c r="F858" s="6"/>
      <c r="G858" s="6"/>
      <c r="H858" s="6"/>
      <c r="I858" s="6"/>
      <c r="J858" s="6"/>
      <c r="K858" s="6"/>
      <c r="L858" s="6"/>
      <c r="M858" s="6"/>
      <c r="N858" s="6"/>
      <c r="O858" s="6"/>
      <c r="P858" s="6"/>
      <c r="Q858" s="6"/>
      <c r="R858" s="6"/>
      <c r="S858" s="6"/>
    </row>
    <row r="859">
      <c r="A859" s="5" t="str">
        <f>'ALL(responses)'!A859</f>
        <v/>
      </c>
      <c r="B859" s="6" t="str">
        <f>'ALL(responses)'!B859</f>
        <v/>
      </c>
      <c r="C859" s="49" t="str">
        <f>'ALL(responses)'!C859</f>
        <v/>
      </c>
      <c r="D859" s="49" t="str">
        <f>'ALL(responses)'!D859</f>
        <v/>
      </c>
      <c r="E859" s="49" t="str">
        <f>'ALL(responses)'!E859</f>
        <v/>
      </c>
      <c r="F859" s="6"/>
      <c r="G859" s="6"/>
      <c r="H859" s="6"/>
      <c r="I859" s="6"/>
      <c r="J859" s="6"/>
      <c r="K859" s="6"/>
      <c r="L859" s="6"/>
      <c r="M859" s="6"/>
      <c r="N859" s="6"/>
      <c r="O859" s="6"/>
      <c r="P859" s="6"/>
      <c r="Q859" s="6"/>
      <c r="R859" s="6"/>
      <c r="S859" s="6"/>
    </row>
    <row r="860">
      <c r="A860" s="5" t="str">
        <f>'ALL(responses)'!A860</f>
        <v/>
      </c>
      <c r="B860" s="6" t="str">
        <f>'ALL(responses)'!B860</f>
        <v/>
      </c>
      <c r="C860" s="49" t="str">
        <f>'ALL(responses)'!C860</f>
        <v/>
      </c>
      <c r="D860" s="49" t="str">
        <f>'ALL(responses)'!D860</f>
        <v/>
      </c>
      <c r="E860" s="50" t="str">
        <f>'ALL(responses)'!E860</f>
        <v/>
      </c>
      <c r="F860" s="6"/>
      <c r="G860" s="6"/>
      <c r="H860" s="6"/>
      <c r="I860" s="6"/>
      <c r="J860" s="6"/>
      <c r="K860" s="6"/>
      <c r="L860" s="6"/>
      <c r="M860" s="6"/>
      <c r="N860" s="6"/>
      <c r="O860" s="6"/>
      <c r="P860" s="6"/>
      <c r="Q860" s="6"/>
      <c r="R860" s="6"/>
      <c r="S860" s="6"/>
    </row>
    <row r="861">
      <c r="A861" s="5" t="str">
        <f>'ALL(responses)'!A861</f>
        <v/>
      </c>
      <c r="B861" s="6" t="str">
        <f>'ALL(responses)'!B861</f>
        <v/>
      </c>
      <c r="C861" s="49" t="str">
        <f>'ALL(responses)'!C861</f>
        <v/>
      </c>
      <c r="D861" s="49" t="str">
        <f>'ALL(responses)'!D861</f>
        <v/>
      </c>
      <c r="E861" s="50" t="str">
        <f>'ALL(responses)'!E861</f>
        <v/>
      </c>
      <c r="F861" s="6"/>
      <c r="G861" s="6"/>
      <c r="H861" s="6"/>
      <c r="I861" s="6"/>
      <c r="J861" s="6"/>
      <c r="K861" s="6"/>
      <c r="L861" s="6"/>
      <c r="M861" s="6"/>
      <c r="N861" s="6"/>
      <c r="O861" s="6"/>
      <c r="P861" s="6"/>
      <c r="Q861" s="6"/>
      <c r="R861" s="6"/>
      <c r="S861" s="6"/>
    </row>
    <row r="862">
      <c r="A862" s="5" t="str">
        <f>'ALL(responses)'!A862</f>
        <v/>
      </c>
      <c r="B862" s="6" t="str">
        <f>'ALL(responses)'!B862</f>
        <v/>
      </c>
      <c r="C862" s="49" t="str">
        <f>'ALL(responses)'!C862</f>
        <v/>
      </c>
      <c r="D862" s="49" t="str">
        <f>'ALL(responses)'!D862</f>
        <v/>
      </c>
      <c r="E862" s="50" t="str">
        <f>'ALL(responses)'!E862</f>
        <v/>
      </c>
      <c r="F862" s="6"/>
      <c r="G862" s="6"/>
      <c r="H862" s="6"/>
      <c r="I862" s="6"/>
      <c r="J862" s="6"/>
      <c r="K862" s="6"/>
      <c r="L862" s="6"/>
      <c r="M862" s="6"/>
      <c r="N862" s="6"/>
      <c r="O862" s="6"/>
      <c r="P862" s="6"/>
      <c r="Q862" s="6"/>
      <c r="R862" s="6"/>
      <c r="S862" s="6"/>
    </row>
    <row r="863">
      <c r="A863" s="5" t="str">
        <f>'ALL(responses)'!A863</f>
        <v/>
      </c>
      <c r="B863" s="6" t="str">
        <f>'ALL(responses)'!B863</f>
        <v/>
      </c>
      <c r="C863" s="49" t="str">
        <f>'ALL(responses)'!C863</f>
        <v/>
      </c>
      <c r="D863" s="49" t="str">
        <f>'ALL(responses)'!D863</f>
        <v/>
      </c>
      <c r="E863" s="50" t="str">
        <f>'ALL(responses)'!E863</f>
        <v/>
      </c>
      <c r="F863" s="6"/>
      <c r="G863" s="6"/>
      <c r="H863" s="6"/>
      <c r="I863" s="6"/>
      <c r="J863" s="6"/>
      <c r="K863" s="6"/>
      <c r="L863" s="6"/>
      <c r="M863" s="6"/>
      <c r="N863" s="6"/>
      <c r="O863" s="6"/>
      <c r="P863" s="6"/>
      <c r="Q863" s="6"/>
      <c r="R863" s="6"/>
      <c r="S863" s="6"/>
    </row>
    <row r="864">
      <c r="A864" s="5" t="str">
        <f>'ALL(responses)'!A864</f>
        <v/>
      </c>
      <c r="B864" s="6" t="str">
        <f>'ALL(responses)'!B864</f>
        <v/>
      </c>
      <c r="C864" s="49" t="str">
        <f>'ALL(responses)'!C864</f>
        <v/>
      </c>
      <c r="D864" s="49" t="str">
        <f>'ALL(responses)'!D864</f>
        <v/>
      </c>
      <c r="E864" s="50" t="str">
        <f>'ALL(responses)'!E864</f>
        <v/>
      </c>
      <c r="F864" s="6"/>
      <c r="G864" s="6"/>
      <c r="H864" s="6"/>
      <c r="I864" s="6"/>
      <c r="J864" s="6"/>
      <c r="K864" s="6"/>
      <c r="L864" s="6"/>
      <c r="M864" s="6"/>
      <c r="N864" s="6"/>
      <c r="O864" s="6"/>
      <c r="P864" s="6"/>
      <c r="Q864" s="6"/>
      <c r="R864" s="6"/>
      <c r="S864" s="6"/>
    </row>
    <row r="865">
      <c r="A865" s="5" t="str">
        <f>'ALL(responses)'!A865</f>
        <v/>
      </c>
      <c r="B865" s="6" t="str">
        <f>'ALL(responses)'!B865</f>
        <v/>
      </c>
      <c r="C865" s="49" t="str">
        <f>'ALL(responses)'!C865</f>
        <v/>
      </c>
      <c r="D865" s="49" t="str">
        <f>'ALL(responses)'!D865</f>
        <v/>
      </c>
      <c r="E865" s="50" t="str">
        <f>'ALL(responses)'!E865</f>
        <v/>
      </c>
      <c r="F865" s="6"/>
      <c r="G865" s="6"/>
      <c r="H865" s="6"/>
      <c r="I865" s="6"/>
      <c r="J865" s="6"/>
      <c r="K865" s="6"/>
      <c r="L865" s="6"/>
      <c r="M865" s="6"/>
      <c r="N865" s="6"/>
      <c r="O865" s="6"/>
      <c r="P865" s="6"/>
      <c r="Q865" s="6"/>
      <c r="R865" s="6"/>
      <c r="S865" s="6"/>
    </row>
    <row r="866">
      <c r="A866" s="5" t="str">
        <f>'ALL(responses)'!A866</f>
        <v/>
      </c>
      <c r="B866" s="6" t="str">
        <f>'ALL(responses)'!B866</f>
        <v/>
      </c>
      <c r="C866" s="49" t="str">
        <f>'ALL(responses)'!C866</f>
        <v/>
      </c>
      <c r="D866" s="49" t="str">
        <f>'ALL(responses)'!D866</f>
        <v/>
      </c>
      <c r="E866" s="50" t="str">
        <f>'ALL(responses)'!E866</f>
        <v/>
      </c>
      <c r="F866" s="6"/>
      <c r="G866" s="6"/>
      <c r="H866" s="6"/>
      <c r="I866" s="6"/>
      <c r="J866" s="6"/>
      <c r="K866" s="6"/>
      <c r="L866" s="6"/>
      <c r="M866" s="6"/>
      <c r="N866" s="6"/>
      <c r="O866" s="6"/>
      <c r="P866" s="6"/>
      <c r="Q866" s="6"/>
      <c r="R866" s="6"/>
      <c r="S866" s="6"/>
    </row>
    <row r="867">
      <c r="A867" s="5" t="str">
        <f>'ALL(responses)'!A867</f>
        <v/>
      </c>
      <c r="B867" s="6" t="str">
        <f>'ALL(responses)'!B867</f>
        <v/>
      </c>
      <c r="C867" s="49" t="str">
        <f>'ALL(responses)'!C867</f>
        <v/>
      </c>
      <c r="D867" s="49" t="str">
        <f>'ALL(responses)'!D867</f>
        <v/>
      </c>
      <c r="E867" s="50" t="str">
        <f>'ALL(responses)'!E867</f>
        <v/>
      </c>
      <c r="F867" s="6"/>
      <c r="G867" s="6"/>
      <c r="H867" s="6"/>
      <c r="I867" s="6"/>
      <c r="J867" s="6"/>
      <c r="K867" s="6"/>
      <c r="L867" s="6"/>
      <c r="M867" s="6"/>
      <c r="N867" s="6"/>
      <c r="O867" s="6"/>
      <c r="P867" s="6"/>
      <c r="Q867" s="6"/>
      <c r="R867" s="6"/>
      <c r="S867" s="6"/>
    </row>
    <row r="868">
      <c r="A868" s="5" t="str">
        <f>'ALL(responses)'!A868</f>
        <v/>
      </c>
      <c r="B868" s="6" t="str">
        <f>'ALL(responses)'!B868</f>
        <v/>
      </c>
      <c r="C868" s="49" t="str">
        <f>'ALL(responses)'!C868</f>
        <v/>
      </c>
      <c r="D868" s="49" t="str">
        <f>'ALL(responses)'!D868</f>
        <v/>
      </c>
      <c r="E868" s="50" t="str">
        <f>'ALL(responses)'!E868</f>
        <v/>
      </c>
      <c r="F868" s="6"/>
      <c r="G868" s="6"/>
      <c r="H868" s="6"/>
      <c r="I868" s="6"/>
      <c r="J868" s="6"/>
      <c r="K868" s="6"/>
      <c r="L868" s="6"/>
      <c r="M868" s="6"/>
      <c r="N868" s="6"/>
      <c r="O868" s="6"/>
      <c r="P868" s="6"/>
      <c r="Q868" s="6"/>
      <c r="R868" s="6"/>
      <c r="S868" s="6"/>
    </row>
    <row r="869">
      <c r="A869" s="5" t="str">
        <f>'ALL(responses)'!A869</f>
        <v/>
      </c>
      <c r="B869" s="6" t="str">
        <f>'ALL(responses)'!B869</f>
        <v/>
      </c>
      <c r="C869" s="49" t="str">
        <f>'ALL(responses)'!C869</f>
        <v/>
      </c>
      <c r="D869" s="49" t="str">
        <f>'ALL(responses)'!D869</f>
        <v/>
      </c>
      <c r="E869" s="50" t="str">
        <f>'ALL(responses)'!E869</f>
        <v/>
      </c>
      <c r="F869" s="6"/>
      <c r="G869" s="6"/>
      <c r="H869" s="6"/>
      <c r="I869" s="6"/>
      <c r="J869" s="6"/>
      <c r="K869" s="6"/>
      <c r="L869" s="6"/>
      <c r="M869" s="6"/>
      <c r="N869" s="6"/>
      <c r="O869" s="6"/>
      <c r="P869" s="6"/>
      <c r="Q869" s="6"/>
      <c r="R869" s="6"/>
      <c r="S869" s="6"/>
    </row>
    <row r="870">
      <c r="A870" s="5" t="str">
        <f>'ALL(responses)'!A870</f>
        <v/>
      </c>
      <c r="B870" s="6" t="str">
        <f>'ALL(responses)'!B870</f>
        <v/>
      </c>
      <c r="C870" s="49" t="str">
        <f>'ALL(responses)'!C870</f>
        <v/>
      </c>
      <c r="D870" s="49" t="str">
        <f>'ALL(responses)'!D870</f>
        <v/>
      </c>
      <c r="E870" s="50" t="str">
        <f>'ALL(responses)'!E870</f>
        <v/>
      </c>
      <c r="F870" s="6"/>
      <c r="G870" s="6"/>
      <c r="H870" s="6"/>
      <c r="I870" s="6"/>
      <c r="J870" s="6"/>
      <c r="K870" s="6"/>
      <c r="L870" s="6"/>
      <c r="M870" s="6"/>
      <c r="N870" s="6"/>
      <c r="O870" s="6"/>
      <c r="P870" s="6"/>
      <c r="Q870" s="6"/>
      <c r="R870" s="6"/>
      <c r="S870" s="6"/>
    </row>
    <row r="871">
      <c r="A871" s="5" t="str">
        <f>'ALL(responses)'!A871</f>
        <v/>
      </c>
      <c r="B871" s="6" t="str">
        <f>'ALL(responses)'!B871</f>
        <v/>
      </c>
      <c r="C871" s="49" t="str">
        <f>'ALL(responses)'!C871</f>
        <v/>
      </c>
      <c r="D871" s="49" t="str">
        <f>'ALL(responses)'!D871</f>
        <v/>
      </c>
      <c r="E871" s="50" t="str">
        <f>'ALL(responses)'!E871</f>
        <v/>
      </c>
      <c r="F871" s="6"/>
      <c r="G871" s="6"/>
      <c r="H871" s="6"/>
      <c r="I871" s="6"/>
      <c r="J871" s="6"/>
      <c r="K871" s="6"/>
      <c r="L871" s="6"/>
      <c r="M871" s="6"/>
      <c r="N871" s="6"/>
      <c r="O871" s="6"/>
      <c r="P871" s="6"/>
      <c r="Q871" s="6"/>
      <c r="R871" s="6"/>
      <c r="S871" s="6"/>
    </row>
    <row r="872">
      <c r="A872" s="5" t="str">
        <f>'ALL(responses)'!A872</f>
        <v/>
      </c>
      <c r="B872" s="6" t="str">
        <f>'ALL(responses)'!B872</f>
        <v/>
      </c>
      <c r="C872" s="49" t="str">
        <f>'ALL(responses)'!C872</f>
        <v/>
      </c>
      <c r="D872" s="49" t="str">
        <f>'ALL(responses)'!D872</f>
        <v/>
      </c>
      <c r="E872" s="50" t="str">
        <f>'ALL(responses)'!E872</f>
        <v/>
      </c>
      <c r="F872" s="6"/>
      <c r="G872" s="6"/>
      <c r="H872" s="6"/>
      <c r="I872" s="6"/>
      <c r="J872" s="6"/>
      <c r="K872" s="6"/>
      <c r="L872" s="6"/>
      <c r="M872" s="6"/>
      <c r="N872" s="6"/>
      <c r="O872" s="6"/>
      <c r="P872" s="6"/>
      <c r="Q872" s="6"/>
      <c r="R872" s="6"/>
      <c r="S872" s="6"/>
    </row>
    <row r="873">
      <c r="A873" s="5" t="str">
        <f>'ALL(responses)'!A873</f>
        <v/>
      </c>
      <c r="B873" s="6" t="str">
        <f>'ALL(responses)'!B873</f>
        <v/>
      </c>
      <c r="C873" s="49" t="str">
        <f>'ALL(responses)'!C873</f>
        <v/>
      </c>
      <c r="D873" s="49" t="str">
        <f>'ALL(responses)'!D873</f>
        <v/>
      </c>
      <c r="E873" s="50" t="str">
        <f>'ALL(responses)'!E873</f>
        <v/>
      </c>
      <c r="F873" s="6"/>
      <c r="G873" s="6"/>
      <c r="H873" s="6"/>
      <c r="I873" s="6"/>
      <c r="J873" s="6"/>
      <c r="K873" s="6"/>
      <c r="L873" s="6"/>
      <c r="M873" s="6"/>
      <c r="N873" s="6"/>
      <c r="O873" s="6"/>
      <c r="P873" s="6"/>
      <c r="Q873" s="6"/>
      <c r="R873" s="6"/>
      <c r="S873" s="6"/>
    </row>
    <row r="874">
      <c r="A874" s="5" t="str">
        <f>'ALL(responses)'!A874</f>
        <v/>
      </c>
      <c r="B874" s="6" t="str">
        <f>'ALL(responses)'!B874</f>
        <v/>
      </c>
      <c r="C874" s="49" t="str">
        <f>'ALL(responses)'!C874</f>
        <v/>
      </c>
      <c r="D874" s="49" t="str">
        <f>'ALL(responses)'!D874</f>
        <v/>
      </c>
      <c r="E874" s="50" t="str">
        <f>'ALL(responses)'!E874</f>
        <v/>
      </c>
      <c r="F874" s="6"/>
      <c r="G874" s="6"/>
      <c r="H874" s="6"/>
      <c r="I874" s="6"/>
      <c r="J874" s="6"/>
      <c r="K874" s="6"/>
      <c r="L874" s="6"/>
      <c r="M874" s="6"/>
      <c r="N874" s="6"/>
      <c r="O874" s="6"/>
      <c r="P874" s="6"/>
      <c r="Q874" s="6"/>
      <c r="R874" s="6"/>
      <c r="S874" s="6"/>
    </row>
    <row r="875">
      <c r="A875" s="5" t="str">
        <f>'ALL(responses)'!A875</f>
        <v/>
      </c>
      <c r="B875" s="6" t="str">
        <f>'ALL(responses)'!B875</f>
        <v/>
      </c>
      <c r="C875" s="49" t="str">
        <f>'ALL(responses)'!C875</f>
        <v/>
      </c>
      <c r="D875" s="49" t="str">
        <f>'ALL(responses)'!D875</f>
        <v/>
      </c>
      <c r="E875" s="50" t="str">
        <f>'ALL(responses)'!E875</f>
        <v/>
      </c>
      <c r="F875" s="6"/>
      <c r="G875" s="6"/>
      <c r="H875" s="6"/>
      <c r="I875" s="6"/>
      <c r="J875" s="6"/>
      <c r="K875" s="6"/>
      <c r="L875" s="6"/>
      <c r="M875" s="6"/>
      <c r="N875" s="6"/>
      <c r="O875" s="6"/>
      <c r="P875" s="6"/>
      <c r="Q875" s="6"/>
      <c r="R875" s="6"/>
      <c r="S875" s="6"/>
    </row>
    <row r="876">
      <c r="A876" s="5" t="str">
        <f>'ALL(responses)'!A876</f>
        <v/>
      </c>
      <c r="B876" s="6" t="str">
        <f>'ALL(responses)'!B876</f>
        <v/>
      </c>
      <c r="C876" s="49" t="str">
        <f>'ALL(responses)'!C876</f>
        <v/>
      </c>
      <c r="D876" s="49" t="str">
        <f>'ALL(responses)'!D876</f>
        <v/>
      </c>
      <c r="E876" s="50" t="str">
        <f>'ALL(responses)'!E876</f>
        <v/>
      </c>
      <c r="F876" s="6"/>
      <c r="G876" s="6"/>
      <c r="H876" s="6"/>
      <c r="I876" s="6"/>
      <c r="J876" s="6"/>
      <c r="K876" s="6"/>
      <c r="L876" s="6"/>
      <c r="M876" s="6"/>
      <c r="N876" s="6"/>
      <c r="O876" s="6"/>
      <c r="P876" s="6"/>
      <c r="Q876" s="6"/>
      <c r="R876" s="6"/>
      <c r="S876" s="6"/>
    </row>
    <row r="877">
      <c r="A877" s="5" t="str">
        <f>'ALL(responses)'!A877</f>
        <v/>
      </c>
      <c r="B877" s="6" t="str">
        <f>'ALL(responses)'!B877</f>
        <v/>
      </c>
      <c r="C877" s="49" t="str">
        <f>'ALL(responses)'!C877</f>
        <v/>
      </c>
      <c r="D877" s="49" t="str">
        <f>'ALL(responses)'!D877</f>
        <v/>
      </c>
      <c r="E877" s="50" t="str">
        <f>'ALL(responses)'!E877</f>
        <v/>
      </c>
      <c r="F877" s="6"/>
      <c r="G877" s="6"/>
      <c r="H877" s="6"/>
      <c r="I877" s="6"/>
      <c r="J877" s="6"/>
      <c r="K877" s="6"/>
      <c r="L877" s="6"/>
      <c r="M877" s="6"/>
      <c r="N877" s="6"/>
      <c r="O877" s="6"/>
      <c r="P877" s="6"/>
      <c r="Q877" s="6"/>
      <c r="R877" s="6"/>
      <c r="S877" s="6"/>
    </row>
    <row r="878">
      <c r="A878" s="5" t="str">
        <f>'ALL(responses)'!A878</f>
        <v/>
      </c>
      <c r="B878" s="6" t="str">
        <f>'ALL(responses)'!B878</f>
        <v/>
      </c>
      <c r="C878" s="49" t="str">
        <f>'ALL(responses)'!C878</f>
        <v/>
      </c>
      <c r="D878" s="49" t="str">
        <f>'ALL(responses)'!D878</f>
        <v/>
      </c>
      <c r="E878" s="50" t="str">
        <f>'ALL(responses)'!E878</f>
        <v/>
      </c>
      <c r="F878" s="6"/>
      <c r="G878" s="6"/>
      <c r="H878" s="6"/>
      <c r="I878" s="6"/>
      <c r="J878" s="6"/>
      <c r="K878" s="6"/>
      <c r="L878" s="6"/>
      <c r="M878" s="6"/>
      <c r="N878" s="6"/>
      <c r="O878" s="6"/>
      <c r="P878" s="6"/>
      <c r="Q878" s="6"/>
      <c r="R878" s="6"/>
      <c r="S878" s="6"/>
    </row>
    <row r="879">
      <c r="A879" s="5" t="str">
        <f>'ALL(responses)'!A879</f>
        <v/>
      </c>
      <c r="B879" s="6" t="str">
        <f>'ALL(responses)'!B879</f>
        <v/>
      </c>
      <c r="C879" s="49" t="str">
        <f>'ALL(responses)'!C879</f>
        <v/>
      </c>
      <c r="D879" s="49" t="str">
        <f>'ALL(responses)'!D879</f>
        <v/>
      </c>
      <c r="E879" s="50" t="str">
        <f>'ALL(responses)'!E879</f>
        <v/>
      </c>
      <c r="F879" s="6"/>
      <c r="G879" s="6"/>
      <c r="H879" s="6"/>
      <c r="I879" s="6"/>
      <c r="J879" s="6"/>
      <c r="K879" s="6"/>
      <c r="L879" s="6"/>
      <c r="M879" s="6"/>
      <c r="N879" s="6"/>
      <c r="O879" s="6"/>
      <c r="P879" s="6"/>
      <c r="Q879" s="6"/>
      <c r="R879" s="6"/>
      <c r="S879" s="6"/>
    </row>
    <row r="880">
      <c r="A880" s="5" t="str">
        <f>'ALL(responses)'!A880</f>
        <v/>
      </c>
      <c r="B880" s="6" t="str">
        <f>'ALL(responses)'!B880</f>
        <v/>
      </c>
      <c r="C880" s="49" t="str">
        <f>'ALL(responses)'!C880</f>
        <v/>
      </c>
      <c r="D880" s="49" t="str">
        <f>'ALL(responses)'!D880</f>
        <v/>
      </c>
      <c r="E880" s="50" t="str">
        <f>'ALL(responses)'!E880</f>
        <v/>
      </c>
      <c r="F880" s="6"/>
      <c r="G880" s="6"/>
      <c r="H880" s="6"/>
      <c r="I880" s="6"/>
      <c r="J880" s="6"/>
      <c r="K880" s="6"/>
      <c r="L880" s="6"/>
      <c r="M880" s="6"/>
      <c r="N880" s="6"/>
      <c r="O880" s="6"/>
      <c r="P880" s="6"/>
      <c r="Q880" s="6"/>
      <c r="R880" s="6"/>
      <c r="S880" s="6"/>
    </row>
    <row r="881">
      <c r="A881" s="5" t="str">
        <f>'ALL(responses)'!A881</f>
        <v/>
      </c>
      <c r="B881" s="6" t="str">
        <f>'ALL(responses)'!B881</f>
        <v/>
      </c>
      <c r="C881" s="49" t="str">
        <f>'ALL(responses)'!C881</f>
        <v/>
      </c>
      <c r="D881" s="49" t="str">
        <f>'ALL(responses)'!D881</f>
        <v/>
      </c>
      <c r="E881" s="50" t="str">
        <f>'ALL(responses)'!E881</f>
        <v/>
      </c>
      <c r="F881" s="6"/>
      <c r="G881" s="6"/>
      <c r="H881" s="6"/>
      <c r="I881" s="6"/>
      <c r="J881" s="6"/>
      <c r="K881" s="6"/>
      <c r="L881" s="6"/>
      <c r="M881" s="6"/>
      <c r="N881" s="6"/>
      <c r="O881" s="6"/>
      <c r="P881" s="6"/>
      <c r="Q881" s="6"/>
      <c r="R881" s="6"/>
      <c r="S881" s="6"/>
    </row>
    <row r="882">
      <c r="A882" s="5" t="str">
        <f>'ALL(responses)'!A882</f>
        <v/>
      </c>
      <c r="B882" s="6" t="str">
        <f>'ALL(responses)'!B882</f>
        <v/>
      </c>
      <c r="C882" s="49" t="str">
        <f>'ALL(responses)'!C882</f>
        <v/>
      </c>
      <c r="D882" s="49" t="str">
        <f>'ALL(responses)'!D882</f>
        <v/>
      </c>
      <c r="E882" s="50" t="str">
        <f>'ALL(responses)'!E882</f>
        <v/>
      </c>
      <c r="F882" s="6"/>
      <c r="G882" s="6"/>
      <c r="H882" s="6"/>
      <c r="I882" s="6"/>
      <c r="J882" s="6"/>
      <c r="K882" s="6"/>
      <c r="L882" s="6"/>
      <c r="M882" s="6"/>
      <c r="N882" s="6"/>
      <c r="O882" s="6"/>
      <c r="P882" s="6"/>
      <c r="Q882" s="6"/>
      <c r="R882" s="6"/>
      <c r="S882" s="6"/>
    </row>
    <row r="883">
      <c r="A883" s="5" t="str">
        <f>'ALL(responses)'!A883</f>
        <v/>
      </c>
      <c r="B883" s="6" t="str">
        <f>'ALL(responses)'!B883</f>
        <v/>
      </c>
      <c r="C883" s="49" t="str">
        <f>'ALL(responses)'!C883</f>
        <v/>
      </c>
      <c r="D883" s="49" t="str">
        <f>'ALL(responses)'!D883</f>
        <v/>
      </c>
      <c r="E883" s="50" t="str">
        <f>'ALL(responses)'!E883</f>
        <v/>
      </c>
      <c r="F883" s="6"/>
      <c r="G883" s="6"/>
      <c r="H883" s="6"/>
      <c r="I883" s="6"/>
      <c r="J883" s="6"/>
      <c r="K883" s="6"/>
      <c r="L883" s="6"/>
      <c r="M883" s="6"/>
      <c r="N883" s="6"/>
      <c r="O883" s="6"/>
      <c r="P883" s="6"/>
      <c r="Q883" s="6"/>
      <c r="R883" s="6"/>
      <c r="S883" s="6"/>
    </row>
    <row r="884">
      <c r="A884" s="5" t="str">
        <f>'ALL(responses)'!A884</f>
        <v/>
      </c>
      <c r="B884" s="6" t="str">
        <f>'ALL(responses)'!B884</f>
        <v/>
      </c>
      <c r="C884" s="49" t="str">
        <f>'ALL(responses)'!C884</f>
        <v/>
      </c>
      <c r="D884" s="49" t="str">
        <f>'ALL(responses)'!D884</f>
        <v/>
      </c>
      <c r="E884" s="50" t="str">
        <f>'ALL(responses)'!E884</f>
        <v/>
      </c>
      <c r="F884" s="6"/>
      <c r="G884" s="6"/>
      <c r="H884" s="6"/>
      <c r="I884" s="6"/>
      <c r="J884" s="6"/>
      <c r="K884" s="6"/>
      <c r="L884" s="6"/>
      <c r="M884" s="6"/>
      <c r="N884" s="6"/>
      <c r="O884" s="6"/>
      <c r="P884" s="6"/>
      <c r="Q884" s="6"/>
      <c r="R884" s="6"/>
      <c r="S884" s="6"/>
    </row>
    <row r="885">
      <c r="A885" s="5" t="str">
        <f>'ALL(responses)'!A885</f>
        <v/>
      </c>
      <c r="B885" s="6" t="str">
        <f>'ALL(responses)'!B885</f>
        <v/>
      </c>
      <c r="C885" s="49" t="str">
        <f>'ALL(responses)'!C885</f>
        <v/>
      </c>
      <c r="D885" s="49" t="str">
        <f>'ALL(responses)'!D885</f>
        <v/>
      </c>
      <c r="E885" s="50" t="str">
        <f>'ALL(responses)'!E885</f>
        <v/>
      </c>
      <c r="F885" s="6"/>
      <c r="G885" s="6"/>
      <c r="H885" s="6"/>
      <c r="I885" s="6"/>
      <c r="J885" s="6"/>
      <c r="K885" s="6"/>
      <c r="L885" s="6"/>
      <c r="M885" s="6"/>
      <c r="N885" s="6"/>
      <c r="O885" s="6"/>
      <c r="P885" s="6"/>
      <c r="Q885" s="6"/>
      <c r="R885" s="6"/>
      <c r="S885" s="6"/>
    </row>
    <row r="886">
      <c r="A886" s="5" t="str">
        <f>'ALL(responses)'!A886</f>
        <v/>
      </c>
      <c r="B886" s="6" t="str">
        <f>'ALL(responses)'!B886</f>
        <v/>
      </c>
      <c r="C886" s="49" t="str">
        <f>'ALL(responses)'!C886</f>
        <v/>
      </c>
      <c r="D886" s="49" t="str">
        <f>'ALL(responses)'!D886</f>
        <v/>
      </c>
      <c r="E886" s="50" t="str">
        <f>'ALL(responses)'!E886</f>
        <v/>
      </c>
      <c r="F886" s="6"/>
      <c r="G886" s="6"/>
      <c r="H886" s="6"/>
      <c r="I886" s="6"/>
      <c r="J886" s="6"/>
      <c r="K886" s="6"/>
      <c r="L886" s="6"/>
      <c r="M886" s="6"/>
      <c r="N886" s="6"/>
      <c r="O886" s="6"/>
      <c r="P886" s="6"/>
      <c r="Q886" s="6"/>
      <c r="R886" s="6"/>
      <c r="S886" s="6"/>
    </row>
    <row r="887">
      <c r="A887" s="5" t="str">
        <f>'ALL(responses)'!A887</f>
        <v/>
      </c>
      <c r="B887" s="6" t="str">
        <f>'ALL(responses)'!B887</f>
        <v/>
      </c>
      <c r="C887" s="49" t="str">
        <f>'ALL(responses)'!C887</f>
        <v/>
      </c>
      <c r="D887" s="49" t="str">
        <f>'ALL(responses)'!D887</f>
        <v/>
      </c>
      <c r="E887" s="50" t="str">
        <f>'ALL(responses)'!E887</f>
        <v/>
      </c>
      <c r="F887" s="6"/>
      <c r="G887" s="6"/>
      <c r="H887" s="6"/>
      <c r="I887" s="6"/>
      <c r="J887" s="6"/>
      <c r="K887" s="6"/>
      <c r="L887" s="6"/>
      <c r="M887" s="6"/>
      <c r="N887" s="6"/>
      <c r="O887" s="6"/>
      <c r="P887" s="6"/>
      <c r="Q887" s="6"/>
      <c r="R887" s="6"/>
      <c r="S887" s="6"/>
    </row>
    <row r="888">
      <c r="A888" s="5" t="str">
        <f>'ALL(responses)'!A888</f>
        <v/>
      </c>
      <c r="B888" s="6" t="str">
        <f>'ALL(responses)'!B888</f>
        <v/>
      </c>
      <c r="C888" s="49" t="str">
        <f>'ALL(responses)'!C888</f>
        <v/>
      </c>
      <c r="D888" s="49" t="str">
        <f>'ALL(responses)'!D888</f>
        <v/>
      </c>
      <c r="E888" s="50" t="str">
        <f>'ALL(responses)'!E888</f>
        <v/>
      </c>
      <c r="F888" s="6"/>
      <c r="G888" s="6"/>
      <c r="H888" s="6"/>
      <c r="I888" s="6"/>
      <c r="J888" s="6"/>
      <c r="K888" s="6"/>
      <c r="L888" s="6"/>
      <c r="M888" s="6"/>
      <c r="N888" s="6"/>
      <c r="O888" s="6"/>
      <c r="P888" s="6"/>
      <c r="Q888" s="6"/>
      <c r="R888" s="6"/>
      <c r="S888" s="6"/>
    </row>
    <row r="889">
      <c r="A889" s="5" t="str">
        <f>'ALL(responses)'!A889</f>
        <v/>
      </c>
      <c r="B889" s="6" t="str">
        <f>'ALL(responses)'!B889</f>
        <v/>
      </c>
      <c r="C889" s="49" t="str">
        <f>'ALL(responses)'!C889</f>
        <v/>
      </c>
      <c r="D889" s="49" t="str">
        <f>'ALL(responses)'!D889</f>
        <v/>
      </c>
      <c r="E889" s="50" t="str">
        <f>'ALL(responses)'!E889</f>
        <v/>
      </c>
      <c r="F889" s="6"/>
      <c r="G889" s="6"/>
      <c r="H889" s="6"/>
      <c r="I889" s="6"/>
      <c r="J889" s="6"/>
      <c r="K889" s="6"/>
      <c r="L889" s="6"/>
      <c r="M889" s="6"/>
      <c r="N889" s="6"/>
      <c r="O889" s="6"/>
      <c r="P889" s="6"/>
      <c r="Q889" s="6"/>
      <c r="R889" s="6"/>
      <c r="S889" s="6"/>
    </row>
    <row r="890">
      <c r="A890" s="5" t="str">
        <f>'ALL(responses)'!A890</f>
        <v/>
      </c>
      <c r="B890" s="6" t="str">
        <f>'ALL(responses)'!B890</f>
        <v/>
      </c>
      <c r="C890" s="49" t="str">
        <f>'ALL(responses)'!C890</f>
        <v/>
      </c>
      <c r="D890" s="49" t="str">
        <f>'ALL(responses)'!D890</f>
        <v/>
      </c>
      <c r="E890" s="50" t="str">
        <f>'ALL(responses)'!E890</f>
        <v/>
      </c>
      <c r="F890" s="6"/>
      <c r="G890" s="6"/>
      <c r="H890" s="6"/>
      <c r="I890" s="6"/>
      <c r="J890" s="6"/>
      <c r="K890" s="6"/>
      <c r="L890" s="6"/>
      <c r="M890" s="6"/>
      <c r="N890" s="6"/>
      <c r="O890" s="6"/>
      <c r="P890" s="6"/>
      <c r="Q890" s="6"/>
      <c r="R890" s="6"/>
      <c r="S890" s="6"/>
    </row>
    <row r="891">
      <c r="A891" s="5" t="str">
        <f>'ALL(responses)'!A891</f>
        <v/>
      </c>
      <c r="B891" s="6" t="str">
        <f>'ALL(responses)'!B891</f>
        <v/>
      </c>
      <c r="C891" s="49" t="str">
        <f>'ALL(responses)'!C891</f>
        <v/>
      </c>
      <c r="D891" s="49" t="str">
        <f>'ALL(responses)'!D891</f>
        <v/>
      </c>
      <c r="E891" s="50" t="str">
        <f>'ALL(responses)'!E891</f>
        <v/>
      </c>
      <c r="F891" s="6"/>
      <c r="G891" s="6"/>
      <c r="H891" s="6"/>
      <c r="I891" s="6"/>
      <c r="J891" s="6"/>
      <c r="K891" s="6"/>
      <c r="L891" s="6"/>
      <c r="M891" s="6"/>
      <c r="N891" s="6"/>
      <c r="O891" s="6"/>
      <c r="P891" s="6"/>
      <c r="Q891" s="6"/>
      <c r="R891" s="6"/>
      <c r="S891" s="6"/>
    </row>
    <row r="892">
      <c r="A892" s="5" t="str">
        <f>'ALL(responses)'!A892</f>
        <v/>
      </c>
      <c r="B892" s="6" t="str">
        <f>'ALL(responses)'!B892</f>
        <v/>
      </c>
      <c r="C892" s="49" t="str">
        <f>'ALL(responses)'!C892</f>
        <v/>
      </c>
      <c r="D892" s="49" t="str">
        <f>'ALL(responses)'!D892</f>
        <v/>
      </c>
      <c r="E892" s="50" t="str">
        <f>'ALL(responses)'!E892</f>
        <v/>
      </c>
      <c r="F892" s="6"/>
      <c r="G892" s="6"/>
      <c r="H892" s="6"/>
      <c r="I892" s="6"/>
      <c r="J892" s="6"/>
      <c r="K892" s="6"/>
      <c r="L892" s="6"/>
      <c r="M892" s="6"/>
      <c r="N892" s="6"/>
      <c r="O892" s="6"/>
      <c r="P892" s="6"/>
      <c r="Q892" s="6"/>
      <c r="R892" s="6"/>
      <c r="S892" s="6"/>
    </row>
    <row r="893">
      <c r="A893" s="5" t="str">
        <f>'ALL(responses)'!A893</f>
        <v/>
      </c>
      <c r="B893" s="6" t="str">
        <f>'ALL(responses)'!B893</f>
        <v/>
      </c>
      <c r="C893" s="49" t="str">
        <f>'ALL(responses)'!C893</f>
        <v/>
      </c>
      <c r="D893" s="49" t="str">
        <f>'ALL(responses)'!D893</f>
        <v/>
      </c>
      <c r="E893" s="50" t="str">
        <f>'ALL(responses)'!E893</f>
        <v/>
      </c>
      <c r="F893" s="6"/>
      <c r="G893" s="6"/>
      <c r="H893" s="6"/>
      <c r="I893" s="6"/>
      <c r="J893" s="6"/>
      <c r="K893" s="6"/>
      <c r="L893" s="6"/>
      <c r="M893" s="6"/>
      <c r="N893" s="6"/>
      <c r="O893" s="6"/>
      <c r="P893" s="6"/>
      <c r="Q893" s="6"/>
      <c r="R893" s="6"/>
      <c r="S893" s="6"/>
    </row>
    <row r="894">
      <c r="A894" s="5" t="str">
        <f>'ALL(responses)'!A894</f>
        <v/>
      </c>
      <c r="B894" s="6" t="str">
        <f>'ALL(responses)'!B894</f>
        <v/>
      </c>
      <c r="C894" s="49" t="str">
        <f>'ALL(responses)'!C894</f>
        <v/>
      </c>
      <c r="D894" s="49" t="str">
        <f>'ALL(responses)'!D894</f>
        <v/>
      </c>
      <c r="E894" s="50" t="str">
        <f>'ALL(responses)'!E894</f>
        <v/>
      </c>
      <c r="F894" s="6"/>
      <c r="G894" s="6"/>
      <c r="H894" s="6"/>
      <c r="I894" s="6"/>
      <c r="J894" s="6"/>
      <c r="K894" s="6"/>
      <c r="L894" s="6"/>
      <c r="M894" s="6"/>
      <c r="N894" s="6"/>
      <c r="O894" s="6"/>
      <c r="P894" s="6"/>
      <c r="Q894" s="6"/>
      <c r="R894" s="6"/>
      <c r="S894" s="6"/>
    </row>
    <row r="895">
      <c r="A895" s="5" t="str">
        <f>'ALL(responses)'!A895</f>
        <v/>
      </c>
      <c r="B895" s="6" t="str">
        <f>'ALL(responses)'!B895</f>
        <v/>
      </c>
      <c r="C895" s="49" t="str">
        <f>'ALL(responses)'!C895</f>
        <v/>
      </c>
      <c r="D895" s="49" t="str">
        <f>'ALL(responses)'!D895</f>
        <v/>
      </c>
      <c r="E895" s="50" t="str">
        <f>'ALL(responses)'!E895</f>
        <v/>
      </c>
      <c r="F895" s="6"/>
      <c r="G895" s="6"/>
      <c r="H895" s="6"/>
      <c r="I895" s="6"/>
      <c r="J895" s="6"/>
      <c r="K895" s="6"/>
      <c r="L895" s="6"/>
      <c r="M895" s="6"/>
      <c r="N895" s="6"/>
      <c r="O895" s="6"/>
      <c r="P895" s="6"/>
      <c r="Q895" s="6"/>
      <c r="R895" s="6"/>
      <c r="S895" s="6"/>
    </row>
    <row r="896">
      <c r="A896" s="5" t="str">
        <f>'ALL(responses)'!A896</f>
        <v/>
      </c>
      <c r="B896" s="6" t="str">
        <f>'ALL(responses)'!B896</f>
        <v/>
      </c>
      <c r="C896" s="49" t="str">
        <f>'ALL(responses)'!C896</f>
        <v/>
      </c>
      <c r="D896" s="49" t="str">
        <f>'ALL(responses)'!D896</f>
        <v/>
      </c>
      <c r="E896" s="50" t="str">
        <f>'ALL(responses)'!E896</f>
        <v/>
      </c>
      <c r="F896" s="6"/>
      <c r="G896" s="6"/>
      <c r="H896" s="6"/>
      <c r="I896" s="6"/>
      <c r="J896" s="6"/>
      <c r="K896" s="6"/>
      <c r="L896" s="6"/>
      <c r="M896" s="6"/>
      <c r="N896" s="6"/>
      <c r="O896" s="6"/>
      <c r="P896" s="6"/>
      <c r="Q896" s="6"/>
      <c r="R896" s="6"/>
      <c r="S896" s="6"/>
    </row>
    <row r="897">
      <c r="A897" s="5" t="str">
        <f>'ALL(responses)'!A897</f>
        <v/>
      </c>
      <c r="B897" s="6" t="str">
        <f>'ALL(responses)'!B897</f>
        <v/>
      </c>
      <c r="C897" s="49" t="str">
        <f>'ALL(responses)'!C897</f>
        <v/>
      </c>
      <c r="D897" s="49" t="str">
        <f>'ALL(responses)'!D897</f>
        <v/>
      </c>
      <c r="E897" s="50" t="str">
        <f>'ALL(responses)'!E897</f>
        <v/>
      </c>
      <c r="F897" s="6"/>
      <c r="G897" s="6"/>
      <c r="H897" s="6"/>
      <c r="I897" s="6"/>
      <c r="J897" s="6"/>
      <c r="K897" s="6"/>
      <c r="L897" s="6"/>
      <c r="M897" s="6"/>
      <c r="N897" s="6"/>
      <c r="O897" s="6"/>
      <c r="P897" s="6"/>
      <c r="Q897" s="6"/>
      <c r="R897" s="6"/>
      <c r="S897" s="6"/>
    </row>
    <row r="898">
      <c r="A898" s="5" t="str">
        <f>'ALL(responses)'!A898</f>
        <v/>
      </c>
      <c r="B898" s="6" t="str">
        <f>'ALL(responses)'!B898</f>
        <v/>
      </c>
      <c r="C898" s="49" t="str">
        <f>'ALL(responses)'!C898</f>
        <v/>
      </c>
      <c r="D898" s="49" t="str">
        <f>'ALL(responses)'!D898</f>
        <v/>
      </c>
      <c r="E898" s="50" t="str">
        <f>'ALL(responses)'!E898</f>
        <v/>
      </c>
      <c r="F898" s="6"/>
      <c r="G898" s="6"/>
      <c r="H898" s="6"/>
      <c r="I898" s="6"/>
      <c r="J898" s="6"/>
      <c r="K898" s="6"/>
      <c r="L898" s="6"/>
      <c r="M898" s="6"/>
      <c r="N898" s="6"/>
      <c r="O898" s="6"/>
      <c r="P898" s="6"/>
      <c r="Q898" s="6"/>
      <c r="R898" s="6"/>
      <c r="S898" s="6"/>
    </row>
    <row r="899">
      <c r="A899" s="5" t="str">
        <f>'ALL(responses)'!A899</f>
        <v/>
      </c>
      <c r="B899" s="6" t="str">
        <f>'ALL(responses)'!B899</f>
        <v/>
      </c>
      <c r="C899" s="49" t="str">
        <f>'ALL(responses)'!C899</f>
        <v/>
      </c>
      <c r="D899" s="49" t="str">
        <f>'ALL(responses)'!D899</f>
        <v/>
      </c>
      <c r="E899" s="50" t="str">
        <f>'ALL(responses)'!E899</f>
        <v/>
      </c>
      <c r="F899" s="6"/>
      <c r="G899" s="6"/>
      <c r="H899" s="6"/>
      <c r="I899" s="6"/>
      <c r="J899" s="6"/>
      <c r="K899" s="6"/>
      <c r="L899" s="6"/>
      <c r="M899" s="6"/>
      <c r="N899" s="6"/>
      <c r="O899" s="6"/>
      <c r="P899" s="6"/>
      <c r="Q899" s="6"/>
      <c r="R899" s="6"/>
      <c r="S899" s="6"/>
    </row>
    <row r="900">
      <c r="A900" s="5" t="str">
        <f>'ALL(responses)'!A900</f>
        <v/>
      </c>
      <c r="B900" s="6" t="str">
        <f>'ALL(responses)'!B900</f>
        <v/>
      </c>
      <c r="C900" s="49" t="str">
        <f>'ALL(responses)'!C900</f>
        <v/>
      </c>
      <c r="D900" s="49" t="str">
        <f>'ALL(responses)'!D900</f>
        <v/>
      </c>
      <c r="E900" s="49" t="str">
        <f>'ALL(responses)'!E900</f>
        <v/>
      </c>
      <c r="F900" s="6"/>
      <c r="G900" s="6"/>
      <c r="H900" s="6"/>
      <c r="I900" s="6"/>
      <c r="J900" s="6"/>
      <c r="K900" s="6"/>
      <c r="L900" s="6"/>
      <c r="M900" s="6"/>
      <c r="N900" s="6"/>
      <c r="O900" s="6"/>
      <c r="P900" s="6"/>
      <c r="Q900" s="6"/>
      <c r="R900" s="6"/>
      <c r="S900" s="6"/>
    </row>
    <row r="901">
      <c r="A901" s="5" t="str">
        <f>'ALL(responses)'!A901</f>
        <v/>
      </c>
      <c r="B901" s="6" t="str">
        <f>'ALL(responses)'!B901</f>
        <v/>
      </c>
      <c r="C901" s="49" t="str">
        <f>'ALL(responses)'!C901</f>
        <v/>
      </c>
      <c r="D901" s="49" t="str">
        <f>'ALL(responses)'!D901</f>
        <v/>
      </c>
      <c r="E901" s="50" t="str">
        <f>'ALL(responses)'!E901</f>
        <v/>
      </c>
      <c r="F901" s="6"/>
      <c r="G901" s="6"/>
      <c r="H901" s="6"/>
      <c r="I901" s="6"/>
      <c r="J901" s="6"/>
      <c r="K901" s="6"/>
      <c r="L901" s="6"/>
      <c r="M901" s="6"/>
      <c r="N901" s="6"/>
      <c r="O901" s="6"/>
      <c r="P901" s="6"/>
      <c r="Q901" s="6"/>
      <c r="R901" s="6"/>
      <c r="S901" s="6"/>
    </row>
    <row r="902">
      <c r="A902" s="5" t="str">
        <f>'ALL(responses)'!A902</f>
        <v/>
      </c>
      <c r="B902" s="6" t="str">
        <f>'ALL(responses)'!B902</f>
        <v/>
      </c>
      <c r="C902" s="49" t="str">
        <f>'ALL(responses)'!C902</f>
        <v/>
      </c>
      <c r="D902" s="49" t="str">
        <f>'ALL(responses)'!D902</f>
        <v/>
      </c>
      <c r="E902" s="50" t="str">
        <f>'ALL(responses)'!E902</f>
        <v/>
      </c>
      <c r="F902" s="6"/>
      <c r="G902" s="6"/>
      <c r="H902" s="6"/>
      <c r="I902" s="6"/>
      <c r="J902" s="6"/>
      <c r="K902" s="6"/>
      <c r="L902" s="6"/>
      <c r="M902" s="6"/>
      <c r="N902" s="6"/>
      <c r="O902" s="6"/>
      <c r="P902" s="6"/>
      <c r="Q902" s="6"/>
      <c r="R902" s="6"/>
      <c r="S902" s="6"/>
    </row>
    <row r="903">
      <c r="A903" s="5" t="str">
        <f>'ALL(responses)'!A903</f>
        <v/>
      </c>
      <c r="B903" s="6" t="str">
        <f>'ALL(responses)'!B903</f>
        <v/>
      </c>
      <c r="C903" s="49" t="str">
        <f>'ALL(responses)'!C903</f>
        <v/>
      </c>
      <c r="D903" s="49" t="str">
        <f>'ALL(responses)'!D903</f>
        <v/>
      </c>
      <c r="E903" s="50" t="str">
        <f>'ALL(responses)'!E903</f>
        <v/>
      </c>
      <c r="F903" s="6"/>
      <c r="G903" s="6"/>
      <c r="H903" s="6"/>
      <c r="I903" s="6"/>
      <c r="J903" s="6"/>
      <c r="K903" s="6"/>
      <c r="L903" s="6"/>
      <c r="M903" s="6"/>
      <c r="N903" s="6"/>
      <c r="O903" s="6"/>
      <c r="P903" s="6"/>
      <c r="Q903" s="6"/>
      <c r="R903" s="6"/>
      <c r="S903" s="6"/>
    </row>
    <row r="904">
      <c r="A904" s="5" t="str">
        <f>'ALL(responses)'!A904</f>
        <v/>
      </c>
      <c r="B904" s="6" t="str">
        <f>'ALL(responses)'!B904</f>
        <v/>
      </c>
      <c r="C904" s="49" t="str">
        <f>'ALL(responses)'!C904</f>
        <v/>
      </c>
      <c r="D904" s="49" t="str">
        <f>'ALL(responses)'!D904</f>
        <v/>
      </c>
      <c r="E904" s="50" t="str">
        <f>'ALL(responses)'!E904</f>
        <v/>
      </c>
      <c r="F904" s="6"/>
      <c r="G904" s="6"/>
      <c r="H904" s="6"/>
      <c r="I904" s="6"/>
      <c r="J904" s="6"/>
      <c r="K904" s="6"/>
      <c r="L904" s="6"/>
      <c r="M904" s="6"/>
      <c r="N904" s="6"/>
      <c r="O904" s="6"/>
      <c r="P904" s="6"/>
      <c r="Q904" s="6"/>
      <c r="R904" s="6"/>
      <c r="S904" s="6"/>
    </row>
    <row r="905">
      <c r="A905" s="5" t="str">
        <f>'ALL(responses)'!A905</f>
        <v/>
      </c>
      <c r="B905" s="6" t="str">
        <f>'ALL(responses)'!B905</f>
        <v/>
      </c>
      <c r="C905" s="49" t="str">
        <f>'ALL(responses)'!C905</f>
        <v/>
      </c>
      <c r="D905" s="49" t="str">
        <f>'ALL(responses)'!D905</f>
        <v/>
      </c>
      <c r="E905" s="50" t="str">
        <f>'ALL(responses)'!E905</f>
        <v/>
      </c>
      <c r="F905" s="6"/>
      <c r="G905" s="6"/>
      <c r="H905" s="6"/>
      <c r="I905" s="6"/>
      <c r="J905" s="6"/>
      <c r="K905" s="6"/>
      <c r="L905" s="6"/>
      <c r="M905" s="6"/>
      <c r="N905" s="6"/>
      <c r="O905" s="6"/>
      <c r="P905" s="6"/>
      <c r="Q905" s="6"/>
      <c r="R905" s="6"/>
      <c r="S905" s="6"/>
    </row>
    <row r="906">
      <c r="A906" s="5" t="str">
        <f>'ALL(responses)'!A906</f>
        <v/>
      </c>
      <c r="B906" s="6" t="str">
        <f>'ALL(responses)'!B906</f>
        <v/>
      </c>
      <c r="C906" s="49" t="str">
        <f>'ALL(responses)'!C906</f>
        <v/>
      </c>
      <c r="D906" s="49" t="str">
        <f>'ALL(responses)'!D906</f>
        <v/>
      </c>
      <c r="E906" s="50" t="str">
        <f>'ALL(responses)'!E906</f>
        <v/>
      </c>
      <c r="F906" s="6"/>
      <c r="G906" s="6"/>
      <c r="H906" s="6"/>
      <c r="I906" s="6"/>
      <c r="J906" s="6"/>
      <c r="K906" s="6"/>
      <c r="L906" s="6"/>
      <c r="M906" s="6"/>
      <c r="N906" s="6"/>
      <c r="O906" s="6"/>
      <c r="P906" s="6"/>
      <c r="Q906" s="6"/>
      <c r="R906" s="6"/>
      <c r="S906" s="6"/>
    </row>
    <row r="907">
      <c r="A907" s="5" t="str">
        <f>'ALL(responses)'!A907</f>
        <v/>
      </c>
      <c r="B907" s="6" t="str">
        <f>'ALL(responses)'!B907</f>
        <v/>
      </c>
      <c r="C907" s="49" t="str">
        <f>'ALL(responses)'!C907</f>
        <v/>
      </c>
      <c r="D907" s="49" t="str">
        <f>'ALL(responses)'!D907</f>
        <v/>
      </c>
      <c r="E907" s="50" t="str">
        <f>'ALL(responses)'!E907</f>
        <v/>
      </c>
      <c r="F907" s="6"/>
      <c r="G907" s="6"/>
      <c r="H907" s="6"/>
      <c r="I907" s="6"/>
      <c r="J907" s="6"/>
      <c r="K907" s="6"/>
      <c r="L907" s="6"/>
      <c r="M907" s="6"/>
      <c r="N907" s="6"/>
      <c r="O907" s="6"/>
      <c r="P907" s="6"/>
      <c r="Q907" s="6"/>
      <c r="R907" s="6"/>
      <c r="S907" s="6"/>
    </row>
    <row r="908">
      <c r="A908" s="5" t="str">
        <f>'ALL(responses)'!A908</f>
        <v/>
      </c>
      <c r="B908" s="6" t="str">
        <f>'ALL(responses)'!B908</f>
        <v/>
      </c>
      <c r="C908" s="49" t="str">
        <f>'ALL(responses)'!C908</f>
        <v/>
      </c>
      <c r="D908" s="49" t="str">
        <f>'ALL(responses)'!D908</f>
        <v/>
      </c>
      <c r="E908" s="50" t="str">
        <f>'ALL(responses)'!E908</f>
        <v/>
      </c>
      <c r="F908" s="6"/>
      <c r="G908" s="6"/>
      <c r="H908" s="6"/>
      <c r="I908" s="6"/>
      <c r="J908" s="6"/>
      <c r="K908" s="6"/>
      <c r="L908" s="6"/>
      <c r="M908" s="6"/>
      <c r="N908" s="6"/>
      <c r="O908" s="6"/>
      <c r="P908" s="6"/>
      <c r="Q908" s="6"/>
      <c r="R908" s="6"/>
      <c r="S908" s="6"/>
    </row>
    <row r="909">
      <c r="A909" s="5" t="str">
        <f>'ALL(responses)'!A909</f>
        <v/>
      </c>
      <c r="B909" s="6" t="str">
        <f>'ALL(responses)'!B909</f>
        <v/>
      </c>
      <c r="C909" s="49" t="str">
        <f>'ALL(responses)'!C909</f>
        <v/>
      </c>
      <c r="D909" s="49" t="str">
        <f>'ALL(responses)'!D909</f>
        <v/>
      </c>
      <c r="E909" s="50" t="str">
        <f>'ALL(responses)'!E909</f>
        <v/>
      </c>
      <c r="F909" s="6"/>
      <c r="G909" s="6"/>
      <c r="H909" s="6"/>
      <c r="I909" s="6"/>
      <c r="J909" s="6"/>
      <c r="K909" s="6"/>
      <c r="L909" s="6"/>
      <c r="M909" s="6"/>
      <c r="N909" s="6"/>
      <c r="O909" s="6"/>
      <c r="P909" s="6"/>
      <c r="Q909" s="6"/>
      <c r="R909" s="6"/>
      <c r="S909" s="6"/>
    </row>
    <row r="910">
      <c r="A910" s="5" t="str">
        <f>'ALL(responses)'!A910</f>
        <v/>
      </c>
      <c r="B910" s="6" t="str">
        <f>'ALL(responses)'!B910</f>
        <v/>
      </c>
      <c r="C910" s="49" t="str">
        <f>'ALL(responses)'!C910</f>
        <v/>
      </c>
      <c r="D910" s="49" t="str">
        <f>'ALL(responses)'!D910</f>
        <v/>
      </c>
      <c r="E910" s="50" t="str">
        <f>'ALL(responses)'!E910</f>
        <v/>
      </c>
      <c r="F910" s="6"/>
      <c r="G910" s="6"/>
      <c r="H910" s="6"/>
      <c r="I910" s="6"/>
      <c r="J910" s="6"/>
      <c r="K910" s="6"/>
      <c r="L910" s="6"/>
      <c r="M910" s="6"/>
      <c r="N910" s="6"/>
      <c r="O910" s="6"/>
      <c r="P910" s="6"/>
      <c r="Q910" s="6"/>
      <c r="R910" s="6"/>
      <c r="S910" s="6"/>
    </row>
    <row r="911">
      <c r="A911" s="5" t="str">
        <f>'ALL(responses)'!A911</f>
        <v/>
      </c>
      <c r="B911" s="6" t="str">
        <f>'ALL(responses)'!B911</f>
        <v/>
      </c>
      <c r="C911" s="49" t="str">
        <f>'ALL(responses)'!C911</f>
        <v/>
      </c>
      <c r="D911" s="49" t="str">
        <f>'ALL(responses)'!D911</f>
        <v/>
      </c>
      <c r="E911" s="50" t="str">
        <f>'ALL(responses)'!E911</f>
        <v/>
      </c>
      <c r="F911" s="6"/>
      <c r="G911" s="6"/>
      <c r="H911" s="6"/>
      <c r="I911" s="6"/>
      <c r="J911" s="6"/>
      <c r="K911" s="6"/>
      <c r="L911" s="6"/>
      <c r="M911" s="6"/>
      <c r="N911" s="6"/>
      <c r="O911" s="6"/>
      <c r="P911" s="6"/>
      <c r="Q911" s="6"/>
      <c r="R911" s="6"/>
      <c r="S911" s="6"/>
    </row>
    <row r="912">
      <c r="A912" s="5" t="str">
        <f>'ALL(responses)'!A912</f>
        <v/>
      </c>
      <c r="B912" s="6" t="str">
        <f>'ALL(responses)'!B912</f>
        <v/>
      </c>
      <c r="C912" s="49" t="str">
        <f>'ALL(responses)'!C912</f>
        <v/>
      </c>
      <c r="D912" s="49" t="str">
        <f>'ALL(responses)'!D912</f>
        <v/>
      </c>
      <c r="E912" s="50" t="str">
        <f>'ALL(responses)'!E912</f>
        <v/>
      </c>
      <c r="F912" s="6"/>
      <c r="G912" s="6"/>
      <c r="H912" s="6"/>
      <c r="I912" s="6"/>
      <c r="J912" s="6"/>
      <c r="K912" s="6"/>
      <c r="L912" s="6"/>
      <c r="M912" s="6"/>
      <c r="N912" s="6"/>
      <c r="O912" s="6"/>
      <c r="P912" s="6"/>
      <c r="Q912" s="6"/>
      <c r="R912" s="6"/>
      <c r="S912" s="6"/>
    </row>
    <row r="913">
      <c r="A913" s="5" t="str">
        <f>'ALL(responses)'!A913</f>
        <v/>
      </c>
      <c r="B913" s="6" t="str">
        <f>'ALL(responses)'!B913</f>
        <v/>
      </c>
      <c r="C913" s="49" t="str">
        <f>'ALL(responses)'!C913</f>
        <v/>
      </c>
      <c r="D913" s="49" t="str">
        <f>'ALL(responses)'!D913</f>
        <v/>
      </c>
      <c r="E913" s="50" t="str">
        <f>'ALL(responses)'!E913</f>
        <v/>
      </c>
      <c r="F913" s="6"/>
      <c r="G913" s="6"/>
      <c r="H913" s="6"/>
      <c r="I913" s="6"/>
      <c r="J913" s="6"/>
      <c r="K913" s="6"/>
      <c r="L913" s="6"/>
      <c r="M913" s="6"/>
      <c r="N913" s="6"/>
      <c r="O913" s="6"/>
      <c r="P913" s="6"/>
      <c r="Q913" s="6"/>
      <c r="R913" s="6"/>
      <c r="S913" s="6"/>
    </row>
    <row r="914">
      <c r="A914" s="5" t="str">
        <f>'ALL(responses)'!A914</f>
        <v/>
      </c>
      <c r="B914" s="6" t="str">
        <f>'ALL(responses)'!B914</f>
        <v/>
      </c>
      <c r="C914" s="49" t="str">
        <f>'ALL(responses)'!C914</f>
        <v/>
      </c>
      <c r="D914" s="49" t="str">
        <f>'ALL(responses)'!D914</f>
        <v/>
      </c>
      <c r="E914" s="50" t="str">
        <f>'ALL(responses)'!E914</f>
        <v/>
      </c>
      <c r="F914" s="6"/>
      <c r="G914" s="6"/>
      <c r="H914" s="6"/>
      <c r="I914" s="6"/>
      <c r="J914" s="6"/>
      <c r="K914" s="6"/>
      <c r="L914" s="6"/>
      <c r="M914" s="6"/>
      <c r="N914" s="6"/>
      <c r="O914" s="6"/>
      <c r="P914" s="6"/>
      <c r="Q914" s="6"/>
      <c r="R914" s="6"/>
      <c r="S914" s="6"/>
    </row>
    <row r="915">
      <c r="A915" s="5" t="str">
        <f>'ALL(responses)'!A915</f>
        <v/>
      </c>
      <c r="B915" s="6" t="str">
        <f>'ALL(responses)'!B915</f>
        <v/>
      </c>
      <c r="C915" s="49" t="str">
        <f>'ALL(responses)'!C915</f>
        <v/>
      </c>
      <c r="D915" s="49" t="str">
        <f>'ALL(responses)'!D915</f>
        <v/>
      </c>
      <c r="E915" s="50" t="str">
        <f>'ALL(responses)'!E915</f>
        <v/>
      </c>
      <c r="F915" s="6"/>
      <c r="G915" s="6"/>
      <c r="H915" s="6"/>
      <c r="I915" s="6"/>
      <c r="J915" s="6"/>
      <c r="K915" s="6"/>
      <c r="L915" s="6"/>
      <c r="M915" s="6"/>
      <c r="N915" s="6"/>
      <c r="O915" s="6"/>
      <c r="P915" s="6"/>
      <c r="Q915" s="6"/>
      <c r="R915" s="6"/>
      <c r="S915" s="6"/>
    </row>
    <row r="916">
      <c r="A916" s="5" t="str">
        <f>'ALL(responses)'!A916</f>
        <v/>
      </c>
      <c r="B916" s="6" t="str">
        <f>'ALL(responses)'!B916</f>
        <v/>
      </c>
      <c r="C916" s="49" t="str">
        <f>'ALL(responses)'!C916</f>
        <v/>
      </c>
      <c r="D916" s="49" t="str">
        <f>'ALL(responses)'!D916</f>
        <v/>
      </c>
      <c r="E916" s="50" t="str">
        <f>'ALL(responses)'!E916</f>
        <v/>
      </c>
      <c r="F916" s="6"/>
      <c r="G916" s="6"/>
      <c r="H916" s="6"/>
      <c r="I916" s="6"/>
      <c r="J916" s="6"/>
      <c r="K916" s="6"/>
      <c r="L916" s="6"/>
      <c r="M916" s="6"/>
      <c r="N916" s="6"/>
      <c r="O916" s="6"/>
      <c r="P916" s="6"/>
      <c r="Q916" s="6"/>
      <c r="R916" s="6"/>
      <c r="S916" s="6"/>
    </row>
    <row r="917">
      <c r="A917" s="5" t="str">
        <f>'ALL(responses)'!A917</f>
        <v/>
      </c>
      <c r="B917" s="6" t="str">
        <f>'ALL(responses)'!B917</f>
        <v/>
      </c>
      <c r="C917" s="49" t="str">
        <f>'ALL(responses)'!C917</f>
        <v/>
      </c>
      <c r="D917" s="49" t="str">
        <f>'ALL(responses)'!D917</f>
        <v/>
      </c>
      <c r="E917" s="50" t="str">
        <f>'ALL(responses)'!E917</f>
        <v/>
      </c>
      <c r="F917" s="6"/>
      <c r="G917" s="6"/>
      <c r="H917" s="6"/>
      <c r="I917" s="6"/>
      <c r="J917" s="6"/>
      <c r="K917" s="6"/>
      <c r="L917" s="6"/>
      <c r="M917" s="6"/>
      <c r="N917" s="6"/>
      <c r="O917" s="6"/>
      <c r="P917" s="6"/>
      <c r="Q917" s="6"/>
      <c r="R917" s="6"/>
      <c r="S917" s="6"/>
    </row>
    <row r="918">
      <c r="A918" s="5" t="str">
        <f>'ALL(responses)'!A918</f>
        <v/>
      </c>
      <c r="B918" s="6" t="str">
        <f>'ALL(responses)'!B918</f>
        <v/>
      </c>
      <c r="C918" s="49" t="str">
        <f>'ALL(responses)'!C918</f>
        <v/>
      </c>
      <c r="D918" s="49" t="str">
        <f>'ALL(responses)'!D918</f>
        <v/>
      </c>
      <c r="E918" s="50" t="str">
        <f>'ALL(responses)'!E918</f>
        <v/>
      </c>
      <c r="F918" s="6"/>
      <c r="G918" s="6"/>
      <c r="H918" s="6"/>
      <c r="I918" s="6"/>
      <c r="J918" s="6"/>
      <c r="K918" s="6"/>
      <c r="L918" s="6"/>
      <c r="M918" s="6"/>
      <c r="N918" s="6"/>
      <c r="O918" s="6"/>
      <c r="P918" s="6"/>
      <c r="Q918" s="6"/>
      <c r="R918" s="6"/>
      <c r="S918" s="6"/>
    </row>
    <row r="919">
      <c r="A919" s="5" t="str">
        <f>'ALL(responses)'!A919</f>
        <v/>
      </c>
      <c r="B919" s="6" t="str">
        <f>'ALL(responses)'!B919</f>
        <v/>
      </c>
      <c r="C919" s="49" t="str">
        <f>'ALL(responses)'!C919</f>
        <v/>
      </c>
      <c r="D919" s="49" t="str">
        <f>'ALL(responses)'!D919</f>
        <v/>
      </c>
      <c r="E919" s="50" t="str">
        <f>'ALL(responses)'!E919</f>
        <v/>
      </c>
      <c r="F919" s="6"/>
      <c r="G919" s="6"/>
      <c r="H919" s="6"/>
      <c r="I919" s="6"/>
      <c r="J919" s="6"/>
      <c r="K919" s="6"/>
      <c r="L919" s="6"/>
      <c r="M919" s="6"/>
      <c r="N919" s="6"/>
      <c r="O919" s="6"/>
      <c r="P919" s="6"/>
      <c r="Q919" s="6"/>
      <c r="R919" s="6"/>
      <c r="S919" s="6"/>
    </row>
    <row r="920">
      <c r="A920" s="5" t="str">
        <f>'ALL(responses)'!A920</f>
        <v/>
      </c>
      <c r="B920" s="6" t="str">
        <f>'ALL(responses)'!B920</f>
        <v/>
      </c>
      <c r="C920" s="49" t="str">
        <f>'ALL(responses)'!C920</f>
        <v/>
      </c>
      <c r="D920" s="49" t="str">
        <f>'ALL(responses)'!D920</f>
        <v/>
      </c>
      <c r="E920" s="50" t="str">
        <f>'ALL(responses)'!E920</f>
        <v/>
      </c>
      <c r="F920" s="6"/>
      <c r="G920" s="6"/>
      <c r="H920" s="6"/>
      <c r="I920" s="6"/>
      <c r="J920" s="6"/>
      <c r="K920" s="6"/>
      <c r="L920" s="6"/>
      <c r="M920" s="6"/>
      <c r="N920" s="6"/>
      <c r="O920" s="6"/>
      <c r="P920" s="6"/>
      <c r="Q920" s="6"/>
      <c r="R920" s="6"/>
      <c r="S920" s="6"/>
    </row>
    <row r="921">
      <c r="A921" s="5" t="str">
        <f>'ALL(responses)'!A921</f>
        <v/>
      </c>
      <c r="B921" s="6" t="str">
        <f>'ALL(responses)'!B921</f>
        <v/>
      </c>
      <c r="C921" s="49" t="str">
        <f>'ALL(responses)'!C921</f>
        <v/>
      </c>
      <c r="D921" s="49" t="str">
        <f>'ALL(responses)'!D921</f>
        <v/>
      </c>
      <c r="E921" s="50" t="str">
        <f>'ALL(responses)'!E921</f>
        <v/>
      </c>
      <c r="F921" s="6"/>
      <c r="G921" s="6"/>
      <c r="H921" s="6"/>
      <c r="I921" s="6"/>
      <c r="J921" s="6"/>
      <c r="K921" s="6"/>
      <c r="L921" s="6"/>
      <c r="M921" s="6"/>
      <c r="N921" s="6"/>
      <c r="O921" s="6"/>
      <c r="P921" s="6"/>
      <c r="Q921" s="6"/>
      <c r="R921" s="6"/>
      <c r="S921" s="6"/>
    </row>
    <row r="922">
      <c r="A922" s="5" t="str">
        <f>'ALL(responses)'!A922</f>
        <v/>
      </c>
      <c r="B922" s="6" t="str">
        <f>'ALL(responses)'!B922</f>
        <v/>
      </c>
      <c r="C922" s="49" t="str">
        <f>'ALL(responses)'!C922</f>
        <v/>
      </c>
      <c r="D922" s="49" t="str">
        <f>'ALL(responses)'!D922</f>
        <v/>
      </c>
      <c r="E922" s="50" t="str">
        <f>'ALL(responses)'!E922</f>
        <v/>
      </c>
      <c r="F922" s="6"/>
      <c r="G922" s="6"/>
      <c r="H922" s="6"/>
      <c r="I922" s="6"/>
      <c r="J922" s="6"/>
      <c r="K922" s="6"/>
      <c r="L922" s="6"/>
      <c r="M922" s="6"/>
      <c r="N922" s="6"/>
      <c r="O922" s="6"/>
      <c r="P922" s="6"/>
      <c r="Q922" s="6"/>
      <c r="R922" s="6"/>
      <c r="S922" s="6"/>
    </row>
    <row r="923">
      <c r="A923" s="5" t="str">
        <f>'ALL(responses)'!A923</f>
        <v/>
      </c>
      <c r="B923" s="6" t="str">
        <f>'ALL(responses)'!B923</f>
        <v/>
      </c>
      <c r="C923" s="49" t="str">
        <f>'ALL(responses)'!C923</f>
        <v/>
      </c>
      <c r="D923" s="49" t="str">
        <f>'ALL(responses)'!D923</f>
        <v/>
      </c>
      <c r="E923" s="50" t="str">
        <f>'ALL(responses)'!E923</f>
        <v/>
      </c>
      <c r="F923" s="6"/>
      <c r="G923" s="6"/>
      <c r="H923" s="6"/>
      <c r="I923" s="6"/>
      <c r="J923" s="6"/>
      <c r="K923" s="6"/>
      <c r="L923" s="6"/>
      <c r="M923" s="6"/>
      <c r="N923" s="6"/>
      <c r="O923" s="6"/>
      <c r="P923" s="6"/>
      <c r="Q923" s="6"/>
      <c r="R923" s="6"/>
      <c r="S923" s="6"/>
    </row>
    <row r="924">
      <c r="A924" s="5" t="str">
        <f>'ALL(responses)'!A924</f>
        <v/>
      </c>
      <c r="B924" s="6" t="str">
        <f>'ALL(responses)'!B924</f>
        <v/>
      </c>
      <c r="C924" s="49" t="str">
        <f>'ALL(responses)'!C924</f>
        <v/>
      </c>
      <c r="D924" s="49" t="str">
        <f>'ALL(responses)'!D924</f>
        <v/>
      </c>
      <c r="E924" s="50" t="str">
        <f>'ALL(responses)'!E924</f>
        <v/>
      </c>
      <c r="F924" s="6"/>
      <c r="G924" s="6"/>
      <c r="H924" s="6"/>
      <c r="I924" s="6"/>
      <c r="J924" s="6"/>
      <c r="K924" s="6"/>
      <c r="L924" s="6"/>
      <c r="M924" s="6"/>
      <c r="N924" s="6"/>
      <c r="O924" s="6"/>
      <c r="P924" s="6"/>
      <c r="Q924" s="6"/>
      <c r="R924" s="6"/>
      <c r="S924" s="6"/>
    </row>
    <row r="925">
      <c r="A925" s="5" t="str">
        <f>'ALL(responses)'!A925</f>
        <v/>
      </c>
      <c r="B925" s="6" t="str">
        <f>'ALL(responses)'!B925</f>
        <v/>
      </c>
      <c r="C925" s="49" t="str">
        <f>'ALL(responses)'!C925</f>
        <v/>
      </c>
      <c r="D925" s="49" t="str">
        <f>'ALL(responses)'!D925</f>
        <v/>
      </c>
      <c r="E925" s="50" t="str">
        <f>'ALL(responses)'!E925</f>
        <v/>
      </c>
      <c r="F925" s="6"/>
      <c r="G925" s="6"/>
      <c r="H925" s="6"/>
      <c r="I925" s="6"/>
      <c r="J925" s="6"/>
      <c r="K925" s="6"/>
      <c r="L925" s="6"/>
      <c r="M925" s="6"/>
      <c r="N925" s="6"/>
      <c r="O925" s="6"/>
      <c r="P925" s="6"/>
      <c r="Q925" s="6"/>
      <c r="R925" s="6"/>
      <c r="S925" s="6"/>
    </row>
    <row r="926">
      <c r="A926" s="5" t="str">
        <f>'ALL(responses)'!A926</f>
        <v/>
      </c>
      <c r="B926" s="6" t="str">
        <f>'ALL(responses)'!B926</f>
        <v/>
      </c>
      <c r="C926" s="49" t="str">
        <f>'ALL(responses)'!C926</f>
        <v/>
      </c>
      <c r="D926" s="49" t="str">
        <f>'ALL(responses)'!D926</f>
        <v/>
      </c>
      <c r="E926" s="50" t="str">
        <f>'ALL(responses)'!E926</f>
        <v/>
      </c>
      <c r="F926" s="6"/>
      <c r="G926" s="6"/>
      <c r="H926" s="6"/>
      <c r="I926" s="6"/>
      <c r="J926" s="6"/>
      <c r="K926" s="6"/>
      <c r="L926" s="6"/>
      <c r="M926" s="6"/>
      <c r="N926" s="6"/>
      <c r="O926" s="6"/>
      <c r="P926" s="6"/>
      <c r="Q926" s="6"/>
      <c r="R926" s="6"/>
      <c r="S926" s="6"/>
    </row>
    <row r="927">
      <c r="A927" s="5" t="str">
        <f>'ALL(responses)'!A927</f>
        <v/>
      </c>
      <c r="B927" s="6" t="str">
        <f>'ALL(responses)'!B927</f>
        <v/>
      </c>
      <c r="C927" s="49" t="str">
        <f>'ALL(responses)'!C927</f>
        <v/>
      </c>
      <c r="D927" s="49" t="str">
        <f>'ALL(responses)'!D927</f>
        <v/>
      </c>
      <c r="E927" s="50" t="str">
        <f>'ALL(responses)'!E927</f>
        <v/>
      </c>
      <c r="F927" s="6"/>
      <c r="G927" s="6"/>
      <c r="H927" s="6"/>
      <c r="I927" s="6"/>
      <c r="J927" s="6"/>
      <c r="K927" s="6"/>
      <c r="L927" s="6"/>
      <c r="M927" s="6"/>
      <c r="N927" s="6"/>
      <c r="O927" s="6"/>
      <c r="P927" s="6"/>
      <c r="Q927" s="6"/>
      <c r="R927" s="6"/>
      <c r="S927" s="6"/>
    </row>
    <row r="928">
      <c r="A928" s="5" t="str">
        <f>'ALL(responses)'!A928</f>
        <v/>
      </c>
      <c r="B928" s="6" t="str">
        <f>'ALL(responses)'!B928</f>
        <v/>
      </c>
      <c r="C928" s="49" t="str">
        <f>'ALL(responses)'!C928</f>
        <v/>
      </c>
      <c r="D928" s="49" t="str">
        <f>'ALL(responses)'!D928</f>
        <v/>
      </c>
      <c r="E928" s="50" t="str">
        <f>'ALL(responses)'!E928</f>
        <v/>
      </c>
      <c r="F928" s="6"/>
      <c r="G928" s="6"/>
      <c r="H928" s="6"/>
      <c r="I928" s="6"/>
      <c r="J928" s="6"/>
      <c r="K928" s="6"/>
      <c r="L928" s="6"/>
      <c r="M928" s="6"/>
      <c r="N928" s="6"/>
      <c r="O928" s="6"/>
      <c r="P928" s="6"/>
      <c r="Q928" s="6"/>
      <c r="R928" s="6"/>
      <c r="S928" s="6"/>
    </row>
    <row r="929">
      <c r="A929" s="5" t="str">
        <f>'ALL(responses)'!A929</f>
        <v/>
      </c>
      <c r="B929" s="6" t="str">
        <f>'ALL(responses)'!B929</f>
        <v/>
      </c>
      <c r="C929" s="49" t="str">
        <f>'ALL(responses)'!C929</f>
        <v/>
      </c>
      <c r="D929" s="49" t="str">
        <f>'ALL(responses)'!D929</f>
        <v/>
      </c>
      <c r="E929" s="50" t="str">
        <f>'ALL(responses)'!E929</f>
        <v/>
      </c>
      <c r="F929" s="6"/>
      <c r="G929" s="6"/>
      <c r="H929" s="6"/>
      <c r="I929" s="6"/>
      <c r="J929" s="6"/>
      <c r="K929" s="6"/>
      <c r="L929" s="6"/>
      <c r="M929" s="6"/>
      <c r="N929" s="6"/>
      <c r="O929" s="6"/>
      <c r="P929" s="6"/>
      <c r="Q929" s="6"/>
      <c r="R929" s="6"/>
      <c r="S929" s="6"/>
    </row>
    <row r="930">
      <c r="A930" s="5" t="str">
        <f>'ALL(responses)'!A930</f>
        <v/>
      </c>
      <c r="B930" s="6" t="str">
        <f>'ALL(responses)'!B930</f>
        <v/>
      </c>
      <c r="C930" s="49" t="str">
        <f>'ALL(responses)'!C930</f>
        <v/>
      </c>
      <c r="D930" s="49" t="str">
        <f>'ALL(responses)'!D930</f>
        <v/>
      </c>
      <c r="E930" s="50" t="str">
        <f>'ALL(responses)'!E930</f>
        <v/>
      </c>
      <c r="F930" s="6"/>
      <c r="G930" s="6"/>
      <c r="H930" s="6"/>
      <c r="I930" s="6"/>
      <c r="J930" s="6"/>
      <c r="K930" s="6"/>
      <c r="L930" s="6"/>
      <c r="M930" s="6"/>
      <c r="N930" s="6"/>
      <c r="O930" s="6"/>
      <c r="P930" s="6"/>
      <c r="Q930" s="6"/>
      <c r="R930" s="6"/>
      <c r="S930" s="6"/>
    </row>
    <row r="931">
      <c r="A931" s="5" t="str">
        <f>'ALL(responses)'!A931</f>
        <v/>
      </c>
      <c r="B931" s="6" t="str">
        <f>'ALL(responses)'!B931</f>
        <v/>
      </c>
      <c r="C931" s="49" t="str">
        <f>'ALL(responses)'!C931</f>
        <v/>
      </c>
      <c r="D931" s="49" t="str">
        <f>'ALL(responses)'!D931</f>
        <v/>
      </c>
      <c r="E931" s="50" t="str">
        <f>'ALL(responses)'!E931</f>
        <v/>
      </c>
      <c r="F931" s="6"/>
      <c r="G931" s="6"/>
      <c r="H931" s="6"/>
      <c r="I931" s="6"/>
      <c r="J931" s="6"/>
      <c r="K931" s="6"/>
      <c r="L931" s="6"/>
      <c r="M931" s="6"/>
      <c r="N931" s="6"/>
      <c r="O931" s="6"/>
      <c r="P931" s="6"/>
      <c r="Q931" s="6"/>
      <c r="R931" s="6"/>
      <c r="S931" s="6"/>
    </row>
    <row r="932">
      <c r="A932" s="5" t="str">
        <f>'ALL(responses)'!A932</f>
        <v/>
      </c>
      <c r="B932" s="6" t="str">
        <f>'ALL(responses)'!B932</f>
        <v/>
      </c>
      <c r="C932" s="49" t="str">
        <f>'ALL(responses)'!C932</f>
        <v/>
      </c>
      <c r="D932" s="49" t="str">
        <f>'ALL(responses)'!D932</f>
        <v/>
      </c>
      <c r="E932" s="50" t="str">
        <f>'ALL(responses)'!E932</f>
        <v/>
      </c>
      <c r="F932" s="6"/>
      <c r="G932" s="6"/>
      <c r="H932" s="6"/>
      <c r="I932" s="6"/>
      <c r="J932" s="6"/>
      <c r="K932" s="6"/>
      <c r="L932" s="6"/>
      <c r="M932" s="6"/>
      <c r="N932" s="6"/>
      <c r="O932" s="6"/>
      <c r="P932" s="6"/>
      <c r="Q932" s="6"/>
      <c r="R932" s="6"/>
      <c r="S932" s="6"/>
    </row>
    <row r="933">
      <c r="A933" s="5" t="str">
        <f>'ALL(responses)'!A933</f>
        <v/>
      </c>
      <c r="B933" s="6" t="str">
        <f>'ALL(responses)'!B933</f>
        <v/>
      </c>
      <c r="C933" s="49" t="str">
        <f>'ALL(responses)'!C933</f>
        <v/>
      </c>
      <c r="D933" s="49" t="str">
        <f>'ALL(responses)'!D933</f>
        <v/>
      </c>
      <c r="E933" s="50" t="str">
        <f>'ALL(responses)'!E933</f>
        <v/>
      </c>
      <c r="F933" s="6"/>
      <c r="G933" s="6"/>
      <c r="H933" s="6"/>
      <c r="I933" s="6"/>
      <c r="J933" s="6"/>
      <c r="K933" s="6"/>
      <c r="L933" s="6"/>
      <c r="M933" s="6"/>
      <c r="N933" s="6"/>
      <c r="O933" s="6"/>
      <c r="P933" s="6"/>
      <c r="Q933" s="6"/>
      <c r="R933" s="6"/>
      <c r="S933" s="6"/>
    </row>
    <row r="934">
      <c r="A934" s="5" t="str">
        <f>'ALL(responses)'!A934</f>
        <v/>
      </c>
      <c r="B934" s="6" t="str">
        <f>'ALL(responses)'!B934</f>
        <v/>
      </c>
      <c r="C934" s="49" t="str">
        <f>'ALL(responses)'!C934</f>
        <v/>
      </c>
      <c r="D934" s="49" t="str">
        <f>'ALL(responses)'!D934</f>
        <v/>
      </c>
      <c r="E934" s="50" t="str">
        <f>'ALL(responses)'!E934</f>
        <v/>
      </c>
      <c r="F934" s="6"/>
      <c r="G934" s="6"/>
      <c r="H934" s="6"/>
      <c r="I934" s="6"/>
      <c r="J934" s="6"/>
      <c r="K934" s="6"/>
      <c r="L934" s="6"/>
      <c r="M934" s="6"/>
      <c r="N934" s="6"/>
      <c r="O934" s="6"/>
      <c r="P934" s="6"/>
      <c r="Q934" s="6"/>
      <c r="R934" s="6"/>
      <c r="S934" s="6"/>
    </row>
    <row r="935">
      <c r="A935" s="5" t="str">
        <f>'ALL(responses)'!A935</f>
        <v/>
      </c>
      <c r="B935" s="6" t="str">
        <f>'ALL(responses)'!B935</f>
        <v/>
      </c>
      <c r="C935" s="49" t="str">
        <f>'ALL(responses)'!C935</f>
        <v/>
      </c>
      <c r="D935" s="49" t="str">
        <f>'ALL(responses)'!D935</f>
        <v/>
      </c>
      <c r="E935" s="50" t="str">
        <f>'ALL(responses)'!E935</f>
        <v/>
      </c>
      <c r="F935" s="6"/>
      <c r="G935" s="6"/>
      <c r="H935" s="6"/>
      <c r="I935" s="6"/>
      <c r="J935" s="6"/>
      <c r="K935" s="6"/>
      <c r="L935" s="6"/>
      <c r="M935" s="6"/>
      <c r="N935" s="6"/>
      <c r="O935" s="6"/>
      <c r="P935" s="6"/>
      <c r="Q935" s="6"/>
      <c r="R935" s="6"/>
      <c r="S935" s="6"/>
    </row>
    <row r="936">
      <c r="A936" s="5" t="str">
        <f>'ALL(responses)'!A936</f>
        <v/>
      </c>
      <c r="B936" s="6" t="str">
        <f>'ALL(responses)'!B936</f>
        <v/>
      </c>
      <c r="C936" s="49" t="str">
        <f>'ALL(responses)'!C936</f>
        <v/>
      </c>
      <c r="D936" s="49" t="str">
        <f>'ALL(responses)'!D936</f>
        <v/>
      </c>
      <c r="E936" s="50" t="str">
        <f>'ALL(responses)'!E936</f>
        <v/>
      </c>
      <c r="F936" s="6"/>
      <c r="G936" s="6"/>
      <c r="H936" s="6"/>
      <c r="I936" s="6"/>
      <c r="J936" s="6"/>
      <c r="K936" s="6"/>
      <c r="L936" s="6"/>
      <c r="M936" s="6"/>
      <c r="N936" s="6"/>
      <c r="O936" s="6"/>
      <c r="P936" s="6"/>
      <c r="Q936" s="6"/>
      <c r="R936" s="6"/>
      <c r="S936" s="6"/>
    </row>
    <row r="937">
      <c r="A937" s="5" t="str">
        <f>'ALL(responses)'!A937</f>
        <v/>
      </c>
      <c r="B937" s="6" t="str">
        <f>'ALL(responses)'!B937</f>
        <v/>
      </c>
      <c r="C937" s="49" t="str">
        <f>'ALL(responses)'!C937</f>
        <v/>
      </c>
      <c r="D937" s="49" t="str">
        <f>'ALL(responses)'!D937</f>
        <v/>
      </c>
      <c r="E937" s="50" t="str">
        <f>'ALL(responses)'!E937</f>
        <v/>
      </c>
      <c r="F937" s="6"/>
      <c r="G937" s="6"/>
      <c r="H937" s="6"/>
      <c r="I937" s="6"/>
      <c r="J937" s="6"/>
      <c r="K937" s="6"/>
      <c r="L937" s="6"/>
      <c r="M937" s="6"/>
      <c r="N937" s="6"/>
      <c r="O937" s="6"/>
      <c r="P937" s="6"/>
      <c r="Q937" s="6"/>
      <c r="R937" s="6"/>
      <c r="S937" s="6"/>
    </row>
    <row r="938">
      <c r="A938" s="5" t="str">
        <f>'ALL(responses)'!A938</f>
        <v/>
      </c>
      <c r="B938" s="6" t="str">
        <f>'ALL(responses)'!B938</f>
        <v/>
      </c>
      <c r="C938" s="49" t="str">
        <f>'ALL(responses)'!C938</f>
        <v/>
      </c>
      <c r="D938" s="49" t="str">
        <f>'ALL(responses)'!D938</f>
        <v/>
      </c>
      <c r="E938" s="50" t="str">
        <f>'ALL(responses)'!E938</f>
        <v/>
      </c>
      <c r="F938" s="6"/>
      <c r="G938" s="6"/>
      <c r="H938" s="6"/>
      <c r="I938" s="6"/>
      <c r="J938" s="6"/>
      <c r="K938" s="6"/>
      <c r="L938" s="6"/>
      <c r="M938" s="6"/>
      <c r="N938" s="6"/>
      <c r="O938" s="6"/>
      <c r="P938" s="6"/>
      <c r="Q938" s="6"/>
      <c r="R938" s="6"/>
      <c r="S938" s="6"/>
    </row>
    <row r="939">
      <c r="A939" s="5" t="str">
        <f>'ALL(responses)'!A939</f>
        <v/>
      </c>
      <c r="B939" s="6" t="str">
        <f>'ALL(responses)'!B939</f>
        <v/>
      </c>
      <c r="C939" s="49" t="str">
        <f>'ALL(responses)'!C939</f>
        <v/>
      </c>
      <c r="D939" s="49" t="str">
        <f>'ALL(responses)'!D939</f>
        <v/>
      </c>
      <c r="E939" s="50" t="str">
        <f>'ALL(responses)'!E939</f>
        <v/>
      </c>
      <c r="F939" s="6"/>
      <c r="G939" s="6"/>
      <c r="H939" s="6"/>
      <c r="I939" s="6"/>
      <c r="J939" s="6"/>
      <c r="K939" s="6"/>
      <c r="L939" s="6"/>
      <c r="M939" s="6"/>
      <c r="N939" s="6"/>
      <c r="O939" s="6"/>
      <c r="P939" s="6"/>
      <c r="Q939" s="6"/>
      <c r="R939" s="6"/>
      <c r="S939" s="6"/>
    </row>
    <row r="940">
      <c r="A940" s="5" t="str">
        <f>'ALL(responses)'!A940</f>
        <v/>
      </c>
      <c r="B940" s="6" t="str">
        <f>'ALL(responses)'!B940</f>
        <v/>
      </c>
      <c r="C940" s="49" t="str">
        <f>'ALL(responses)'!C940</f>
        <v/>
      </c>
      <c r="D940" s="49" t="str">
        <f>'ALL(responses)'!D940</f>
        <v/>
      </c>
      <c r="E940" s="50" t="str">
        <f>'ALL(responses)'!E940</f>
        <v/>
      </c>
      <c r="F940" s="6"/>
      <c r="G940" s="6"/>
      <c r="H940" s="6"/>
      <c r="I940" s="6"/>
      <c r="J940" s="6"/>
      <c r="K940" s="6"/>
      <c r="L940" s="6"/>
      <c r="M940" s="6"/>
      <c r="N940" s="6"/>
      <c r="O940" s="6"/>
      <c r="P940" s="6"/>
      <c r="Q940" s="6"/>
      <c r="R940" s="6"/>
      <c r="S940" s="6"/>
    </row>
    <row r="941">
      <c r="A941" s="5" t="str">
        <f>'ALL(responses)'!A941</f>
        <v/>
      </c>
      <c r="B941" s="6" t="str">
        <f>'ALL(responses)'!B941</f>
        <v/>
      </c>
      <c r="C941" s="49" t="str">
        <f>'ALL(responses)'!C941</f>
        <v/>
      </c>
      <c r="D941" s="49" t="str">
        <f>'ALL(responses)'!D941</f>
        <v/>
      </c>
      <c r="E941" s="49" t="str">
        <f>'ALL(responses)'!E941</f>
        <v/>
      </c>
      <c r="F941" s="6"/>
      <c r="G941" s="6"/>
      <c r="H941" s="6"/>
      <c r="I941" s="6"/>
      <c r="J941" s="6"/>
      <c r="K941" s="6"/>
      <c r="L941" s="6"/>
      <c r="M941" s="6"/>
      <c r="N941" s="6"/>
      <c r="O941" s="6"/>
      <c r="P941" s="6"/>
      <c r="Q941" s="6"/>
      <c r="R941" s="6"/>
      <c r="S941" s="6"/>
    </row>
    <row r="942">
      <c r="A942" s="5" t="str">
        <f>'ALL(responses)'!A942</f>
        <v/>
      </c>
      <c r="B942" s="6" t="str">
        <f>'ALL(responses)'!B942</f>
        <v/>
      </c>
      <c r="C942" s="49" t="str">
        <f>'ALL(responses)'!C942</f>
        <v/>
      </c>
      <c r="D942" s="49" t="str">
        <f>'ALL(responses)'!D942</f>
        <v/>
      </c>
      <c r="E942" s="50" t="str">
        <f>'ALL(responses)'!E942</f>
        <v/>
      </c>
      <c r="F942" s="6"/>
      <c r="G942" s="6"/>
      <c r="H942" s="6"/>
      <c r="I942" s="6"/>
      <c r="J942" s="6"/>
      <c r="K942" s="6"/>
      <c r="L942" s="6"/>
      <c r="M942" s="6"/>
      <c r="N942" s="6"/>
      <c r="O942" s="6"/>
      <c r="P942" s="6"/>
      <c r="Q942" s="6"/>
      <c r="R942" s="6"/>
      <c r="S942" s="6"/>
    </row>
    <row r="943">
      <c r="A943" s="5" t="str">
        <f>'ALL(responses)'!A943</f>
        <v/>
      </c>
      <c r="B943" s="6" t="str">
        <f>'ALL(responses)'!B943</f>
        <v/>
      </c>
      <c r="C943" s="49" t="str">
        <f>'ALL(responses)'!C943</f>
        <v/>
      </c>
      <c r="D943" s="49" t="str">
        <f>'ALL(responses)'!D943</f>
        <v/>
      </c>
      <c r="E943" s="50" t="str">
        <f>'ALL(responses)'!E943</f>
        <v/>
      </c>
      <c r="F943" s="6"/>
      <c r="G943" s="6"/>
      <c r="H943" s="6"/>
      <c r="I943" s="6"/>
      <c r="J943" s="6"/>
      <c r="K943" s="6"/>
      <c r="L943" s="6"/>
      <c r="M943" s="6"/>
      <c r="N943" s="6"/>
      <c r="O943" s="6"/>
      <c r="P943" s="6"/>
      <c r="Q943" s="6"/>
      <c r="R943" s="6"/>
      <c r="S943" s="6"/>
    </row>
    <row r="944">
      <c r="A944" s="5" t="str">
        <f>'ALL(responses)'!A944</f>
        <v/>
      </c>
      <c r="B944" s="6" t="str">
        <f>'ALL(responses)'!B944</f>
        <v/>
      </c>
      <c r="C944" s="49" t="str">
        <f>'ALL(responses)'!C944</f>
        <v/>
      </c>
      <c r="D944" s="49" t="str">
        <f>'ALL(responses)'!D944</f>
        <v/>
      </c>
      <c r="E944" s="50" t="str">
        <f>'ALL(responses)'!E944</f>
        <v/>
      </c>
      <c r="F944" s="6"/>
      <c r="G944" s="6"/>
      <c r="H944" s="6"/>
      <c r="I944" s="6"/>
      <c r="J944" s="6"/>
      <c r="K944" s="6"/>
      <c r="L944" s="6"/>
      <c r="M944" s="6"/>
      <c r="N944" s="6"/>
      <c r="O944" s="6"/>
      <c r="P944" s="6"/>
      <c r="Q944" s="6"/>
      <c r="R944" s="6"/>
      <c r="S944" s="6"/>
    </row>
    <row r="945">
      <c r="A945" s="5" t="str">
        <f>'ALL(responses)'!A945</f>
        <v/>
      </c>
      <c r="B945" s="6" t="str">
        <f>'ALL(responses)'!B945</f>
        <v/>
      </c>
      <c r="C945" s="49" t="str">
        <f>'ALL(responses)'!C945</f>
        <v/>
      </c>
      <c r="D945" s="49" t="str">
        <f>'ALL(responses)'!D945</f>
        <v/>
      </c>
      <c r="E945" s="50" t="str">
        <f>'ALL(responses)'!E945</f>
        <v/>
      </c>
      <c r="F945" s="6"/>
      <c r="G945" s="6"/>
      <c r="H945" s="6"/>
      <c r="I945" s="6"/>
      <c r="J945" s="6"/>
      <c r="K945" s="6"/>
      <c r="L945" s="6"/>
      <c r="M945" s="6"/>
      <c r="N945" s="6"/>
      <c r="O945" s="6"/>
      <c r="P945" s="6"/>
      <c r="Q945" s="6"/>
      <c r="R945" s="6"/>
      <c r="S945" s="6"/>
    </row>
    <row r="946">
      <c r="A946" s="5" t="str">
        <f>'ALL(responses)'!A946</f>
        <v/>
      </c>
      <c r="B946" s="6" t="str">
        <f>'ALL(responses)'!B946</f>
        <v/>
      </c>
      <c r="C946" s="49" t="str">
        <f>'ALL(responses)'!C946</f>
        <v/>
      </c>
      <c r="D946" s="49" t="str">
        <f>'ALL(responses)'!D946</f>
        <v/>
      </c>
      <c r="E946" s="50" t="str">
        <f>'ALL(responses)'!E946</f>
        <v/>
      </c>
      <c r="F946" s="6"/>
      <c r="G946" s="6"/>
      <c r="H946" s="6"/>
      <c r="I946" s="6"/>
      <c r="J946" s="6"/>
      <c r="K946" s="6"/>
      <c r="L946" s="6"/>
      <c r="M946" s="6"/>
      <c r="N946" s="6"/>
      <c r="O946" s="6"/>
      <c r="P946" s="6"/>
      <c r="Q946" s="6"/>
      <c r="R946" s="6"/>
      <c r="S946" s="6"/>
    </row>
    <row r="947">
      <c r="A947" s="5" t="str">
        <f>'ALL(responses)'!A947</f>
        <v/>
      </c>
      <c r="B947" s="6" t="str">
        <f>'ALL(responses)'!B947</f>
        <v/>
      </c>
      <c r="C947" s="49" t="str">
        <f>'ALL(responses)'!C947</f>
        <v/>
      </c>
      <c r="D947" s="49" t="str">
        <f>'ALL(responses)'!D947</f>
        <v/>
      </c>
      <c r="E947" s="50" t="str">
        <f>'ALL(responses)'!E947</f>
        <v/>
      </c>
      <c r="F947" s="6"/>
      <c r="G947" s="6"/>
      <c r="H947" s="6"/>
      <c r="I947" s="6"/>
      <c r="J947" s="6"/>
      <c r="K947" s="6"/>
      <c r="L947" s="6"/>
      <c r="M947" s="6"/>
      <c r="N947" s="6"/>
      <c r="O947" s="6"/>
      <c r="P947" s="6"/>
      <c r="Q947" s="6"/>
      <c r="R947" s="6"/>
      <c r="S947" s="6"/>
    </row>
    <row r="948">
      <c r="A948" s="5" t="str">
        <f>'ALL(responses)'!A948</f>
        <v/>
      </c>
      <c r="B948" s="6" t="str">
        <f>'ALL(responses)'!B948</f>
        <v/>
      </c>
      <c r="C948" s="49" t="str">
        <f>'ALL(responses)'!C948</f>
        <v/>
      </c>
      <c r="D948" s="49" t="str">
        <f>'ALL(responses)'!D948</f>
        <v/>
      </c>
      <c r="E948" s="50" t="str">
        <f>'ALL(responses)'!E948</f>
        <v/>
      </c>
      <c r="F948" s="6"/>
      <c r="G948" s="6"/>
      <c r="H948" s="6"/>
      <c r="I948" s="6"/>
      <c r="J948" s="6"/>
      <c r="K948" s="6"/>
      <c r="L948" s="6"/>
      <c r="M948" s="6"/>
      <c r="N948" s="6"/>
      <c r="O948" s="6"/>
      <c r="P948" s="6"/>
      <c r="Q948" s="6"/>
      <c r="R948" s="6"/>
      <c r="S948" s="6"/>
    </row>
    <row r="949">
      <c r="A949" s="5" t="str">
        <f>'ALL(responses)'!A949</f>
        <v/>
      </c>
      <c r="B949" s="6" t="str">
        <f>'ALL(responses)'!B949</f>
        <v/>
      </c>
      <c r="C949" s="49" t="str">
        <f>'ALL(responses)'!C949</f>
        <v/>
      </c>
      <c r="D949" s="49" t="str">
        <f>'ALL(responses)'!D949</f>
        <v/>
      </c>
      <c r="E949" s="50" t="str">
        <f>'ALL(responses)'!E949</f>
        <v/>
      </c>
      <c r="F949" s="6"/>
      <c r="G949" s="6"/>
      <c r="H949" s="6"/>
      <c r="I949" s="6"/>
      <c r="J949" s="6"/>
      <c r="K949" s="6"/>
      <c r="L949" s="6"/>
      <c r="M949" s="6"/>
      <c r="N949" s="6"/>
      <c r="O949" s="6"/>
      <c r="P949" s="6"/>
      <c r="Q949" s="6"/>
      <c r="R949" s="6"/>
      <c r="S949" s="6"/>
    </row>
    <row r="950">
      <c r="A950" s="5" t="str">
        <f>'ALL(responses)'!A950</f>
        <v/>
      </c>
      <c r="B950" s="6" t="str">
        <f>'ALL(responses)'!B950</f>
        <v/>
      </c>
      <c r="C950" s="49" t="str">
        <f>'ALL(responses)'!C950</f>
        <v/>
      </c>
      <c r="D950" s="49" t="str">
        <f>'ALL(responses)'!D950</f>
        <v/>
      </c>
      <c r="E950" s="50" t="str">
        <f>'ALL(responses)'!E950</f>
        <v/>
      </c>
      <c r="F950" s="6"/>
      <c r="G950" s="6"/>
      <c r="H950" s="6"/>
      <c r="I950" s="6"/>
      <c r="J950" s="6"/>
      <c r="K950" s="6"/>
      <c r="L950" s="6"/>
      <c r="M950" s="6"/>
      <c r="N950" s="6"/>
      <c r="O950" s="6"/>
      <c r="P950" s="6"/>
      <c r="Q950" s="6"/>
      <c r="R950" s="6"/>
      <c r="S950" s="6"/>
    </row>
    <row r="951">
      <c r="A951" s="5" t="str">
        <f>'ALL(responses)'!A951</f>
        <v/>
      </c>
      <c r="B951" s="6" t="str">
        <f>'ALL(responses)'!B951</f>
        <v/>
      </c>
      <c r="C951" s="49" t="str">
        <f>'ALL(responses)'!C951</f>
        <v/>
      </c>
      <c r="D951" s="49" t="str">
        <f>'ALL(responses)'!D951</f>
        <v/>
      </c>
      <c r="E951" s="50" t="str">
        <f>'ALL(responses)'!E951</f>
        <v/>
      </c>
      <c r="F951" s="6"/>
      <c r="G951" s="6"/>
      <c r="H951" s="6"/>
      <c r="I951" s="6"/>
      <c r="J951" s="6"/>
      <c r="K951" s="6"/>
      <c r="L951" s="6"/>
      <c r="M951" s="6"/>
      <c r="N951" s="6"/>
      <c r="O951" s="6"/>
      <c r="P951" s="6"/>
      <c r="Q951" s="6"/>
      <c r="R951" s="6"/>
      <c r="S951" s="6"/>
    </row>
    <row r="952">
      <c r="A952" s="5" t="str">
        <f>'ALL(responses)'!A952</f>
        <v/>
      </c>
      <c r="B952" s="6" t="str">
        <f>'ALL(responses)'!B952</f>
        <v/>
      </c>
      <c r="C952" s="49" t="str">
        <f>'ALL(responses)'!C952</f>
        <v/>
      </c>
      <c r="D952" s="49" t="str">
        <f>'ALL(responses)'!D952</f>
        <v/>
      </c>
      <c r="E952" s="50" t="str">
        <f>'ALL(responses)'!E952</f>
        <v/>
      </c>
      <c r="F952" s="6"/>
      <c r="G952" s="6"/>
      <c r="H952" s="6"/>
      <c r="I952" s="6"/>
      <c r="J952" s="6"/>
      <c r="K952" s="6"/>
      <c r="L952" s="6"/>
      <c r="M952" s="6"/>
      <c r="N952" s="6"/>
      <c r="O952" s="6"/>
      <c r="P952" s="6"/>
      <c r="Q952" s="6"/>
      <c r="R952" s="6"/>
      <c r="S952" s="6"/>
    </row>
    <row r="953">
      <c r="A953" s="5" t="str">
        <f>'ALL(responses)'!A953</f>
        <v/>
      </c>
      <c r="B953" s="6" t="str">
        <f>'ALL(responses)'!B953</f>
        <v/>
      </c>
      <c r="C953" s="49" t="str">
        <f>'ALL(responses)'!C953</f>
        <v/>
      </c>
      <c r="D953" s="49" t="str">
        <f>'ALL(responses)'!D953</f>
        <v/>
      </c>
      <c r="E953" s="50" t="str">
        <f>'ALL(responses)'!E953</f>
        <v/>
      </c>
      <c r="F953" s="6"/>
      <c r="G953" s="6"/>
      <c r="H953" s="6"/>
      <c r="I953" s="6"/>
      <c r="J953" s="6"/>
      <c r="K953" s="6"/>
      <c r="L953" s="6"/>
      <c r="M953" s="6"/>
      <c r="N953" s="6"/>
      <c r="O953" s="6"/>
      <c r="P953" s="6"/>
      <c r="Q953" s="6"/>
      <c r="R953" s="6"/>
      <c r="S953" s="6"/>
    </row>
    <row r="954">
      <c r="A954" s="5" t="str">
        <f>'ALL(responses)'!A954</f>
        <v/>
      </c>
      <c r="B954" s="6" t="str">
        <f>'ALL(responses)'!B954</f>
        <v/>
      </c>
      <c r="C954" s="49" t="str">
        <f>'ALL(responses)'!C954</f>
        <v/>
      </c>
      <c r="D954" s="49" t="str">
        <f>'ALL(responses)'!D954</f>
        <v/>
      </c>
      <c r="E954" s="50" t="str">
        <f>'ALL(responses)'!E954</f>
        <v/>
      </c>
      <c r="F954" s="6"/>
      <c r="G954" s="6"/>
      <c r="H954" s="6"/>
      <c r="I954" s="6"/>
      <c r="J954" s="6"/>
      <c r="K954" s="6"/>
      <c r="L954" s="6"/>
      <c r="M954" s="6"/>
      <c r="N954" s="6"/>
      <c r="O954" s="6"/>
      <c r="P954" s="6"/>
      <c r="Q954" s="6"/>
      <c r="R954" s="6"/>
      <c r="S954" s="6"/>
    </row>
    <row r="955">
      <c r="A955" s="5" t="str">
        <f>'ALL(responses)'!A955</f>
        <v/>
      </c>
      <c r="B955" s="6" t="str">
        <f>'ALL(responses)'!B955</f>
        <v/>
      </c>
      <c r="C955" s="49" t="str">
        <f>'ALL(responses)'!C955</f>
        <v/>
      </c>
      <c r="D955" s="49" t="str">
        <f>'ALL(responses)'!D955</f>
        <v/>
      </c>
      <c r="E955" s="50" t="str">
        <f>'ALL(responses)'!E955</f>
        <v/>
      </c>
      <c r="F955" s="6"/>
      <c r="G955" s="6"/>
      <c r="H955" s="6"/>
      <c r="I955" s="6"/>
      <c r="J955" s="6"/>
      <c r="K955" s="6"/>
      <c r="L955" s="6"/>
      <c r="M955" s="6"/>
      <c r="N955" s="6"/>
      <c r="O955" s="6"/>
      <c r="P955" s="6"/>
      <c r="Q955" s="6"/>
      <c r="R955" s="6"/>
      <c r="S955" s="6"/>
    </row>
    <row r="956">
      <c r="A956" s="5" t="str">
        <f>'ALL(responses)'!A956</f>
        <v/>
      </c>
      <c r="B956" s="6" t="str">
        <f>'ALL(responses)'!B956</f>
        <v/>
      </c>
      <c r="C956" s="49" t="str">
        <f>'ALL(responses)'!C956</f>
        <v/>
      </c>
      <c r="D956" s="49" t="str">
        <f>'ALL(responses)'!D956</f>
        <v/>
      </c>
      <c r="E956" s="50" t="str">
        <f>'ALL(responses)'!E956</f>
        <v/>
      </c>
      <c r="F956" s="6"/>
      <c r="G956" s="6"/>
      <c r="H956" s="6"/>
      <c r="I956" s="6"/>
      <c r="J956" s="6"/>
      <c r="K956" s="6"/>
      <c r="L956" s="6"/>
      <c r="M956" s="6"/>
      <c r="N956" s="6"/>
      <c r="O956" s="6"/>
      <c r="P956" s="6"/>
      <c r="Q956" s="6"/>
      <c r="R956" s="6"/>
      <c r="S956" s="6"/>
    </row>
    <row r="957">
      <c r="A957" s="5" t="str">
        <f>'ALL(responses)'!A957</f>
        <v/>
      </c>
      <c r="B957" s="6" t="str">
        <f>'ALL(responses)'!B957</f>
        <v/>
      </c>
      <c r="C957" s="49" t="str">
        <f>'ALL(responses)'!C957</f>
        <v/>
      </c>
      <c r="D957" s="49" t="str">
        <f>'ALL(responses)'!D957</f>
        <v/>
      </c>
      <c r="E957" s="50" t="str">
        <f>'ALL(responses)'!E957</f>
        <v/>
      </c>
      <c r="F957" s="6"/>
      <c r="G957" s="6"/>
      <c r="H957" s="6"/>
      <c r="I957" s="6"/>
      <c r="J957" s="6"/>
      <c r="K957" s="6"/>
      <c r="L957" s="6"/>
      <c r="M957" s="6"/>
      <c r="N957" s="6"/>
      <c r="O957" s="6"/>
      <c r="P957" s="6"/>
      <c r="Q957" s="6"/>
      <c r="R957" s="6"/>
      <c r="S957" s="6"/>
    </row>
    <row r="958">
      <c r="A958" s="5" t="str">
        <f>'ALL(responses)'!A958</f>
        <v/>
      </c>
      <c r="B958" s="6" t="str">
        <f>'ALL(responses)'!B958</f>
        <v/>
      </c>
      <c r="C958" s="49" t="str">
        <f>'ALL(responses)'!C958</f>
        <v/>
      </c>
      <c r="D958" s="49" t="str">
        <f>'ALL(responses)'!D958</f>
        <v/>
      </c>
      <c r="E958" s="50" t="str">
        <f>'ALL(responses)'!E958</f>
        <v/>
      </c>
      <c r="F958" s="6"/>
      <c r="G958" s="6"/>
      <c r="H958" s="6"/>
      <c r="I958" s="6"/>
      <c r="J958" s="6"/>
      <c r="K958" s="6"/>
      <c r="L958" s="6"/>
      <c r="M958" s="6"/>
      <c r="N958" s="6"/>
      <c r="O958" s="6"/>
      <c r="P958" s="6"/>
      <c r="Q958" s="6"/>
      <c r="R958" s="6"/>
      <c r="S958" s="6"/>
    </row>
    <row r="959">
      <c r="A959" s="5" t="str">
        <f>'ALL(responses)'!A959</f>
        <v/>
      </c>
      <c r="B959" s="6" t="str">
        <f>'ALL(responses)'!B959</f>
        <v/>
      </c>
      <c r="C959" s="49" t="str">
        <f>'ALL(responses)'!C959</f>
        <v/>
      </c>
      <c r="D959" s="49" t="str">
        <f>'ALL(responses)'!D959</f>
        <v/>
      </c>
      <c r="E959" s="50" t="str">
        <f>'ALL(responses)'!E959</f>
        <v/>
      </c>
      <c r="F959" s="6"/>
      <c r="G959" s="6"/>
      <c r="H959" s="6"/>
      <c r="I959" s="6"/>
      <c r="J959" s="6"/>
      <c r="K959" s="6"/>
      <c r="L959" s="6"/>
      <c r="M959" s="6"/>
      <c r="N959" s="6"/>
      <c r="O959" s="6"/>
      <c r="P959" s="6"/>
      <c r="Q959" s="6"/>
      <c r="R959" s="6"/>
      <c r="S959" s="6"/>
    </row>
    <row r="960">
      <c r="A960" s="5" t="str">
        <f>'ALL(responses)'!A960</f>
        <v/>
      </c>
      <c r="B960" s="6" t="str">
        <f>'ALL(responses)'!B960</f>
        <v/>
      </c>
      <c r="C960" s="49" t="str">
        <f>'ALL(responses)'!C960</f>
        <v/>
      </c>
      <c r="D960" s="49" t="str">
        <f>'ALL(responses)'!D960</f>
        <v/>
      </c>
      <c r="E960" s="50" t="str">
        <f>'ALL(responses)'!E960</f>
        <v/>
      </c>
      <c r="F960" s="6"/>
      <c r="G960" s="6"/>
      <c r="H960" s="6"/>
      <c r="I960" s="6"/>
      <c r="J960" s="6"/>
      <c r="K960" s="6"/>
      <c r="L960" s="6"/>
      <c r="M960" s="6"/>
      <c r="N960" s="6"/>
      <c r="O960" s="6"/>
      <c r="P960" s="6"/>
      <c r="Q960" s="6"/>
      <c r="R960" s="6"/>
      <c r="S960" s="6"/>
    </row>
    <row r="961">
      <c r="A961" s="5" t="str">
        <f>'ALL(responses)'!A961</f>
        <v/>
      </c>
      <c r="B961" s="6" t="str">
        <f>'ALL(responses)'!B961</f>
        <v/>
      </c>
      <c r="C961" s="49" t="str">
        <f>'ALL(responses)'!C961</f>
        <v/>
      </c>
      <c r="D961" s="49" t="str">
        <f>'ALL(responses)'!D961</f>
        <v/>
      </c>
      <c r="E961" s="50" t="str">
        <f>'ALL(responses)'!E961</f>
        <v/>
      </c>
      <c r="F961" s="6"/>
      <c r="G961" s="6"/>
      <c r="H961" s="6"/>
      <c r="I961" s="6"/>
      <c r="J961" s="6"/>
      <c r="K961" s="6"/>
      <c r="L961" s="6"/>
      <c r="M961" s="6"/>
      <c r="N961" s="6"/>
      <c r="O961" s="6"/>
      <c r="P961" s="6"/>
      <c r="Q961" s="6"/>
      <c r="R961" s="6"/>
      <c r="S961" s="6"/>
    </row>
    <row r="962">
      <c r="A962" s="5" t="str">
        <f>'ALL(responses)'!A962</f>
        <v/>
      </c>
      <c r="B962" s="6" t="str">
        <f>'ALL(responses)'!B962</f>
        <v/>
      </c>
      <c r="C962" s="49" t="str">
        <f>'ALL(responses)'!C962</f>
        <v/>
      </c>
      <c r="D962" s="49" t="str">
        <f>'ALL(responses)'!D962</f>
        <v/>
      </c>
      <c r="E962" s="50" t="str">
        <f>'ALL(responses)'!E962</f>
        <v/>
      </c>
      <c r="F962" s="6"/>
      <c r="G962" s="6"/>
      <c r="H962" s="6"/>
      <c r="I962" s="6"/>
      <c r="J962" s="6"/>
      <c r="K962" s="6"/>
      <c r="L962" s="6"/>
      <c r="M962" s="6"/>
      <c r="N962" s="6"/>
      <c r="O962" s="6"/>
      <c r="P962" s="6"/>
      <c r="Q962" s="6"/>
      <c r="R962" s="6"/>
      <c r="S962" s="6"/>
    </row>
    <row r="963">
      <c r="A963" s="5" t="str">
        <f>'ALL(responses)'!A963</f>
        <v/>
      </c>
      <c r="B963" s="6" t="str">
        <f>'ALL(responses)'!B963</f>
        <v/>
      </c>
      <c r="C963" s="49" t="str">
        <f>'ALL(responses)'!C963</f>
        <v/>
      </c>
      <c r="D963" s="49" t="str">
        <f>'ALL(responses)'!D963</f>
        <v/>
      </c>
      <c r="E963" s="50" t="str">
        <f>'ALL(responses)'!E963</f>
        <v/>
      </c>
      <c r="F963" s="6"/>
      <c r="G963" s="6"/>
      <c r="H963" s="6"/>
      <c r="I963" s="6"/>
      <c r="J963" s="6"/>
      <c r="K963" s="6"/>
      <c r="L963" s="6"/>
      <c r="M963" s="6"/>
      <c r="N963" s="6"/>
      <c r="O963" s="6"/>
      <c r="P963" s="6"/>
      <c r="Q963" s="6"/>
      <c r="R963" s="6"/>
      <c r="S963" s="6"/>
    </row>
    <row r="964">
      <c r="A964" s="5" t="str">
        <f>'ALL(responses)'!A964</f>
        <v/>
      </c>
      <c r="B964" s="6" t="str">
        <f>'ALL(responses)'!B964</f>
        <v/>
      </c>
      <c r="C964" s="49" t="str">
        <f>'ALL(responses)'!C964</f>
        <v/>
      </c>
      <c r="D964" s="49" t="str">
        <f>'ALL(responses)'!D964</f>
        <v/>
      </c>
      <c r="E964" s="50" t="str">
        <f>'ALL(responses)'!E964</f>
        <v/>
      </c>
      <c r="F964" s="6"/>
      <c r="G964" s="6"/>
      <c r="H964" s="6"/>
      <c r="I964" s="6"/>
      <c r="J964" s="6"/>
      <c r="K964" s="6"/>
      <c r="L964" s="6"/>
      <c r="M964" s="6"/>
      <c r="N964" s="6"/>
      <c r="O964" s="6"/>
      <c r="P964" s="6"/>
      <c r="Q964" s="6"/>
      <c r="R964" s="6"/>
      <c r="S964" s="6"/>
    </row>
    <row r="965">
      <c r="A965" s="5" t="str">
        <f>'ALL(responses)'!A965</f>
        <v/>
      </c>
      <c r="B965" s="6" t="str">
        <f>'ALL(responses)'!B965</f>
        <v/>
      </c>
      <c r="C965" s="49" t="str">
        <f>'ALL(responses)'!C965</f>
        <v/>
      </c>
      <c r="D965" s="49" t="str">
        <f>'ALL(responses)'!D965</f>
        <v/>
      </c>
      <c r="E965" s="50" t="str">
        <f>'ALL(responses)'!E965</f>
        <v/>
      </c>
      <c r="F965" s="6"/>
      <c r="G965" s="6"/>
      <c r="H965" s="6"/>
      <c r="I965" s="6"/>
      <c r="J965" s="6"/>
      <c r="K965" s="6"/>
      <c r="L965" s="6"/>
      <c r="M965" s="6"/>
      <c r="N965" s="6"/>
      <c r="O965" s="6"/>
      <c r="P965" s="6"/>
      <c r="Q965" s="6"/>
      <c r="R965" s="6"/>
      <c r="S965" s="6"/>
    </row>
    <row r="966">
      <c r="A966" s="5" t="str">
        <f>'ALL(responses)'!A966</f>
        <v/>
      </c>
      <c r="B966" s="6" t="str">
        <f>'ALL(responses)'!B966</f>
        <v/>
      </c>
      <c r="C966" s="49" t="str">
        <f>'ALL(responses)'!C966</f>
        <v/>
      </c>
      <c r="D966" s="49" t="str">
        <f>'ALL(responses)'!D966</f>
        <v/>
      </c>
      <c r="E966" s="50" t="str">
        <f>'ALL(responses)'!E966</f>
        <v/>
      </c>
      <c r="F966" s="6"/>
      <c r="G966" s="6"/>
      <c r="H966" s="6"/>
      <c r="I966" s="6"/>
      <c r="J966" s="6"/>
      <c r="K966" s="6"/>
      <c r="L966" s="6"/>
      <c r="M966" s="6"/>
      <c r="N966" s="6"/>
      <c r="O966" s="6"/>
      <c r="P966" s="6"/>
      <c r="Q966" s="6"/>
      <c r="R966" s="6"/>
      <c r="S966" s="6"/>
    </row>
    <row r="967">
      <c r="A967" s="5" t="str">
        <f>'ALL(responses)'!A967</f>
        <v/>
      </c>
      <c r="B967" s="6" t="str">
        <f>'ALL(responses)'!B967</f>
        <v/>
      </c>
      <c r="C967" s="49" t="str">
        <f>'ALL(responses)'!C967</f>
        <v/>
      </c>
      <c r="D967" s="49" t="str">
        <f>'ALL(responses)'!D967</f>
        <v/>
      </c>
      <c r="E967" s="50" t="str">
        <f>'ALL(responses)'!E967</f>
        <v/>
      </c>
      <c r="F967" s="6"/>
      <c r="G967" s="6"/>
      <c r="H967" s="6"/>
      <c r="I967" s="6"/>
      <c r="J967" s="6"/>
      <c r="K967" s="6"/>
      <c r="L967" s="6"/>
      <c r="M967" s="6"/>
      <c r="N967" s="6"/>
      <c r="O967" s="6"/>
      <c r="P967" s="6"/>
      <c r="Q967" s="6"/>
      <c r="R967" s="6"/>
      <c r="S967" s="6"/>
    </row>
    <row r="968">
      <c r="A968" s="5" t="str">
        <f>'ALL(responses)'!A968</f>
        <v/>
      </c>
      <c r="B968" s="6" t="str">
        <f>'ALL(responses)'!B968</f>
        <v/>
      </c>
      <c r="C968" s="49" t="str">
        <f>'ALL(responses)'!C968</f>
        <v/>
      </c>
      <c r="D968" s="49" t="str">
        <f>'ALL(responses)'!D968</f>
        <v/>
      </c>
      <c r="E968" s="50" t="str">
        <f>'ALL(responses)'!E968</f>
        <v/>
      </c>
      <c r="F968" s="6"/>
      <c r="G968" s="6"/>
      <c r="H968" s="6"/>
      <c r="I968" s="6"/>
      <c r="J968" s="6"/>
      <c r="K968" s="6"/>
      <c r="L968" s="6"/>
      <c r="M968" s="6"/>
      <c r="N968" s="6"/>
      <c r="O968" s="6"/>
      <c r="P968" s="6"/>
      <c r="Q968" s="6"/>
      <c r="R968" s="6"/>
      <c r="S968" s="6"/>
    </row>
    <row r="969">
      <c r="A969" s="5" t="str">
        <f>'ALL(responses)'!A969</f>
        <v/>
      </c>
      <c r="B969" s="6" t="str">
        <f>'ALL(responses)'!B969</f>
        <v/>
      </c>
      <c r="C969" s="49" t="str">
        <f>'ALL(responses)'!C969</f>
        <v/>
      </c>
      <c r="D969" s="49" t="str">
        <f>'ALL(responses)'!D969</f>
        <v/>
      </c>
      <c r="E969" s="50" t="str">
        <f>'ALL(responses)'!E969</f>
        <v/>
      </c>
      <c r="F969" s="6"/>
      <c r="G969" s="6"/>
      <c r="H969" s="6"/>
      <c r="I969" s="6"/>
      <c r="J969" s="6"/>
      <c r="K969" s="6"/>
      <c r="L969" s="6"/>
      <c r="M969" s="6"/>
      <c r="N969" s="6"/>
      <c r="O969" s="6"/>
      <c r="P969" s="6"/>
      <c r="Q969" s="6"/>
      <c r="R969" s="6"/>
      <c r="S969" s="6"/>
    </row>
    <row r="970">
      <c r="A970" s="5" t="str">
        <f>'ALL(responses)'!A970</f>
        <v/>
      </c>
      <c r="B970" s="6" t="str">
        <f>'ALL(responses)'!B970</f>
        <v/>
      </c>
      <c r="C970" s="49" t="str">
        <f>'ALL(responses)'!C970</f>
        <v/>
      </c>
      <c r="D970" s="49" t="str">
        <f>'ALL(responses)'!D970</f>
        <v/>
      </c>
      <c r="E970" s="50" t="str">
        <f>'ALL(responses)'!E970</f>
        <v/>
      </c>
      <c r="F970" s="6"/>
      <c r="G970" s="6"/>
      <c r="H970" s="6"/>
      <c r="I970" s="6"/>
      <c r="J970" s="6"/>
      <c r="K970" s="6"/>
      <c r="L970" s="6"/>
      <c r="M970" s="6"/>
      <c r="N970" s="6"/>
      <c r="O970" s="6"/>
      <c r="P970" s="6"/>
      <c r="Q970" s="6"/>
      <c r="R970" s="6"/>
      <c r="S970" s="6"/>
    </row>
    <row r="971">
      <c r="A971" s="5" t="str">
        <f>'ALL(responses)'!A971</f>
        <v/>
      </c>
      <c r="B971" s="6" t="str">
        <f>'ALL(responses)'!B971</f>
        <v/>
      </c>
      <c r="C971" s="49" t="str">
        <f>'ALL(responses)'!C971</f>
        <v/>
      </c>
      <c r="D971" s="49" t="str">
        <f>'ALL(responses)'!D971</f>
        <v/>
      </c>
      <c r="E971" s="50" t="str">
        <f>'ALL(responses)'!E971</f>
        <v/>
      </c>
      <c r="F971" s="6"/>
      <c r="G971" s="6"/>
      <c r="H971" s="6"/>
      <c r="I971" s="6"/>
      <c r="J971" s="6"/>
      <c r="K971" s="6"/>
      <c r="L971" s="6"/>
      <c r="M971" s="6"/>
      <c r="N971" s="6"/>
      <c r="O971" s="6"/>
      <c r="P971" s="6"/>
      <c r="Q971" s="6"/>
      <c r="R971" s="6"/>
      <c r="S971" s="6"/>
    </row>
    <row r="972">
      <c r="A972" s="5" t="str">
        <f>'ALL(responses)'!A972</f>
        <v/>
      </c>
      <c r="B972" s="6" t="str">
        <f>'ALL(responses)'!B972</f>
        <v/>
      </c>
      <c r="C972" s="49" t="str">
        <f>'ALL(responses)'!C972</f>
        <v/>
      </c>
      <c r="D972" s="49" t="str">
        <f>'ALL(responses)'!D972</f>
        <v/>
      </c>
      <c r="E972" s="50" t="str">
        <f>'ALL(responses)'!E972</f>
        <v/>
      </c>
      <c r="F972" s="6"/>
      <c r="G972" s="6"/>
      <c r="H972" s="6"/>
      <c r="I972" s="6"/>
      <c r="J972" s="6"/>
      <c r="K972" s="6"/>
      <c r="L972" s="6"/>
      <c r="M972" s="6"/>
      <c r="N972" s="6"/>
      <c r="O972" s="6"/>
      <c r="P972" s="6"/>
      <c r="Q972" s="6"/>
      <c r="R972" s="6"/>
      <c r="S972" s="6"/>
    </row>
    <row r="973">
      <c r="A973" s="5" t="str">
        <f>'ALL(responses)'!A973</f>
        <v/>
      </c>
      <c r="B973" s="6" t="str">
        <f>'ALL(responses)'!B973</f>
        <v/>
      </c>
      <c r="C973" s="49" t="str">
        <f>'ALL(responses)'!C973</f>
        <v/>
      </c>
      <c r="D973" s="49" t="str">
        <f>'ALL(responses)'!D973</f>
        <v/>
      </c>
      <c r="E973" s="50" t="str">
        <f>'ALL(responses)'!E973</f>
        <v/>
      </c>
      <c r="F973" s="6"/>
      <c r="G973" s="6"/>
      <c r="H973" s="6"/>
      <c r="I973" s="6"/>
      <c r="J973" s="6"/>
      <c r="K973" s="6"/>
      <c r="L973" s="6"/>
      <c r="M973" s="6"/>
      <c r="N973" s="6"/>
      <c r="O973" s="6"/>
      <c r="P973" s="6"/>
      <c r="Q973" s="6"/>
      <c r="R973" s="6"/>
      <c r="S973" s="6"/>
    </row>
    <row r="974">
      <c r="A974" s="5" t="str">
        <f>'ALL(responses)'!A974</f>
        <v/>
      </c>
      <c r="B974" s="6" t="str">
        <f>'ALL(responses)'!B974</f>
        <v/>
      </c>
      <c r="C974" s="49" t="str">
        <f>'ALL(responses)'!C974</f>
        <v/>
      </c>
      <c r="D974" s="49" t="str">
        <f>'ALL(responses)'!D974</f>
        <v/>
      </c>
      <c r="E974" s="50" t="str">
        <f>'ALL(responses)'!E974</f>
        <v/>
      </c>
      <c r="F974" s="6"/>
      <c r="G974" s="6"/>
      <c r="H974" s="6"/>
      <c r="I974" s="6"/>
      <c r="J974" s="6"/>
      <c r="K974" s="6"/>
      <c r="L974" s="6"/>
      <c r="M974" s="6"/>
      <c r="N974" s="6"/>
      <c r="O974" s="6"/>
      <c r="P974" s="6"/>
      <c r="Q974" s="6"/>
      <c r="R974" s="6"/>
      <c r="S974" s="6"/>
    </row>
    <row r="975">
      <c r="A975" s="5" t="str">
        <f>'ALL(responses)'!A975</f>
        <v/>
      </c>
      <c r="B975" s="6" t="str">
        <f>'ALL(responses)'!B975</f>
        <v/>
      </c>
      <c r="C975" s="49" t="str">
        <f>'ALL(responses)'!C975</f>
        <v/>
      </c>
      <c r="D975" s="49" t="str">
        <f>'ALL(responses)'!D975</f>
        <v/>
      </c>
      <c r="E975" s="50" t="str">
        <f>'ALL(responses)'!E975</f>
        <v/>
      </c>
      <c r="F975" s="6"/>
      <c r="G975" s="6"/>
      <c r="H975" s="6"/>
      <c r="I975" s="6"/>
      <c r="J975" s="6"/>
      <c r="K975" s="6"/>
      <c r="L975" s="6"/>
      <c r="M975" s="6"/>
      <c r="N975" s="6"/>
      <c r="O975" s="6"/>
      <c r="P975" s="6"/>
      <c r="Q975" s="6"/>
      <c r="R975" s="6"/>
      <c r="S975" s="6"/>
    </row>
    <row r="976">
      <c r="A976" s="5" t="str">
        <f>'ALL(responses)'!A976</f>
        <v/>
      </c>
      <c r="B976" s="6" t="str">
        <f>'ALL(responses)'!B976</f>
        <v/>
      </c>
      <c r="C976" s="49" t="str">
        <f>'ALL(responses)'!C976</f>
        <v/>
      </c>
      <c r="D976" s="49" t="str">
        <f>'ALL(responses)'!D976</f>
        <v/>
      </c>
      <c r="E976" s="50" t="str">
        <f>'ALL(responses)'!E976</f>
        <v/>
      </c>
      <c r="F976" s="6"/>
      <c r="G976" s="6"/>
      <c r="H976" s="6"/>
      <c r="I976" s="6"/>
      <c r="J976" s="6"/>
      <c r="K976" s="6"/>
      <c r="L976" s="6"/>
      <c r="M976" s="6"/>
      <c r="N976" s="6"/>
      <c r="O976" s="6"/>
      <c r="P976" s="6"/>
      <c r="Q976" s="6"/>
      <c r="R976" s="6"/>
      <c r="S976" s="6"/>
    </row>
    <row r="977">
      <c r="A977" s="5" t="str">
        <f>'ALL(responses)'!A977</f>
        <v/>
      </c>
      <c r="B977" s="6" t="str">
        <f>'ALL(responses)'!B977</f>
        <v/>
      </c>
      <c r="C977" s="49" t="str">
        <f>'ALL(responses)'!C977</f>
        <v/>
      </c>
      <c r="D977" s="49" t="str">
        <f>'ALL(responses)'!D977</f>
        <v/>
      </c>
      <c r="E977" s="50" t="str">
        <f>'ALL(responses)'!E977</f>
        <v/>
      </c>
      <c r="F977" s="6"/>
      <c r="G977" s="6"/>
      <c r="H977" s="6"/>
      <c r="I977" s="6"/>
      <c r="J977" s="6"/>
      <c r="K977" s="6"/>
      <c r="L977" s="6"/>
      <c r="M977" s="6"/>
      <c r="N977" s="6"/>
      <c r="O977" s="6"/>
      <c r="P977" s="6"/>
      <c r="Q977" s="6"/>
      <c r="R977" s="6"/>
      <c r="S977" s="6"/>
    </row>
    <row r="978">
      <c r="A978" s="5" t="str">
        <f>'ALL(responses)'!A978</f>
        <v/>
      </c>
      <c r="B978" s="6" t="str">
        <f>'ALL(responses)'!B978</f>
        <v/>
      </c>
      <c r="C978" s="49" t="str">
        <f>'ALL(responses)'!C978</f>
        <v/>
      </c>
      <c r="D978" s="49" t="str">
        <f>'ALL(responses)'!D978</f>
        <v/>
      </c>
      <c r="E978" s="50" t="str">
        <f>'ALL(responses)'!E978</f>
        <v/>
      </c>
      <c r="F978" s="6"/>
      <c r="G978" s="6"/>
      <c r="H978" s="6"/>
      <c r="I978" s="6"/>
      <c r="J978" s="6"/>
      <c r="K978" s="6"/>
      <c r="L978" s="6"/>
      <c r="M978" s="6"/>
      <c r="N978" s="6"/>
      <c r="O978" s="6"/>
      <c r="P978" s="6"/>
      <c r="Q978" s="6"/>
      <c r="R978" s="6"/>
      <c r="S978" s="6"/>
    </row>
    <row r="979">
      <c r="A979" s="5" t="str">
        <f>'ALL(responses)'!A979</f>
        <v/>
      </c>
      <c r="B979" s="6" t="str">
        <f>'ALL(responses)'!B979</f>
        <v/>
      </c>
      <c r="C979" s="49" t="str">
        <f>'ALL(responses)'!C979</f>
        <v/>
      </c>
      <c r="D979" s="49" t="str">
        <f>'ALL(responses)'!D979</f>
        <v/>
      </c>
      <c r="E979" s="50" t="str">
        <f>'ALL(responses)'!E979</f>
        <v/>
      </c>
      <c r="F979" s="6"/>
      <c r="G979" s="6"/>
      <c r="H979" s="6"/>
      <c r="I979" s="6"/>
      <c r="J979" s="6"/>
      <c r="K979" s="6"/>
      <c r="L979" s="6"/>
      <c r="M979" s="6"/>
      <c r="N979" s="6"/>
      <c r="O979" s="6"/>
      <c r="P979" s="6"/>
      <c r="Q979" s="6"/>
      <c r="R979" s="6"/>
      <c r="S979" s="6"/>
    </row>
    <row r="980">
      <c r="A980" s="5" t="str">
        <f>'ALL(responses)'!A980</f>
        <v/>
      </c>
      <c r="B980" s="6" t="str">
        <f>'ALL(responses)'!B980</f>
        <v/>
      </c>
      <c r="C980" s="49" t="str">
        <f>'ALL(responses)'!C980</f>
        <v/>
      </c>
      <c r="D980" s="49" t="str">
        <f>'ALL(responses)'!D980</f>
        <v/>
      </c>
      <c r="E980" s="50" t="str">
        <f>'ALL(responses)'!E980</f>
        <v/>
      </c>
      <c r="F980" s="6"/>
      <c r="G980" s="6"/>
      <c r="H980" s="6"/>
      <c r="I980" s="6"/>
      <c r="J980" s="6"/>
      <c r="K980" s="6"/>
      <c r="L980" s="6"/>
      <c r="M980" s="6"/>
      <c r="N980" s="6"/>
      <c r="O980" s="6"/>
      <c r="P980" s="6"/>
      <c r="Q980" s="6"/>
      <c r="R980" s="6"/>
      <c r="S980" s="6"/>
    </row>
    <row r="981">
      <c r="A981" s="5" t="str">
        <f>'ALL(responses)'!A981</f>
        <v/>
      </c>
      <c r="B981" s="6" t="str">
        <f>'ALL(responses)'!B981</f>
        <v/>
      </c>
      <c r="C981" s="49" t="str">
        <f>'ALL(responses)'!C981</f>
        <v/>
      </c>
      <c r="D981" s="49" t="str">
        <f>'ALL(responses)'!D981</f>
        <v/>
      </c>
      <c r="E981" s="50" t="str">
        <f>'ALL(responses)'!E981</f>
        <v/>
      </c>
      <c r="F981" s="6"/>
      <c r="G981" s="6"/>
      <c r="H981" s="6"/>
      <c r="I981" s="6"/>
      <c r="J981" s="6"/>
      <c r="K981" s="6"/>
      <c r="L981" s="6"/>
      <c r="M981" s="6"/>
      <c r="N981" s="6"/>
      <c r="O981" s="6"/>
      <c r="P981" s="6"/>
      <c r="Q981" s="6"/>
      <c r="R981" s="6"/>
      <c r="S981" s="6"/>
    </row>
    <row r="982">
      <c r="A982" s="5" t="str">
        <f>'ALL(responses)'!A982</f>
        <v/>
      </c>
      <c r="B982" s="6" t="str">
        <f>'ALL(responses)'!B982</f>
        <v/>
      </c>
      <c r="C982" s="49" t="str">
        <f>'ALL(responses)'!C982</f>
        <v/>
      </c>
      <c r="D982" s="49" t="str">
        <f>'ALL(responses)'!D982</f>
        <v/>
      </c>
      <c r="E982" s="49" t="str">
        <f>'ALL(responses)'!E982</f>
        <v/>
      </c>
      <c r="F982" s="6"/>
      <c r="G982" s="6"/>
      <c r="H982" s="6"/>
      <c r="I982" s="6"/>
      <c r="J982" s="6"/>
      <c r="K982" s="6"/>
      <c r="L982" s="6"/>
      <c r="M982" s="6"/>
      <c r="N982" s="6"/>
      <c r="O982" s="6"/>
      <c r="P982" s="6"/>
      <c r="Q982" s="6"/>
      <c r="R982" s="6"/>
      <c r="S982" s="6"/>
    </row>
    <row r="983">
      <c r="A983" s="5" t="str">
        <f>'ALL(responses)'!A983</f>
        <v/>
      </c>
      <c r="B983" s="6" t="str">
        <f>'ALL(responses)'!B983</f>
        <v/>
      </c>
      <c r="C983" s="49" t="str">
        <f>'ALL(responses)'!C983</f>
        <v/>
      </c>
      <c r="D983" s="49" t="str">
        <f>'ALL(responses)'!D983</f>
        <v/>
      </c>
      <c r="E983" s="50" t="str">
        <f>'ALL(responses)'!E983</f>
        <v/>
      </c>
      <c r="F983" s="6"/>
      <c r="G983" s="6"/>
      <c r="H983" s="6"/>
      <c r="I983" s="6"/>
      <c r="J983" s="6"/>
      <c r="K983" s="6"/>
      <c r="L983" s="6"/>
      <c r="M983" s="6"/>
      <c r="N983" s="6"/>
      <c r="O983" s="6"/>
      <c r="P983" s="6"/>
      <c r="Q983" s="6"/>
      <c r="R983" s="6"/>
      <c r="S983" s="6"/>
    </row>
    <row r="984">
      <c r="A984" s="5" t="str">
        <f>'ALL(responses)'!A984</f>
        <v/>
      </c>
      <c r="B984" s="6" t="str">
        <f>'ALL(responses)'!B984</f>
        <v/>
      </c>
      <c r="C984" s="49" t="str">
        <f>'ALL(responses)'!C984</f>
        <v/>
      </c>
      <c r="D984" s="49" t="str">
        <f>'ALL(responses)'!D984</f>
        <v/>
      </c>
      <c r="E984" s="50" t="str">
        <f>'ALL(responses)'!E984</f>
        <v/>
      </c>
      <c r="F984" s="6"/>
      <c r="G984" s="6"/>
      <c r="H984" s="6"/>
      <c r="I984" s="6"/>
      <c r="J984" s="6"/>
      <c r="K984" s="6"/>
      <c r="L984" s="6"/>
      <c r="M984" s="6"/>
      <c r="N984" s="6"/>
      <c r="O984" s="6"/>
      <c r="P984" s="6"/>
      <c r="Q984" s="6"/>
      <c r="R984" s="6"/>
      <c r="S984" s="6"/>
    </row>
    <row r="985">
      <c r="A985" s="5" t="str">
        <f>'ALL(responses)'!A985</f>
        <v/>
      </c>
      <c r="B985" s="6" t="str">
        <f>'ALL(responses)'!B985</f>
        <v/>
      </c>
      <c r="C985" s="49" t="str">
        <f>'ALL(responses)'!C985</f>
        <v/>
      </c>
      <c r="D985" s="49" t="str">
        <f>'ALL(responses)'!D985</f>
        <v/>
      </c>
      <c r="E985" s="50" t="str">
        <f>'ALL(responses)'!E985</f>
        <v/>
      </c>
      <c r="F985" s="6"/>
      <c r="G985" s="6"/>
      <c r="H985" s="6"/>
      <c r="I985" s="6"/>
      <c r="J985" s="6"/>
      <c r="K985" s="6"/>
      <c r="L985" s="6"/>
      <c r="M985" s="6"/>
      <c r="N985" s="6"/>
      <c r="O985" s="6"/>
      <c r="P985" s="6"/>
      <c r="Q985" s="6"/>
      <c r="R985" s="6"/>
      <c r="S985" s="6"/>
    </row>
    <row r="986">
      <c r="A986" s="5" t="str">
        <f>'ALL(responses)'!A986</f>
        <v/>
      </c>
      <c r="B986" s="6" t="str">
        <f>'ALL(responses)'!B986</f>
        <v/>
      </c>
      <c r="C986" s="49" t="str">
        <f>'ALL(responses)'!C986</f>
        <v/>
      </c>
      <c r="D986" s="49" t="str">
        <f>'ALL(responses)'!D986</f>
        <v/>
      </c>
      <c r="E986" s="50" t="str">
        <f>'ALL(responses)'!E986</f>
        <v/>
      </c>
      <c r="F986" s="6"/>
      <c r="G986" s="6"/>
      <c r="H986" s="6"/>
      <c r="I986" s="6"/>
      <c r="J986" s="6"/>
      <c r="K986" s="6"/>
      <c r="L986" s="6"/>
      <c r="M986" s="6"/>
      <c r="N986" s="6"/>
      <c r="O986" s="6"/>
      <c r="P986" s="6"/>
      <c r="Q986" s="6"/>
      <c r="R986" s="6"/>
      <c r="S986" s="6"/>
    </row>
    <row r="987">
      <c r="A987" s="5" t="str">
        <f>'ALL(responses)'!A987</f>
        <v/>
      </c>
      <c r="B987" s="6" t="str">
        <f>'ALL(responses)'!B987</f>
        <v/>
      </c>
      <c r="C987" s="49" t="str">
        <f>'ALL(responses)'!C987</f>
        <v/>
      </c>
      <c r="D987" s="49" t="str">
        <f>'ALL(responses)'!D987</f>
        <v/>
      </c>
      <c r="E987" s="50" t="str">
        <f>'ALL(responses)'!E987</f>
        <v/>
      </c>
      <c r="F987" s="6"/>
      <c r="G987" s="6"/>
      <c r="H987" s="6"/>
      <c r="I987" s="6"/>
      <c r="J987" s="6"/>
      <c r="K987" s="6"/>
      <c r="L987" s="6"/>
      <c r="M987" s="6"/>
      <c r="N987" s="6"/>
      <c r="O987" s="6"/>
      <c r="P987" s="6"/>
      <c r="Q987" s="6"/>
      <c r="R987" s="6"/>
      <c r="S987" s="6"/>
    </row>
    <row r="988">
      <c r="A988" s="5" t="str">
        <f>'ALL(responses)'!A988</f>
        <v/>
      </c>
      <c r="B988" s="6" t="str">
        <f>'ALL(responses)'!B988</f>
        <v/>
      </c>
      <c r="C988" s="49" t="str">
        <f>'ALL(responses)'!C988</f>
        <v/>
      </c>
      <c r="D988" s="49" t="str">
        <f>'ALL(responses)'!D988</f>
        <v/>
      </c>
      <c r="E988" s="50" t="str">
        <f>'ALL(responses)'!E988</f>
        <v/>
      </c>
      <c r="F988" s="6"/>
      <c r="G988" s="6"/>
      <c r="H988" s="6"/>
      <c r="I988" s="6"/>
      <c r="J988" s="6"/>
      <c r="K988" s="6"/>
      <c r="L988" s="6"/>
      <c r="M988" s="6"/>
      <c r="N988" s="6"/>
      <c r="O988" s="6"/>
      <c r="P988" s="6"/>
      <c r="Q988" s="6"/>
      <c r="R988" s="6"/>
      <c r="S988" s="6"/>
    </row>
    <row r="989">
      <c r="A989" s="5" t="str">
        <f>'ALL(responses)'!A989</f>
        <v/>
      </c>
      <c r="B989" s="6" t="str">
        <f>'ALL(responses)'!B989</f>
        <v/>
      </c>
      <c r="C989" s="49" t="str">
        <f>'ALL(responses)'!C989</f>
        <v/>
      </c>
      <c r="D989" s="49" t="str">
        <f>'ALL(responses)'!D989</f>
        <v/>
      </c>
      <c r="E989" s="50" t="str">
        <f>'ALL(responses)'!E989</f>
        <v/>
      </c>
      <c r="F989" s="6"/>
      <c r="G989" s="6"/>
      <c r="H989" s="6"/>
      <c r="I989" s="6"/>
      <c r="J989" s="6"/>
      <c r="K989" s="6"/>
      <c r="L989" s="6"/>
      <c r="M989" s="6"/>
      <c r="N989" s="6"/>
      <c r="O989" s="6"/>
      <c r="P989" s="6"/>
      <c r="Q989" s="6"/>
      <c r="R989" s="6"/>
      <c r="S989" s="6"/>
    </row>
    <row r="990">
      <c r="A990" s="5" t="str">
        <f>'ALL(responses)'!A990</f>
        <v/>
      </c>
      <c r="B990" s="6" t="str">
        <f>'ALL(responses)'!B990</f>
        <v/>
      </c>
      <c r="C990" s="49" t="str">
        <f>'ALL(responses)'!C990</f>
        <v/>
      </c>
      <c r="D990" s="49" t="str">
        <f>'ALL(responses)'!D990</f>
        <v/>
      </c>
      <c r="E990" s="50" t="str">
        <f>'ALL(responses)'!E990</f>
        <v/>
      </c>
      <c r="F990" s="6"/>
      <c r="G990" s="6"/>
      <c r="H990" s="6"/>
      <c r="I990" s="6"/>
      <c r="J990" s="6"/>
      <c r="K990" s="6"/>
      <c r="L990" s="6"/>
      <c r="M990" s="6"/>
      <c r="N990" s="6"/>
      <c r="O990" s="6"/>
      <c r="P990" s="6"/>
      <c r="Q990" s="6"/>
      <c r="R990" s="6"/>
      <c r="S990" s="6"/>
    </row>
    <row r="991">
      <c r="A991" s="5" t="str">
        <f>'ALL(responses)'!A991</f>
        <v/>
      </c>
      <c r="B991" s="6" t="str">
        <f>'ALL(responses)'!B991</f>
        <v/>
      </c>
      <c r="C991" s="49" t="str">
        <f>'ALL(responses)'!C991</f>
        <v/>
      </c>
      <c r="D991" s="49" t="str">
        <f>'ALL(responses)'!D991</f>
        <v/>
      </c>
      <c r="E991" s="50" t="str">
        <f>'ALL(responses)'!E991</f>
        <v/>
      </c>
      <c r="F991" s="6"/>
      <c r="G991" s="6"/>
      <c r="H991" s="6"/>
      <c r="I991" s="6"/>
      <c r="J991" s="6"/>
      <c r="K991" s="6"/>
      <c r="L991" s="6"/>
      <c r="M991" s="6"/>
      <c r="N991" s="6"/>
      <c r="O991" s="6"/>
      <c r="P991" s="6"/>
      <c r="Q991" s="6"/>
      <c r="R991" s="6"/>
      <c r="S991" s="6"/>
    </row>
    <row r="992">
      <c r="A992" s="5" t="str">
        <f>'ALL(responses)'!A992</f>
        <v/>
      </c>
      <c r="B992" s="6" t="str">
        <f>'ALL(responses)'!B992</f>
        <v/>
      </c>
      <c r="C992" s="49" t="str">
        <f>'ALL(responses)'!C992</f>
        <v/>
      </c>
      <c r="D992" s="49" t="str">
        <f>'ALL(responses)'!D992</f>
        <v/>
      </c>
      <c r="E992" s="50" t="str">
        <f>'ALL(responses)'!E992</f>
        <v/>
      </c>
      <c r="F992" s="6"/>
      <c r="G992" s="6"/>
      <c r="H992" s="6"/>
      <c r="I992" s="6"/>
      <c r="J992" s="6"/>
      <c r="K992" s="6"/>
      <c r="L992" s="6"/>
      <c r="M992" s="6"/>
      <c r="N992" s="6"/>
      <c r="O992" s="6"/>
      <c r="P992" s="6"/>
      <c r="Q992" s="6"/>
      <c r="R992" s="6"/>
      <c r="S992" s="6"/>
    </row>
    <row r="993">
      <c r="A993" s="5" t="str">
        <f>'ALL(responses)'!A993</f>
        <v/>
      </c>
      <c r="B993" s="6" t="str">
        <f>'ALL(responses)'!B993</f>
        <v/>
      </c>
      <c r="C993" s="49" t="str">
        <f>'ALL(responses)'!C993</f>
        <v/>
      </c>
      <c r="D993" s="49" t="str">
        <f>'ALL(responses)'!D993</f>
        <v/>
      </c>
      <c r="E993" s="50" t="str">
        <f>'ALL(responses)'!E993</f>
        <v/>
      </c>
      <c r="F993" s="6"/>
      <c r="G993" s="6"/>
      <c r="H993" s="6"/>
      <c r="I993" s="6"/>
      <c r="J993" s="6"/>
      <c r="K993" s="6"/>
      <c r="L993" s="6"/>
      <c r="M993" s="6"/>
      <c r="N993" s="6"/>
      <c r="O993" s="6"/>
      <c r="P993" s="6"/>
      <c r="Q993" s="6"/>
      <c r="R993" s="6"/>
      <c r="S993" s="6"/>
    </row>
    <row r="994">
      <c r="A994" s="5" t="str">
        <f>'ALL(responses)'!A994</f>
        <v/>
      </c>
      <c r="B994" s="6" t="str">
        <f>'ALL(responses)'!B994</f>
        <v/>
      </c>
      <c r="C994" s="49" t="str">
        <f>'ALL(responses)'!C994</f>
        <v/>
      </c>
      <c r="D994" s="49" t="str">
        <f>'ALL(responses)'!D994</f>
        <v/>
      </c>
      <c r="E994" s="50" t="str">
        <f>'ALL(responses)'!E994</f>
        <v/>
      </c>
      <c r="F994" s="6"/>
      <c r="G994" s="6"/>
      <c r="H994" s="6"/>
      <c r="I994" s="6"/>
      <c r="J994" s="6"/>
      <c r="K994" s="6"/>
      <c r="L994" s="6"/>
      <c r="M994" s="6"/>
      <c r="N994" s="6"/>
      <c r="O994" s="6"/>
      <c r="P994" s="6"/>
      <c r="Q994" s="6"/>
      <c r="R994" s="6"/>
      <c r="S994" s="6"/>
    </row>
    <row r="995">
      <c r="A995" s="5" t="str">
        <f>'ALL(responses)'!A995</f>
        <v/>
      </c>
      <c r="B995" s="6" t="str">
        <f>'ALL(responses)'!B995</f>
        <v/>
      </c>
      <c r="C995" s="49" t="str">
        <f>'ALL(responses)'!C995</f>
        <v/>
      </c>
      <c r="D995" s="49" t="str">
        <f>'ALL(responses)'!D995</f>
        <v/>
      </c>
      <c r="E995" s="50" t="str">
        <f>'ALL(responses)'!E995</f>
        <v/>
      </c>
      <c r="F995" s="6"/>
      <c r="G995" s="6"/>
      <c r="H995" s="6"/>
      <c r="I995" s="6"/>
      <c r="J995" s="6"/>
      <c r="K995" s="6"/>
      <c r="L995" s="6"/>
      <c r="M995" s="6"/>
      <c r="N995" s="6"/>
      <c r="O995" s="6"/>
      <c r="P995" s="6"/>
      <c r="Q995" s="6"/>
      <c r="R995" s="6"/>
      <c r="S995" s="6"/>
    </row>
    <row r="996">
      <c r="A996" s="5" t="str">
        <f>'ALL(responses)'!A996</f>
        <v/>
      </c>
      <c r="B996" s="6" t="str">
        <f>'ALL(responses)'!B996</f>
        <v/>
      </c>
      <c r="C996" s="49" t="str">
        <f>'ALL(responses)'!C996</f>
        <v/>
      </c>
      <c r="D996" s="49" t="str">
        <f>'ALL(responses)'!D996</f>
        <v/>
      </c>
      <c r="E996" s="50" t="str">
        <f>'ALL(responses)'!E996</f>
        <v/>
      </c>
      <c r="F996" s="6"/>
      <c r="G996" s="6"/>
      <c r="H996" s="6"/>
      <c r="I996" s="6"/>
      <c r="J996" s="6"/>
      <c r="K996" s="6"/>
      <c r="L996" s="6"/>
      <c r="M996" s="6"/>
      <c r="N996" s="6"/>
      <c r="O996" s="6"/>
      <c r="P996" s="6"/>
      <c r="Q996" s="6"/>
      <c r="R996" s="6"/>
      <c r="S996" s="6"/>
    </row>
    <row r="997">
      <c r="A997" s="5" t="str">
        <f>'ALL(responses)'!A997</f>
        <v/>
      </c>
      <c r="B997" s="6" t="str">
        <f>'ALL(responses)'!B997</f>
        <v/>
      </c>
      <c r="C997" s="49" t="str">
        <f>'ALL(responses)'!C997</f>
        <v/>
      </c>
      <c r="D997" s="49" t="str">
        <f>'ALL(responses)'!D997</f>
        <v/>
      </c>
      <c r="E997" s="50" t="str">
        <f>'ALL(responses)'!E997</f>
        <v/>
      </c>
      <c r="F997" s="6"/>
      <c r="G997" s="6"/>
      <c r="H997" s="6"/>
      <c r="I997" s="6"/>
      <c r="J997" s="6"/>
      <c r="K997" s="6"/>
      <c r="L997" s="6"/>
      <c r="M997" s="6"/>
      <c r="N997" s="6"/>
      <c r="O997" s="6"/>
      <c r="P997" s="6"/>
      <c r="Q997" s="6"/>
      <c r="R997" s="6"/>
      <c r="S997" s="6"/>
    </row>
    <row r="998">
      <c r="A998" s="5" t="str">
        <f>'ALL(responses)'!A998</f>
        <v/>
      </c>
      <c r="B998" s="6" t="str">
        <f>'ALL(responses)'!B998</f>
        <v/>
      </c>
      <c r="C998" s="49" t="str">
        <f>'ALL(responses)'!C998</f>
        <v/>
      </c>
      <c r="D998" s="49" t="str">
        <f>'ALL(responses)'!D998</f>
        <v/>
      </c>
      <c r="E998" s="50" t="str">
        <f>'ALL(responses)'!E998</f>
        <v/>
      </c>
      <c r="F998" s="6"/>
      <c r="G998" s="6"/>
      <c r="H998" s="6"/>
      <c r="I998" s="6"/>
      <c r="J998" s="6"/>
      <c r="K998" s="6"/>
      <c r="L998" s="6"/>
      <c r="M998" s="6"/>
      <c r="N998" s="6"/>
      <c r="O998" s="6"/>
      <c r="P998" s="6"/>
      <c r="Q998" s="6"/>
      <c r="R998" s="6"/>
      <c r="S998" s="6"/>
    </row>
    <row r="999">
      <c r="A999" s="5" t="str">
        <f>'ALL(responses)'!A999</f>
        <v/>
      </c>
      <c r="B999" s="6" t="str">
        <f>'ALL(responses)'!B999</f>
        <v/>
      </c>
      <c r="C999" s="49" t="str">
        <f>'ALL(responses)'!C999</f>
        <v/>
      </c>
      <c r="D999" s="49" t="str">
        <f>'ALL(responses)'!D999</f>
        <v/>
      </c>
      <c r="E999" s="50" t="str">
        <f>'ALL(responses)'!E999</f>
        <v/>
      </c>
      <c r="F999" s="6"/>
      <c r="G999" s="6"/>
      <c r="H999" s="6"/>
      <c r="I999" s="6"/>
      <c r="J999" s="6"/>
      <c r="K999" s="6"/>
      <c r="L999" s="6"/>
      <c r="M999" s="6"/>
      <c r="N999" s="6"/>
      <c r="O999" s="6"/>
      <c r="P999" s="6"/>
      <c r="Q999" s="6"/>
      <c r="R999" s="6"/>
      <c r="S999" s="6"/>
    </row>
    <row r="1000">
      <c r="A1000" s="5" t="str">
        <f>'ALL(responses)'!A1000</f>
        <v/>
      </c>
      <c r="B1000" s="6" t="str">
        <f>'ALL(responses)'!B1000</f>
        <v/>
      </c>
      <c r="C1000" s="49" t="str">
        <f>'ALL(responses)'!C1000</f>
        <v/>
      </c>
      <c r="D1000" s="49" t="str">
        <f>'ALL(responses)'!D1000</f>
        <v/>
      </c>
      <c r="E1000" s="50" t="str">
        <f>'ALL(responses)'!E1000</f>
        <v/>
      </c>
      <c r="F1000" s="6"/>
      <c r="G1000" s="6"/>
      <c r="H1000" s="6"/>
      <c r="I1000" s="6"/>
      <c r="J1000" s="6"/>
      <c r="K1000" s="6"/>
      <c r="L1000" s="6"/>
      <c r="M1000" s="6"/>
      <c r="N1000" s="6"/>
      <c r="O1000" s="6"/>
      <c r="P1000" s="6"/>
      <c r="Q1000" s="6"/>
      <c r="R1000" s="6"/>
      <c r="S1000" s="6"/>
    </row>
    <row r="1001">
      <c r="A1001" s="5" t="str">
        <f>'ALL(responses)'!A1001</f>
        <v/>
      </c>
      <c r="B1001" s="6" t="str">
        <f>'ALL(responses)'!B1001</f>
        <v/>
      </c>
      <c r="C1001" s="49" t="str">
        <f>'ALL(responses)'!C1001</f>
        <v/>
      </c>
      <c r="D1001" s="49" t="str">
        <f>'ALL(responses)'!D1001</f>
        <v/>
      </c>
      <c r="E1001" s="50" t="str">
        <f>'ALL(responses)'!E1001</f>
        <v/>
      </c>
      <c r="F1001" s="6"/>
      <c r="G1001" s="6"/>
      <c r="H1001" s="6"/>
      <c r="I1001" s="6"/>
      <c r="J1001" s="6"/>
      <c r="K1001" s="6"/>
      <c r="L1001" s="6"/>
      <c r="M1001" s="6"/>
      <c r="N1001" s="6"/>
      <c r="O1001" s="6"/>
      <c r="P1001" s="6"/>
      <c r="Q1001" s="6"/>
      <c r="R1001" s="6"/>
      <c r="S1001" s="6"/>
    </row>
    <row r="1002">
      <c r="A1002" s="5" t="str">
        <f>'ALL(responses)'!A1002</f>
        <v/>
      </c>
      <c r="B1002" s="6" t="str">
        <f>'ALL(responses)'!B1002</f>
        <v/>
      </c>
      <c r="C1002" s="49" t="str">
        <f>'ALL(responses)'!C1002</f>
        <v/>
      </c>
      <c r="D1002" s="49" t="str">
        <f>'ALL(responses)'!D1002</f>
        <v/>
      </c>
      <c r="E1002" s="50" t="str">
        <f>'ALL(responses)'!E1002</f>
        <v/>
      </c>
      <c r="F1002" s="6"/>
      <c r="G1002" s="6"/>
      <c r="H1002" s="6"/>
      <c r="I1002" s="6"/>
      <c r="J1002" s="6"/>
      <c r="K1002" s="6"/>
      <c r="L1002" s="6"/>
      <c r="M1002" s="6"/>
      <c r="N1002" s="6"/>
      <c r="O1002" s="6"/>
      <c r="P1002" s="6"/>
      <c r="Q1002" s="6"/>
      <c r="R1002" s="6"/>
      <c r="S1002" s="6"/>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3" max="3" width="46.75"/>
    <col customWidth="1" min="4" max="4" width="40.75"/>
    <col customWidth="1" min="6" max="10" width="16.25"/>
    <col customWidth="1" min="11" max="11" width="26.38"/>
    <col customWidth="1" min="12" max="16" width="15.75"/>
  </cols>
  <sheetData>
    <row r="1">
      <c r="A1" s="19" t="s">
        <v>0</v>
      </c>
      <c r="B1" s="19" t="s">
        <v>1</v>
      </c>
      <c r="C1" s="42" t="s">
        <v>2</v>
      </c>
      <c r="D1" s="42" t="s">
        <v>3</v>
      </c>
      <c r="E1" s="19"/>
      <c r="F1" s="45" t="s">
        <v>5</v>
      </c>
      <c r="G1" s="45" t="s">
        <v>6</v>
      </c>
      <c r="H1" s="45" t="s">
        <v>7</v>
      </c>
      <c r="I1" s="45" t="s">
        <v>8</v>
      </c>
      <c r="J1" s="45" t="s">
        <v>9</v>
      </c>
      <c r="K1" s="45" t="s">
        <v>12</v>
      </c>
      <c r="L1" s="45" t="s">
        <v>708</v>
      </c>
      <c r="M1" s="46" t="s">
        <v>16</v>
      </c>
      <c r="N1" s="46" t="s">
        <v>17</v>
      </c>
      <c r="O1" s="46" t="s">
        <v>18</v>
      </c>
      <c r="P1" s="46" t="s">
        <v>19</v>
      </c>
      <c r="Q1" s="52" t="s">
        <v>713</v>
      </c>
    </row>
    <row r="2">
      <c r="A2" s="5" t="s">
        <v>20</v>
      </c>
      <c r="B2" s="6" t="s">
        <v>21</v>
      </c>
      <c r="C2" s="7" t="s">
        <v>22</v>
      </c>
      <c r="D2" s="8" t="s">
        <v>23</v>
      </c>
      <c r="E2" s="9">
        <v>44635.0</v>
      </c>
      <c r="F2" s="6">
        <f>ROUND(('ALL(responses)'!F2 - MIN('ALL(responses)'!F$2:F$641)) / (MAX('ALL(responses)'!F$2:F$641)-MIN('ALL(responses)'!F$2:F$641)),3)
</f>
        <v>0</v>
      </c>
      <c r="G2" s="6">
        <f>ROUND(('ALL(responses)'!G3 - MIN('ALL(responses)'!G$3:G$322)) / (MAX('ALL(responses)'!G$3:G$322)-MIN('ALL(responses)'!G$3:G$322)),3)
</f>
        <v>0</v>
      </c>
      <c r="H2" s="6">
        <f>ROUND(('ALL(responses)'!H3 - MIN('ALL(responses)'!H$3:H$322)) / (MAX('ALL(responses)'!H$3:H$322)-MIN('ALL(responses)'!H$3:H$322)),3)
</f>
        <v>0.167</v>
      </c>
      <c r="I2" s="6">
        <f>ROUND(('ALL(responses)'!I3 - MIN('ALL(responses)'!I$3:I$322)) / (MAX('ALL(responses)'!I$3:I$322)-MIN('ALL(responses)'!I$3:I$322)),3)
</f>
        <v>0</v>
      </c>
      <c r="J2" s="6">
        <f>ROUND(('ALL(responses)'!J3 - MIN('ALL(responses)'!J$3:J$322)) / (MAX('ALL(responses)'!J$3:J$322)-MIN('ALL(responses)'!J$3:J$322)),3)
</f>
        <v>0</v>
      </c>
      <c r="K2" s="6">
        <f>ROUND(('ALL(responses)'!M3 - MIN('ALL(responses)'!M$3:M$322)) / (MAX('ALL(responses)'!M$3:M$322)-MIN('ALL(responses)'!M$3:M$322)),3)
</f>
        <v>0.422</v>
      </c>
      <c r="L2" s="6">
        <f>ROUND(('ALL(responses)'!P3 - MIN('ALL(responses)'!P$3:P$322)) / (MAX('ALL(responses)'!P$3:P$322)-MIN('ALL(responses)'!P$3:P$322)),3)
</f>
        <v>0.169</v>
      </c>
      <c r="M2" s="6">
        <f>ROUND(('ALL(responses)'!Q3 - MIN('ALL(responses)'!Q$3:Q$322)) / (MAX('ALL(responses)'!Q$3:Q$322)-MIN('ALL(responses)'!Q$3:Q$322)),3)
</f>
        <v>0.269</v>
      </c>
      <c r="N2" s="6">
        <f>ROUND(('ALL(responses)'!R3 - MIN('ALL(responses)'!R$3:R$322)) / (MAX('ALL(responses)'!R$3:R$322)-MIN('ALL(responses)'!R$3:R$322)),3)
</f>
        <v>0.973</v>
      </c>
      <c r="O2" s="6">
        <f>ROUND(('ALL(responses)'!S3 - MIN('ALL(responses)'!S$3:S$322)) / (MAX('ALL(responses)'!S$3:S$322)-MIN('ALL(responses)'!S$3:S$322)),3)
</f>
        <v>0.986</v>
      </c>
      <c r="P2" s="6">
        <f>ROUND(('ALL(responses)'!T3 - MIN('ALL(responses)'!T$3:T$322)) / (MAX('ALL(responses)'!T$3:T$322)-MIN('ALL(responses)'!T$3:T$322)),3)
</f>
        <v>0.638</v>
      </c>
      <c r="Q2" s="40">
        <f t="shared" ref="Q2:Q41" si="1">ROUND(AVERAGE(F$2:P$41),3)</f>
        <v>0.354</v>
      </c>
    </row>
    <row r="3">
      <c r="A3" s="5" t="s">
        <v>20</v>
      </c>
      <c r="B3" s="6" t="s">
        <v>21</v>
      </c>
      <c r="C3" s="7" t="s">
        <v>24</v>
      </c>
      <c r="D3" s="8" t="s">
        <v>25</v>
      </c>
      <c r="E3" s="9">
        <v>44635.0</v>
      </c>
      <c r="F3" s="6">
        <f>ROUND(('ALL(responses)'!F3 - MIN('ALL(responses)'!F$2:F$641)) / (MAX('ALL(responses)'!F$2:F$641)-MIN('ALL(responses)'!F$2:F$641)),3)
</f>
        <v>0</v>
      </c>
      <c r="G3" s="6">
        <f>ROUND(('ALL(responses)'!G4 - MIN('ALL(responses)'!G$3:G$322)) / (MAX('ALL(responses)'!G$3:G$322)-MIN('ALL(responses)'!G$3:G$322)),3)
</f>
        <v>0</v>
      </c>
      <c r="H3" s="6">
        <f>ROUND(('ALL(responses)'!H4 - MIN('ALL(responses)'!H$3:H$322)) / (MAX('ALL(responses)'!H$3:H$322)-MIN('ALL(responses)'!H$3:H$322)),3)
</f>
        <v>0.167</v>
      </c>
      <c r="I3" s="6">
        <f>ROUND(('ALL(responses)'!I4 - MIN('ALL(responses)'!I$3:I$322)) / (MAX('ALL(responses)'!I$3:I$322)-MIN('ALL(responses)'!I$3:I$322)),3)
</f>
        <v>0.286</v>
      </c>
      <c r="J3" s="6">
        <f>ROUND(('ALL(responses)'!J4 - MIN('ALL(responses)'!J$3:J$322)) / (MAX('ALL(responses)'!J$3:J$322)-MIN('ALL(responses)'!J$3:J$322)),3)
</f>
        <v>0</v>
      </c>
      <c r="K3" s="6">
        <f>ROUND(('ALL(responses)'!M4 - MIN('ALL(responses)'!M$3:M$322)) / (MAX('ALL(responses)'!M$3:M$322)-MIN('ALL(responses)'!M$3:M$322)),3)
</f>
        <v>0.436</v>
      </c>
      <c r="L3" s="6">
        <f>ROUND(('ALL(responses)'!P4 - MIN('ALL(responses)'!P$3:P$322)) / (MAX('ALL(responses)'!P$3:P$322)-MIN('ALL(responses)'!P$3:P$322)),3)
</f>
        <v>0.543</v>
      </c>
      <c r="M3" s="6">
        <f>ROUND(('ALL(responses)'!Q4 - MIN('ALL(responses)'!Q$3:Q$322)) / (MAX('ALL(responses)'!Q$3:Q$322)-MIN('ALL(responses)'!Q$3:Q$322)),3)
</f>
        <v>0.429</v>
      </c>
      <c r="N3" s="6">
        <f>ROUND(('ALL(responses)'!R4 - MIN('ALL(responses)'!R$3:R$322)) / (MAX('ALL(responses)'!R$3:R$322)-MIN('ALL(responses)'!R$3:R$322)),3)
</f>
        <v>0.856</v>
      </c>
      <c r="O3" s="6">
        <f>ROUND(('ALL(responses)'!S4 - MIN('ALL(responses)'!S$3:S$322)) / (MAX('ALL(responses)'!S$3:S$322)-MIN('ALL(responses)'!S$3:S$322)),3)
</f>
        <v>0.928</v>
      </c>
      <c r="P3" s="6">
        <f>ROUND(('ALL(responses)'!T4 - MIN('ALL(responses)'!T$3:T$322)) / (MAX('ALL(responses)'!T$3:T$322)-MIN('ALL(responses)'!T$3:T$322)),3)
</f>
        <v>0.385</v>
      </c>
      <c r="Q3" s="40">
        <f t="shared" si="1"/>
        <v>0.354</v>
      </c>
    </row>
    <row r="4">
      <c r="A4" s="5" t="s">
        <v>20</v>
      </c>
      <c r="B4" s="6" t="s">
        <v>21</v>
      </c>
      <c r="C4" s="8" t="s">
        <v>26</v>
      </c>
      <c r="D4" s="8" t="s">
        <v>27</v>
      </c>
      <c r="E4" s="9">
        <v>44635.0</v>
      </c>
      <c r="F4" s="6">
        <f>ROUND(('ALL(responses)'!F4 - MIN('ALL(responses)'!F$2:F$641)) / (MAX('ALL(responses)'!F$2:F$641)-MIN('ALL(responses)'!F$2:F$641)),3)
</f>
        <v>0</v>
      </c>
      <c r="G4" s="6">
        <f>ROUND(('ALL(responses)'!G5 - MIN('ALL(responses)'!G$3:G$322)) / (MAX('ALL(responses)'!G$3:G$322)-MIN('ALL(responses)'!G$3:G$322)),3)
</f>
        <v>0</v>
      </c>
      <c r="H4" s="6">
        <f>ROUND(('ALL(responses)'!H5 - MIN('ALL(responses)'!H$3:H$322)) / (MAX('ALL(responses)'!H$3:H$322)-MIN('ALL(responses)'!H$3:H$322)),3)
</f>
        <v>0.667</v>
      </c>
      <c r="I4" s="6">
        <f>ROUND(('ALL(responses)'!I5 - MIN('ALL(responses)'!I$3:I$322)) / (MAX('ALL(responses)'!I$3:I$322)-MIN('ALL(responses)'!I$3:I$322)),3)
</f>
        <v>0.286</v>
      </c>
      <c r="J4" s="6">
        <f>ROUND(('ALL(responses)'!J5 - MIN('ALL(responses)'!J$3:J$322)) / (MAX('ALL(responses)'!J$3:J$322)-MIN('ALL(responses)'!J$3:J$322)),3)
</f>
        <v>0.75</v>
      </c>
      <c r="K4" s="6">
        <f>ROUND(('ALL(responses)'!M5 - MIN('ALL(responses)'!M$3:M$322)) / (MAX('ALL(responses)'!M$3:M$322)-MIN('ALL(responses)'!M$3:M$322)),3)
</f>
        <v>0.57</v>
      </c>
      <c r="L4" s="6">
        <f>ROUND(('ALL(responses)'!P5 - MIN('ALL(responses)'!P$3:P$322)) / (MAX('ALL(responses)'!P$3:P$322)-MIN('ALL(responses)'!P$3:P$322)),3)
</f>
        <v>0.556</v>
      </c>
      <c r="M4" s="6">
        <f>ROUND(('ALL(responses)'!Q5 - MIN('ALL(responses)'!Q$3:Q$322)) / (MAX('ALL(responses)'!Q$3:Q$322)-MIN('ALL(responses)'!Q$3:Q$322)),3)
</f>
        <v>0.9</v>
      </c>
      <c r="N4" s="6">
        <f>ROUND(('ALL(responses)'!R5 - MIN('ALL(responses)'!R$3:R$322)) / (MAX('ALL(responses)'!R$3:R$322)-MIN('ALL(responses)'!R$3:R$322)),3)
</f>
        <v>0.837</v>
      </c>
      <c r="O4" s="6">
        <f>ROUND(('ALL(responses)'!S5 - MIN('ALL(responses)'!S$3:S$322)) / (MAX('ALL(responses)'!S$3:S$322)-MIN('ALL(responses)'!S$3:S$322)),3)
</f>
        <v>0.918</v>
      </c>
      <c r="P4" s="6">
        <f>ROUND(('ALL(responses)'!T5 - MIN('ALL(responses)'!T$3:T$322)) / (MAX('ALL(responses)'!T$3:T$322)-MIN('ALL(responses)'!T$3:T$322)),3)
</f>
        <v>0.313</v>
      </c>
      <c r="Q4" s="40">
        <f t="shared" si="1"/>
        <v>0.354</v>
      </c>
    </row>
    <row r="5">
      <c r="A5" s="5" t="s">
        <v>20</v>
      </c>
      <c r="B5" s="6" t="s">
        <v>21</v>
      </c>
      <c r="C5" s="12" t="s">
        <v>28</v>
      </c>
      <c r="D5" s="13" t="s">
        <v>29</v>
      </c>
      <c r="E5" s="9">
        <v>44635.0</v>
      </c>
      <c r="F5" s="6">
        <f>ROUND(('ALL(responses)'!F5 - MIN('ALL(responses)'!F$2:F$641)) / (MAX('ALL(responses)'!F$2:F$641)-MIN('ALL(responses)'!F$2:F$641)),3)
</f>
        <v>0</v>
      </c>
      <c r="G5" s="6">
        <f>ROUND(('ALL(responses)'!G6 - MIN('ALL(responses)'!G$3:G$322)) / (MAX('ALL(responses)'!G$3:G$322)-MIN('ALL(responses)'!G$3:G$322)),3)
</f>
        <v>0</v>
      </c>
      <c r="H5" s="6">
        <f>ROUND(('ALL(responses)'!H6 - MIN('ALL(responses)'!H$3:H$322)) / (MAX('ALL(responses)'!H$3:H$322)-MIN('ALL(responses)'!H$3:H$322)),3)
</f>
        <v>0.167</v>
      </c>
      <c r="I5" s="6">
        <f>ROUND(('ALL(responses)'!I6 - MIN('ALL(responses)'!I$3:I$322)) / (MAX('ALL(responses)'!I$3:I$322)-MIN('ALL(responses)'!I$3:I$322)),3)
</f>
        <v>0.286</v>
      </c>
      <c r="J5" s="6">
        <f>ROUND(('ALL(responses)'!J6 - MIN('ALL(responses)'!J$3:J$322)) / (MAX('ALL(responses)'!J$3:J$322)-MIN('ALL(responses)'!J$3:J$322)),3)
</f>
        <v>0</v>
      </c>
      <c r="K5" s="6">
        <f>ROUND(('ALL(responses)'!M6 - MIN('ALL(responses)'!M$3:M$322)) / (MAX('ALL(responses)'!M$3:M$322)-MIN('ALL(responses)'!M$3:M$322)),3)
</f>
        <v>0.479</v>
      </c>
      <c r="L5" s="6">
        <f>ROUND(('ALL(responses)'!P6 - MIN('ALL(responses)'!P$3:P$322)) / (MAX('ALL(responses)'!P$3:P$322)-MIN('ALL(responses)'!P$3:P$322)),3)
</f>
        <v>0.519</v>
      </c>
      <c r="M5" s="6">
        <f>ROUND(('ALL(responses)'!Q6 - MIN('ALL(responses)'!Q$3:Q$322)) / (MAX('ALL(responses)'!Q$3:Q$322)-MIN('ALL(responses)'!Q$3:Q$322)),3)
</f>
        <v>0.511</v>
      </c>
      <c r="N5" s="6">
        <f>ROUND(('ALL(responses)'!R6 - MIN('ALL(responses)'!R$3:R$322)) / (MAX('ALL(responses)'!R$3:R$322)-MIN('ALL(responses)'!R$3:R$322)),3)
</f>
        <v>0.671</v>
      </c>
      <c r="O5" s="6">
        <f>ROUND(('ALL(responses)'!S6 - MIN('ALL(responses)'!S$3:S$322)) / (MAX('ALL(responses)'!S$3:S$322)-MIN('ALL(responses)'!S$3:S$322)),3)
</f>
        <v>0.835</v>
      </c>
      <c r="P5" s="6">
        <f>ROUND(('ALL(responses)'!T6 - MIN('ALL(responses)'!T$3:T$322)) / (MAX('ALL(responses)'!T$3:T$322)-MIN('ALL(responses)'!T$3:T$322)),3)
</f>
        <v>0.321</v>
      </c>
      <c r="Q5" s="40">
        <f t="shared" si="1"/>
        <v>0.354</v>
      </c>
      <c r="R5" s="15"/>
      <c r="S5" s="15"/>
      <c r="T5" s="15"/>
      <c r="U5" s="15"/>
      <c r="V5" s="15"/>
    </row>
    <row r="6">
      <c r="A6" s="5" t="s">
        <v>20</v>
      </c>
      <c r="B6" s="6" t="s">
        <v>21</v>
      </c>
      <c r="C6" s="7" t="s">
        <v>30</v>
      </c>
      <c r="D6" s="8" t="s">
        <v>31</v>
      </c>
      <c r="E6" s="9">
        <v>44635.0</v>
      </c>
      <c r="F6" s="6">
        <f>ROUND(('ALL(responses)'!F6 - MIN('ALL(responses)'!F$2:F$641)) / (MAX('ALL(responses)'!F$2:F$641)-MIN('ALL(responses)'!F$2:F$641)),3)
</f>
        <v>0</v>
      </c>
      <c r="G6" s="6">
        <f>ROUND(('ALL(responses)'!G7 - MIN('ALL(responses)'!G$3:G$322)) / (MAX('ALL(responses)'!G$3:G$322)-MIN('ALL(responses)'!G$3:G$322)),3)
</f>
        <v>0</v>
      </c>
      <c r="H6" s="6">
        <f>ROUND(('ALL(responses)'!H7 - MIN('ALL(responses)'!H$3:H$322)) / (MAX('ALL(responses)'!H$3:H$322)-MIN('ALL(responses)'!H$3:H$322)),3)
</f>
        <v>0.167</v>
      </c>
      <c r="I6" s="6">
        <f>ROUND(('ALL(responses)'!I7 - MIN('ALL(responses)'!I$3:I$322)) / (MAX('ALL(responses)'!I$3:I$322)-MIN('ALL(responses)'!I$3:I$322)),3)
</f>
        <v>0.286</v>
      </c>
      <c r="J6" s="6">
        <f>ROUND(('ALL(responses)'!J7 - MIN('ALL(responses)'!J$3:J$322)) / (MAX('ALL(responses)'!J$3:J$322)-MIN('ALL(responses)'!J$3:J$322)),3)
</f>
        <v>0</v>
      </c>
      <c r="K6" s="6">
        <f>ROUND(('ALL(responses)'!M7 - MIN('ALL(responses)'!M$3:M$322)) / (MAX('ALL(responses)'!M$3:M$322)-MIN('ALL(responses)'!M$3:M$322)),3)
</f>
        <v>0.358</v>
      </c>
      <c r="L6" s="6">
        <f>ROUND(('ALL(responses)'!P7 - MIN('ALL(responses)'!P$3:P$322)) / (MAX('ALL(responses)'!P$3:P$322)-MIN('ALL(responses)'!P$3:P$322)),3)
</f>
        <v>0.243</v>
      </c>
      <c r="M6" s="6">
        <f>ROUND(('ALL(responses)'!Q7 - MIN('ALL(responses)'!Q$3:Q$322)) / (MAX('ALL(responses)'!Q$3:Q$322)-MIN('ALL(responses)'!Q$3:Q$322)),3)
</f>
        <v>0.587</v>
      </c>
      <c r="N6" s="6">
        <f>ROUND(('ALL(responses)'!R7 - MIN('ALL(responses)'!R$3:R$322)) / (MAX('ALL(responses)'!R$3:R$322)-MIN('ALL(responses)'!R$3:R$322)),3)
</f>
        <v>0.637</v>
      </c>
      <c r="O6" s="6">
        <f>ROUND(('ALL(responses)'!S7 - MIN('ALL(responses)'!S$3:S$322)) / (MAX('ALL(responses)'!S$3:S$322)-MIN('ALL(responses)'!S$3:S$322)),3)
</f>
        <v>0.819</v>
      </c>
      <c r="P6" s="6">
        <f>ROUND(('ALL(responses)'!T7 - MIN('ALL(responses)'!T$3:T$322)) / (MAX('ALL(responses)'!T$3:T$322)-MIN('ALL(responses)'!T$3:T$322)),3)
</f>
        <v>0.498</v>
      </c>
      <c r="Q6" s="40">
        <f t="shared" si="1"/>
        <v>0.354</v>
      </c>
    </row>
    <row r="7">
      <c r="A7" s="5" t="s">
        <v>20</v>
      </c>
      <c r="B7" s="6" t="s">
        <v>21</v>
      </c>
      <c r="C7" s="7" t="s">
        <v>32</v>
      </c>
      <c r="D7" s="53" t="s">
        <v>33</v>
      </c>
      <c r="E7" s="9">
        <v>44635.0</v>
      </c>
      <c r="F7" s="6">
        <f>ROUND(('ALL(responses)'!F7 - MIN('ALL(responses)'!F$2:F$641)) / (MAX('ALL(responses)'!F$2:F$641)-MIN('ALL(responses)'!F$2:F$641)),3)
</f>
        <v>0</v>
      </c>
      <c r="G7" s="6">
        <f>ROUND(('ALL(responses)'!G8 - MIN('ALL(responses)'!G$3:G$322)) / (MAX('ALL(responses)'!G$3:G$322)-MIN('ALL(responses)'!G$3:G$322)),3)
</f>
        <v>0</v>
      </c>
      <c r="H7" s="6">
        <f>ROUND(('ALL(responses)'!H8 - MIN('ALL(responses)'!H$3:H$322)) / (MAX('ALL(responses)'!H$3:H$322)-MIN('ALL(responses)'!H$3:H$322)),3)
</f>
        <v>0.167</v>
      </c>
      <c r="I7" s="6">
        <f>ROUND(('ALL(responses)'!I8 - MIN('ALL(responses)'!I$3:I$322)) / (MAX('ALL(responses)'!I$3:I$322)-MIN('ALL(responses)'!I$3:I$322)),3)
</f>
        <v>0.286</v>
      </c>
      <c r="J7" s="6">
        <f>ROUND(('ALL(responses)'!J8 - MIN('ALL(responses)'!J$3:J$322)) / (MAX('ALL(responses)'!J$3:J$322)-MIN('ALL(responses)'!J$3:J$322)),3)
</f>
        <v>0</v>
      </c>
      <c r="K7" s="6">
        <f>ROUND(('ALL(responses)'!M8 - MIN('ALL(responses)'!M$3:M$322)) / (MAX('ALL(responses)'!M$3:M$322)-MIN('ALL(responses)'!M$3:M$322)),3)
</f>
        <v>0.425</v>
      </c>
      <c r="L7" s="6">
        <f>ROUND(('ALL(responses)'!P8 - MIN('ALL(responses)'!P$3:P$322)) / (MAX('ALL(responses)'!P$3:P$322)-MIN('ALL(responses)'!P$3:P$322)),3)
</f>
        <v>0.292</v>
      </c>
      <c r="M7" s="6">
        <f>ROUND(('ALL(responses)'!Q8 - MIN('ALL(responses)'!Q$3:Q$322)) / (MAX('ALL(responses)'!Q$3:Q$322)-MIN('ALL(responses)'!Q$3:Q$322)),3)
</f>
        <v>0.577</v>
      </c>
      <c r="N7" s="6">
        <f>ROUND(('ALL(responses)'!R8 - MIN('ALL(responses)'!R$3:R$322)) / (MAX('ALL(responses)'!R$3:R$322)-MIN('ALL(responses)'!R$3:R$322)),3)
</f>
        <v>0.637</v>
      </c>
      <c r="O7" s="6">
        <f>ROUND(('ALL(responses)'!S8 - MIN('ALL(responses)'!S$3:S$322)) / (MAX('ALL(responses)'!S$3:S$322)-MIN('ALL(responses)'!S$3:S$322)),3)
</f>
        <v>0.819</v>
      </c>
      <c r="P7" s="6">
        <f>ROUND(('ALL(responses)'!T8 - MIN('ALL(responses)'!T$3:T$322)) / (MAX('ALL(responses)'!T$3:T$322)-MIN('ALL(responses)'!T$3:T$322)),3)
</f>
        <v>0.239</v>
      </c>
      <c r="Q7" s="40">
        <f t="shared" si="1"/>
        <v>0.354</v>
      </c>
    </row>
    <row r="8">
      <c r="A8" s="5" t="s">
        <v>20</v>
      </c>
      <c r="B8" s="6" t="s">
        <v>21</v>
      </c>
      <c r="C8" s="7" t="s">
        <v>34</v>
      </c>
      <c r="D8" s="8" t="s">
        <v>35</v>
      </c>
      <c r="E8" s="9">
        <v>44635.0</v>
      </c>
      <c r="F8" s="6">
        <f>ROUND(('ALL(responses)'!F8 - MIN('ALL(responses)'!F$2:F$641)) / (MAX('ALL(responses)'!F$2:F$641)-MIN('ALL(responses)'!F$2:F$641)),3)
</f>
        <v>0</v>
      </c>
      <c r="G8" s="6">
        <f>ROUND(('ALL(responses)'!G9 - MIN('ALL(responses)'!G$3:G$322)) / (MAX('ALL(responses)'!G$3:G$322)-MIN('ALL(responses)'!G$3:G$322)),3)
</f>
        <v>0</v>
      </c>
      <c r="H8" s="6">
        <f>ROUND(('ALL(responses)'!H9 - MIN('ALL(responses)'!H$3:H$322)) / (MAX('ALL(responses)'!H$3:H$322)-MIN('ALL(responses)'!H$3:H$322)),3)
</f>
        <v>0.167</v>
      </c>
      <c r="I8" s="6">
        <f>ROUND(('ALL(responses)'!I9 - MIN('ALL(responses)'!I$3:I$322)) / (MAX('ALL(responses)'!I$3:I$322)-MIN('ALL(responses)'!I$3:I$322)),3)
</f>
        <v>0.286</v>
      </c>
      <c r="J8" s="6">
        <f>ROUND(('ALL(responses)'!J9 - MIN('ALL(responses)'!J$3:J$322)) / (MAX('ALL(responses)'!J$3:J$322)-MIN('ALL(responses)'!J$3:J$322)),3)
</f>
        <v>0</v>
      </c>
      <c r="K8" s="6">
        <f>ROUND(('ALL(responses)'!M9 - MIN('ALL(responses)'!M$3:M$322)) / (MAX('ALL(responses)'!M$3:M$322)-MIN('ALL(responses)'!M$3:M$322)),3)
</f>
        <v>0.449</v>
      </c>
      <c r="L8" s="6">
        <f>ROUND(('ALL(responses)'!P9 - MIN('ALL(responses)'!P$3:P$322)) / (MAX('ALL(responses)'!P$3:P$322)-MIN('ALL(responses)'!P$3:P$322)),3)
</f>
        <v>0.496</v>
      </c>
      <c r="M8" s="6">
        <f>ROUND(('ALL(responses)'!Q9 - MIN('ALL(responses)'!Q$3:Q$322)) / (MAX('ALL(responses)'!Q$3:Q$322)-MIN('ALL(responses)'!Q$3:Q$322)),3)
</f>
        <v>0.391</v>
      </c>
      <c r="N8" s="6">
        <f>ROUND(('ALL(responses)'!R9 - MIN('ALL(responses)'!R$3:R$322)) / (MAX('ALL(responses)'!R$3:R$322)-MIN('ALL(responses)'!R$3:R$322)),3)
</f>
        <v>0.772</v>
      </c>
      <c r="O8" s="6">
        <f>ROUND(('ALL(responses)'!S9 - MIN('ALL(responses)'!S$3:S$322)) / (MAX('ALL(responses)'!S$3:S$322)-MIN('ALL(responses)'!S$3:S$322)),3)
</f>
        <v>0.886</v>
      </c>
      <c r="P8" s="6">
        <f>ROUND(('ALL(responses)'!T9 - MIN('ALL(responses)'!T$3:T$322)) / (MAX('ALL(responses)'!T$3:T$322)-MIN('ALL(responses)'!T$3:T$322)),3)
</f>
        <v>0.313</v>
      </c>
      <c r="Q8" s="40">
        <f t="shared" si="1"/>
        <v>0.354</v>
      </c>
    </row>
    <row r="9">
      <c r="A9" s="5" t="s">
        <v>20</v>
      </c>
      <c r="B9" s="6" t="s">
        <v>21</v>
      </c>
      <c r="C9" s="7" t="s">
        <v>36</v>
      </c>
      <c r="D9" s="8" t="s">
        <v>37</v>
      </c>
      <c r="E9" s="9">
        <v>44635.0</v>
      </c>
      <c r="F9" s="6">
        <f>ROUND(('ALL(responses)'!F9 - MIN('ALL(responses)'!F$2:F$641)) / (MAX('ALL(responses)'!F$2:F$641)-MIN('ALL(responses)'!F$2:F$641)),3)
</f>
        <v>0</v>
      </c>
      <c r="G9" s="6">
        <f>ROUND(('ALL(responses)'!G10 - MIN('ALL(responses)'!G$3:G$322)) / (MAX('ALL(responses)'!G$3:G$322)-MIN('ALL(responses)'!G$3:G$322)),3)
</f>
        <v>0</v>
      </c>
      <c r="H9" s="6">
        <f>ROUND(('ALL(responses)'!H10 - MIN('ALL(responses)'!H$3:H$322)) / (MAX('ALL(responses)'!H$3:H$322)-MIN('ALL(responses)'!H$3:H$322)),3)
</f>
        <v>0.167</v>
      </c>
      <c r="I9" s="6">
        <f>ROUND(('ALL(responses)'!I10 - MIN('ALL(responses)'!I$3:I$322)) / (MAX('ALL(responses)'!I$3:I$322)-MIN('ALL(responses)'!I$3:I$322)),3)
</f>
        <v>0.286</v>
      </c>
      <c r="J9" s="6">
        <f>ROUND(('ALL(responses)'!J10 - MIN('ALL(responses)'!J$3:J$322)) / (MAX('ALL(responses)'!J$3:J$322)-MIN('ALL(responses)'!J$3:J$322)),3)
</f>
        <v>0</v>
      </c>
      <c r="K9" s="6">
        <f>ROUND(('ALL(responses)'!M10 - MIN('ALL(responses)'!M$3:M$322)) / (MAX('ALL(responses)'!M$3:M$322)-MIN('ALL(responses)'!M$3:M$322)),3)
</f>
        <v>0.201</v>
      </c>
      <c r="L9" s="6">
        <f>ROUND(('ALL(responses)'!P10 - MIN('ALL(responses)'!P$3:P$322)) / (MAX('ALL(responses)'!P$3:P$322)-MIN('ALL(responses)'!P$3:P$322)),3)
</f>
        <v>0.22</v>
      </c>
      <c r="M9" s="6">
        <f>ROUND(('ALL(responses)'!Q10 - MIN('ALL(responses)'!Q$3:Q$322)) / (MAX('ALL(responses)'!Q$3:Q$322)-MIN('ALL(responses)'!Q$3:Q$322)),3)
</f>
        <v>0.606</v>
      </c>
      <c r="N9" s="6">
        <f>ROUND(('ALL(responses)'!R10 - MIN('ALL(responses)'!R$3:R$322)) / (MAX('ALL(responses)'!R$3:R$322)-MIN('ALL(responses)'!R$3:R$322)),3)
</f>
        <v>0.736</v>
      </c>
      <c r="O9" s="6">
        <f>ROUND(('ALL(responses)'!S10 - MIN('ALL(responses)'!S$3:S$322)) / (MAX('ALL(responses)'!S$3:S$322)-MIN('ALL(responses)'!S$3:S$322)),3)
</f>
        <v>0.868</v>
      </c>
      <c r="P9" s="6">
        <f>ROUND(('ALL(responses)'!T10 - MIN('ALL(responses)'!T$3:T$322)) / (MAX('ALL(responses)'!T$3:T$322)-MIN('ALL(responses)'!T$3:T$322)),3)
</f>
        <v>0.512</v>
      </c>
      <c r="Q9" s="40">
        <f t="shared" si="1"/>
        <v>0.354</v>
      </c>
    </row>
    <row r="10">
      <c r="A10" s="5" t="s">
        <v>20</v>
      </c>
      <c r="B10" s="6" t="s">
        <v>21</v>
      </c>
      <c r="C10" s="7" t="s">
        <v>38</v>
      </c>
      <c r="D10" s="8" t="s">
        <v>39</v>
      </c>
      <c r="E10" s="9">
        <v>44635.0</v>
      </c>
      <c r="F10" s="6">
        <f>ROUND(('ALL(responses)'!F10 - MIN('ALL(responses)'!F$2:F$641)) / (MAX('ALL(responses)'!F$2:F$641)-MIN('ALL(responses)'!F$2:F$641)),3)
</f>
        <v>0</v>
      </c>
      <c r="G10" s="6">
        <f>ROUND(('ALL(responses)'!G11 - MIN('ALL(responses)'!G$3:G$322)) / (MAX('ALL(responses)'!G$3:G$322)-MIN('ALL(responses)'!G$3:G$322)),3)
</f>
        <v>0</v>
      </c>
      <c r="H10" s="6">
        <f>ROUND(('ALL(responses)'!H11 - MIN('ALL(responses)'!H$3:H$322)) / (MAX('ALL(responses)'!H$3:H$322)-MIN('ALL(responses)'!H$3:H$322)),3)
</f>
        <v>0.167</v>
      </c>
      <c r="I10" s="6">
        <f>ROUND(('ALL(responses)'!I11 - MIN('ALL(responses)'!I$3:I$322)) / (MAX('ALL(responses)'!I$3:I$322)-MIN('ALL(responses)'!I$3:I$322)),3)
</f>
        <v>0</v>
      </c>
      <c r="J10" s="6">
        <f>ROUND(('ALL(responses)'!J11 - MIN('ALL(responses)'!J$3:J$322)) / (MAX('ALL(responses)'!J$3:J$322)-MIN('ALL(responses)'!J$3:J$322)),3)
</f>
        <v>0</v>
      </c>
      <c r="K10" s="6">
        <f>ROUND(('ALL(responses)'!M11 - MIN('ALL(responses)'!M$3:M$322)) / (MAX('ALL(responses)'!M$3:M$322)-MIN('ALL(responses)'!M$3:M$322)),3)
</f>
        <v>0.333</v>
      </c>
      <c r="L10" s="6">
        <f>ROUND(('ALL(responses)'!P11 - MIN('ALL(responses)'!P$3:P$322)) / (MAX('ALL(responses)'!P$3:P$322)-MIN('ALL(responses)'!P$3:P$322)),3)
</f>
        <v>0.354</v>
      </c>
      <c r="M10" s="6">
        <f>ROUND(('ALL(responses)'!Q11 - MIN('ALL(responses)'!Q$3:Q$322)) / (MAX('ALL(responses)'!Q$3:Q$322)-MIN('ALL(responses)'!Q$3:Q$322)),3)
</f>
        <v>0.714</v>
      </c>
      <c r="N10" s="6">
        <f>ROUND(('ALL(responses)'!R11 - MIN('ALL(responses)'!R$3:R$322)) / (MAX('ALL(responses)'!R$3:R$322)-MIN('ALL(responses)'!R$3:R$322)),3)
</f>
        <v>0.419</v>
      </c>
      <c r="O10" s="6">
        <f>ROUND(('ALL(responses)'!S11 - MIN('ALL(responses)'!S$3:S$322)) / (MAX('ALL(responses)'!S$3:S$322)-MIN('ALL(responses)'!S$3:S$322)),3)
</f>
        <v>0.709</v>
      </c>
      <c r="P10" s="6">
        <f>ROUND(('ALL(responses)'!T11 - MIN('ALL(responses)'!T$3:T$322)) / (MAX('ALL(responses)'!T$3:T$322)-MIN('ALL(responses)'!T$3:T$322)),3)
</f>
        <v>0.316</v>
      </c>
      <c r="Q10" s="40">
        <f t="shared" si="1"/>
        <v>0.354</v>
      </c>
    </row>
    <row r="11">
      <c r="A11" s="5" t="s">
        <v>20</v>
      </c>
      <c r="B11" s="6" t="s">
        <v>21</v>
      </c>
      <c r="C11" s="7" t="s">
        <v>40</v>
      </c>
      <c r="D11" s="8" t="s">
        <v>41</v>
      </c>
      <c r="E11" s="9">
        <v>44635.0</v>
      </c>
      <c r="F11" s="6">
        <f>ROUND(('ALL(responses)'!F11 - MIN('ALL(responses)'!F$2:F$641)) / (MAX('ALL(responses)'!F$2:F$641)-MIN('ALL(responses)'!F$2:F$641)),3)
</f>
        <v>0</v>
      </c>
      <c r="G11" s="6">
        <f>ROUND(('ALL(responses)'!G12 - MIN('ALL(responses)'!G$3:G$322)) / (MAX('ALL(responses)'!G$3:G$322)-MIN('ALL(responses)'!G$3:G$322)),3)
</f>
        <v>0</v>
      </c>
      <c r="H11" s="6">
        <f>ROUND(('ALL(responses)'!H12 - MIN('ALL(responses)'!H$3:H$322)) / (MAX('ALL(responses)'!H$3:H$322)-MIN('ALL(responses)'!H$3:H$322)),3)
</f>
        <v>0.167</v>
      </c>
      <c r="I11" s="6">
        <f>ROUND(('ALL(responses)'!I12 - MIN('ALL(responses)'!I$3:I$322)) / (MAX('ALL(responses)'!I$3:I$322)-MIN('ALL(responses)'!I$3:I$322)),3)
</f>
        <v>0</v>
      </c>
      <c r="J11" s="6">
        <f>ROUND(('ALL(responses)'!J12 - MIN('ALL(responses)'!J$3:J$322)) / (MAX('ALL(responses)'!J$3:J$322)-MIN('ALL(responses)'!J$3:J$322)),3)
</f>
        <v>0</v>
      </c>
      <c r="K11" s="6">
        <f>ROUND(('ALL(responses)'!M12 - MIN('ALL(responses)'!M$3:M$322)) / (MAX('ALL(responses)'!M$3:M$322)-MIN('ALL(responses)'!M$3:M$322)),3)
</f>
        <v>0.478</v>
      </c>
      <c r="L11" s="6">
        <f>ROUND(('ALL(responses)'!P12 - MIN('ALL(responses)'!P$3:P$322)) / (MAX('ALL(responses)'!P$3:P$322)-MIN('ALL(responses)'!P$3:P$322)),3)
</f>
        <v>0.238</v>
      </c>
      <c r="M11" s="6">
        <f>ROUND(('ALL(responses)'!Q12 - MIN('ALL(responses)'!Q$3:Q$322)) / (MAX('ALL(responses)'!Q$3:Q$322)-MIN('ALL(responses)'!Q$3:Q$322)),3)
</f>
        <v>0.191</v>
      </c>
      <c r="N11" s="6">
        <f>ROUND(('ALL(responses)'!R12 - MIN('ALL(responses)'!R$3:R$322)) / (MAX('ALL(responses)'!R$3:R$322)-MIN('ALL(responses)'!R$3:R$322)),3)
</f>
        <v>0.966</v>
      </c>
      <c r="O11" s="6">
        <f>ROUND(('ALL(responses)'!S12 - MIN('ALL(responses)'!S$3:S$322)) / (MAX('ALL(responses)'!S$3:S$322)-MIN('ALL(responses)'!S$3:S$322)),3)
</f>
        <v>0.983</v>
      </c>
      <c r="P11" s="6">
        <f>ROUND(('ALL(responses)'!T12 - MIN('ALL(responses)'!T$3:T$322)) / (MAX('ALL(responses)'!T$3:T$322)-MIN('ALL(responses)'!T$3:T$322)),3)
</f>
        <v>0.445</v>
      </c>
      <c r="Q11" s="40">
        <f t="shared" si="1"/>
        <v>0.354</v>
      </c>
    </row>
    <row r="12">
      <c r="A12" s="5" t="s">
        <v>42</v>
      </c>
      <c r="B12" s="6" t="s">
        <v>21</v>
      </c>
      <c r="C12" s="7" t="s">
        <v>43</v>
      </c>
      <c r="D12" s="8" t="s">
        <v>44</v>
      </c>
      <c r="E12" s="9">
        <v>44635.0</v>
      </c>
      <c r="F12" s="6">
        <f>ROUND(('ALL(responses)'!F12 - MIN('ALL(responses)'!F$2:F$641)) / (MAX('ALL(responses)'!F$2:F$641)-MIN('ALL(responses)'!F$2:F$641)),3)
</f>
        <v>0</v>
      </c>
      <c r="G12" s="6">
        <f>ROUND(('ALL(responses)'!G13 - MIN('ALL(responses)'!G$3:G$322)) / (MAX('ALL(responses)'!G$3:G$322)-MIN('ALL(responses)'!G$3:G$322)),3)
</f>
        <v>0</v>
      </c>
      <c r="H12" s="6">
        <f>ROUND(('ALL(responses)'!H13 - MIN('ALL(responses)'!H$3:H$322)) / (MAX('ALL(responses)'!H$3:H$322)-MIN('ALL(responses)'!H$3:H$322)),3)
</f>
        <v>0.167</v>
      </c>
      <c r="I12" s="6">
        <f>ROUND(('ALL(responses)'!I13 - MIN('ALL(responses)'!I$3:I$322)) / (MAX('ALL(responses)'!I$3:I$322)-MIN('ALL(responses)'!I$3:I$322)),3)
</f>
        <v>0.286</v>
      </c>
      <c r="J12" s="6">
        <f>ROUND(('ALL(responses)'!J13 - MIN('ALL(responses)'!J$3:J$322)) / (MAX('ALL(responses)'!J$3:J$322)-MIN('ALL(responses)'!J$3:J$322)),3)
</f>
        <v>0</v>
      </c>
      <c r="K12" s="6">
        <f>ROUND(('ALL(responses)'!M13 - MIN('ALL(responses)'!M$3:M$322)) / (MAX('ALL(responses)'!M$3:M$322)-MIN('ALL(responses)'!M$3:M$322)),3)
</f>
        <v>0.363</v>
      </c>
      <c r="L12" s="6">
        <f>ROUND(('ALL(responses)'!P13 - MIN('ALL(responses)'!P$3:P$322)) / (MAX('ALL(responses)'!P$3:P$322)-MIN('ALL(responses)'!P$3:P$322)),3)
</f>
        <v>0.22</v>
      </c>
      <c r="M12" s="6">
        <f>ROUND(('ALL(responses)'!Q13 - MIN('ALL(responses)'!Q$3:Q$322)) / (MAX('ALL(responses)'!Q$3:Q$322)-MIN('ALL(responses)'!Q$3:Q$322)),3)
</f>
        <v>0.45</v>
      </c>
      <c r="N12" s="6">
        <f>ROUND(('ALL(responses)'!R13 - MIN('ALL(responses)'!R$3:R$322)) / (MAX('ALL(responses)'!R$3:R$322)-MIN('ALL(responses)'!R$3:R$322)),3)
</f>
        <v>0.624</v>
      </c>
      <c r="O12" s="6">
        <f>ROUND(('ALL(responses)'!S13 - MIN('ALL(responses)'!S$3:S$322)) / (MAX('ALL(responses)'!S$3:S$322)-MIN('ALL(responses)'!S$3:S$322)),3)
</f>
        <v>0.812</v>
      </c>
      <c r="P12" s="6">
        <f>ROUND(('ALL(responses)'!T13 - MIN('ALL(responses)'!T$3:T$322)) / (MAX('ALL(responses)'!T$3:T$322)-MIN('ALL(responses)'!T$3:T$322)),3)
</f>
        <v>0.683</v>
      </c>
      <c r="Q12" s="40">
        <f t="shared" si="1"/>
        <v>0.354</v>
      </c>
    </row>
    <row r="13">
      <c r="A13" s="5" t="s">
        <v>42</v>
      </c>
      <c r="B13" s="6" t="s">
        <v>21</v>
      </c>
      <c r="C13" s="7" t="s">
        <v>45</v>
      </c>
      <c r="D13" s="8" t="s">
        <v>46</v>
      </c>
      <c r="E13" s="9">
        <v>44635.0</v>
      </c>
      <c r="F13" s="6">
        <f>ROUND(('ALL(responses)'!F13 - MIN('ALL(responses)'!F$2:F$641)) / (MAX('ALL(responses)'!F$2:F$641)-MIN('ALL(responses)'!F$2:F$641)),3)
</f>
        <v>0.5</v>
      </c>
      <c r="G13" s="6">
        <f>ROUND(('ALL(responses)'!G14 - MIN('ALL(responses)'!G$3:G$322)) / (MAX('ALL(responses)'!G$3:G$322)-MIN('ALL(responses)'!G$3:G$322)),3)
</f>
        <v>0</v>
      </c>
      <c r="H13" s="6">
        <f>ROUND(('ALL(responses)'!H14 - MIN('ALL(responses)'!H$3:H$322)) / (MAX('ALL(responses)'!H$3:H$322)-MIN('ALL(responses)'!H$3:H$322)),3)
</f>
        <v>0.167</v>
      </c>
      <c r="I13" s="6">
        <f>ROUND(('ALL(responses)'!I14 - MIN('ALL(responses)'!I$3:I$322)) / (MAX('ALL(responses)'!I$3:I$322)-MIN('ALL(responses)'!I$3:I$322)),3)
</f>
        <v>0</v>
      </c>
      <c r="J13" s="6">
        <f>ROUND(('ALL(responses)'!J14 - MIN('ALL(responses)'!J$3:J$322)) / (MAX('ALL(responses)'!J$3:J$322)-MIN('ALL(responses)'!J$3:J$322)),3)
</f>
        <v>0</v>
      </c>
      <c r="K13" s="6">
        <f>ROUND(('ALL(responses)'!M14 - MIN('ALL(responses)'!M$3:M$322)) / (MAX('ALL(responses)'!M$3:M$322)-MIN('ALL(responses)'!M$3:M$322)),3)
</f>
        <v>0.435</v>
      </c>
      <c r="L13" s="6">
        <f>ROUND(('ALL(responses)'!P14 - MIN('ALL(responses)'!P$3:P$322)) / (MAX('ALL(responses)'!P$3:P$322)-MIN('ALL(responses)'!P$3:P$322)),3)
</f>
        <v>0.285</v>
      </c>
      <c r="M13" s="6">
        <f>ROUND(('ALL(responses)'!Q14 - MIN('ALL(responses)'!Q$3:Q$322)) / (MAX('ALL(responses)'!Q$3:Q$322)-MIN('ALL(responses)'!Q$3:Q$322)),3)
</f>
        <v>0.45</v>
      </c>
      <c r="N13" s="6">
        <f>ROUND(('ALL(responses)'!R14 - MIN('ALL(responses)'!R$3:R$322)) / (MAX('ALL(responses)'!R$3:R$322)-MIN('ALL(responses)'!R$3:R$322)),3)
</f>
        <v>0.671</v>
      </c>
      <c r="O13" s="6">
        <f>ROUND(('ALL(responses)'!S14 - MIN('ALL(responses)'!S$3:S$322)) / (MAX('ALL(responses)'!S$3:S$322)-MIN('ALL(responses)'!S$3:S$322)),3)
</f>
        <v>0.835</v>
      </c>
      <c r="P13" s="6">
        <f>ROUND(('ALL(responses)'!T14 - MIN('ALL(responses)'!T$3:T$322)) / (MAX('ALL(responses)'!T$3:T$322)-MIN('ALL(responses)'!T$3:T$322)),3)
</f>
        <v>0.456</v>
      </c>
      <c r="Q13" s="40">
        <f t="shared" si="1"/>
        <v>0.354</v>
      </c>
    </row>
    <row r="14">
      <c r="A14" s="5" t="s">
        <v>42</v>
      </c>
      <c r="B14" s="6" t="s">
        <v>21</v>
      </c>
      <c r="C14" s="7" t="s">
        <v>47</v>
      </c>
      <c r="D14" s="8" t="s">
        <v>48</v>
      </c>
      <c r="E14" s="9">
        <v>44635.0</v>
      </c>
      <c r="F14" s="6">
        <f>ROUND(('ALL(responses)'!F14 - MIN('ALL(responses)'!F$2:F$641)) / (MAX('ALL(responses)'!F$2:F$641)-MIN('ALL(responses)'!F$2:F$641)),3)
</f>
        <v>0</v>
      </c>
      <c r="G14" s="6">
        <f>ROUND(('ALL(responses)'!G15 - MIN('ALL(responses)'!G$3:G$322)) / (MAX('ALL(responses)'!G$3:G$322)-MIN('ALL(responses)'!G$3:G$322)),3)
</f>
        <v>0</v>
      </c>
      <c r="H14" s="6">
        <f>ROUND(('ALL(responses)'!H15 - MIN('ALL(responses)'!H$3:H$322)) / (MAX('ALL(responses)'!H$3:H$322)-MIN('ALL(responses)'!H$3:H$322)),3)
</f>
        <v>0.167</v>
      </c>
      <c r="I14" s="6">
        <f>ROUND(('ALL(responses)'!I15 - MIN('ALL(responses)'!I$3:I$322)) / (MAX('ALL(responses)'!I$3:I$322)-MIN('ALL(responses)'!I$3:I$322)),3)
</f>
        <v>0</v>
      </c>
      <c r="J14" s="6">
        <f>ROUND(('ALL(responses)'!J15 - MIN('ALL(responses)'!J$3:J$322)) / (MAX('ALL(responses)'!J$3:J$322)-MIN('ALL(responses)'!J$3:J$322)),3)
</f>
        <v>0</v>
      </c>
      <c r="K14" s="6">
        <f>ROUND(('ALL(responses)'!M15 - MIN('ALL(responses)'!M$3:M$322)) / (MAX('ALL(responses)'!M$3:M$322)-MIN('ALL(responses)'!M$3:M$322)),3)
</f>
        <v>0.697</v>
      </c>
      <c r="L14" s="6">
        <f>ROUND(('ALL(responses)'!P15 - MIN('ALL(responses)'!P$3:P$322)) / (MAX('ALL(responses)'!P$3:P$322)-MIN('ALL(responses)'!P$3:P$322)),3)
</f>
        <v>0.513</v>
      </c>
      <c r="M14" s="6">
        <f>ROUND(('ALL(responses)'!Q15 - MIN('ALL(responses)'!Q$3:Q$322)) / (MAX('ALL(responses)'!Q$3:Q$322)-MIN('ALL(responses)'!Q$3:Q$322)),3)
</f>
        <v>0.404</v>
      </c>
      <c r="N14" s="6">
        <f>ROUND(('ALL(responses)'!R15 - MIN('ALL(responses)'!R$3:R$322)) / (MAX('ALL(responses)'!R$3:R$322)-MIN('ALL(responses)'!R$3:R$322)),3)
</f>
        <v>0.952</v>
      </c>
      <c r="O14" s="6">
        <f>ROUND(('ALL(responses)'!S15 - MIN('ALL(responses)'!S$3:S$322)) / (MAX('ALL(responses)'!S$3:S$322)-MIN('ALL(responses)'!S$3:S$322)),3)
</f>
        <v>0.976</v>
      </c>
      <c r="P14" s="6">
        <f>ROUND(('ALL(responses)'!T15 - MIN('ALL(responses)'!T$3:T$322)) / (MAX('ALL(responses)'!T$3:T$322)-MIN('ALL(responses)'!T$3:T$322)),3)
</f>
        <v>0.338</v>
      </c>
      <c r="Q14" s="40">
        <f t="shared" si="1"/>
        <v>0.354</v>
      </c>
    </row>
    <row r="15">
      <c r="A15" s="5" t="s">
        <v>42</v>
      </c>
      <c r="B15" s="6" t="s">
        <v>21</v>
      </c>
      <c r="C15" s="7" t="s">
        <v>49</v>
      </c>
      <c r="D15" s="8" t="s">
        <v>50</v>
      </c>
      <c r="E15" s="9">
        <v>44635.0</v>
      </c>
      <c r="F15" s="6">
        <f>ROUND(('ALL(responses)'!F15 - MIN('ALL(responses)'!F$2:F$641)) / (MAX('ALL(responses)'!F$2:F$641)-MIN('ALL(responses)'!F$2:F$641)),3)
</f>
        <v>0</v>
      </c>
      <c r="G15" s="6">
        <f>ROUND(('ALL(responses)'!G16 - MIN('ALL(responses)'!G$3:G$322)) / (MAX('ALL(responses)'!G$3:G$322)-MIN('ALL(responses)'!G$3:G$322)),3)
</f>
        <v>0</v>
      </c>
      <c r="H15" s="6">
        <f>ROUND(('ALL(responses)'!H16 - MIN('ALL(responses)'!H$3:H$322)) / (MAX('ALL(responses)'!H$3:H$322)-MIN('ALL(responses)'!H$3:H$322)),3)
</f>
        <v>0.167</v>
      </c>
      <c r="I15" s="6">
        <f>ROUND(('ALL(responses)'!I16 - MIN('ALL(responses)'!I$3:I$322)) / (MAX('ALL(responses)'!I$3:I$322)-MIN('ALL(responses)'!I$3:I$322)),3)
</f>
        <v>0.286</v>
      </c>
      <c r="J15" s="6">
        <f>ROUND(('ALL(responses)'!J16 - MIN('ALL(responses)'!J$3:J$322)) / (MAX('ALL(responses)'!J$3:J$322)-MIN('ALL(responses)'!J$3:J$322)),3)
</f>
        <v>0</v>
      </c>
      <c r="K15" s="6">
        <f>ROUND(('ALL(responses)'!M16 - MIN('ALL(responses)'!M$3:M$322)) / (MAX('ALL(responses)'!M$3:M$322)-MIN('ALL(responses)'!M$3:M$322)),3)
</f>
        <v>0.724</v>
      </c>
      <c r="L15" s="6">
        <f>ROUND(('ALL(responses)'!P16 - MIN('ALL(responses)'!P$3:P$322)) / (MAX('ALL(responses)'!P$3:P$322)-MIN('ALL(responses)'!P$3:P$322)),3)
</f>
        <v>0.078</v>
      </c>
      <c r="M15" s="6">
        <f>ROUND(('ALL(responses)'!Q16 - MIN('ALL(responses)'!Q$3:Q$322)) / (MAX('ALL(responses)'!Q$3:Q$322)-MIN('ALL(responses)'!Q$3:Q$322)),3)
</f>
        <v>0.184</v>
      </c>
      <c r="N15" s="6">
        <f>ROUND(('ALL(responses)'!R16 - MIN('ALL(responses)'!R$3:R$322)) / (MAX('ALL(responses)'!R$3:R$322)-MIN('ALL(responses)'!R$3:R$322)),3)
</f>
        <v>0.962</v>
      </c>
      <c r="O15" s="6">
        <f>ROUND(('ALL(responses)'!S16 - MIN('ALL(responses)'!S$3:S$322)) / (MAX('ALL(responses)'!S$3:S$322)-MIN('ALL(responses)'!S$3:S$322)),3)
</f>
        <v>0.981</v>
      </c>
      <c r="P15" s="6">
        <f>ROUND(('ALL(responses)'!T16 - MIN('ALL(responses)'!T$3:T$322)) / (MAX('ALL(responses)'!T$3:T$322)-MIN('ALL(responses)'!T$3:T$322)),3)
</f>
        <v>0.334</v>
      </c>
      <c r="Q15" s="40">
        <f t="shared" si="1"/>
        <v>0.354</v>
      </c>
    </row>
    <row r="16">
      <c r="A16" s="5" t="s">
        <v>42</v>
      </c>
      <c r="B16" s="6" t="s">
        <v>21</v>
      </c>
      <c r="C16" s="7" t="s">
        <v>51</v>
      </c>
      <c r="D16" s="8" t="s">
        <v>52</v>
      </c>
      <c r="E16" s="9">
        <v>44635.0</v>
      </c>
      <c r="F16" s="6">
        <f>ROUND(('ALL(responses)'!F16 - MIN('ALL(responses)'!F$2:F$641)) / (MAX('ALL(responses)'!F$2:F$641)-MIN('ALL(responses)'!F$2:F$641)),3)
</f>
        <v>0</v>
      </c>
      <c r="G16" s="6">
        <f>ROUND(('ALL(responses)'!G17 - MIN('ALL(responses)'!G$3:G$322)) / (MAX('ALL(responses)'!G$3:G$322)-MIN('ALL(responses)'!G$3:G$322)),3)
</f>
        <v>0</v>
      </c>
      <c r="H16" s="6">
        <f>ROUND(('ALL(responses)'!H17 - MIN('ALL(responses)'!H$3:H$322)) / (MAX('ALL(responses)'!H$3:H$322)-MIN('ALL(responses)'!H$3:H$322)),3)
</f>
        <v>0.167</v>
      </c>
      <c r="I16" s="6">
        <f>ROUND(('ALL(responses)'!I17 - MIN('ALL(responses)'!I$3:I$322)) / (MAX('ALL(responses)'!I$3:I$322)-MIN('ALL(responses)'!I$3:I$322)),3)
</f>
        <v>0.286</v>
      </c>
      <c r="J16" s="6">
        <f>ROUND(('ALL(responses)'!J17 - MIN('ALL(responses)'!J$3:J$322)) / (MAX('ALL(responses)'!J$3:J$322)-MIN('ALL(responses)'!J$3:J$322)),3)
</f>
        <v>0</v>
      </c>
      <c r="K16" s="6">
        <f>ROUND(('ALL(responses)'!M17 - MIN('ALL(responses)'!M$3:M$322)) / (MAX('ALL(responses)'!M$3:M$322)-MIN('ALL(responses)'!M$3:M$322)),3)
</f>
        <v>0.434</v>
      </c>
      <c r="L16" s="6">
        <f>ROUND(('ALL(responses)'!P17 - MIN('ALL(responses)'!P$3:P$322)) / (MAX('ALL(responses)'!P$3:P$322)-MIN('ALL(responses)'!P$3:P$322)),3)
</f>
        <v>0</v>
      </c>
      <c r="M16" s="6">
        <f>ROUND(('ALL(responses)'!Q17 - MIN('ALL(responses)'!Q$3:Q$322)) / (MAX('ALL(responses)'!Q$3:Q$322)-MIN('ALL(responses)'!Q$3:Q$322)),3)
</f>
        <v>0.397</v>
      </c>
      <c r="N16" s="6">
        <f>ROUND(('ALL(responses)'!R17 - MIN('ALL(responses)'!R$3:R$322)) / (MAX('ALL(responses)'!R$3:R$322)-MIN('ALL(responses)'!R$3:R$322)),3)
</f>
        <v>0.954</v>
      </c>
      <c r="O16" s="6">
        <f>ROUND(('ALL(responses)'!S17 - MIN('ALL(responses)'!S$3:S$322)) / (MAX('ALL(responses)'!S$3:S$322)-MIN('ALL(responses)'!S$3:S$322)),3)
</f>
        <v>0.977</v>
      </c>
      <c r="P16" s="6">
        <f>ROUND(('ALL(responses)'!T17 - MIN('ALL(responses)'!T$3:T$322)) / (MAX('ALL(responses)'!T$3:T$322)-MIN('ALL(responses)'!T$3:T$322)),3)
</f>
        <v>0.564</v>
      </c>
      <c r="Q16" s="40">
        <f t="shared" si="1"/>
        <v>0.354</v>
      </c>
    </row>
    <row r="17">
      <c r="A17" s="5" t="s">
        <v>42</v>
      </c>
      <c r="B17" s="6" t="s">
        <v>21</v>
      </c>
      <c r="C17" s="7" t="s">
        <v>53</v>
      </c>
      <c r="D17" s="8" t="s">
        <v>54</v>
      </c>
      <c r="E17" s="9">
        <v>44635.0</v>
      </c>
      <c r="F17" s="6">
        <f>ROUND(('ALL(responses)'!F17 - MIN('ALL(responses)'!F$2:F$641)) / (MAX('ALL(responses)'!F$2:F$641)-MIN('ALL(responses)'!F$2:F$641)),3)
</f>
        <v>0</v>
      </c>
      <c r="G17" s="6">
        <f>ROUND(('ALL(responses)'!G18 - MIN('ALL(responses)'!G$3:G$322)) / (MAX('ALL(responses)'!G$3:G$322)-MIN('ALL(responses)'!G$3:G$322)),3)
</f>
        <v>0</v>
      </c>
      <c r="H17" s="6">
        <f>ROUND(('ALL(responses)'!H18 - MIN('ALL(responses)'!H$3:H$322)) / (MAX('ALL(responses)'!H$3:H$322)-MIN('ALL(responses)'!H$3:H$322)),3)
</f>
        <v>0.167</v>
      </c>
      <c r="I17" s="6">
        <f>ROUND(('ALL(responses)'!I18 - MIN('ALL(responses)'!I$3:I$322)) / (MAX('ALL(responses)'!I$3:I$322)-MIN('ALL(responses)'!I$3:I$322)),3)
</f>
        <v>0</v>
      </c>
      <c r="J17" s="6">
        <f>ROUND(('ALL(responses)'!J18 - MIN('ALL(responses)'!J$3:J$322)) / (MAX('ALL(responses)'!J$3:J$322)-MIN('ALL(responses)'!J$3:J$322)),3)
</f>
        <v>0</v>
      </c>
      <c r="K17" s="6">
        <f>ROUND(('ALL(responses)'!M18 - MIN('ALL(responses)'!M$3:M$322)) / (MAX('ALL(responses)'!M$3:M$322)-MIN('ALL(responses)'!M$3:M$322)),3)
</f>
        <v>0.449</v>
      </c>
      <c r="L17" s="6">
        <f>ROUND(('ALL(responses)'!P18 - MIN('ALL(responses)'!P$3:P$322)) / (MAX('ALL(responses)'!P$3:P$322)-MIN('ALL(responses)'!P$3:P$322)),3)
</f>
        <v>0.313</v>
      </c>
      <c r="M17" s="6">
        <f>ROUND(('ALL(responses)'!Q18 - MIN('ALL(responses)'!Q$3:Q$322)) / (MAX('ALL(responses)'!Q$3:Q$322)-MIN('ALL(responses)'!Q$3:Q$322)),3)
</f>
        <v>0.157</v>
      </c>
      <c r="N17" s="6">
        <f>ROUND(('ALL(responses)'!R18 - MIN('ALL(responses)'!R$3:R$322)) / (MAX('ALL(responses)'!R$3:R$322)-MIN('ALL(responses)'!R$3:R$322)),3)
</f>
        <v>0.879</v>
      </c>
      <c r="O17" s="6">
        <f>ROUND(('ALL(responses)'!S18 - MIN('ALL(responses)'!S$3:S$322)) / (MAX('ALL(responses)'!S$3:S$322)-MIN('ALL(responses)'!S$3:S$322)),3)
</f>
        <v>0.939</v>
      </c>
      <c r="P17" s="6">
        <f>ROUND(('ALL(responses)'!T18 - MIN('ALL(responses)'!T$3:T$322)) / (MAX('ALL(responses)'!T$3:T$322)-MIN('ALL(responses)'!T$3:T$322)),3)
</f>
        <v>0.661</v>
      </c>
      <c r="Q17" s="40">
        <f t="shared" si="1"/>
        <v>0.354</v>
      </c>
    </row>
    <row r="18">
      <c r="A18" s="5" t="s">
        <v>42</v>
      </c>
      <c r="B18" s="6" t="s">
        <v>21</v>
      </c>
      <c r="C18" s="7" t="s">
        <v>55</v>
      </c>
      <c r="D18" s="8" t="s">
        <v>56</v>
      </c>
      <c r="E18" s="9">
        <v>44635.0</v>
      </c>
      <c r="F18" s="6">
        <f>ROUND(('ALL(responses)'!F18 - MIN('ALL(responses)'!F$2:F$641)) / (MAX('ALL(responses)'!F$2:F$641)-MIN('ALL(responses)'!F$2:F$641)),3)
</f>
        <v>0</v>
      </c>
      <c r="G18" s="6">
        <f>ROUND(('ALL(responses)'!G19 - MIN('ALL(responses)'!G$3:G$322)) / (MAX('ALL(responses)'!G$3:G$322)-MIN('ALL(responses)'!G$3:G$322)),3)
</f>
        <v>0</v>
      </c>
      <c r="H18" s="6">
        <f>ROUND(('ALL(responses)'!H19 - MIN('ALL(responses)'!H$3:H$322)) / (MAX('ALL(responses)'!H$3:H$322)-MIN('ALL(responses)'!H$3:H$322)),3)
</f>
        <v>0.167</v>
      </c>
      <c r="I18" s="6">
        <f>ROUND(('ALL(responses)'!I19 - MIN('ALL(responses)'!I$3:I$322)) / (MAX('ALL(responses)'!I$3:I$322)-MIN('ALL(responses)'!I$3:I$322)),3)
</f>
        <v>0.286</v>
      </c>
      <c r="J18" s="6">
        <f>ROUND(('ALL(responses)'!J19 - MIN('ALL(responses)'!J$3:J$322)) / (MAX('ALL(responses)'!J$3:J$322)-MIN('ALL(responses)'!J$3:J$322)),3)
</f>
        <v>0</v>
      </c>
      <c r="K18" s="6">
        <f>ROUND(('ALL(responses)'!M19 - MIN('ALL(responses)'!M$3:M$322)) / (MAX('ALL(responses)'!M$3:M$322)-MIN('ALL(responses)'!M$3:M$322)),3)
</f>
        <v>0.346</v>
      </c>
      <c r="L18" s="6">
        <f>ROUND(('ALL(responses)'!P19 - MIN('ALL(responses)'!P$3:P$322)) / (MAX('ALL(responses)'!P$3:P$322)-MIN('ALL(responses)'!P$3:P$322)),3)
</f>
        <v>0.304</v>
      </c>
      <c r="M18" s="6">
        <f>ROUND(('ALL(responses)'!Q19 - MIN('ALL(responses)'!Q$3:Q$322)) / (MAX('ALL(responses)'!Q$3:Q$322)-MIN('ALL(responses)'!Q$3:Q$322)),3)
</f>
        <v>0.159</v>
      </c>
      <c r="N18" s="6">
        <f>ROUND(('ALL(responses)'!R19 - MIN('ALL(responses)'!R$3:R$322)) / (MAX('ALL(responses)'!R$3:R$322)-MIN('ALL(responses)'!R$3:R$322)),3)
</f>
        <v>0.987</v>
      </c>
      <c r="O18" s="6">
        <f>ROUND(('ALL(responses)'!S19 - MIN('ALL(responses)'!S$3:S$322)) / (MAX('ALL(responses)'!S$3:S$322)-MIN('ALL(responses)'!S$3:S$322)),3)
</f>
        <v>0.994</v>
      </c>
      <c r="P18" s="6">
        <f>ROUND(('ALL(responses)'!T19 - MIN('ALL(responses)'!T$3:T$322)) / (MAX('ALL(responses)'!T$3:T$322)-MIN('ALL(responses)'!T$3:T$322)),3)
</f>
        <v>0.453</v>
      </c>
      <c r="Q18" s="40">
        <f t="shared" si="1"/>
        <v>0.354</v>
      </c>
    </row>
    <row r="19">
      <c r="A19" s="5" t="s">
        <v>42</v>
      </c>
      <c r="B19" s="6" t="s">
        <v>21</v>
      </c>
      <c r="C19" s="7" t="s">
        <v>57</v>
      </c>
      <c r="D19" s="8" t="s">
        <v>58</v>
      </c>
      <c r="E19" s="9">
        <v>44635.0</v>
      </c>
      <c r="F19" s="6">
        <f>ROUND(('ALL(responses)'!F19 - MIN('ALL(responses)'!F$2:F$641)) / (MAX('ALL(responses)'!F$2:F$641)-MIN('ALL(responses)'!F$2:F$641)),3)
</f>
        <v>0</v>
      </c>
      <c r="G19" s="6">
        <f>ROUND(('ALL(responses)'!G20 - MIN('ALL(responses)'!G$3:G$322)) / (MAX('ALL(responses)'!G$3:G$322)-MIN('ALL(responses)'!G$3:G$322)),3)
</f>
        <v>0.429</v>
      </c>
      <c r="H19" s="6">
        <f>ROUND(('ALL(responses)'!H20 - MIN('ALL(responses)'!H$3:H$322)) / (MAX('ALL(responses)'!H$3:H$322)-MIN('ALL(responses)'!H$3:H$322)),3)
</f>
        <v>0.167</v>
      </c>
      <c r="I19" s="6">
        <f>ROUND(('ALL(responses)'!I20 - MIN('ALL(responses)'!I$3:I$322)) / (MAX('ALL(responses)'!I$3:I$322)-MIN('ALL(responses)'!I$3:I$322)),3)
</f>
        <v>0</v>
      </c>
      <c r="J19" s="6">
        <f>ROUND(('ALL(responses)'!J20 - MIN('ALL(responses)'!J$3:J$322)) / (MAX('ALL(responses)'!J$3:J$322)-MIN('ALL(responses)'!J$3:J$322)),3)
</f>
        <v>0</v>
      </c>
      <c r="K19" s="6">
        <f>ROUND(('ALL(responses)'!M20 - MIN('ALL(responses)'!M$3:M$322)) / (MAX('ALL(responses)'!M$3:M$322)-MIN('ALL(responses)'!M$3:M$322)),3)
</f>
        <v>0.453</v>
      </c>
      <c r="L19" s="6">
        <f>ROUND(('ALL(responses)'!P20 - MIN('ALL(responses)'!P$3:P$322)) / (MAX('ALL(responses)'!P$3:P$322)-MIN('ALL(responses)'!P$3:P$322)),3)
</f>
        <v>0.167</v>
      </c>
      <c r="M19" s="6">
        <f>ROUND(('ALL(responses)'!Q20 - MIN('ALL(responses)'!Q$3:Q$322)) / (MAX('ALL(responses)'!Q$3:Q$322)-MIN('ALL(responses)'!Q$3:Q$322)),3)
</f>
        <v>0.397</v>
      </c>
      <c r="N19" s="6">
        <f>ROUND(('ALL(responses)'!R20 - MIN('ALL(responses)'!R$3:R$322)) / (MAX('ALL(responses)'!R$3:R$322)-MIN('ALL(responses)'!R$3:R$322)),3)
</f>
        <v>0.873</v>
      </c>
      <c r="O19" s="6">
        <f>ROUND(('ALL(responses)'!S20 - MIN('ALL(responses)'!S$3:S$322)) / (MAX('ALL(responses)'!S$3:S$322)-MIN('ALL(responses)'!S$3:S$322)),3)
</f>
        <v>0.936</v>
      </c>
      <c r="P19" s="6">
        <f>ROUND(('ALL(responses)'!T20 - MIN('ALL(responses)'!T$3:T$322)) / (MAX('ALL(responses)'!T$3:T$322)-MIN('ALL(responses)'!T$3:T$322)),3)
</f>
        <v>0.407</v>
      </c>
      <c r="Q19" s="40">
        <f t="shared" si="1"/>
        <v>0.354</v>
      </c>
    </row>
    <row r="20">
      <c r="A20" s="5" t="s">
        <v>42</v>
      </c>
      <c r="B20" s="6" t="s">
        <v>21</v>
      </c>
      <c r="C20" s="7" t="s">
        <v>59</v>
      </c>
      <c r="D20" s="8" t="s">
        <v>60</v>
      </c>
      <c r="E20" s="9">
        <v>44635.0</v>
      </c>
      <c r="F20" s="6">
        <f>ROUND(('ALL(responses)'!F20 - MIN('ALL(responses)'!F$2:F$641)) / (MAX('ALL(responses)'!F$2:F$641)-MIN('ALL(responses)'!F$2:F$641)),3)
</f>
        <v>0</v>
      </c>
      <c r="G20" s="6">
        <f>ROUND(('ALL(responses)'!G21 - MIN('ALL(responses)'!G$3:G$322)) / (MAX('ALL(responses)'!G$3:G$322)-MIN('ALL(responses)'!G$3:G$322)),3)
</f>
        <v>0</v>
      </c>
      <c r="H20" s="6">
        <f>ROUND(('ALL(responses)'!H21 - MIN('ALL(responses)'!H$3:H$322)) / (MAX('ALL(responses)'!H$3:H$322)-MIN('ALL(responses)'!H$3:H$322)),3)
</f>
        <v>0.167</v>
      </c>
      <c r="I20" s="6">
        <f>ROUND(('ALL(responses)'!I21 - MIN('ALL(responses)'!I$3:I$322)) / (MAX('ALL(responses)'!I$3:I$322)-MIN('ALL(responses)'!I$3:I$322)),3)
</f>
        <v>0.286</v>
      </c>
      <c r="J20" s="6">
        <f>ROUND(('ALL(responses)'!J21 - MIN('ALL(responses)'!J$3:J$322)) / (MAX('ALL(responses)'!J$3:J$322)-MIN('ALL(responses)'!J$3:J$322)),3)
</f>
        <v>0</v>
      </c>
      <c r="K20" s="6">
        <f>ROUND(('ALL(responses)'!M21 - MIN('ALL(responses)'!M$3:M$322)) / (MAX('ALL(responses)'!M$3:M$322)-MIN('ALL(responses)'!M$3:M$322)),3)
</f>
        <v>0.645</v>
      </c>
      <c r="L20" s="6">
        <f>ROUND(('ALL(responses)'!P21 - MIN('ALL(responses)'!P$3:P$322)) / (MAX('ALL(responses)'!P$3:P$322)-MIN('ALL(responses)'!P$3:P$322)),3)
</f>
        <v>0.201</v>
      </c>
      <c r="M20" s="6">
        <f>ROUND(('ALL(responses)'!Q21 - MIN('ALL(responses)'!Q$3:Q$322)) / (MAX('ALL(responses)'!Q$3:Q$322)-MIN('ALL(responses)'!Q$3:Q$322)),3)
</f>
        <v>0.417</v>
      </c>
      <c r="N20" s="6">
        <f>ROUND(('ALL(responses)'!R21 - MIN('ALL(responses)'!R$3:R$322)) / (MAX('ALL(responses)'!R$3:R$322)-MIN('ALL(responses)'!R$3:R$322)),3)
</f>
        <v>0.961</v>
      </c>
      <c r="O20" s="6">
        <f>ROUND(('ALL(responses)'!S21 - MIN('ALL(responses)'!S$3:S$322)) / (MAX('ALL(responses)'!S$3:S$322)-MIN('ALL(responses)'!S$3:S$322)),3)
</f>
        <v>0.98</v>
      </c>
      <c r="P20" s="6">
        <f>ROUND(('ALL(responses)'!T21 - MIN('ALL(responses)'!T$3:T$322)) / (MAX('ALL(responses)'!T$3:T$322)-MIN('ALL(responses)'!T$3:T$322)),3)
</f>
        <v>0.295</v>
      </c>
      <c r="Q20" s="40">
        <f t="shared" si="1"/>
        <v>0.354</v>
      </c>
    </row>
    <row r="21">
      <c r="A21" s="5" t="s">
        <v>42</v>
      </c>
      <c r="B21" s="6" t="s">
        <v>21</v>
      </c>
      <c r="C21" s="7" t="s">
        <v>61</v>
      </c>
      <c r="D21" s="8" t="s">
        <v>62</v>
      </c>
      <c r="E21" s="9">
        <v>44635.0</v>
      </c>
      <c r="F21" s="6">
        <f>ROUND(('ALL(responses)'!F21 - MIN('ALL(responses)'!F$2:F$641)) / (MAX('ALL(responses)'!F$2:F$641)-MIN('ALL(responses)'!F$2:F$641)),3)
</f>
        <v>0</v>
      </c>
      <c r="G21" s="6">
        <f>ROUND(('ALL(responses)'!G22 - MIN('ALL(responses)'!G$3:G$322)) / (MAX('ALL(responses)'!G$3:G$322)-MIN('ALL(responses)'!G$3:G$322)),3)
</f>
        <v>0</v>
      </c>
      <c r="H21" s="6">
        <f>ROUND(('ALL(responses)'!H22 - MIN('ALL(responses)'!H$3:H$322)) / (MAX('ALL(responses)'!H$3:H$322)-MIN('ALL(responses)'!H$3:H$322)),3)
</f>
        <v>0.167</v>
      </c>
      <c r="I21" s="6">
        <f>ROUND(('ALL(responses)'!I22 - MIN('ALL(responses)'!I$3:I$322)) / (MAX('ALL(responses)'!I$3:I$322)-MIN('ALL(responses)'!I$3:I$322)),3)
</f>
        <v>0</v>
      </c>
      <c r="J21" s="6">
        <f>ROUND(('ALL(responses)'!J22 - MIN('ALL(responses)'!J$3:J$322)) / (MAX('ALL(responses)'!J$3:J$322)-MIN('ALL(responses)'!J$3:J$322)),3)
</f>
        <v>0</v>
      </c>
      <c r="K21" s="6">
        <f>ROUND(('ALL(responses)'!M22 - MIN('ALL(responses)'!M$3:M$322)) / (MAX('ALL(responses)'!M$3:M$322)-MIN('ALL(responses)'!M$3:M$322)),3)
</f>
        <v>0.301</v>
      </c>
      <c r="L21" s="6">
        <f>ROUND(('ALL(responses)'!P22 - MIN('ALL(responses)'!P$3:P$322)) / (MAX('ALL(responses)'!P$3:P$322)-MIN('ALL(responses)'!P$3:P$322)),3)
</f>
        <v>0.648</v>
      </c>
      <c r="M21" s="6">
        <f>ROUND(('ALL(responses)'!Q22 - MIN('ALL(responses)'!Q$3:Q$322)) / (MAX('ALL(responses)'!Q$3:Q$322)-MIN('ALL(responses)'!Q$3:Q$322)),3)
</f>
        <v>0.457</v>
      </c>
      <c r="N21" s="6">
        <f>ROUND(('ALL(responses)'!R22 - MIN('ALL(responses)'!R$3:R$322)) / (MAX('ALL(responses)'!R$3:R$322)-MIN('ALL(responses)'!R$3:R$322)),3)
</f>
        <v>0.744</v>
      </c>
      <c r="O21" s="6">
        <f>ROUND(('ALL(responses)'!S22 - MIN('ALL(responses)'!S$3:S$322)) / (MAX('ALL(responses)'!S$3:S$322)-MIN('ALL(responses)'!S$3:S$322)),3)
</f>
        <v>0.128</v>
      </c>
      <c r="P21" s="6">
        <f>ROUND(('ALL(responses)'!T22 - MIN('ALL(responses)'!T$3:T$322)) / (MAX('ALL(responses)'!T$3:T$322)-MIN('ALL(responses)'!T$3:T$322)),3)
</f>
        <v>0.496</v>
      </c>
      <c r="Q21" s="40">
        <f t="shared" si="1"/>
        <v>0.354</v>
      </c>
    </row>
    <row r="22">
      <c r="A22" s="5" t="s">
        <v>63</v>
      </c>
      <c r="B22" s="6" t="s">
        <v>21</v>
      </c>
      <c r="C22" s="7" t="s">
        <v>64</v>
      </c>
      <c r="D22" s="8" t="s">
        <v>65</v>
      </c>
      <c r="E22" s="9">
        <v>44635.0</v>
      </c>
      <c r="F22" s="6">
        <f>ROUND(('ALL(responses)'!F22 - MIN('ALL(responses)'!F$2:F$641)) / (MAX('ALL(responses)'!F$2:F$641)-MIN('ALL(responses)'!F$2:F$641)),3)
</f>
        <v>0</v>
      </c>
      <c r="G22" s="6">
        <f>ROUND(('ALL(responses)'!G23 - MIN('ALL(responses)'!G$3:G$322)) / (MAX('ALL(responses)'!G$3:G$322)-MIN('ALL(responses)'!G$3:G$322)),3)
</f>
        <v>0</v>
      </c>
      <c r="H22" s="6">
        <f>ROUND(('ALL(responses)'!H23 - MIN('ALL(responses)'!H$3:H$322)) / (MAX('ALL(responses)'!H$3:H$322)-MIN('ALL(responses)'!H$3:H$322)),3)
</f>
        <v>0.167</v>
      </c>
      <c r="I22" s="6">
        <f>ROUND(('ALL(responses)'!I23 - MIN('ALL(responses)'!I$3:I$322)) / (MAX('ALL(responses)'!I$3:I$322)-MIN('ALL(responses)'!I$3:I$322)),3)
</f>
        <v>0</v>
      </c>
      <c r="J22" s="6">
        <f>ROUND(('ALL(responses)'!J23 - MIN('ALL(responses)'!J$3:J$322)) / (MAX('ALL(responses)'!J$3:J$322)-MIN('ALL(responses)'!J$3:J$322)),3)
</f>
        <v>0</v>
      </c>
      <c r="K22" s="6">
        <f>ROUND(('ALL(responses)'!M23 - MIN('ALL(responses)'!M$3:M$322)) / (MAX('ALL(responses)'!M$3:M$322)-MIN('ALL(responses)'!M$3:M$322)),3)
</f>
        <v>0.285</v>
      </c>
      <c r="L22" s="6">
        <f>ROUND(('ALL(responses)'!P23 - MIN('ALL(responses)'!P$3:P$322)) / (MAX('ALL(responses)'!P$3:P$322)-MIN('ALL(responses)'!P$3:P$322)),3)
</f>
        <v>0.671</v>
      </c>
      <c r="M22" s="6">
        <f>ROUND(('ALL(responses)'!Q23 - MIN('ALL(responses)'!Q$3:Q$322)) / (MAX('ALL(responses)'!Q$3:Q$322)-MIN('ALL(responses)'!Q$3:Q$322)),3)
</f>
        <v>0.232</v>
      </c>
      <c r="N22" s="6">
        <f>ROUND(('ALL(responses)'!R23 - MIN('ALL(responses)'!R$3:R$322)) / (MAX('ALL(responses)'!R$3:R$322)-MIN('ALL(responses)'!R$3:R$322)),3)
</f>
        <v>0.909</v>
      </c>
      <c r="O22" s="6">
        <f>ROUND(('ALL(responses)'!S23 - MIN('ALL(responses)'!S$3:S$322)) / (MAX('ALL(responses)'!S$3:S$322)-MIN('ALL(responses)'!S$3:S$322)),3)
</f>
        <v>0.045</v>
      </c>
      <c r="P22" s="6">
        <f>ROUND(('ALL(responses)'!T23 - MIN('ALL(responses)'!T$3:T$322)) / (MAX('ALL(responses)'!T$3:T$322)-MIN('ALL(responses)'!T$3:T$322)),3)
</f>
        <v>0.457</v>
      </c>
      <c r="Q22" s="40">
        <f t="shared" si="1"/>
        <v>0.354</v>
      </c>
    </row>
    <row r="23">
      <c r="A23" s="5" t="s">
        <v>63</v>
      </c>
      <c r="B23" s="6" t="s">
        <v>21</v>
      </c>
      <c r="C23" s="7" t="s">
        <v>66</v>
      </c>
      <c r="D23" s="8" t="s">
        <v>67</v>
      </c>
      <c r="E23" s="9">
        <v>44635.0</v>
      </c>
      <c r="F23" s="6">
        <f>ROUND(('ALL(responses)'!F23 - MIN('ALL(responses)'!F$2:F$641)) / (MAX('ALL(responses)'!F$2:F$641)-MIN('ALL(responses)'!F$2:F$641)),3)
</f>
        <v>0</v>
      </c>
      <c r="G23" s="6">
        <f>ROUND(('ALL(responses)'!G24 - MIN('ALL(responses)'!G$3:G$322)) / (MAX('ALL(responses)'!G$3:G$322)-MIN('ALL(responses)'!G$3:G$322)),3)
</f>
        <v>0</v>
      </c>
      <c r="H23" s="6">
        <f>ROUND(('ALL(responses)'!H24 - MIN('ALL(responses)'!H$3:H$322)) / (MAX('ALL(responses)'!H$3:H$322)-MIN('ALL(responses)'!H$3:H$322)),3)
</f>
        <v>0.167</v>
      </c>
      <c r="I23" s="6">
        <f>ROUND(('ALL(responses)'!I24 - MIN('ALL(responses)'!I$3:I$322)) / (MAX('ALL(responses)'!I$3:I$322)-MIN('ALL(responses)'!I$3:I$322)),3)
</f>
        <v>0</v>
      </c>
      <c r="J23" s="6">
        <f>ROUND(('ALL(responses)'!J24 - MIN('ALL(responses)'!J$3:J$322)) / (MAX('ALL(responses)'!J$3:J$322)-MIN('ALL(responses)'!J$3:J$322)),3)
</f>
        <v>0</v>
      </c>
      <c r="K23" s="6">
        <f>ROUND(('ALL(responses)'!M24 - MIN('ALL(responses)'!M$3:M$322)) / (MAX('ALL(responses)'!M$3:M$322)-MIN('ALL(responses)'!M$3:M$322)),3)
</f>
        <v>0.351</v>
      </c>
      <c r="L23" s="6">
        <f>ROUND(('ALL(responses)'!P24 - MIN('ALL(responses)'!P$3:P$322)) / (MAX('ALL(responses)'!P$3:P$322)-MIN('ALL(responses)'!P$3:P$322)),3)
</f>
        <v>0</v>
      </c>
      <c r="M23" s="6">
        <f>ROUND(('ALL(responses)'!Q24 - MIN('ALL(responses)'!Q$3:Q$322)) / (MAX('ALL(responses)'!Q$3:Q$322)-MIN('ALL(responses)'!Q$3:Q$322)),3)
</f>
        <v>0.375</v>
      </c>
      <c r="N23" s="6">
        <f>ROUND(('ALL(responses)'!R24 - MIN('ALL(responses)'!R$3:R$322)) / (MAX('ALL(responses)'!R$3:R$322)-MIN('ALL(responses)'!R$3:R$322)),3)
</f>
        <v>0.963</v>
      </c>
      <c r="O23" s="6">
        <f>ROUND(('ALL(responses)'!S24 - MIN('ALL(responses)'!S$3:S$322)) / (MAX('ALL(responses)'!S$3:S$322)-MIN('ALL(responses)'!S$3:S$322)),3)
</f>
        <v>0.981</v>
      </c>
      <c r="P23" s="6">
        <f>ROUND(('ALL(responses)'!T24 - MIN('ALL(responses)'!T$3:T$322)) / (MAX('ALL(responses)'!T$3:T$322)-MIN('ALL(responses)'!T$3:T$322)),3)
</f>
        <v>0.671</v>
      </c>
      <c r="Q23" s="40">
        <f t="shared" si="1"/>
        <v>0.354</v>
      </c>
    </row>
    <row r="24">
      <c r="A24" s="5" t="s">
        <v>63</v>
      </c>
      <c r="B24" s="6" t="s">
        <v>21</v>
      </c>
      <c r="C24" s="7" t="s">
        <v>68</v>
      </c>
      <c r="D24" s="8" t="s">
        <v>69</v>
      </c>
      <c r="E24" s="9">
        <v>44635.0</v>
      </c>
      <c r="F24" s="6">
        <f>ROUND(('ALL(responses)'!F24 - MIN('ALL(responses)'!F$2:F$641)) / (MAX('ALL(responses)'!F$2:F$641)-MIN('ALL(responses)'!F$2:F$641)),3)
</f>
        <v>0</v>
      </c>
      <c r="G24" s="6">
        <f>ROUND(('ALL(responses)'!G25 - MIN('ALL(responses)'!G$3:G$322)) / (MAX('ALL(responses)'!G$3:G$322)-MIN('ALL(responses)'!G$3:G$322)),3)
</f>
        <v>0</v>
      </c>
      <c r="H24" s="6">
        <f>ROUND(('ALL(responses)'!H25 - MIN('ALL(responses)'!H$3:H$322)) / (MAX('ALL(responses)'!H$3:H$322)-MIN('ALL(responses)'!H$3:H$322)),3)
</f>
        <v>0.167</v>
      </c>
      <c r="I24" s="6">
        <f>ROUND(('ALL(responses)'!I25 - MIN('ALL(responses)'!I$3:I$322)) / (MAX('ALL(responses)'!I$3:I$322)-MIN('ALL(responses)'!I$3:I$322)),3)
</f>
        <v>0.286</v>
      </c>
      <c r="J24" s="6">
        <f>ROUND(('ALL(responses)'!J25 - MIN('ALL(responses)'!J$3:J$322)) / (MAX('ALL(responses)'!J$3:J$322)-MIN('ALL(responses)'!J$3:J$322)),3)
</f>
        <v>0</v>
      </c>
      <c r="K24" s="6">
        <f>ROUND(('ALL(responses)'!M25 - MIN('ALL(responses)'!M$3:M$322)) / (MAX('ALL(responses)'!M$3:M$322)-MIN('ALL(responses)'!M$3:M$322)),3)
</f>
        <v>0.621</v>
      </c>
      <c r="L24" s="6">
        <f>ROUND(('ALL(responses)'!P25 - MIN('ALL(responses)'!P$3:P$322)) / (MAX('ALL(responses)'!P$3:P$322)-MIN('ALL(responses)'!P$3:P$322)),3)
</f>
        <v>0</v>
      </c>
      <c r="M24" s="6">
        <f>ROUND(('ALL(responses)'!Q25 - MIN('ALL(responses)'!Q$3:Q$322)) / (MAX('ALL(responses)'!Q$3:Q$322)-MIN('ALL(responses)'!Q$3:Q$322)),3)
</f>
        <v>0.4</v>
      </c>
      <c r="N24" s="6">
        <f>ROUND(('ALL(responses)'!R25 - MIN('ALL(responses)'!R$3:R$322)) / (MAX('ALL(responses)'!R$3:R$322)-MIN('ALL(responses)'!R$3:R$322)),3)
</f>
        <v>0.983</v>
      </c>
      <c r="O24" s="6">
        <f>ROUND(('ALL(responses)'!S25 - MIN('ALL(responses)'!S$3:S$322)) / (MAX('ALL(responses)'!S$3:S$322)-MIN('ALL(responses)'!S$3:S$322)),3)
</f>
        <v>0.991</v>
      </c>
      <c r="P24" s="6">
        <f>ROUND(('ALL(responses)'!T25 - MIN('ALL(responses)'!T$3:T$322)) / (MAX('ALL(responses)'!T$3:T$322)-MIN('ALL(responses)'!T$3:T$322)),3)
</f>
        <v>0.661</v>
      </c>
      <c r="Q24" s="40">
        <f t="shared" si="1"/>
        <v>0.354</v>
      </c>
    </row>
    <row r="25">
      <c r="A25" s="5" t="s">
        <v>63</v>
      </c>
      <c r="B25" s="6" t="s">
        <v>21</v>
      </c>
      <c r="C25" s="7" t="s">
        <v>70</v>
      </c>
      <c r="D25" s="8" t="s">
        <v>71</v>
      </c>
      <c r="E25" s="9">
        <v>44635.0</v>
      </c>
      <c r="F25" s="6">
        <f>ROUND(('ALL(responses)'!F25 - MIN('ALL(responses)'!F$2:F$641)) / (MAX('ALL(responses)'!F$2:F$641)-MIN('ALL(responses)'!F$2:F$641)),3)
</f>
        <v>0</v>
      </c>
      <c r="G25" s="6">
        <f>ROUND(('ALL(responses)'!G26 - MIN('ALL(responses)'!G$3:G$322)) / (MAX('ALL(responses)'!G$3:G$322)-MIN('ALL(responses)'!G$3:G$322)),3)
</f>
        <v>0</v>
      </c>
      <c r="H25" s="6">
        <f>ROUND(('ALL(responses)'!H26 - MIN('ALL(responses)'!H$3:H$322)) / (MAX('ALL(responses)'!H$3:H$322)-MIN('ALL(responses)'!H$3:H$322)),3)
</f>
        <v>0.167</v>
      </c>
      <c r="I25" s="6">
        <f>ROUND(('ALL(responses)'!I26 - MIN('ALL(responses)'!I$3:I$322)) / (MAX('ALL(responses)'!I$3:I$322)-MIN('ALL(responses)'!I$3:I$322)),3)
</f>
        <v>0</v>
      </c>
      <c r="J25" s="6">
        <f>ROUND(('ALL(responses)'!J26 - MIN('ALL(responses)'!J$3:J$322)) / (MAX('ALL(responses)'!J$3:J$322)-MIN('ALL(responses)'!J$3:J$322)),3)
</f>
        <v>0</v>
      </c>
      <c r="K25" s="6">
        <f>ROUND(('ALL(responses)'!M26 - MIN('ALL(responses)'!M$3:M$322)) / (MAX('ALL(responses)'!M$3:M$322)-MIN('ALL(responses)'!M$3:M$322)),3)
</f>
        <v>0.449</v>
      </c>
      <c r="L25" s="6">
        <f>ROUND(('ALL(responses)'!P26 - MIN('ALL(responses)'!P$3:P$322)) / (MAX('ALL(responses)'!P$3:P$322)-MIN('ALL(responses)'!P$3:P$322)),3)
</f>
        <v>0.398</v>
      </c>
      <c r="M25" s="6">
        <f>ROUND(('ALL(responses)'!Q26 - MIN('ALL(responses)'!Q$3:Q$322)) / (MAX('ALL(responses)'!Q$3:Q$322)-MIN('ALL(responses)'!Q$3:Q$322)),3)
</f>
        <v>0.424</v>
      </c>
      <c r="N25" s="6">
        <f>ROUND(('ALL(responses)'!R26 - MIN('ALL(responses)'!R$3:R$322)) / (MAX('ALL(responses)'!R$3:R$322)-MIN('ALL(responses)'!R$3:R$322)),3)
</f>
        <v>0.951</v>
      </c>
      <c r="O25" s="6">
        <f>ROUND(('ALL(responses)'!S26 - MIN('ALL(responses)'!S$3:S$322)) / (MAX('ALL(responses)'!S$3:S$322)-MIN('ALL(responses)'!S$3:S$322)),3)
</f>
        <v>0.975</v>
      </c>
      <c r="P25" s="6">
        <f>ROUND(('ALL(responses)'!T26 - MIN('ALL(responses)'!T$3:T$322)) / (MAX('ALL(responses)'!T$3:T$322)-MIN('ALL(responses)'!T$3:T$322)),3)
</f>
        <v>0.621</v>
      </c>
      <c r="Q25" s="40">
        <f t="shared" si="1"/>
        <v>0.354</v>
      </c>
    </row>
    <row r="26">
      <c r="A26" s="5" t="s">
        <v>63</v>
      </c>
      <c r="B26" s="6" t="s">
        <v>21</v>
      </c>
      <c r="C26" s="7" t="s">
        <v>72</v>
      </c>
      <c r="D26" s="8" t="s">
        <v>73</v>
      </c>
      <c r="E26" s="9">
        <v>44635.0</v>
      </c>
      <c r="F26" s="6">
        <f>ROUND(('ALL(responses)'!F26 - MIN('ALL(responses)'!F$2:F$641)) / (MAX('ALL(responses)'!F$2:F$641)-MIN('ALL(responses)'!F$2:F$641)),3)
</f>
        <v>0</v>
      </c>
      <c r="G26" s="6">
        <f>ROUND(('ALL(responses)'!G27 - MIN('ALL(responses)'!G$3:G$322)) / (MAX('ALL(responses)'!G$3:G$322)-MIN('ALL(responses)'!G$3:G$322)),3)
</f>
        <v>0.429</v>
      </c>
      <c r="H26" s="6">
        <f>ROUND(('ALL(responses)'!H27 - MIN('ALL(responses)'!H$3:H$322)) / (MAX('ALL(responses)'!H$3:H$322)-MIN('ALL(responses)'!H$3:H$322)),3)
</f>
        <v>0.167</v>
      </c>
      <c r="I26" s="6">
        <f>ROUND(('ALL(responses)'!I27 - MIN('ALL(responses)'!I$3:I$322)) / (MAX('ALL(responses)'!I$3:I$322)-MIN('ALL(responses)'!I$3:I$322)),3)
</f>
        <v>0</v>
      </c>
      <c r="J26" s="6">
        <f>ROUND(('ALL(responses)'!J27 - MIN('ALL(responses)'!J$3:J$322)) / (MAX('ALL(responses)'!J$3:J$322)-MIN('ALL(responses)'!J$3:J$322)),3)
</f>
        <v>1</v>
      </c>
      <c r="K26" s="6">
        <f>ROUND(('ALL(responses)'!M27 - MIN('ALL(responses)'!M$3:M$322)) / (MAX('ALL(responses)'!M$3:M$322)-MIN('ALL(responses)'!M$3:M$322)),3)
</f>
        <v>0.867</v>
      </c>
      <c r="L26" s="6">
        <f>ROUND(('ALL(responses)'!P27 - MIN('ALL(responses)'!P$3:P$322)) / (MAX('ALL(responses)'!P$3:P$322)-MIN('ALL(responses)'!P$3:P$322)),3)
</f>
        <v>0.458</v>
      </c>
      <c r="M26" s="6">
        <f>ROUND(('ALL(responses)'!Q27 - MIN('ALL(responses)'!Q$3:Q$322)) / (MAX('ALL(responses)'!Q$3:Q$322)-MIN('ALL(responses)'!Q$3:Q$322)),3)
</f>
        <v>0.356</v>
      </c>
      <c r="N26" s="6">
        <f>ROUND(('ALL(responses)'!R27 - MIN('ALL(responses)'!R$3:R$322)) / (MAX('ALL(responses)'!R$3:R$322)-MIN('ALL(responses)'!R$3:R$322)),3)
</f>
        <v>0.983</v>
      </c>
      <c r="O26" s="6">
        <f>ROUND(('ALL(responses)'!S27 - MIN('ALL(responses)'!S$3:S$322)) / (MAX('ALL(responses)'!S$3:S$322)-MIN('ALL(responses)'!S$3:S$322)),3)
</f>
        <v>0.992</v>
      </c>
      <c r="P26" s="6">
        <f>ROUND(('ALL(responses)'!T27 - MIN('ALL(responses)'!T$3:T$322)) / (MAX('ALL(responses)'!T$3:T$322)-MIN('ALL(responses)'!T$3:T$322)),3)
</f>
        <v>0.672</v>
      </c>
      <c r="Q26" s="40">
        <f t="shared" si="1"/>
        <v>0.354</v>
      </c>
    </row>
    <row r="27">
      <c r="A27" s="5" t="s">
        <v>63</v>
      </c>
      <c r="B27" s="6" t="s">
        <v>21</v>
      </c>
      <c r="C27" s="7" t="s">
        <v>74</v>
      </c>
      <c r="D27" s="8" t="s">
        <v>75</v>
      </c>
      <c r="E27" s="9">
        <v>44635.0</v>
      </c>
      <c r="F27" s="6">
        <f>ROUND(('ALL(responses)'!F27 - MIN('ALL(responses)'!F$2:F$641)) / (MAX('ALL(responses)'!F$2:F$641)-MIN('ALL(responses)'!F$2:F$641)),3)
</f>
        <v>0</v>
      </c>
      <c r="G27" s="6">
        <f>ROUND(('ALL(responses)'!G28 - MIN('ALL(responses)'!G$3:G$322)) / (MAX('ALL(responses)'!G$3:G$322)-MIN('ALL(responses)'!G$3:G$322)),3)
</f>
        <v>0</v>
      </c>
      <c r="H27" s="6">
        <f>ROUND(('ALL(responses)'!H28 - MIN('ALL(responses)'!H$3:H$322)) / (MAX('ALL(responses)'!H$3:H$322)-MIN('ALL(responses)'!H$3:H$322)),3)
</f>
        <v>0.167</v>
      </c>
      <c r="I27" s="6">
        <f>ROUND(('ALL(responses)'!I28 - MIN('ALL(responses)'!I$3:I$322)) / (MAX('ALL(responses)'!I$3:I$322)-MIN('ALL(responses)'!I$3:I$322)),3)
</f>
        <v>0.286</v>
      </c>
      <c r="J27" s="6">
        <f>ROUND(('ALL(responses)'!J28 - MIN('ALL(responses)'!J$3:J$322)) / (MAX('ALL(responses)'!J$3:J$322)-MIN('ALL(responses)'!J$3:J$322)),3)
</f>
        <v>0</v>
      </c>
      <c r="K27" s="6">
        <f>ROUND(('ALL(responses)'!M28 - MIN('ALL(responses)'!M$3:M$322)) / (MAX('ALL(responses)'!M$3:M$322)-MIN('ALL(responses)'!M$3:M$322)),3)
</f>
        <v>0.801</v>
      </c>
      <c r="L27" s="6">
        <f>ROUND(('ALL(responses)'!P28 - MIN('ALL(responses)'!P$3:P$322)) / (MAX('ALL(responses)'!P$3:P$322)-MIN('ALL(responses)'!P$3:P$322)),3)
</f>
        <v>0.273</v>
      </c>
      <c r="M27" s="6">
        <f>ROUND(('ALL(responses)'!Q28 - MIN('ALL(responses)'!Q$3:Q$322)) / (MAX('ALL(responses)'!Q$3:Q$322)-MIN('ALL(responses)'!Q$3:Q$322)),3)
</f>
        <v>0.141</v>
      </c>
      <c r="N27" s="6">
        <f>ROUND(('ALL(responses)'!R28 - MIN('ALL(responses)'!R$3:R$322)) / (MAX('ALL(responses)'!R$3:R$322)-MIN('ALL(responses)'!R$3:R$322)),3)
</f>
        <v>0.999</v>
      </c>
      <c r="O27" s="6">
        <f>ROUND(('ALL(responses)'!S28 - MIN('ALL(responses)'!S$3:S$322)) / (MAX('ALL(responses)'!S$3:S$322)-MIN('ALL(responses)'!S$3:S$322)),3)
</f>
        <v>0.999</v>
      </c>
      <c r="P27" s="6">
        <f>ROUND(('ALL(responses)'!T28 - MIN('ALL(responses)'!T$3:T$322)) / (MAX('ALL(responses)'!T$3:T$322)-MIN('ALL(responses)'!T$3:T$322)),3)
</f>
        <v>0.567</v>
      </c>
      <c r="Q27" s="40">
        <f t="shared" si="1"/>
        <v>0.354</v>
      </c>
    </row>
    <row r="28">
      <c r="A28" s="5" t="s">
        <v>63</v>
      </c>
      <c r="B28" s="6" t="s">
        <v>21</v>
      </c>
      <c r="C28" s="7" t="s">
        <v>76</v>
      </c>
      <c r="D28" s="8" t="s">
        <v>77</v>
      </c>
      <c r="E28" s="9">
        <v>44635.0</v>
      </c>
      <c r="F28" s="6">
        <f>ROUND(('ALL(responses)'!F28 - MIN('ALL(responses)'!F$2:F$641)) / (MAX('ALL(responses)'!F$2:F$641)-MIN('ALL(responses)'!F$2:F$641)),3)
</f>
        <v>0</v>
      </c>
      <c r="G28" s="6">
        <f>ROUND(('ALL(responses)'!G29 - MIN('ALL(responses)'!G$3:G$322)) / (MAX('ALL(responses)'!G$3:G$322)-MIN('ALL(responses)'!G$3:G$322)),3)
</f>
        <v>0</v>
      </c>
      <c r="H28" s="6">
        <f>ROUND(('ALL(responses)'!H29 - MIN('ALL(responses)'!H$3:H$322)) / (MAX('ALL(responses)'!H$3:H$322)-MIN('ALL(responses)'!H$3:H$322)),3)
</f>
        <v>0.167</v>
      </c>
      <c r="I28" s="6">
        <f>ROUND(('ALL(responses)'!I29 - MIN('ALL(responses)'!I$3:I$322)) / (MAX('ALL(responses)'!I$3:I$322)-MIN('ALL(responses)'!I$3:I$322)),3)
</f>
        <v>0.286</v>
      </c>
      <c r="J28" s="6">
        <f>ROUND(('ALL(responses)'!J29 - MIN('ALL(responses)'!J$3:J$322)) / (MAX('ALL(responses)'!J$3:J$322)-MIN('ALL(responses)'!J$3:J$322)),3)
</f>
        <v>0</v>
      </c>
      <c r="K28" s="6">
        <f>ROUND(('ALL(responses)'!M29 - MIN('ALL(responses)'!M$3:M$322)) / (MAX('ALL(responses)'!M$3:M$322)-MIN('ALL(responses)'!M$3:M$322)),3)
</f>
        <v>0.38</v>
      </c>
      <c r="L28" s="6">
        <f>ROUND(('ALL(responses)'!P29 - MIN('ALL(responses)'!P$3:P$322)) / (MAX('ALL(responses)'!P$3:P$322)-MIN('ALL(responses)'!P$3:P$322)),3)
</f>
        <v>0.382</v>
      </c>
      <c r="M28" s="6">
        <f>ROUND(('ALL(responses)'!Q29 - MIN('ALL(responses)'!Q$3:Q$322)) / (MAX('ALL(responses)'!Q$3:Q$322)-MIN('ALL(responses)'!Q$3:Q$322)),3)
</f>
        <v>0.116</v>
      </c>
      <c r="N28" s="6">
        <f>ROUND(('ALL(responses)'!R29 - MIN('ALL(responses)'!R$3:R$322)) / (MAX('ALL(responses)'!R$3:R$322)-MIN('ALL(responses)'!R$3:R$322)),3)
</f>
        <v>1</v>
      </c>
      <c r="O28" s="6">
        <f>ROUND(('ALL(responses)'!S29 - MIN('ALL(responses)'!S$3:S$322)) / (MAX('ALL(responses)'!S$3:S$322)-MIN('ALL(responses)'!S$3:S$322)),3)
</f>
        <v>1</v>
      </c>
      <c r="P28" s="6">
        <f>ROUND(('ALL(responses)'!T29 - MIN('ALL(responses)'!T$3:T$322)) / (MAX('ALL(responses)'!T$3:T$322)-MIN('ALL(responses)'!T$3:T$322)),3)
</f>
        <v>0.612</v>
      </c>
      <c r="Q28" s="40">
        <f t="shared" si="1"/>
        <v>0.354</v>
      </c>
    </row>
    <row r="29">
      <c r="A29" s="5" t="s">
        <v>63</v>
      </c>
      <c r="B29" s="6" t="s">
        <v>21</v>
      </c>
      <c r="C29" s="7" t="s">
        <v>78</v>
      </c>
      <c r="D29" s="8" t="s">
        <v>79</v>
      </c>
      <c r="E29" s="9">
        <v>44635.0</v>
      </c>
      <c r="F29" s="6">
        <f>ROUND(('ALL(responses)'!F29 - MIN('ALL(responses)'!F$2:F$641)) / (MAX('ALL(responses)'!F$2:F$641)-MIN('ALL(responses)'!F$2:F$641)),3)
</f>
        <v>0</v>
      </c>
      <c r="G29" s="6">
        <f>ROUND(('ALL(responses)'!G30 - MIN('ALL(responses)'!G$3:G$322)) / (MAX('ALL(responses)'!G$3:G$322)-MIN('ALL(responses)'!G$3:G$322)),3)
</f>
        <v>0</v>
      </c>
      <c r="H29" s="6">
        <f>ROUND(('ALL(responses)'!H30 - MIN('ALL(responses)'!H$3:H$322)) / (MAX('ALL(responses)'!H$3:H$322)-MIN('ALL(responses)'!H$3:H$322)),3)
</f>
        <v>0.167</v>
      </c>
      <c r="I29" s="6">
        <f>ROUND(('ALL(responses)'!I30 - MIN('ALL(responses)'!I$3:I$322)) / (MAX('ALL(responses)'!I$3:I$322)-MIN('ALL(responses)'!I$3:I$322)),3)
</f>
        <v>0.286</v>
      </c>
      <c r="J29" s="6">
        <f>ROUND(('ALL(responses)'!J30 - MIN('ALL(responses)'!J$3:J$322)) / (MAX('ALL(responses)'!J$3:J$322)-MIN('ALL(responses)'!J$3:J$322)),3)
</f>
        <v>0</v>
      </c>
      <c r="K29" s="6">
        <f>ROUND(('ALL(responses)'!M30 - MIN('ALL(responses)'!M$3:M$322)) / (MAX('ALL(responses)'!M$3:M$322)-MIN('ALL(responses)'!M$3:M$322)),3)
</f>
        <v>0.317</v>
      </c>
      <c r="L29" s="6">
        <f>ROUND(('ALL(responses)'!P30 - MIN('ALL(responses)'!P$3:P$322)) / (MAX('ALL(responses)'!P$3:P$322)-MIN('ALL(responses)'!P$3:P$322)),3)
</f>
        <v>0.386</v>
      </c>
      <c r="M29" s="6">
        <f>ROUND(('ALL(responses)'!Q30 - MIN('ALL(responses)'!Q$3:Q$322)) / (MAX('ALL(responses)'!Q$3:Q$322)-MIN('ALL(responses)'!Q$3:Q$322)),3)
</f>
        <v>0.454</v>
      </c>
      <c r="N29" s="6">
        <f>ROUND(('ALL(responses)'!R30 - MIN('ALL(responses)'!R$3:R$322)) / (MAX('ALL(responses)'!R$3:R$322)-MIN('ALL(responses)'!R$3:R$322)),3)
</f>
        <v>0.947</v>
      </c>
      <c r="O29" s="6">
        <f>ROUND(('ALL(responses)'!S30 - MIN('ALL(responses)'!S$3:S$322)) / (MAX('ALL(responses)'!S$3:S$322)-MIN('ALL(responses)'!S$3:S$322)),3)
</f>
        <v>0.973</v>
      </c>
      <c r="P29" s="6">
        <f>ROUND(('ALL(responses)'!T30 - MIN('ALL(responses)'!T$3:T$322)) / (MAX('ALL(responses)'!T$3:T$322)-MIN('ALL(responses)'!T$3:T$322)),3)
</f>
        <v>0.538</v>
      </c>
      <c r="Q29" s="40">
        <f t="shared" si="1"/>
        <v>0.354</v>
      </c>
    </row>
    <row r="30">
      <c r="A30" s="5" t="s">
        <v>63</v>
      </c>
      <c r="B30" s="6" t="s">
        <v>21</v>
      </c>
      <c r="C30" s="7" t="s">
        <v>80</v>
      </c>
      <c r="D30" s="8" t="s">
        <v>81</v>
      </c>
      <c r="E30" s="9">
        <v>44635.0</v>
      </c>
      <c r="F30" s="6">
        <f>ROUND(('ALL(responses)'!F30 - MIN('ALL(responses)'!F$2:F$641)) / (MAX('ALL(responses)'!F$2:F$641)-MIN('ALL(responses)'!F$2:F$641)),3)
</f>
        <v>0</v>
      </c>
      <c r="G30" s="6">
        <f>ROUND(('ALL(responses)'!G31 - MIN('ALL(responses)'!G$3:G$322)) / (MAX('ALL(responses)'!G$3:G$322)-MIN('ALL(responses)'!G$3:G$322)),3)
</f>
        <v>0</v>
      </c>
      <c r="H30" s="6">
        <f>ROUND(('ALL(responses)'!H31 - MIN('ALL(responses)'!H$3:H$322)) / (MAX('ALL(responses)'!H$3:H$322)-MIN('ALL(responses)'!H$3:H$322)),3)
</f>
        <v>0.167</v>
      </c>
      <c r="I30" s="6">
        <f>ROUND(('ALL(responses)'!I31 - MIN('ALL(responses)'!I$3:I$322)) / (MAX('ALL(responses)'!I$3:I$322)-MIN('ALL(responses)'!I$3:I$322)),3)
</f>
        <v>0.286</v>
      </c>
      <c r="J30" s="6">
        <f>ROUND(('ALL(responses)'!J31 - MIN('ALL(responses)'!J$3:J$322)) / (MAX('ALL(responses)'!J$3:J$322)-MIN('ALL(responses)'!J$3:J$322)),3)
</f>
        <v>0</v>
      </c>
      <c r="K30" s="6">
        <f>ROUND(('ALL(responses)'!M31 - MIN('ALL(responses)'!M$3:M$322)) / (MAX('ALL(responses)'!M$3:M$322)-MIN('ALL(responses)'!M$3:M$322)),3)
</f>
        <v>0.41</v>
      </c>
      <c r="L30" s="6">
        <f>ROUND(('ALL(responses)'!P31 - MIN('ALL(responses)'!P$3:P$322)) / (MAX('ALL(responses)'!P$3:P$322)-MIN('ALL(responses)'!P$3:P$322)),3)
</f>
        <v>0.586</v>
      </c>
      <c r="M30" s="6">
        <f>ROUND(('ALL(responses)'!Q31 - MIN('ALL(responses)'!Q$3:Q$322)) / (MAX('ALL(responses)'!Q$3:Q$322)-MIN('ALL(responses)'!Q$3:Q$322)),3)
</f>
        <v>0.161</v>
      </c>
      <c r="N30" s="6">
        <f>ROUND(('ALL(responses)'!R31 - MIN('ALL(responses)'!R$3:R$322)) / (MAX('ALL(responses)'!R$3:R$322)-MIN('ALL(responses)'!R$3:R$322)),3)
</f>
        <v>0.99</v>
      </c>
      <c r="O30" s="6">
        <f>ROUND(('ALL(responses)'!S31 - MIN('ALL(responses)'!S$3:S$322)) / (MAX('ALL(responses)'!S$3:S$322)-MIN('ALL(responses)'!S$3:S$322)),3)
</f>
        <v>0.995</v>
      </c>
      <c r="P30" s="6">
        <f>ROUND(('ALL(responses)'!T31 - MIN('ALL(responses)'!T$3:T$322)) / (MAX('ALL(responses)'!T$3:T$322)-MIN('ALL(responses)'!T$3:T$322)),3)
</f>
        <v>0.516</v>
      </c>
      <c r="Q30" s="40">
        <f t="shared" si="1"/>
        <v>0.354</v>
      </c>
    </row>
    <row r="31">
      <c r="A31" s="5" t="s">
        <v>63</v>
      </c>
      <c r="B31" s="6" t="s">
        <v>21</v>
      </c>
      <c r="C31" s="7" t="s">
        <v>82</v>
      </c>
      <c r="D31" s="8" t="s">
        <v>83</v>
      </c>
      <c r="E31" s="9">
        <v>44635.0</v>
      </c>
      <c r="F31" s="6">
        <f>ROUND(('ALL(responses)'!F31 - MIN('ALL(responses)'!F$2:F$641)) / (MAX('ALL(responses)'!F$2:F$641)-MIN('ALL(responses)'!F$2:F$641)),3)
</f>
        <v>0</v>
      </c>
      <c r="G31" s="6">
        <f>ROUND(('ALL(responses)'!G32 - MIN('ALL(responses)'!G$3:G$322)) / (MAX('ALL(responses)'!G$3:G$322)-MIN('ALL(responses)'!G$3:G$322)),3)
</f>
        <v>0</v>
      </c>
      <c r="H31" s="6">
        <f>ROUND(('ALL(responses)'!H32 - MIN('ALL(responses)'!H$3:H$322)) / (MAX('ALL(responses)'!H$3:H$322)-MIN('ALL(responses)'!H$3:H$322)),3)
</f>
        <v>0.167</v>
      </c>
      <c r="I31" s="6">
        <f>ROUND(('ALL(responses)'!I32 - MIN('ALL(responses)'!I$3:I$322)) / (MAX('ALL(responses)'!I$3:I$322)-MIN('ALL(responses)'!I$3:I$322)),3)
</f>
        <v>0</v>
      </c>
      <c r="J31" s="6">
        <f>ROUND(('ALL(responses)'!J32 - MIN('ALL(responses)'!J$3:J$322)) / (MAX('ALL(responses)'!J$3:J$322)-MIN('ALL(responses)'!J$3:J$322)),3)
</f>
        <v>0</v>
      </c>
      <c r="K31" s="6">
        <f>ROUND(('ALL(responses)'!M32 - MIN('ALL(responses)'!M$3:M$322)) / (MAX('ALL(responses)'!M$3:M$322)-MIN('ALL(responses)'!M$3:M$322)),3)
</f>
        <v>0.628</v>
      </c>
      <c r="L31" s="6">
        <f>ROUND(('ALL(responses)'!P32 - MIN('ALL(responses)'!P$3:P$322)) / (MAX('ALL(responses)'!P$3:P$322)-MIN('ALL(responses)'!P$3:P$322)),3)
</f>
        <v>0.247</v>
      </c>
      <c r="M31" s="6">
        <f>ROUND(('ALL(responses)'!Q32 - MIN('ALL(responses)'!Q$3:Q$322)) / (MAX('ALL(responses)'!Q$3:Q$322)-MIN('ALL(responses)'!Q$3:Q$322)),3)
</f>
        <v>0.098</v>
      </c>
      <c r="N31" s="6">
        <f>ROUND(('ALL(responses)'!R32 - MIN('ALL(responses)'!R$3:R$322)) / (MAX('ALL(responses)'!R$3:R$322)-MIN('ALL(responses)'!R$3:R$322)),3)
</f>
        <v>0.997</v>
      </c>
      <c r="O31" s="6">
        <f>ROUND(('ALL(responses)'!S32 - MIN('ALL(responses)'!S$3:S$322)) / (MAX('ALL(responses)'!S$3:S$322)-MIN('ALL(responses)'!S$3:S$322)),3)
</f>
        <v>0.998</v>
      </c>
      <c r="P31" s="6">
        <f>ROUND(('ALL(responses)'!T32 - MIN('ALL(responses)'!T$3:T$322)) / (MAX('ALL(responses)'!T$3:T$322)-MIN('ALL(responses)'!T$3:T$322)),3)
</f>
        <v>0.636</v>
      </c>
      <c r="Q31" s="40">
        <f t="shared" si="1"/>
        <v>0.354</v>
      </c>
    </row>
    <row r="32">
      <c r="A32" s="5" t="s">
        <v>84</v>
      </c>
      <c r="B32" s="6" t="s">
        <v>21</v>
      </c>
      <c r="C32" s="7" t="s">
        <v>85</v>
      </c>
      <c r="D32" s="8" t="s">
        <v>86</v>
      </c>
      <c r="E32" s="9">
        <v>44635.0</v>
      </c>
      <c r="F32" s="6">
        <f>ROUND(('ALL(responses)'!F32 - MIN('ALL(responses)'!F$2:F$641)) / (MAX('ALL(responses)'!F$2:F$641)-MIN('ALL(responses)'!F$2:F$641)),3)
</f>
        <v>0</v>
      </c>
      <c r="G32" s="6">
        <f>ROUND(('ALL(responses)'!G33 - MIN('ALL(responses)'!G$3:G$322)) / (MAX('ALL(responses)'!G$3:G$322)-MIN('ALL(responses)'!G$3:G$322)),3)
</f>
        <v>0</v>
      </c>
      <c r="H32" s="6">
        <f>ROUND(('ALL(responses)'!H33 - MIN('ALL(responses)'!H$3:H$322)) / (MAX('ALL(responses)'!H$3:H$322)-MIN('ALL(responses)'!H$3:H$322)),3)
</f>
        <v>0.167</v>
      </c>
      <c r="I32" s="6">
        <f>ROUND(('ALL(responses)'!I33 - MIN('ALL(responses)'!I$3:I$322)) / (MAX('ALL(responses)'!I$3:I$322)-MIN('ALL(responses)'!I$3:I$322)),3)
</f>
        <v>0</v>
      </c>
      <c r="J32" s="6">
        <f>ROUND(('ALL(responses)'!J33 - MIN('ALL(responses)'!J$3:J$322)) / (MAX('ALL(responses)'!J$3:J$322)-MIN('ALL(responses)'!J$3:J$322)),3)
</f>
        <v>0</v>
      </c>
      <c r="K32" s="6">
        <f>ROUND(('ALL(responses)'!M33 - MIN('ALL(responses)'!M$3:M$322)) / (MAX('ALL(responses)'!M$3:M$322)-MIN('ALL(responses)'!M$3:M$322)),3)
</f>
        <v>0.489</v>
      </c>
      <c r="L32" s="6">
        <f>ROUND(('ALL(responses)'!P33 - MIN('ALL(responses)'!P$3:P$322)) / (MAX('ALL(responses)'!P$3:P$322)-MIN('ALL(responses)'!P$3:P$322)),3)
</f>
        <v>0.205</v>
      </c>
      <c r="M32" s="6">
        <f>ROUND(('ALL(responses)'!Q33 - MIN('ALL(responses)'!Q$3:Q$322)) / (MAX('ALL(responses)'!Q$3:Q$322)-MIN('ALL(responses)'!Q$3:Q$322)),3)
</f>
        <v>0.395</v>
      </c>
      <c r="N32" s="6">
        <f>ROUND(('ALL(responses)'!R33 - MIN('ALL(responses)'!R$3:R$322)) / (MAX('ALL(responses)'!R$3:R$322)-MIN('ALL(responses)'!R$3:R$322)),3)
</f>
        <v>0.877</v>
      </c>
      <c r="O32" s="6">
        <f>ROUND(('ALL(responses)'!S33 - MIN('ALL(responses)'!S$3:S$322)) / (MAX('ALL(responses)'!S$3:S$322)-MIN('ALL(responses)'!S$3:S$322)),3)
</f>
        <v>0.938</v>
      </c>
      <c r="P32" s="6">
        <f>ROUND(('ALL(responses)'!T33 - MIN('ALL(responses)'!T$3:T$322)) / (MAX('ALL(responses)'!T$3:T$322)-MIN('ALL(responses)'!T$3:T$322)),3)
</f>
        <v>0.415</v>
      </c>
      <c r="Q32" s="40">
        <f t="shared" si="1"/>
        <v>0.354</v>
      </c>
    </row>
    <row r="33">
      <c r="A33" s="5" t="s">
        <v>84</v>
      </c>
      <c r="B33" s="6" t="s">
        <v>21</v>
      </c>
      <c r="C33" s="7" t="s">
        <v>87</v>
      </c>
      <c r="D33" s="8" t="s">
        <v>88</v>
      </c>
      <c r="E33" s="9">
        <v>44635.0</v>
      </c>
      <c r="F33" s="6">
        <f>ROUND(('ALL(responses)'!F33 - MIN('ALL(responses)'!F$2:F$641)) / (MAX('ALL(responses)'!F$2:F$641)-MIN('ALL(responses)'!F$2:F$641)),3)
</f>
        <v>0</v>
      </c>
      <c r="G33" s="6">
        <f>ROUND(('ALL(responses)'!G34 - MIN('ALL(responses)'!G$3:G$322)) / (MAX('ALL(responses)'!G$3:G$322)-MIN('ALL(responses)'!G$3:G$322)),3)
</f>
        <v>0</v>
      </c>
      <c r="H33" s="6">
        <f>ROUND(('ALL(responses)'!H34 - MIN('ALL(responses)'!H$3:H$322)) / (MAX('ALL(responses)'!H$3:H$322)-MIN('ALL(responses)'!H$3:H$322)),3)
</f>
        <v>0.167</v>
      </c>
      <c r="I33" s="6">
        <f>ROUND(('ALL(responses)'!I34 - MIN('ALL(responses)'!I$3:I$322)) / (MAX('ALL(responses)'!I$3:I$322)-MIN('ALL(responses)'!I$3:I$322)),3)
</f>
        <v>0.286</v>
      </c>
      <c r="J33" s="6">
        <f>ROUND(('ALL(responses)'!J34 - MIN('ALL(responses)'!J$3:J$322)) / (MAX('ALL(responses)'!J$3:J$322)-MIN('ALL(responses)'!J$3:J$322)),3)
</f>
        <v>0</v>
      </c>
      <c r="K33" s="6">
        <f>ROUND(('ALL(responses)'!M34 - MIN('ALL(responses)'!M$3:M$322)) / (MAX('ALL(responses)'!M$3:M$322)-MIN('ALL(responses)'!M$3:M$322)),3)
</f>
        <v>0.419</v>
      </c>
      <c r="L33" s="6">
        <f>ROUND(('ALL(responses)'!P34 - MIN('ALL(responses)'!P$3:P$322)) / (MAX('ALL(responses)'!P$3:P$322)-MIN('ALL(responses)'!P$3:P$322)),3)
</f>
        <v>0.168</v>
      </c>
      <c r="M33" s="6">
        <f>ROUND(('ALL(responses)'!Q34 - MIN('ALL(responses)'!Q$3:Q$322)) / (MAX('ALL(responses)'!Q$3:Q$322)-MIN('ALL(responses)'!Q$3:Q$322)),3)
</f>
        <v>0.154</v>
      </c>
      <c r="N33" s="6">
        <f>ROUND(('ALL(responses)'!R34 - MIN('ALL(responses)'!R$3:R$322)) / (MAX('ALL(responses)'!R$3:R$322)-MIN('ALL(responses)'!R$3:R$322)),3)
</f>
        <v>0.947</v>
      </c>
      <c r="O33" s="6">
        <f>ROUND(('ALL(responses)'!S34 - MIN('ALL(responses)'!S$3:S$322)) / (MAX('ALL(responses)'!S$3:S$322)-MIN('ALL(responses)'!S$3:S$322)),3)
</f>
        <v>0.973</v>
      </c>
      <c r="P33" s="6">
        <f>ROUND(('ALL(responses)'!T34 - MIN('ALL(responses)'!T$3:T$322)) / (MAX('ALL(responses)'!T$3:T$322)-MIN('ALL(responses)'!T$3:T$322)),3)
</f>
        <v>0.6</v>
      </c>
      <c r="Q33" s="40">
        <f t="shared" si="1"/>
        <v>0.354</v>
      </c>
    </row>
    <row r="34">
      <c r="A34" s="5" t="s">
        <v>84</v>
      </c>
      <c r="B34" s="6" t="s">
        <v>21</v>
      </c>
      <c r="C34" s="7" t="s">
        <v>89</v>
      </c>
      <c r="D34" s="8" t="s">
        <v>90</v>
      </c>
      <c r="E34" s="9">
        <v>44635.0</v>
      </c>
      <c r="F34" s="6">
        <f>ROUND(('ALL(responses)'!F34 - MIN('ALL(responses)'!F$2:F$641)) / (MAX('ALL(responses)'!F$2:F$641)-MIN('ALL(responses)'!F$2:F$641)),3)
</f>
        <v>0</v>
      </c>
      <c r="G34" s="6">
        <f>ROUND(('ALL(responses)'!G35 - MIN('ALL(responses)'!G$3:G$322)) / (MAX('ALL(responses)'!G$3:G$322)-MIN('ALL(responses)'!G$3:G$322)),3)
</f>
        <v>0</v>
      </c>
      <c r="H34" s="6">
        <f>ROUND(('ALL(responses)'!H35 - MIN('ALL(responses)'!H$3:H$322)) / (MAX('ALL(responses)'!H$3:H$322)-MIN('ALL(responses)'!H$3:H$322)),3)
</f>
        <v>0.167</v>
      </c>
      <c r="I34" s="6">
        <f>ROUND(('ALL(responses)'!I35 - MIN('ALL(responses)'!I$3:I$322)) / (MAX('ALL(responses)'!I$3:I$322)-MIN('ALL(responses)'!I$3:I$322)),3)
</f>
        <v>0.286</v>
      </c>
      <c r="J34" s="6">
        <f>ROUND(('ALL(responses)'!J35 - MIN('ALL(responses)'!J$3:J$322)) / (MAX('ALL(responses)'!J$3:J$322)-MIN('ALL(responses)'!J$3:J$322)),3)
</f>
        <v>0</v>
      </c>
      <c r="K34" s="6">
        <f>ROUND(('ALL(responses)'!M35 - MIN('ALL(responses)'!M$3:M$322)) / (MAX('ALL(responses)'!M$3:M$322)-MIN('ALL(responses)'!M$3:M$322)),3)
</f>
        <v>0.66</v>
      </c>
      <c r="L34" s="6">
        <f>ROUND(('ALL(responses)'!P35 - MIN('ALL(responses)'!P$3:P$322)) / (MAX('ALL(responses)'!P$3:P$322)-MIN('ALL(responses)'!P$3:P$322)),3)
</f>
        <v>0.227</v>
      </c>
      <c r="M34" s="6">
        <f>ROUND(('ALL(responses)'!Q35 - MIN('ALL(responses)'!Q$3:Q$322)) / (MAX('ALL(responses)'!Q$3:Q$322)-MIN('ALL(responses)'!Q$3:Q$322)),3)
</f>
        <v>0.124</v>
      </c>
      <c r="N34" s="6">
        <f>ROUND(('ALL(responses)'!R35 - MIN('ALL(responses)'!R$3:R$322)) / (MAX('ALL(responses)'!R$3:R$322)-MIN('ALL(responses)'!R$3:R$322)),3)
</f>
        <v>0.998</v>
      </c>
      <c r="O34" s="6">
        <f>ROUND(('ALL(responses)'!S35 - MIN('ALL(responses)'!S$3:S$322)) / (MAX('ALL(responses)'!S$3:S$322)-MIN('ALL(responses)'!S$3:S$322)),3)
</f>
        <v>0.999</v>
      </c>
      <c r="P34" s="6">
        <f>ROUND(('ALL(responses)'!T35 - MIN('ALL(responses)'!T$3:T$322)) / (MAX('ALL(responses)'!T$3:T$322)-MIN('ALL(responses)'!T$3:T$322)),3)
</f>
        <v>0.565</v>
      </c>
      <c r="Q34" s="40">
        <f t="shared" si="1"/>
        <v>0.354</v>
      </c>
    </row>
    <row r="35">
      <c r="A35" s="5" t="s">
        <v>84</v>
      </c>
      <c r="B35" s="6" t="s">
        <v>21</v>
      </c>
      <c r="C35" s="7" t="s">
        <v>91</v>
      </c>
      <c r="D35" s="8" t="s">
        <v>92</v>
      </c>
      <c r="E35" s="9">
        <v>44635.0</v>
      </c>
      <c r="F35" s="6">
        <f>ROUND(('ALL(responses)'!F35 - MIN('ALL(responses)'!F$2:F$641)) / (MAX('ALL(responses)'!F$2:F$641)-MIN('ALL(responses)'!F$2:F$641)),3)
</f>
        <v>0</v>
      </c>
      <c r="G35" s="6">
        <f>ROUND(('ALL(responses)'!G36 - MIN('ALL(responses)'!G$3:G$322)) / (MAX('ALL(responses)'!G$3:G$322)-MIN('ALL(responses)'!G$3:G$322)),3)
</f>
        <v>0</v>
      </c>
      <c r="H35" s="6">
        <f>ROUND(('ALL(responses)'!H36 - MIN('ALL(responses)'!H$3:H$322)) / (MAX('ALL(responses)'!H$3:H$322)-MIN('ALL(responses)'!H$3:H$322)),3)
</f>
        <v>0.167</v>
      </c>
      <c r="I35" s="6">
        <f>ROUND(('ALL(responses)'!I36 - MIN('ALL(responses)'!I$3:I$322)) / (MAX('ALL(responses)'!I$3:I$322)-MIN('ALL(responses)'!I$3:I$322)),3)
</f>
        <v>0.286</v>
      </c>
      <c r="J35" s="6">
        <f>ROUND(('ALL(responses)'!J36 - MIN('ALL(responses)'!J$3:J$322)) / (MAX('ALL(responses)'!J$3:J$322)-MIN('ALL(responses)'!J$3:J$322)),3)
</f>
        <v>0</v>
      </c>
      <c r="K35" s="6">
        <f>ROUND(('ALL(responses)'!M36 - MIN('ALL(responses)'!M$3:M$322)) / (MAX('ALL(responses)'!M$3:M$322)-MIN('ALL(responses)'!M$3:M$322)),3)
</f>
        <v>0.351</v>
      </c>
      <c r="L35" s="6">
        <f>ROUND(('ALL(responses)'!P36 - MIN('ALL(responses)'!P$3:P$322)) / (MAX('ALL(responses)'!P$3:P$322)-MIN('ALL(responses)'!P$3:P$322)),3)
</f>
        <v>0.497</v>
      </c>
      <c r="M35" s="6">
        <f>ROUND(('ALL(responses)'!Q36 - MIN('ALL(responses)'!Q$3:Q$322)) / (MAX('ALL(responses)'!Q$3:Q$322)-MIN('ALL(responses)'!Q$3:Q$322)),3)
</f>
        <v>0.492</v>
      </c>
      <c r="N35" s="6">
        <f>ROUND(('ALL(responses)'!R36 - MIN('ALL(responses)'!R$3:R$322)) / (MAX('ALL(responses)'!R$3:R$322)-MIN('ALL(responses)'!R$3:R$322)),3)
</f>
        <v>0.996</v>
      </c>
      <c r="O35" s="6">
        <f>ROUND(('ALL(responses)'!S36 - MIN('ALL(responses)'!S$3:S$322)) / (MAX('ALL(responses)'!S$3:S$322)-MIN('ALL(responses)'!S$3:S$322)),3)
</f>
        <v>0.998</v>
      </c>
      <c r="P35" s="6">
        <f>ROUND(('ALL(responses)'!T36 - MIN('ALL(responses)'!T$3:T$322)) / (MAX('ALL(responses)'!T$3:T$322)-MIN('ALL(responses)'!T$3:T$322)),3)
</f>
        <v>0.575</v>
      </c>
      <c r="Q35" s="40">
        <f t="shared" si="1"/>
        <v>0.354</v>
      </c>
    </row>
    <row r="36">
      <c r="A36" s="5" t="s">
        <v>84</v>
      </c>
      <c r="B36" s="6" t="s">
        <v>21</v>
      </c>
      <c r="C36" s="7" t="s">
        <v>93</v>
      </c>
      <c r="D36" s="8" t="s">
        <v>94</v>
      </c>
      <c r="E36" s="9">
        <v>44635.0</v>
      </c>
      <c r="F36" s="6">
        <f>ROUND(('ALL(responses)'!F36 - MIN('ALL(responses)'!F$2:F$641)) / (MAX('ALL(responses)'!F$2:F$641)-MIN('ALL(responses)'!F$2:F$641)),3)
</f>
        <v>0</v>
      </c>
      <c r="G36" s="6">
        <f>ROUND(('ALL(responses)'!G37 - MIN('ALL(responses)'!G$3:G$322)) / (MAX('ALL(responses)'!G$3:G$322)-MIN('ALL(responses)'!G$3:G$322)),3)
</f>
        <v>0</v>
      </c>
      <c r="H36" s="6">
        <f>ROUND(('ALL(responses)'!H37 - MIN('ALL(responses)'!H$3:H$322)) / (MAX('ALL(responses)'!H$3:H$322)-MIN('ALL(responses)'!H$3:H$322)),3)
</f>
        <v>0.167</v>
      </c>
      <c r="I36" s="6">
        <f>ROUND(('ALL(responses)'!I37 - MIN('ALL(responses)'!I$3:I$322)) / (MAX('ALL(responses)'!I$3:I$322)-MIN('ALL(responses)'!I$3:I$322)),3)
</f>
        <v>0</v>
      </c>
      <c r="J36" s="6">
        <f>ROUND(('ALL(responses)'!J37 - MIN('ALL(responses)'!J$3:J$322)) / (MAX('ALL(responses)'!J$3:J$322)-MIN('ALL(responses)'!J$3:J$322)),3)
</f>
        <v>0</v>
      </c>
      <c r="K36" s="6">
        <f>ROUND(('ALL(responses)'!M37 - MIN('ALL(responses)'!M$3:M$322)) / (MAX('ALL(responses)'!M$3:M$322)-MIN('ALL(responses)'!M$3:M$322)),3)
</f>
        <v>0.206</v>
      </c>
      <c r="L36" s="6">
        <f>ROUND(('ALL(responses)'!P37 - MIN('ALL(responses)'!P$3:P$322)) / (MAX('ALL(responses)'!P$3:P$322)-MIN('ALL(responses)'!P$3:P$322)),3)
</f>
        <v>0.169</v>
      </c>
      <c r="M36" s="6">
        <f>ROUND(('ALL(responses)'!Q37 - MIN('ALL(responses)'!Q$3:Q$322)) / (MAX('ALL(responses)'!Q$3:Q$322)-MIN('ALL(responses)'!Q$3:Q$322)),3)
</f>
        <v>0.326</v>
      </c>
      <c r="N36" s="6">
        <f>ROUND(('ALL(responses)'!R37 - MIN('ALL(responses)'!R$3:R$322)) / (MAX('ALL(responses)'!R$3:R$322)-MIN('ALL(responses)'!R$3:R$322)),3)
</f>
        <v>0.813</v>
      </c>
      <c r="O36" s="6">
        <f>ROUND(('ALL(responses)'!S37 - MIN('ALL(responses)'!S$3:S$322)) / (MAX('ALL(responses)'!S$3:S$322)-MIN('ALL(responses)'!S$3:S$322)),3)
</f>
        <v>0.907</v>
      </c>
      <c r="P36" s="6">
        <f>ROUND(('ALL(responses)'!T37 - MIN('ALL(responses)'!T$3:T$322)) / (MAX('ALL(responses)'!T$3:T$322)-MIN('ALL(responses)'!T$3:T$322)),3)
</f>
        <v>0.638</v>
      </c>
      <c r="Q36" s="40">
        <f t="shared" si="1"/>
        <v>0.354</v>
      </c>
    </row>
    <row r="37">
      <c r="A37" s="5" t="s">
        <v>84</v>
      </c>
      <c r="B37" s="6" t="s">
        <v>21</v>
      </c>
      <c r="C37" s="7" t="s">
        <v>95</v>
      </c>
      <c r="D37" s="8" t="s">
        <v>96</v>
      </c>
      <c r="E37" s="9">
        <v>44635.0</v>
      </c>
      <c r="F37" s="6">
        <f>ROUND(('ALL(responses)'!F37 - MIN('ALL(responses)'!F$2:F$641)) / (MAX('ALL(responses)'!F$2:F$641)-MIN('ALL(responses)'!F$2:F$641)),3)
</f>
        <v>0</v>
      </c>
      <c r="G37" s="6">
        <f>ROUND(('ALL(responses)'!G38 - MIN('ALL(responses)'!G$3:G$322)) / (MAX('ALL(responses)'!G$3:G$322)-MIN('ALL(responses)'!G$3:G$322)),3)
</f>
        <v>0</v>
      </c>
      <c r="H37" s="6">
        <f>ROUND(('ALL(responses)'!H38 - MIN('ALL(responses)'!H$3:H$322)) / (MAX('ALL(responses)'!H$3:H$322)-MIN('ALL(responses)'!H$3:H$322)),3)
</f>
        <v>0.167</v>
      </c>
      <c r="I37" s="6">
        <f>ROUND(('ALL(responses)'!I38 - MIN('ALL(responses)'!I$3:I$322)) / (MAX('ALL(responses)'!I$3:I$322)-MIN('ALL(responses)'!I$3:I$322)),3)
</f>
        <v>0.286</v>
      </c>
      <c r="J37" s="6">
        <f>ROUND(('ALL(responses)'!J38 - MIN('ALL(responses)'!J$3:J$322)) / (MAX('ALL(responses)'!J$3:J$322)-MIN('ALL(responses)'!J$3:J$322)),3)
</f>
        <v>0</v>
      </c>
      <c r="K37" s="6">
        <f>ROUND(('ALL(responses)'!M38 - MIN('ALL(responses)'!M$3:M$322)) / (MAX('ALL(responses)'!M$3:M$322)-MIN('ALL(responses)'!M$3:M$322)),3)
</f>
        <v>0.918</v>
      </c>
      <c r="L37" s="6">
        <f>ROUND(('ALL(responses)'!P38 - MIN('ALL(responses)'!P$3:P$322)) / (MAX('ALL(responses)'!P$3:P$322)-MIN('ALL(responses)'!P$3:P$322)),3)
</f>
        <v>0.275</v>
      </c>
      <c r="M37" s="6">
        <f>ROUND(('ALL(responses)'!Q38 - MIN('ALL(responses)'!Q$3:Q$322)) / (MAX('ALL(responses)'!Q$3:Q$322)-MIN('ALL(responses)'!Q$3:Q$322)),3)
</f>
        <v>0.38</v>
      </c>
      <c r="N37" s="6">
        <f>ROUND(('ALL(responses)'!R38 - MIN('ALL(responses)'!R$3:R$322)) / (MAX('ALL(responses)'!R$3:R$322)-MIN('ALL(responses)'!R$3:R$322)),3)
</f>
        <v>0.966</v>
      </c>
      <c r="O37" s="6">
        <f>ROUND(('ALL(responses)'!S38 - MIN('ALL(responses)'!S$3:S$322)) / (MAX('ALL(responses)'!S$3:S$322)-MIN('ALL(responses)'!S$3:S$322)),3)
</f>
        <v>0.983</v>
      </c>
      <c r="P37" s="6">
        <f>ROUND(('ALL(responses)'!T38 - MIN('ALL(responses)'!T$3:T$322)) / (MAX('ALL(responses)'!T$3:T$322)-MIN('ALL(responses)'!T$3:T$322)),3)
</f>
        <v>0.644</v>
      </c>
      <c r="Q37" s="40">
        <f t="shared" si="1"/>
        <v>0.354</v>
      </c>
    </row>
    <row r="38">
      <c r="A38" s="5" t="s">
        <v>84</v>
      </c>
      <c r="B38" s="6" t="s">
        <v>21</v>
      </c>
      <c r="C38" s="7" t="s">
        <v>97</v>
      </c>
      <c r="D38" s="8" t="s">
        <v>98</v>
      </c>
      <c r="E38" s="9">
        <v>44635.0</v>
      </c>
      <c r="F38" s="6">
        <f>ROUND(('ALL(responses)'!F38 - MIN('ALL(responses)'!F$2:F$641)) / (MAX('ALL(responses)'!F$2:F$641)-MIN('ALL(responses)'!F$2:F$641)),3)
</f>
        <v>0</v>
      </c>
      <c r="G38" s="6">
        <f>ROUND(('ALL(responses)'!G39 - MIN('ALL(responses)'!G$3:G$322)) / (MAX('ALL(responses)'!G$3:G$322)-MIN('ALL(responses)'!G$3:G$322)),3)
</f>
        <v>0</v>
      </c>
      <c r="H38" s="6">
        <f>ROUND(('ALL(responses)'!H39 - MIN('ALL(responses)'!H$3:H$322)) / (MAX('ALL(responses)'!H$3:H$322)-MIN('ALL(responses)'!H$3:H$322)),3)
</f>
        <v>0.167</v>
      </c>
      <c r="I38" s="6">
        <f>ROUND(('ALL(responses)'!I39 - MIN('ALL(responses)'!I$3:I$322)) / (MAX('ALL(responses)'!I$3:I$322)-MIN('ALL(responses)'!I$3:I$322)),3)
</f>
        <v>0.286</v>
      </c>
      <c r="J38" s="6">
        <f>ROUND(('ALL(responses)'!J39 - MIN('ALL(responses)'!J$3:J$322)) / (MAX('ALL(responses)'!J$3:J$322)-MIN('ALL(responses)'!J$3:J$322)),3)
</f>
        <v>0</v>
      </c>
      <c r="K38" s="6">
        <f>ROUND(('ALL(responses)'!M39 - MIN('ALL(responses)'!M$3:M$322)) / (MAX('ALL(responses)'!M$3:M$322)-MIN('ALL(responses)'!M$3:M$322)),3)
</f>
        <v>0.42</v>
      </c>
      <c r="L38" s="6">
        <f>ROUND(('ALL(responses)'!P39 - MIN('ALL(responses)'!P$3:P$322)) / (MAX('ALL(responses)'!P$3:P$322)-MIN('ALL(responses)'!P$3:P$322)),3)
</f>
        <v>0.488</v>
      </c>
      <c r="M38" s="6">
        <f>ROUND(('ALL(responses)'!Q39 - MIN('ALL(responses)'!Q$3:Q$322)) / (MAX('ALL(responses)'!Q$3:Q$322)-MIN('ALL(responses)'!Q$3:Q$322)),3)
</f>
        <v>0.119</v>
      </c>
      <c r="N38" s="6">
        <f>ROUND(('ALL(responses)'!R39 - MIN('ALL(responses)'!R$3:R$322)) / (MAX('ALL(responses)'!R$3:R$322)-MIN('ALL(responses)'!R$3:R$322)),3)
</f>
        <v>0.999</v>
      </c>
      <c r="O38" s="6">
        <f>ROUND(('ALL(responses)'!S39 - MIN('ALL(responses)'!S$3:S$322)) / (MAX('ALL(responses)'!S$3:S$322)-MIN('ALL(responses)'!S$3:S$322)),3)
</f>
        <v>1</v>
      </c>
      <c r="P38" s="6">
        <f>ROUND(('ALL(responses)'!T39 - MIN('ALL(responses)'!T$3:T$322)) / (MAX('ALL(responses)'!T$3:T$322)-MIN('ALL(responses)'!T$3:T$322)),3)
</f>
        <v>0.688</v>
      </c>
      <c r="Q38" s="40">
        <f t="shared" si="1"/>
        <v>0.354</v>
      </c>
    </row>
    <row r="39">
      <c r="A39" s="5" t="s">
        <v>84</v>
      </c>
      <c r="B39" s="6" t="s">
        <v>21</v>
      </c>
      <c r="C39" s="7" t="s">
        <v>99</v>
      </c>
      <c r="D39" s="8" t="s">
        <v>100</v>
      </c>
      <c r="E39" s="9">
        <v>44635.0</v>
      </c>
      <c r="F39" s="6">
        <f>ROUND(('ALL(responses)'!F39 - MIN('ALL(responses)'!F$2:F$641)) / (MAX('ALL(responses)'!F$2:F$641)-MIN('ALL(responses)'!F$2:F$641)),3)
</f>
        <v>0</v>
      </c>
      <c r="G39" s="6">
        <f>ROUND(('ALL(responses)'!G40 - MIN('ALL(responses)'!G$3:G$322)) / (MAX('ALL(responses)'!G$3:G$322)-MIN('ALL(responses)'!G$3:G$322)),3)
</f>
        <v>0</v>
      </c>
      <c r="H39" s="6">
        <f>ROUND(('ALL(responses)'!H40 - MIN('ALL(responses)'!H$3:H$322)) / (MAX('ALL(responses)'!H$3:H$322)-MIN('ALL(responses)'!H$3:H$322)),3)
</f>
        <v>0.167</v>
      </c>
      <c r="I39" s="6">
        <f>ROUND(('ALL(responses)'!I40 - MIN('ALL(responses)'!I$3:I$322)) / (MAX('ALL(responses)'!I$3:I$322)-MIN('ALL(responses)'!I$3:I$322)),3)
</f>
        <v>0.286</v>
      </c>
      <c r="J39" s="6">
        <f>ROUND(('ALL(responses)'!J40 - MIN('ALL(responses)'!J$3:J$322)) / (MAX('ALL(responses)'!J$3:J$322)-MIN('ALL(responses)'!J$3:J$322)),3)
</f>
        <v>0</v>
      </c>
      <c r="K39" s="6">
        <f>ROUND(('ALL(responses)'!M40 - MIN('ALL(responses)'!M$3:M$322)) / (MAX('ALL(responses)'!M$3:M$322)-MIN('ALL(responses)'!M$3:M$322)),3)
</f>
        <v>0.609</v>
      </c>
      <c r="L39" s="6">
        <f>ROUND(('ALL(responses)'!P40 - MIN('ALL(responses)'!P$3:P$322)) / (MAX('ALL(responses)'!P$3:P$322)-MIN('ALL(responses)'!P$3:P$322)),3)
</f>
        <v>0.57</v>
      </c>
      <c r="M39" s="6">
        <f>ROUND(('ALL(responses)'!Q40 - MIN('ALL(responses)'!Q$3:Q$322)) / (MAX('ALL(responses)'!Q$3:Q$322)-MIN('ALL(responses)'!Q$3:Q$322)),3)
</f>
        <v>0.12</v>
      </c>
      <c r="N39" s="6">
        <f>ROUND(('ALL(responses)'!R40 - MIN('ALL(responses)'!R$3:R$322)) / (MAX('ALL(responses)'!R$3:R$322)-MIN('ALL(responses)'!R$3:R$322)),3)
</f>
        <v>0.96</v>
      </c>
      <c r="O39" s="6">
        <f>ROUND(('ALL(responses)'!S40 - MIN('ALL(responses)'!S$3:S$322)) / (MAX('ALL(responses)'!S$3:S$322)-MIN('ALL(responses)'!S$3:S$322)),3)
</f>
        <v>0.02</v>
      </c>
      <c r="P39" s="6">
        <f>ROUND(('ALL(responses)'!T40 - MIN('ALL(responses)'!T$3:T$322)) / (MAX('ALL(responses)'!T$3:T$322)-MIN('ALL(responses)'!T$3:T$322)),3)
</f>
        <v>0.652</v>
      </c>
      <c r="Q39" s="40">
        <f t="shared" si="1"/>
        <v>0.354</v>
      </c>
    </row>
    <row r="40">
      <c r="A40" s="5" t="s">
        <v>84</v>
      </c>
      <c r="B40" s="6" t="s">
        <v>21</v>
      </c>
      <c r="C40" s="7" t="s">
        <v>101</v>
      </c>
      <c r="D40" s="8" t="s">
        <v>102</v>
      </c>
      <c r="E40" s="9">
        <v>44635.0</v>
      </c>
      <c r="F40" s="6">
        <f>ROUND(('ALL(responses)'!F40 - MIN('ALL(responses)'!F$2:F$641)) / (MAX('ALL(responses)'!F$2:F$641)-MIN('ALL(responses)'!F$2:F$641)),3)
</f>
        <v>0</v>
      </c>
      <c r="G40" s="6">
        <f>ROUND(('ALL(responses)'!G41 - MIN('ALL(responses)'!G$3:G$322)) / (MAX('ALL(responses)'!G$3:G$322)-MIN('ALL(responses)'!G$3:G$322)),3)
</f>
        <v>0</v>
      </c>
      <c r="H40" s="6">
        <f>ROUND(('ALL(responses)'!H41 - MIN('ALL(responses)'!H$3:H$322)) / (MAX('ALL(responses)'!H$3:H$322)-MIN('ALL(responses)'!H$3:H$322)),3)
</f>
        <v>0.167</v>
      </c>
      <c r="I40" s="6">
        <f>ROUND(('ALL(responses)'!I41 - MIN('ALL(responses)'!I$3:I$322)) / (MAX('ALL(responses)'!I$3:I$322)-MIN('ALL(responses)'!I$3:I$322)),3)
</f>
        <v>0.286</v>
      </c>
      <c r="J40" s="6">
        <f>ROUND(('ALL(responses)'!J41 - MIN('ALL(responses)'!J$3:J$322)) / (MAX('ALL(responses)'!J$3:J$322)-MIN('ALL(responses)'!J$3:J$322)),3)
</f>
        <v>0</v>
      </c>
      <c r="K40" s="6">
        <f>ROUND(('ALL(responses)'!M41 - MIN('ALL(responses)'!M$3:M$322)) / (MAX('ALL(responses)'!M$3:M$322)-MIN('ALL(responses)'!M$3:M$322)),3)
</f>
        <v>0.609</v>
      </c>
      <c r="L40" s="6">
        <f>ROUND(('ALL(responses)'!P41 - MIN('ALL(responses)'!P$3:P$322)) / (MAX('ALL(responses)'!P$3:P$322)-MIN('ALL(responses)'!P$3:P$322)),3)
</f>
        <v>0.167</v>
      </c>
      <c r="M40" s="6">
        <f>ROUND(('ALL(responses)'!Q41 - MIN('ALL(responses)'!Q$3:Q$322)) / (MAX('ALL(responses)'!Q$3:Q$322)-MIN('ALL(responses)'!Q$3:Q$322)),3)
</f>
        <v>0.475</v>
      </c>
      <c r="N40" s="6">
        <f>ROUND(('ALL(responses)'!R41 - MIN('ALL(responses)'!R$3:R$322)) / (MAX('ALL(responses)'!R$3:R$322)-MIN('ALL(responses)'!R$3:R$322)),3)
</f>
        <v>0.996</v>
      </c>
      <c r="O40" s="6">
        <f>ROUND(('ALL(responses)'!S41 - MIN('ALL(responses)'!S$3:S$322)) / (MAX('ALL(responses)'!S$3:S$322)-MIN('ALL(responses)'!S$3:S$322)),3)
</f>
        <v>0.998</v>
      </c>
      <c r="P40" s="6">
        <f>ROUND(('ALL(responses)'!T41 - MIN('ALL(responses)'!T$3:T$322)) / (MAX('ALL(responses)'!T$3:T$322)-MIN('ALL(responses)'!T$3:T$322)),3)
</f>
        <v>0.516</v>
      </c>
      <c r="Q40" s="40">
        <f t="shared" si="1"/>
        <v>0.354</v>
      </c>
    </row>
    <row r="41">
      <c r="A41" s="5" t="s">
        <v>84</v>
      </c>
      <c r="B41" s="6" t="s">
        <v>21</v>
      </c>
      <c r="C41" s="7" t="s">
        <v>103</v>
      </c>
      <c r="D41" s="8" t="s">
        <v>104</v>
      </c>
      <c r="E41" s="9">
        <v>44635.0</v>
      </c>
      <c r="F41" s="6">
        <f>ROUND(('ALL(responses)'!F41 - MIN('ALL(responses)'!F$2:F$641)) / (MAX('ALL(responses)'!F$2:F$641)-MIN('ALL(responses)'!F$2:F$641)),3)
</f>
        <v>0</v>
      </c>
      <c r="G41" s="6">
        <f>ROUND(('ALL(responses)'!G42 - MIN('ALL(responses)'!G$3:G$322)) / (MAX('ALL(responses)'!G$3:G$322)-MIN('ALL(responses)'!G$3:G$322)),3)
</f>
        <v>0.429</v>
      </c>
      <c r="H41" s="6">
        <f>ROUND(('ALL(responses)'!H42 - MIN('ALL(responses)'!H$3:H$322)) / (MAX('ALL(responses)'!H$3:H$322)-MIN('ALL(responses)'!H$3:H$322)),3)
</f>
        <v>0.667</v>
      </c>
      <c r="I41" s="6">
        <f>ROUND(('ALL(responses)'!I42 - MIN('ALL(responses)'!I$3:I$322)) / (MAX('ALL(responses)'!I$3:I$322)-MIN('ALL(responses)'!I$3:I$322)),3)
</f>
        <v>0.143</v>
      </c>
      <c r="J41" s="6">
        <f>ROUND(('ALL(responses)'!J42 - MIN('ALL(responses)'!J$3:J$322)) / (MAX('ALL(responses)'!J$3:J$322)-MIN('ALL(responses)'!J$3:J$322)),3)
</f>
        <v>0.5</v>
      </c>
      <c r="K41" s="6">
        <f>ROUND(('ALL(responses)'!M42 - MIN('ALL(responses)'!M$3:M$322)) / (MAX('ALL(responses)'!M$3:M$322)-MIN('ALL(responses)'!M$3:M$322)),3)
</f>
        <v>0.67</v>
      </c>
      <c r="L41" s="6">
        <f>ROUND(('ALL(responses)'!P42 - MIN('ALL(responses)'!P$3:P$322)) / (MAX('ALL(responses)'!P$3:P$322)-MIN('ALL(responses)'!P$3:P$322)),3)
</f>
        <v>0.432</v>
      </c>
      <c r="M41" s="6">
        <f>ROUND(('ALL(responses)'!Q42 - MIN('ALL(responses)'!Q$3:Q$322)) / (MAX('ALL(responses)'!Q$3:Q$322)-MIN('ALL(responses)'!Q$3:Q$322)),3)
</f>
        <v>0.563</v>
      </c>
      <c r="N41" s="6">
        <f>ROUND(('ALL(responses)'!R42 - MIN('ALL(responses)'!R$3:R$322)) / (MAX('ALL(responses)'!R$3:R$322)-MIN('ALL(responses)'!R$3:R$322)),3)
</f>
        <v>0.858</v>
      </c>
      <c r="O41" s="6">
        <f>ROUND(('ALL(responses)'!S42 - MIN('ALL(responses)'!S$3:S$322)) / (MAX('ALL(responses)'!S$3:S$322)-MIN('ALL(responses)'!S$3:S$322)),3)
</f>
        <v>0.929</v>
      </c>
      <c r="P41" s="6">
        <f>ROUND(('ALL(responses)'!T42 - MIN('ALL(responses)'!T$3:T$322)) / (MAX('ALL(responses)'!T$3:T$322)-MIN('ALL(responses)'!T$3:T$322)),3)
</f>
        <v>0</v>
      </c>
      <c r="Q41" s="40">
        <f t="shared" si="1"/>
        <v>0.354</v>
      </c>
    </row>
    <row r="42">
      <c r="A42" s="5" t="s">
        <v>20</v>
      </c>
      <c r="B42" s="6" t="s">
        <v>105</v>
      </c>
      <c r="C42" s="7" t="s">
        <v>22</v>
      </c>
      <c r="D42" s="7" t="s">
        <v>106</v>
      </c>
      <c r="E42" s="9">
        <v>44999.0</v>
      </c>
      <c r="F42" s="6">
        <f>ROUND(('ALL(responses)'!F42 - MIN('ALL(responses)'!F$2:F$641)) / (MAX('ALL(responses)'!F$2:F$641)-MIN('ALL(responses)'!F$2:F$641)),3)
</f>
        <v>0.375</v>
      </c>
      <c r="G42" s="6">
        <f>ROUND(('ALL(responses)'!G43 - MIN('ALL(responses)'!G$3:G$322)) / (MAX('ALL(responses)'!G$3:G$322)-MIN('ALL(responses)'!G$3:G$322)),3)
</f>
        <v>0</v>
      </c>
      <c r="H42" s="6">
        <f>ROUND(('ALL(responses)'!H43 - MIN('ALL(responses)'!H$3:H$322)) / (MAX('ALL(responses)'!H$3:H$322)-MIN('ALL(responses)'!H$3:H$322)),3)
</f>
        <v>0</v>
      </c>
      <c r="I42" s="6">
        <f>ROUND(('ALL(responses)'!I43 - MIN('ALL(responses)'!I$3:I$322)) / (MAX('ALL(responses)'!I$3:I$322)-MIN('ALL(responses)'!I$3:I$322)),3)
</f>
        <v>0.429</v>
      </c>
      <c r="J42" s="6">
        <f>ROUND(('ALL(responses)'!J43 - MIN('ALL(responses)'!J$3:J$322)) / (MAX('ALL(responses)'!J$3:J$322)-MIN('ALL(responses)'!J$3:J$322)),3)
</f>
        <v>0</v>
      </c>
      <c r="K42" s="6">
        <f>ROUND(('ALL(responses)'!M43 - MIN('ALL(responses)'!M$3:M$322)) / (MAX('ALL(responses)'!M$3:M$322)-MIN('ALL(responses)'!M$3:M$322)),3)
</f>
        <v>0.589</v>
      </c>
      <c r="L42" s="6">
        <f>ROUND(('ALL(responses)'!P43 - MIN('ALL(responses)'!P$3:P$322)) / (MAX('ALL(responses)'!P$3:P$322)-MIN('ALL(responses)'!P$3:P$322)),3)
</f>
        <v>0.636</v>
      </c>
      <c r="M42" s="6">
        <f>ROUND(('ALL(responses)'!Q43 - MIN('ALL(responses)'!Q$3:Q$322)) / (MAX('ALL(responses)'!Q$3:Q$322)-MIN('ALL(responses)'!Q$3:Q$322)),3)
</f>
        <v>0.255</v>
      </c>
      <c r="N42" s="6">
        <f>ROUND(('ALL(responses)'!R43 - MIN('ALL(responses)'!R$3:R$322)) / (MAX('ALL(responses)'!R$3:R$322)-MIN('ALL(responses)'!R$3:R$322)),3)
</f>
        <v>0.977</v>
      </c>
      <c r="O42" s="6">
        <f>ROUND(('ALL(responses)'!S43 - MIN('ALL(responses)'!S$3:S$322)) / (MAX('ALL(responses)'!S$3:S$322)-MIN('ALL(responses)'!S$3:S$322)),3)
</f>
        <v>0.989</v>
      </c>
      <c r="P42" s="6">
        <f>ROUND(('ALL(responses)'!T43 - MIN('ALL(responses)'!T$3:T$322)) / (MAX('ALL(responses)'!T$3:T$322)-MIN('ALL(responses)'!T$3:T$322)),3)
</f>
        <v>0.296</v>
      </c>
      <c r="Q42" s="40">
        <f t="shared" ref="Q42:Q81" si="2">ROUND(AVERAGE(F$42:P$81),3)</f>
        <v>0.481</v>
      </c>
    </row>
    <row r="43">
      <c r="A43" s="5" t="s">
        <v>20</v>
      </c>
      <c r="B43" s="6" t="s">
        <v>105</v>
      </c>
      <c r="C43" s="7" t="s">
        <v>24</v>
      </c>
      <c r="D43" s="7" t="s">
        <v>107</v>
      </c>
      <c r="E43" s="9">
        <v>44999.0</v>
      </c>
      <c r="F43" s="6">
        <f>ROUND(('ALL(responses)'!F43 - MIN('ALL(responses)'!F$2:F$641)) / (MAX('ALL(responses)'!F$2:F$641)-MIN('ALL(responses)'!F$2:F$641)),3)
</f>
        <v>0.5</v>
      </c>
      <c r="G43" s="6">
        <f>ROUND(('ALL(responses)'!G44 - MIN('ALL(responses)'!G$3:G$322)) / (MAX('ALL(responses)'!G$3:G$322)-MIN('ALL(responses)'!G$3:G$322)),3)
</f>
        <v>0.429</v>
      </c>
      <c r="H43" s="6">
        <f>ROUND(('ALL(responses)'!H44 - MIN('ALL(responses)'!H$3:H$322)) / (MAX('ALL(responses)'!H$3:H$322)-MIN('ALL(responses)'!H$3:H$322)),3)
</f>
        <v>0.667</v>
      </c>
      <c r="I43" s="6">
        <f>ROUND(('ALL(responses)'!I44 - MIN('ALL(responses)'!I$3:I$322)) / (MAX('ALL(responses)'!I$3:I$322)-MIN('ALL(responses)'!I$3:I$322)),3)
</f>
        <v>0.571</v>
      </c>
      <c r="J43" s="6">
        <f>ROUND(('ALL(responses)'!J44 - MIN('ALL(responses)'!J$3:J$322)) / (MAX('ALL(responses)'!J$3:J$322)-MIN('ALL(responses)'!J$3:J$322)),3)
</f>
        <v>1</v>
      </c>
      <c r="K43" s="6">
        <f>ROUND(('ALL(responses)'!M44 - MIN('ALL(responses)'!M$3:M$322)) / (MAX('ALL(responses)'!M$3:M$322)-MIN('ALL(responses)'!M$3:M$322)),3)
</f>
        <v>0.576</v>
      </c>
      <c r="L43" s="6">
        <f>ROUND(('ALL(responses)'!P44 - MIN('ALL(responses)'!P$3:P$322)) / (MAX('ALL(responses)'!P$3:P$322)-MIN('ALL(responses)'!P$3:P$322)),3)
</f>
        <v>0.22</v>
      </c>
      <c r="M43" s="6">
        <f>ROUND(('ALL(responses)'!Q44 - MIN('ALL(responses)'!Q$3:Q$322)) / (MAX('ALL(responses)'!Q$3:Q$322)-MIN('ALL(responses)'!Q$3:Q$322)),3)
</f>
        <v>0.54</v>
      </c>
      <c r="N43" s="6">
        <f>ROUND(('ALL(responses)'!R44 - MIN('ALL(responses)'!R$3:R$322)) / (MAX('ALL(responses)'!R$3:R$322)-MIN('ALL(responses)'!R$3:R$322)),3)
</f>
        <v>0.894</v>
      </c>
      <c r="O43" s="6">
        <f>ROUND(('ALL(responses)'!S44 - MIN('ALL(responses)'!S$3:S$322)) / (MAX('ALL(responses)'!S$3:S$322)-MIN('ALL(responses)'!S$3:S$322)),3)
</f>
        <v>0.947</v>
      </c>
      <c r="P43" s="6">
        <f>ROUND(('ALL(responses)'!T44 - MIN('ALL(responses)'!T$3:T$322)) / (MAX('ALL(responses)'!T$3:T$322)-MIN('ALL(responses)'!T$3:T$322)),3)
</f>
        <v>0.469</v>
      </c>
      <c r="Q43" s="40">
        <f t="shared" si="2"/>
        <v>0.481</v>
      </c>
    </row>
    <row r="44">
      <c r="A44" s="5" t="s">
        <v>20</v>
      </c>
      <c r="B44" s="6" t="s">
        <v>105</v>
      </c>
      <c r="C44" s="7" t="s">
        <v>26</v>
      </c>
      <c r="D44" s="7" t="s">
        <v>108</v>
      </c>
      <c r="E44" s="9">
        <v>44999.0</v>
      </c>
      <c r="F44" s="6">
        <f>ROUND(('ALL(responses)'!F44 - MIN('ALL(responses)'!F$2:F$641)) / (MAX('ALL(responses)'!F$2:F$641)-MIN('ALL(responses)'!F$2:F$641)),3)
</f>
        <v>0.25</v>
      </c>
      <c r="G44" s="6">
        <f>ROUND(('ALL(responses)'!G45 - MIN('ALL(responses)'!G$3:G$322)) / (MAX('ALL(responses)'!G$3:G$322)-MIN('ALL(responses)'!G$3:G$322)),3)
</f>
        <v>0.143</v>
      </c>
      <c r="H44" s="6">
        <f>ROUND(('ALL(responses)'!H45 - MIN('ALL(responses)'!H$3:H$322)) / (MAX('ALL(responses)'!H$3:H$322)-MIN('ALL(responses)'!H$3:H$322)),3)
</f>
        <v>0.667</v>
      </c>
      <c r="I44" s="6">
        <f>ROUND(('ALL(responses)'!I45 - MIN('ALL(responses)'!I$3:I$322)) / (MAX('ALL(responses)'!I$3:I$322)-MIN('ALL(responses)'!I$3:I$322)),3)
</f>
        <v>0.286</v>
      </c>
      <c r="J44" s="6">
        <f>ROUND(('ALL(responses)'!J45 - MIN('ALL(responses)'!J$3:J$322)) / (MAX('ALL(responses)'!J$3:J$322)-MIN('ALL(responses)'!J$3:J$322)),3)
</f>
        <v>0</v>
      </c>
      <c r="K44" s="6">
        <f>ROUND(('ALL(responses)'!M45 - MIN('ALL(responses)'!M$3:M$322)) / (MAX('ALL(responses)'!M$3:M$322)-MIN('ALL(responses)'!M$3:M$322)),3)
</f>
        <v>0.555</v>
      </c>
      <c r="L44" s="6">
        <f>ROUND(('ALL(responses)'!P45 - MIN('ALL(responses)'!P$3:P$322)) / (MAX('ALL(responses)'!P$3:P$322)-MIN('ALL(responses)'!P$3:P$322)),3)
</f>
        <v>0.259</v>
      </c>
      <c r="M44" s="6">
        <f>ROUND(('ALL(responses)'!Q45 - MIN('ALL(responses)'!Q$3:Q$322)) / (MAX('ALL(responses)'!Q$3:Q$322)-MIN('ALL(responses)'!Q$3:Q$322)),3)
</f>
        <v>0.329</v>
      </c>
      <c r="N44" s="6">
        <f>ROUND(('ALL(responses)'!R45 - MIN('ALL(responses)'!R$3:R$322)) / (MAX('ALL(responses)'!R$3:R$322)-MIN('ALL(responses)'!R$3:R$322)),3)
</f>
        <v>0.873</v>
      </c>
      <c r="O44" s="6">
        <f>ROUND(('ALL(responses)'!S45 - MIN('ALL(responses)'!S$3:S$322)) / (MAX('ALL(responses)'!S$3:S$322)-MIN('ALL(responses)'!S$3:S$322)),3)
</f>
        <v>0.936</v>
      </c>
      <c r="P44" s="6">
        <f>ROUND(('ALL(responses)'!T45 - MIN('ALL(responses)'!T$3:T$322)) / (MAX('ALL(responses)'!T$3:T$322)-MIN('ALL(responses)'!T$3:T$322)),3)
</f>
        <v>0.236</v>
      </c>
      <c r="Q44" s="40">
        <f t="shared" si="2"/>
        <v>0.481</v>
      </c>
    </row>
    <row r="45">
      <c r="A45" s="5" t="s">
        <v>20</v>
      </c>
      <c r="B45" s="6" t="s">
        <v>105</v>
      </c>
      <c r="C45" s="7" t="s">
        <v>28</v>
      </c>
      <c r="D45" s="7" t="s">
        <v>109</v>
      </c>
      <c r="E45" s="9">
        <v>44999.0</v>
      </c>
      <c r="F45" s="6">
        <f>ROUND(('ALL(responses)'!F45 - MIN('ALL(responses)'!F$2:F$641)) / (MAX('ALL(responses)'!F$2:F$641)-MIN('ALL(responses)'!F$2:F$641)),3)
</f>
        <v>0.5</v>
      </c>
      <c r="G45" s="6">
        <f>ROUND(('ALL(responses)'!G46 - MIN('ALL(responses)'!G$3:G$322)) / (MAX('ALL(responses)'!G$3:G$322)-MIN('ALL(responses)'!G$3:G$322)),3)
</f>
        <v>0.143</v>
      </c>
      <c r="H45" s="6">
        <f>ROUND(('ALL(responses)'!H46 - MIN('ALL(responses)'!H$3:H$322)) / (MAX('ALL(responses)'!H$3:H$322)-MIN('ALL(responses)'!H$3:H$322)),3)
</f>
        <v>0</v>
      </c>
      <c r="I45" s="6">
        <f>ROUND(('ALL(responses)'!I46 - MIN('ALL(responses)'!I$3:I$322)) / (MAX('ALL(responses)'!I$3:I$322)-MIN('ALL(responses)'!I$3:I$322)),3)
</f>
        <v>0</v>
      </c>
      <c r="J45" s="6">
        <f>ROUND(('ALL(responses)'!J46 - MIN('ALL(responses)'!J$3:J$322)) / (MAX('ALL(responses)'!J$3:J$322)-MIN('ALL(responses)'!J$3:J$322)),3)
</f>
        <v>0.5</v>
      </c>
      <c r="K45" s="6">
        <f>ROUND(('ALL(responses)'!M46 - MIN('ALL(responses)'!M$3:M$322)) / (MAX('ALL(responses)'!M$3:M$322)-MIN('ALL(responses)'!M$3:M$322)),3)
</f>
        <v>0.56</v>
      </c>
      <c r="L45" s="6">
        <f>ROUND(('ALL(responses)'!P46 - MIN('ALL(responses)'!P$3:P$322)) / (MAX('ALL(responses)'!P$3:P$322)-MIN('ALL(responses)'!P$3:P$322)),3)
</f>
        <v>0</v>
      </c>
      <c r="M45" s="6">
        <f>ROUND(('ALL(responses)'!Q46 - MIN('ALL(responses)'!Q$3:Q$322)) / (MAX('ALL(responses)'!Q$3:Q$322)-MIN('ALL(responses)'!Q$3:Q$322)),3)
</f>
        <v>0.105</v>
      </c>
      <c r="N45" s="6">
        <f>ROUND(('ALL(responses)'!R46 - MIN('ALL(responses)'!R$3:R$322)) / (MAX('ALL(responses)'!R$3:R$322)-MIN('ALL(responses)'!R$3:R$322)),3)
</f>
        <v>0.959</v>
      </c>
      <c r="O45" s="6">
        <f>ROUND(('ALL(responses)'!S46 - MIN('ALL(responses)'!S$3:S$322)) / (MAX('ALL(responses)'!S$3:S$322)-MIN('ALL(responses)'!S$3:S$322)),3)
</f>
        <v>0.98</v>
      </c>
      <c r="P45" s="6">
        <f>ROUND(('ALL(responses)'!T46 - MIN('ALL(responses)'!T$3:T$322)) / (MAX('ALL(responses)'!T$3:T$322)-MIN('ALL(responses)'!T$3:T$322)),3)
</f>
        <v>0.266</v>
      </c>
      <c r="Q45" s="40">
        <f t="shared" si="2"/>
        <v>0.481</v>
      </c>
    </row>
    <row r="46">
      <c r="A46" s="5" t="s">
        <v>20</v>
      </c>
      <c r="B46" s="6" t="s">
        <v>105</v>
      </c>
      <c r="C46" s="7" t="s">
        <v>30</v>
      </c>
      <c r="D46" s="7" t="s">
        <v>110</v>
      </c>
      <c r="E46" s="9">
        <v>44999.0</v>
      </c>
      <c r="F46" s="6">
        <f>ROUND(('ALL(responses)'!F46 - MIN('ALL(responses)'!F$2:F$641)) / (MAX('ALL(responses)'!F$2:F$641)-MIN('ALL(responses)'!F$2:F$641)),3)
</f>
        <v>0.5</v>
      </c>
      <c r="G46" s="6">
        <f>ROUND(('ALL(responses)'!G47 - MIN('ALL(responses)'!G$3:G$322)) / (MAX('ALL(responses)'!G$3:G$322)-MIN('ALL(responses)'!G$3:G$322)),3)
</f>
        <v>0</v>
      </c>
      <c r="H46" s="6">
        <f>ROUND(('ALL(responses)'!H47 - MIN('ALL(responses)'!H$3:H$322)) / (MAX('ALL(responses)'!H$3:H$322)-MIN('ALL(responses)'!H$3:H$322)),3)
</f>
        <v>0</v>
      </c>
      <c r="I46" s="6">
        <f>ROUND(('ALL(responses)'!I47 - MIN('ALL(responses)'!I$3:I$322)) / (MAX('ALL(responses)'!I$3:I$322)-MIN('ALL(responses)'!I$3:I$322)),3)
</f>
        <v>0.429</v>
      </c>
      <c r="J46" s="6">
        <f>ROUND(('ALL(responses)'!J47 - MIN('ALL(responses)'!J$3:J$322)) / (MAX('ALL(responses)'!J$3:J$322)-MIN('ALL(responses)'!J$3:J$322)),3)
</f>
        <v>0.25</v>
      </c>
      <c r="K46" s="6">
        <f>ROUND(('ALL(responses)'!M47 - MIN('ALL(responses)'!M$3:M$322)) / (MAX('ALL(responses)'!M$3:M$322)-MIN('ALL(responses)'!M$3:M$322)),3)
</f>
        <v>0.45</v>
      </c>
      <c r="L46" s="6">
        <f>ROUND(('ALL(responses)'!P47 - MIN('ALL(responses)'!P$3:P$322)) / (MAX('ALL(responses)'!P$3:P$322)-MIN('ALL(responses)'!P$3:P$322)),3)
</f>
        <v>0.479</v>
      </c>
      <c r="M46" s="6">
        <f>ROUND(('ALL(responses)'!Q47 - MIN('ALL(responses)'!Q$3:Q$322)) / (MAX('ALL(responses)'!Q$3:Q$322)-MIN('ALL(responses)'!Q$3:Q$322)),3)
</f>
        <v>0.326</v>
      </c>
      <c r="N46" s="6">
        <f>ROUND(('ALL(responses)'!R47 - MIN('ALL(responses)'!R$3:R$322)) / (MAX('ALL(responses)'!R$3:R$322)-MIN('ALL(responses)'!R$3:R$322)),3)
</f>
        <v>0.675</v>
      </c>
      <c r="O46" s="6">
        <f>ROUND(('ALL(responses)'!S47 - MIN('ALL(responses)'!S$3:S$322)) / (MAX('ALL(responses)'!S$3:S$322)-MIN('ALL(responses)'!S$3:S$322)),3)
</f>
        <v>0.838</v>
      </c>
      <c r="P46" s="6">
        <f>ROUND(('ALL(responses)'!T47 - MIN('ALL(responses)'!T$3:T$322)) / (MAX('ALL(responses)'!T$3:T$322)-MIN('ALL(responses)'!T$3:T$322)),3)
</f>
        <v>0.462</v>
      </c>
      <c r="Q46" s="40">
        <f t="shared" si="2"/>
        <v>0.481</v>
      </c>
    </row>
    <row r="47">
      <c r="A47" s="5" t="s">
        <v>20</v>
      </c>
      <c r="B47" s="6" t="s">
        <v>105</v>
      </c>
      <c r="C47" s="7" t="s">
        <v>32</v>
      </c>
      <c r="D47" s="7" t="s">
        <v>111</v>
      </c>
      <c r="E47" s="9">
        <v>44999.0</v>
      </c>
      <c r="F47" s="6">
        <f>ROUND(('ALL(responses)'!F47 - MIN('ALL(responses)'!F$2:F$641)) / (MAX('ALL(responses)'!F$2:F$641)-MIN('ALL(responses)'!F$2:F$641)),3)
</f>
        <v>0.125</v>
      </c>
      <c r="G47" s="6">
        <f>ROUND(('ALL(responses)'!G48 - MIN('ALL(responses)'!G$3:G$322)) / (MAX('ALL(responses)'!G$3:G$322)-MIN('ALL(responses)'!G$3:G$322)),3)
</f>
        <v>0.143</v>
      </c>
      <c r="H47" s="6">
        <f>ROUND(('ALL(responses)'!H48 - MIN('ALL(responses)'!H$3:H$322)) / (MAX('ALL(responses)'!H$3:H$322)-MIN('ALL(responses)'!H$3:H$322)),3)
</f>
        <v>0</v>
      </c>
      <c r="I47" s="6">
        <f>ROUND(('ALL(responses)'!I48 - MIN('ALL(responses)'!I$3:I$322)) / (MAX('ALL(responses)'!I$3:I$322)-MIN('ALL(responses)'!I$3:I$322)),3)
</f>
        <v>0.571</v>
      </c>
      <c r="J47" s="6">
        <f>ROUND(('ALL(responses)'!J48 - MIN('ALL(responses)'!J$3:J$322)) / (MAX('ALL(responses)'!J$3:J$322)-MIN('ALL(responses)'!J$3:J$322)),3)
</f>
        <v>0.75</v>
      </c>
      <c r="K47" s="6">
        <f>ROUND(('ALL(responses)'!M48 - MIN('ALL(responses)'!M$3:M$322)) / (MAX('ALL(responses)'!M$3:M$322)-MIN('ALL(responses)'!M$3:M$322)),3)
</f>
        <v>0.702</v>
      </c>
      <c r="L47" s="6">
        <f>ROUND(('ALL(responses)'!P48 - MIN('ALL(responses)'!P$3:P$322)) / (MAX('ALL(responses)'!P$3:P$322)-MIN('ALL(responses)'!P$3:P$322)),3)
</f>
        <v>0</v>
      </c>
      <c r="M47" s="6">
        <f>ROUND(('ALL(responses)'!Q48 - MIN('ALL(responses)'!Q$3:Q$322)) / (MAX('ALL(responses)'!Q$3:Q$322)-MIN('ALL(responses)'!Q$3:Q$322)),3)
</f>
        <v>0.9</v>
      </c>
      <c r="N47" s="6">
        <f>ROUND(('ALL(responses)'!R48 - MIN('ALL(responses)'!R$3:R$322)) / (MAX('ALL(responses)'!R$3:R$322)-MIN('ALL(responses)'!R$3:R$322)),3)
</f>
        <v>0.95</v>
      </c>
      <c r="O47" s="6">
        <f>ROUND(('ALL(responses)'!S48 - MIN('ALL(responses)'!S$3:S$322)) / (MAX('ALL(responses)'!S$3:S$322)-MIN('ALL(responses)'!S$3:S$322)),3)
</f>
        <v>0.975</v>
      </c>
      <c r="P47" s="6">
        <f>ROUND(('ALL(responses)'!T48 - MIN('ALL(responses)'!T$3:T$322)) / (MAX('ALL(responses)'!T$3:T$322)-MIN('ALL(responses)'!T$3:T$322)),3)
</f>
        <v>0.356</v>
      </c>
      <c r="Q47" s="40">
        <f t="shared" si="2"/>
        <v>0.481</v>
      </c>
    </row>
    <row r="48">
      <c r="A48" s="5" t="s">
        <v>20</v>
      </c>
      <c r="B48" s="6" t="s">
        <v>105</v>
      </c>
      <c r="C48" s="7" t="s">
        <v>34</v>
      </c>
      <c r="D48" s="7" t="s">
        <v>112</v>
      </c>
      <c r="E48" s="9">
        <v>44999.0</v>
      </c>
      <c r="F48" s="6">
        <f>ROUND(('ALL(responses)'!F48 - MIN('ALL(responses)'!F$2:F$641)) / (MAX('ALL(responses)'!F$2:F$641)-MIN('ALL(responses)'!F$2:F$641)),3)
</f>
        <v>0.25</v>
      </c>
      <c r="G48" s="6">
        <f>ROUND(('ALL(responses)'!G49 - MIN('ALL(responses)'!G$3:G$322)) / (MAX('ALL(responses)'!G$3:G$322)-MIN('ALL(responses)'!G$3:G$322)),3)
</f>
        <v>0.571</v>
      </c>
      <c r="H48" s="6">
        <f>ROUND(('ALL(responses)'!H49 - MIN('ALL(responses)'!H$3:H$322)) / (MAX('ALL(responses)'!H$3:H$322)-MIN('ALL(responses)'!H$3:H$322)),3)
</f>
        <v>0</v>
      </c>
      <c r="I48" s="6">
        <f>ROUND(('ALL(responses)'!I49 - MIN('ALL(responses)'!I$3:I$322)) / (MAX('ALL(responses)'!I$3:I$322)-MIN('ALL(responses)'!I$3:I$322)),3)
</f>
        <v>0.429</v>
      </c>
      <c r="J48" s="6">
        <f>ROUND(('ALL(responses)'!J49 - MIN('ALL(responses)'!J$3:J$322)) / (MAX('ALL(responses)'!J$3:J$322)-MIN('ALL(responses)'!J$3:J$322)),3)
</f>
        <v>0.5</v>
      </c>
      <c r="K48" s="6">
        <f>ROUND(('ALL(responses)'!M49 - MIN('ALL(responses)'!M$3:M$322)) / (MAX('ALL(responses)'!M$3:M$322)-MIN('ALL(responses)'!M$3:M$322)),3)
</f>
        <v>0.447</v>
      </c>
      <c r="L48" s="6">
        <f>ROUND(('ALL(responses)'!P49 - MIN('ALL(responses)'!P$3:P$322)) / (MAX('ALL(responses)'!P$3:P$322)-MIN('ALL(responses)'!P$3:P$322)),3)
</f>
        <v>0.229</v>
      </c>
      <c r="M48" s="6">
        <f>ROUND(('ALL(responses)'!Q49 - MIN('ALL(responses)'!Q$3:Q$322)) / (MAX('ALL(responses)'!Q$3:Q$322)-MIN('ALL(responses)'!Q$3:Q$322)),3)
</f>
        <v>0.287</v>
      </c>
      <c r="N48" s="6">
        <f>ROUND(('ALL(responses)'!R49 - MIN('ALL(responses)'!R$3:R$322)) / (MAX('ALL(responses)'!R$3:R$322)-MIN('ALL(responses)'!R$3:R$322)),3)
</f>
        <v>0.863</v>
      </c>
      <c r="O48" s="6">
        <f>ROUND(('ALL(responses)'!S49 - MIN('ALL(responses)'!S$3:S$322)) / (MAX('ALL(responses)'!S$3:S$322)-MIN('ALL(responses)'!S$3:S$322)),3)
</f>
        <v>0.932</v>
      </c>
      <c r="P48" s="6">
        <f>ROUND(('ALL(responses)'!T49 - MIN('ALL(responses)'!T$3:T$322)) / (MAX('ALL(responses)'!T$3:T$322)-MIN('ALL(responses)'!T$3:T$322)),3)
</f>
        <v>0.479</v>
      </c>
      <c r="Q48" s="40">
        <f t="shared" si="2"/>
        <v>0.481</v>
      </c>
    </row>
    <row r="49">
      <c r="A49" s="5" t="s">
        <v>20</v>
      </c>
      <c r="B49" s="6" t="s">
        <v>105</v>
      </c>
      <c r="C49" s="7" t="s">
        <v>36</v>
      </c>
      <c r="D49" s="7" t="s">
        <v>113</v>
      </c>
      <c r="E49" s="9">
        <v>44999.0</v>
      </c>
      <c r="F49" s="6">
        <f>ROUND(('ALL(responses)'!F49 - MIN('ALL(responses)'!F$2:F$641)) / (MAX('ALL(responses)'!F$2:F$641)-MIN('ALL(responses)'!F$2:F$641)),3)
</f>
        <v>0.25</v>
      </c>
      <c r="G49" s="6">
        <f>ROUND(('ALL(responses)'!G50 - MIN('ALL(responses)'!G$3:G$322)) / (MAX('ALL(responses)'!G$3:G$322)-MIN('ALL(responses)'!G$3:G$322)),3)
</f>
        <v>0.143</v>
      </c>
      <c r="H49" s="6">
        <f>ROUND(('ALL(responses)'!H50 - MIN('ALL(responses)'!H$3:H$322)) / (MAX('ALL(responses)'!H$3:H$322)-MIN('ALL(responses)'!H$3:H$322)),3)
</f>
        <v>0.5</v>
      </c>
      <c r="I49" s="6">
        <f>ROUND(('ALL(responses)'!I50 - MIN('ALL(responses)'!I$3:I$322)) / (MAX('ALL(responses)'!I$3:I$322)-MIN('ALL(responses)'!I$3:I$322)),3)
</f>
        <v>0.571</v>
      </c>
      <c r="J49" s="6">
        <f>ROUND(('ALL(responses)'!J50 - MIN('ALL(responses)'!J$3:J$322)) / (MAX('ALL(responses)'!J$3:J$322)-MIN('ALL(responses)'!J$3:J$322)),3)
</f>
        <v>0</v>
      </c>
      <c r="K49" s="6">
        <f>ROUND(('ALL(responses)'!M50 - MIN('ALL(responses)'!M$3:M$322)) / (MAX('ALL(responses)'!M$3:M$322)-MIN('ALL(responses)'!M$3:M$322)),3)
</f>
        <v>0.497</v>
      </c>
      <c r="L49" s="6">
        <f>ROUND(('ALL(responses)'!P50 - MIN('ALL(responses)'!P$3:P$322)) / (MAX('ALL(responses)'!P$3:P$322)-MIN('ALL(responses)'!P$3:P$322)),3)
</f>
        <v>0.172</v>
      </c>
      <c r="M49" s="6">
        <f>ROUND(('ALL(responses)'!Q50 - MIN('ALL(responses)'!Q$3:Q$322)) / (MAX('ALL(responses)'!Q$3:Q$322)-MIN('ALL(responses)'!Q$3:Q$322)),3)
</f>
        <v>0.422</v>
      </c>
      <c r="N49" s="6">
        <f>ROUND(('ALL(responses)'!R50 - MIN('ALL(responses)'!R$3:R$322)) / (MAX('ALL(responses)'!R$3:R$322)-MIN('ALL(responses)'!R$3:R$322)),3)
</f>
        <v>0.873</v>
      </c>
      <c r="O49" s="6">
        <f>ROUND(('ALL(responses)'!S50 - MIN('ALL(responses)'!S$3:S$322)) / (MAX('ALL(responses)'!S$3:S$322)-MIN('ALL(responses)'!S$3:S$322)),3)
</f>
        <v>0.936</v>
      </c>
      <c r="P49" s="6">
        <f>ROUND(('ALL(responses)'!T50 - MIN('ALL(responses)'!T$3:T$322)) / (MAX('ALL(responses)'!T$3:T$322)-MIN('ALL(responses)'!T$3:T$322)),3)
</f>
        <v>0.308</v>
      </c>
      <c r="Q49" s="40">
        <f t="shared" si="2"/>
        <v>0.481</v>
      </c>
    </row>
    <row r="50">
      <c r="A50" s="5" t="s">
        <v>20</v>
      </c>
      <c r="B50" s="6" t="s">
        <v>105</v>
      </c>
      <c r="C50" s="7" t="s">
        <v>38</v>
      </c>
      <c r="D50" s="7" t="s">
        <v>114</v>
      </c>
      <c r="E50" s="9">
        <v>44999.0</v>
      </c>
      <c r="F50" s="6">
        <f>ROUND(('ALL(responses)'!F50 - MIN('ALL(responses)'!F$2:F$641)) / (MAX('ALL(responses)'!F$2:F$641)-MIN('ALL(responses)'!F$2:F$641)),3)
</f>
        <v>0.25</v>
      </c>
      <c r="G50" s="6">
        <f>ROUND(('ALL(responses)'!G51 - MIN('ALL(responses)'!G$3:G$322)) / (MAX('ALL(responses)'!G$3:G$322)-MIN('ALL(responses)'!G$3:G$322)),3)
</f>
        <v>0.429</v>
      </c>
      <c r="H50" s="6">
        <f>ROUND(('ALL(responses)'!H51 - MIN('ALL(responses)'!H$3:H$322)) / (MAX('ALL(responses)'!H$3:H$322)-MIN('ALL(responses)'!H$3:H$322)),3)
</f>
        <v>0.333</v>
      </c>
      <c r="I50" s="6">
        <f>ROUND(('ALL(responses)'!I51 - MIN('ALL(responses)'!I$3:I$322)) / (MAX('ALL(responses)'!I$3:I$322)-MIN('ALL(responses)'!I$3:I$322)),3)
</f>
        <v>0.571</v>
      </c>
      <c r="J50" s="6">
        <f>ROUND(('ALL(responses)'!J51 - MIN('ALL(responses)'!J$3:J$322)) / (MAX('ALL(responses)'!J$3:J$322)-MIN('ALL(responses)'!J$3:J$322)),3)
</f>
        <v>0.75</v>
      </c>
      <c r="K50" s="6">
        <f>ROUND(('ALL(responses)'!M51 - MIN('ALL(responses)'!M$3:M$322)) / (MAX('ALL(responses)'!M$3:M$322)-MIN('ALL(responses)'!M$3:M$322)),3)
</f>
        <v>0.61</v>
      </c>
      <c r="L50" s="6">
        <f>ROUND(('ALL(responses)'!P51 - MIN('ALL(responses)'!P$3:P$322)) / (MAX('ALL(responses)'!P$3:P$322)-MIN('ALL(responses)'!P$3:P$322)),3)
</f>
        <v>0.833</v>
      </c>
      <c r="M50" s="6">
        <f>ROUND(('ALL(responses)'!Q51 - MIN('ALL(responses)'!Q$3:Q$322)) / (MAX('ALL(responses)'!Q$3:Q$322)-MIN('ALL(responses)'!Q$3:Q$322)),3)
</f>
        <v>0.5</v>
      </c>
      <c r="N50" s="6">
        <f>ROUND(('ALL(responses)'!R51 - MIN('ALL(responses)'!R$3:R$322)) / (MAX('ALL(responses)'!R$3:R$322)-MIN('ALL(responses)'!R$3:R$322)),3)
</f>
        <v>0.178</v>
      </c>
      <c r="O50" s="6">
        <f>ROUND(('ALL(responses)'!S51 - MIN('ALL(responses)'!S$3:S$322)) / (MAX('ALL(responses)'!S$3:S$322)-MIN('ALL(responses)'!S$3:S$322)),3)
</f>
        <v>0.589</v>
      </c>
      <c r="P50" s="6">
        <f>ROUND(('ALL(responses)'!T51 - MIN('ALL(responses)'!T$3:T$322)) / (MAX('ALL(responses)'!T$3:T$322)-MIN('ALL(responses)'!T$3:T$322)),3)
</f>
        <v>0.174</v>
      </c>
      <c r="Q50" s="40">
        <f t="shared" si="2"/>
        <v>0.481</v>
      </c>
    </row>
    <row r="51">
      <c r="A51" s="5" t="s">
        <v>20</v>
      </c>
      <c r="B51" s="6" t="s">
        <v>105</v>
      </c>
      <c r="C51" s="7" t="s">
        <v>40</v>
      </c>
      <c r="D51" s="7" t="s">
        <v>115</v>
      </c>
      <c r="E51" s="9">
        <v>44999.0</v>
      </c>
      <c r="F51" s="6">
        <f>ROUND(('ALL(responses)'!F51 - MIN('ALL(responses)'!F$2:F$641)) / (MAX('ALL(responses)'!F$2:F$641)-MIN('ALL(responses)'!F$2:F$641)),3)
</f>
        <v>0.5</v>
      </c>
      <c r="G51" s="6">
        <f>ROUND(('ALL(responses)'!G52 - MIN('ALL(responses)'!G$3:G$322)) / (MAX('ALL(responses)'!G$3:G$322)-MIN('ALL(responses)'!G$3:G$322)),3)
</f>
        <v>0.429</v>
      </c>
      <c r="H51" s="6">
        <f>ROUND(('ALL(responses)'!H52 - MIN('ALL(responses)'!H$3:H$322)) / (MAX('ALL(responses)'!H$3:H$322)-MIN('ALL(responses)'!H$3:H$322)),3)
</f>
        <v>0.333</v>
      </c>
      <c r="I51" s="6">
        <f>ROUND(('ALL(responses)'!I52 - MIN('ALL(responses)'!I$3:I$322)) / (MAX('ALL(responses)'!I$3:I$322)-MIN('ALL(responses)'!I$3:I$322)),3)
</f>
        <v>0.286</v>
      </c>
      <c r="J51" s="6">
        <f>ROUND(('ALL(responses)'!J52 - MIN('ALL(responses)'!J$3:J$322)) / (MAX('ALL(responses)'!J$3:J$322)-MIN('ALL(responses)'!J$3:J$322)),3)
</f>
        <v>0</v>
      </c>
      <c r="K51" s="6">
        <f>ROUND(('ALL(responses)'!M52 - MIN('ALL(responses)'!M$3:M$322)) / (MAX('ALL(responses)'!M$3:M$322)-MIN('ALL(responses)'!M$3:M$322)),3)
</f>
        <v>0.456</v>
      </c>
      <c r="L51" s="6">
        <f>ROUND(('ALL(responses)'!P52 - MIN('ALL(responses)'!P$3:P$322)) / (MAX('ALL(responses)'!P$3:P$322)-MIN('ALL(responses)'!P$3:P$322)),3)
</f>
        <v>0.657</v>
      </c>
      <c r="M51" s="6">
        <f>ROUND(('ALL(responses)'!Q52 - MIN('ALL(responses)'!Q$3:Q$322)) / (MAX('ALL(responses)'!Q$3:Q$322)-MIN('ALL(responses)'!Q$3:Q$322)),3)
</f>
        <v>0.211</v>
      </c>
      <c r="N51" s="6">
        <f>ROUND(('ALL(responses)'!R52 - MIN('ALL(responses)'!R$3:R$322)) / (MAX('ALL(responses)'!R$3:R$322)-MIN('ALL(responses)'!R$3:R$322)),3)
</f>
        <v>0.955</v>
      </c>
      <c r="O51" s="6">
        <f>ROUND(('ALL(responses)'!S52 - MIN('ALL(responses)'!S$3:S$322)) / (MAX('ALL(responses)'!S$3:S$322)-MIN('ALL(responses)'!S$3:S$322)),3)
</f>
        <v>0.977</v>
      </c>
      <c r="P51" s="6">
        <f>ROUND(('ALL(responses)'!T52 - MIN('ALL(responses)'!T$3:T$322)) / (MAX('ALL(responses)'!T$3:T$322)-MIN('ALL(responses)'!T$3:T$322)),3)
</f>
        <v>0.34</v>
      </c>
      <c r="Q51" s="40">
        <f t="shared" si="2"/>
        <v>0.481</v>
      </c>
    </row>
    <row r="52">
      <c r="A52" s="5" t="s">
        <v>42</v>
      </c>
      <c r="B52" s="6" t="s">
        <v>105</v>
      </c>
      <c r="C52" s="7" t="s">
        <v>43</v>
      </c>
      <c r="D52" s="7" t="s">
        <v>116</v>
      </c>
      <c r="E52" s="9">
        <v>44999.0</v>
      </c>
      <c r="F52" s="6">
        <f>ROUND(('ALL(responses)'!F52 - MIN('ALL(responses)'!F$2:F$641)) / (MAX('ALL(responses)'!F$2:F$641)-MIN('ALL(responses)'!F$2:F$641)),3)
</f>
        <v>0.375</v>
      </c>
      <c r="G52" s="6">
        <f>ROUND(('ALL(responses)'!G53 - MIN('ALL(responses)'!G$3:G$322)) / (MAX('ALL(responses)'!G$3:G$322)-MIN('ALL(responses)'!G$3:G$322)),3)
</f>
        <v>0.429</v>
      </c>
      <c r="H52" s="6">
        <f>ROUND(('ALL(responses)'!H53 - MIN('ALL(responses)'!H$3:H$322)) / (MAX('ALL(responses)'!H$3:H$322)-MIN('ALL(responses)'!H$3:H$322)),3)
</f>
        <v>0</v>
      </c>
      <c r="I52" s="6">
        <f>ROUND(('ALL(responses)'!I53 - MIN('ALL(responses)'!I$3:I$322)) / (MAX('ALL(responses)'!I$3:I$322)-MIN('ALL(responses)'!I$3:I$322)),3)
</f>
        <v>0.571</v>
      </c>
      <c r="J52" s="6">
        <f>ROUND(('ALL(responses)'!J53 - MIN('ALL(responses)'!J$3:J$322)) / (MAX('ALL(responses)'!J$3:J$322)-MIN('ALL(responses)'!J$3:J$322)),3)
</f>
        <v>0</v>
      </c>
      <c r="K52" s="6">
        <f>ROUND(('ALL(responses)'!M53 - MIN('ALL(responses)'!M$3:M$322)) / (MAX('ALL(responses)'!M$3:M$322)-MIN('ALL(responses)'!M$3:M$322)),3)
</f>
        <v>0.475</v>
      </c>
      <c r="L52" s="6">
        <f>ROUND(('ALL(responses)'!P53 - MIN('ALL(responses)'!P$3:P$322)) / (MAX('ALL(responses)'!P$3:P$322)-MIN('ALL(responses)'!P$3:P$322)),3)
</f>
        <v>0.639</v>
      </c>
      <c r="M52" s="6">
        <f>ROUND(('ALL(responses)'!Q53 - MIN('ALL(responses)'!Q$3:Q$322)) / (MAX('ALL(responses)'!Q$3:Q$322)-MIN('ALL(responses)'!Q$3:Q$322)),3)
</f>
        <v>0.261</v>
      </c>
      <c r="N52" s="6">
        <f>ROUND(('ALL(responses)'!R53 - MIN('ALL(responses)'!R$3:R$322)) / (MAX('ALL(responses)'!R$3:R$322)-MIN('ALL(responses)'!R$3:R$322)),3)
</f>
        <v>0.942</v>
      </c>
      <c r="O52" s="6">
        <f>ROUND(('ALL(responses)'!S53 - MIN('ALL(responses)'!S$3:S$322)) / (MAX('ALL(responses)'!S$3:S$322)-MIN('ALL(responses)'!S$3:S$322)),3)
</f>
        <v>0.971</v>
      </c>
      <c r="P52" s="6">
        <f>ROUND(('ALL(responses)'!T53 - MIN('ALL(responses)'!T$3:T$322)) / (MAX('ALL(responses)'!T$3:T$322)-MIN('ALL(responses)'!T$3:T$322)),3)
</f>
        <v>0.2</v>
      </c>
      <c r="Q52" s="40">
        <f t="shared" si="2"/>
        <v>0.481</v>
      </c>
    </row>
    <row r="53">
      <c r="A53" s="5" t="s">
        <v>42</v>
      </c>
      <c r="B53" s="6" t="s">
        <v>105</v>
      </c>
      <c r="C53" s="7" t="s">
        <v>45</v>
      </c>
      <c r="D53" s="7" t="s">
        <v>117</v>
      </c>
      <c r="E53" s="9">
        <v>44999.0</v>
      </c>
      <c r="F53" s="6">
        <f>ROUND(('ALL(responses)'!F53 - MIN('ALL(responses)'!F$2:F$641)) / (MAX('ALL(responses)'!F$2:F$641)-MIN('ALL(responses)'!F$2:F$641)),3)
</f>
        <v>0.25</v>
      </c>
      <c r="G53" s="6">
        <f>ROUND(('ALL(responses)'!G54 - MIN('ALL(responses)'!G$3:G$322)) / (MAX('ALL(responses)'!G$3:G$322)-MIN('ALL(responses)'!G$3:G$322)),3)
</f>
        <v>0.429</v>
      </c>
      <c r="H53" s="6">
        <f>ROUND(('ALL(responses)'!H54 - MIN('ALL(responses)'!H$3:H$322)) / (MAX('ALL(responses)'!H$3:H$322)-MIN('ALL(responses)'!H$3:H$322)),3)
</f>
        <v>0.333</v>
      </c>
      <c r="I53" s="6">
        <f>ROUND(('ALL(responses)'!I54 - MIN('ALL(responses)'!I$3:I$322)) / (MAX('ALL(responses)'!I$3:I$322)-MIN('ALL(responses)'!I$3:I$322)),3)
</f>
        <v>0.429</v>
      </c>
      <c r="J53" s="6">
        <f>ROUND(('ALL(responses)'!J54 - MIN('ALL(responses)'!J$3:J$322)) / (MAX('ALL(responses)'!J$3:J$322)-MIN('ALL(responses)'!J$3:J$322)),3)
</f>
        <v>0.25</v>
      </c>
      <c r="K53" s="6">
        <f>ROUND(('ALL(responses)'!M54 - MIN('ALL(responses)'!M$3:M$322)) / (MAX('ALL(responses)'!M$3:M$322)-MIN('ALL(responses)'!M$3:M$322)),3)
</f>
        <v>0.503</v>
      </c>
      <c r="L53" s="6">
        <f>ROUND(('ALL(responses)'!P54 - MIN('ALL(responses)'!P$3:P$322)) / (MAX('ALL(responses)'!P$3:P$322)-MIN('ALL(responses)'!P$3:P$322)),3)
</f>
        <v>0.461</v>
      </c>
      <c r="M53" s="6">
        <f>ROUND(('ALL(responses)'!Q54 - MIN('ALL(responses)'!Q$3:Q$322)) / (MAX('ALL(responses)'!Q$3:Q$322)-MIN('ALL(responses)'!Q$3:Q$322)),3)
</f>
        <v>0.321</v>
      </c>
      <c r="N53" s="6">
        <f>ROUND(('ALL(responses)'!R54 - MIN('ALL(responses)'!R$3:R$322)) / (MAX('ALL(responses)'!R$3:R$322)-MIN('ALL(responses)'!R$3:R$322)),3)
</f>
        <v>0.832</v>
      </c>
      <c r="O53" s="6">
        <f>ROUND(('ALL(responses)'!S54 - MIN('ALL(responses)'!S$3:S$322)) / (MAX('ALL(responses)'!S$3:S$322)-MIN('ALL(responses)'!S$3:S$322)),3)
</f>
        <v>0.916</v>
      </c>
      <c r="P53" s="6">
        <f>ROUND(('ALL(responses)'!T54 - MIN('ALL(responses)'!T$3:T$322)) / (MAX('ALL(responses)'!T$3:T$322)-MIN('ALL(responses)'!T$3:T$322)),3)
</f>
        <v>0.305</v>
      </c>
      <c r="Q53" s="40">
        <f t="shared" si="2"/>
        <v>0.481</v>
      </c>
    </row>
    <row r="54">
      <c r="A54" s="5" t="s">
        <v>42</v>
      </c>
      <c r="B54" s="6" t="s">
        <v>105</v>
      </c>
      <c r="C54" s="7" t="s">
        <v>47</v>
      </c>
      <c r="D54" s="7" t="s">
        <v>118</v>
      </c>
      <c r="E54" s="9">
        <v>44999.0</v>
      </c>
      <c r="F54" s="6">
        <f>ROUND(('ALL(responses)'!F54 - MIN('ALL(responses)'!F$2:F$641)) / (MAX('ALL(responses)'!F$2:F$641)-MIN('ALL(responses)'!F$2:F$641)),3)
</f>
        <v>0.5</v>
      </c>
      <c r="G54" s="6">
        <f>ROUND(('ALL(responses)'!G55 - MIN('ALL(responses)'!G$3:G$322)) / (MAX('ALL(responses)'!G$3:G$322)-MIN('ALL(responses)'!G$3:G$322)),3)
</f>
        <v>0.571</v>
      </c>
      <c r="H54" s="6">
        <f>ROUND(('ALL(responses)'!H55 - MIN('ALL(responses)'!H$3:H$322)) / (MAX('ALL(responses)'!H$3:H$322)-MIN('ALL(responses)'!H$3:H$322)),3)
</f>
        <v>0.333</v>
      </c>
      <c r="I54" s="6">
        <f>ROUND(('ALL(responses)'!I55 - MIN('ALL(responses)'!I$3:I$322)) / (MAX('ALL(responses)'!I$3:I$322)-MIN('ALL(responses)'!I$3:I$322)),3)
</f>
        <v>0.571</v>
      </c>
      <c r="J54" s="6">
        <f>ROUND(('ALL(responses)'!J55 - MIN('ALL(responses)'!J$3:J$322)) / (MAX('ALL(responses)'!J$3:J$322)-MIN('ALL(responses)'!J$3:J$322)),3)
</f>
        <v>0.75</v>
      </c>
      <c r="K54" s="6">
        <f>ROUND(('ALL(responses)'!M55 - MIN('ALL(responses)'!M$3:M$322)) / (MAX('ALL(responses)'!M$3:M$322)-MIN('ALL(responses)'!M$3:M$322)),3)
</f>
        <v>0.606</v>
      </c>
      <c r="L54" s="6">
        <f>ROUND(('ALL(responses)'!P55 - MIN('ALL(responses)'!P$3:P$322)) / (MAX('ALL(responses)'!P$3:P$322)-MIN('ALL(responses)'!P$3:P$322)),3)
</f>
        <v>0.569</v>
      </c>
      <c r="M54" s="6">
        <f>ROUND(('ALL(responses)'!Q55 - MIN('ALL(responses)'!Q$3:Q$322)) / (MAX('ALL(responses)'!Q$3:Q$322)-MIN('ALL(responses)'!Q$3:Q$322)),3)
</f>
        <v>0.519</v>
      </c>
      <c r="N54" s="6">
        <f>ROUND(('ALL(responses)'!R55 - MIN('ALL(responses)'!R$3:R$322)) / (MAX('ALL(responses)'!R$3:R$322)-MIN('ALL(responses)'!R$3:R$322)),3)
</f>
        <v>0.922</v>
      </c>
      <c r="O54" s="6">
        <f>ROUND(('ALL(responses)'!S55 - MIN('ALL(responses)'!S$3:S$322)) / (MAX('ALL(responses)'!S$3:S$322)-MIN('ALL(responses)'!S$3:S$322)),3)
</f>
        <v>0.961</v>
      </c>
      <c r="P54" s="6">
        <f>ROUND(('ALL(responses)'!T55 - MIN('ALL(responses)'!T$3:T$322)) / (MAX('ALL(responses)'!T$3:T$322)-MIN('ALL(responses)'!T$3:T$322)),3)
</f>
        <v>0.296</v>
      </c>
      <c r="Q54" s="40">
        <f t="shared" si="2"/>
        <v>0.481</v>
      </c>
    </row>
    <row r="55">
      <c r="A55" s="5" t="s">
        <v>42</v>
      </c>
      <c r="B55" s="6" t="s">
        <v>105</v>
      </c>
      <c r="C55" s="7" t="s">
        <v>49</v>
      </c>
      <c r="D55" s="7" t="s">
        <v>119</v>
      </c>
      <c r="E55" s="9">
        <v>44999.0</v>
      </c>
      <c r="F55" s="6">
        <f>ROUND(('ALL(responses)'!F55 - MIN('ALL(responses)'!F$2:F$641)) / (MAX('ALL(responses)'!F$2:F$641)-MIN('ALL(responses)'!F$2:F$641)),3)
</f>
        <v>0.125</v>
      </c>
      <c r="G55" s="6">
        <f>ROUND(('ALL(responses)'!G56 - MIN('ALL(responses)'!G$3:G$322)) / (MAX('ALL(responses)'!G$3:G$322)-MIN('ALL(responses)'!G$3:G$322)),3)
</f>
        <v>0.286</v>
      </c>
      <c r="H55" s="6">
        <f>ROUND(('ALL(responses)'!H56 - MIN('ALL(responses)'!H$3:H$322)) / (MAX('ALL(responses)'!H$3:H$322)-MIN('ALL(responses)'!H$3:H$322)),3)
</f>
        <v>0</v>
      </c>
      <c r="I55" s="6">
        <f>ROUND(('ALL(responses)'!I56 - MIN('ALL(responses)'!I$3:I$322)) / (MAX('ALL(responses)'!I$3:I$322)-MIN('ALL(responses)'!I$3:I$322)),3)
</f>
        <v>0.286</v>
      </c>
      <c r="J55" s="6">
        <f>ROUND(('ALL(responses)'!J56 - MIN('ALL(responses)'!J$3:J$322)) / (MAX('ALL(responses)'!J$3:J$322)-MIN('ALL(responses)'!J$3:J$322)),3)
</f>
        <v>0.75</v>
      </c>
      <c r="K55" s="6">
        <f>ROUND(('ALL(responses)'!M56 - MIN('ALL(responses)'!M$3:M$322)) / (MAX('ALL(responses)'!M$3:M$322)-MIN('ALL(responses)'!M$3:M$322)),3)
</f>
        <v>0.83</v>
      </c>
      <c r="L55" s="6">
        <f>ROUND(('ALL(responses)'!P56 - MIN('ALL(responses)'!P$3:P$322)) / (MAX('ALL(responses)'!P$3:P$322)-MIN('ALL(responses)'!P$3:P$322)),3)
</f>
        <v>0.572</v>
      </c>
      <c r="M55" s="6">
        <f>ROUND(('ALL(responses)'!Q56 - MIN('ALL(responses)'!Q$3:Q$322)) / (MAX('ALL(responses)'!Q$3:Q$322)-MIN('ALL(responses)'!Q$3:Q$322)),3)
</f>
        <v>0.375</v>
      </c>
      <c r="N55" s="6">
        <f>ROUND(('ALL(responses)'!R56 - MIN('ALL(responses)'!R$3:R$322)) / (MAX('ALL(responses)'!R$3:R$322)-MIN('ALL(responses)'!R$3:R$322)),3)
</f>
        <v>0.817</v>
      </c>
      <c r="O55" s="6">
        <f>ROUND(('ALL(responses)'!S56 - MIN('ALL(responses)'!S$3:S$322)) / (MAX('ALL(responses)'!S$3:S$322)-MIN('ALL(responses)'!S$3:S$322)),3)
</f>
        <v>0.909</v>
      </c>
      <c r="P55" s="6">
        <f>ROUND(('ALL(responses)'!T56 - MIN('ALL(responses)'!T$3:T$322)) / (MAX('ALL(responses)'!T$3:T$322)-MIN('ALL(responses)'!T$3:T$322)),3)
</f>
        <v>0.235</v>
      </c>
      <c r="Q55" s="40">
        <f t="shared" si="2"/>
        <v>0.481</v>
      </c>
    </row>
    <row r="56">
      <c r="A56" s="5" t="s">
        <v>42</v>
      </c>
      <c r="B56" s="6" t="s">
        <v>105</v>
      </c>
      <c r="C56" s="7" t="s">
        <v>51</v>
      </c>
      <c r="D56" s="7" t="s">
        <v>120</v>
      </c>
      <c r="E56" s="9">
        <v>44999.0</v>
      </c>
      <c r="F56" s="6">
        <f>ROUND(('ALL(responses)'!F56 - MIN('ALL(responses)'!F$2:F$641)) / (MAX('ALL(responses)'!F$2:F$641)-MIN('ALL(responses)'!F$2:F$641)),3)
</f>
        <v>0.375</v>
      </c>
      <c r="G56" s="6">
        <f>ROUND(('ALL(responses)'!G57 - MIN('ALL(responses)'!G$3:G$322)) / (MAX('ALL(responses)'!G$3:G$322)-MIN('ALL(responses)'!G$3:G$322)),3)
</f>
        <v>0</v>
      </c>
      <c r="H56" s="6">
        <f>ROUND(('ALL(responses)'!H57 - MIN('ALL(responses)'!H$3:H$322)) / (MAX('ALL(responses)'!H$3:H$322)-MIN('ALL(responses)'!H$3:H$322)),3)
</f>
        <v>0.333</v>
      </c>
      <c r="I56" s="6">
        <f>ROUND(('ALL(responses)'!I57 - MIN('ALL(responses)'!I$3:I$322)) / (MAX('ALL(responses)'!I$3:I$322)-MIN('ALL(responses)'!I$3:I$322)),3)
</f>
        <v>0.286</v>
      </c>
      <c r="J56" s="6">
        <f>ROUND(('ALL(responses)'!J57 - MIN('ALL(responses)'!J$3:J$322)) / (MAX('ALL(responses)'!J$3:J$322)-MIN('ALL(responses)'!J$3:J$322)),3)
</f>
        <v>0.25</v>
      </c>
      <c r="K56" s="6">
        <f>ROUND(('ALL(responses)'!M57 - MIN('ALL(responses)'!M$3:M$322)) / (MAX('ALL(responses)'!M$3:M$322)-MIN('ALL(responses)'!M$3:M$322)),3)
</f>
        <v>0.587</v>
      </c>
      <c r="L56" s="6">
        <f>ROUND(('ALL(responses)'!P57 - MIN('ALL(responses)'!P$3:P$322)) / (MAX('ALL(responses)'!P$3:P$322)-MIN('ALL(responses)'!P$3:P$322)),3)
</f>
        <v>0.417</v>
      </c>
      <c r="M56" s="6">
        <f>ROUND(('ALL(responses)'!Q57 - MIN('ALL(responses)'!Q$3:Q$322)) / (MAX('ALL(responses)'!Q$3:Q$322)-MIN('ALL(responses)'!Q$3:Q$322)),3)
</f>
        <v>0.549</v>
      </c>
      <c r="N56" s="6">
        <f>ROUND(('ALL(responses)'!R57 - MIN('ALL(responses)'!R$3:R$322)) / (MAX('ALL(responses)'!R$3:R$322)-MIN('ALL(responses)'!R$3:R$322)),3)
</f>
        <v>0.889</v>
      </c>
      <c r="O56" s="6">
        <f>ROUND(('ALL(responses)'!S57 - MIN('ALL(responses)'!S$3:S$322)) / (MAX('ALL(responses)'!S$3:S$322)-MIN('ALL(responses)'!S$3:S$322)),3)
</f>
        <v>0.945</v>
      </c>
      <c r="P56" s="6">
        <f>ROUND(('ALL(responses)'!T57 - MIN('ALL(responses)'!T$3:T$322)) / (MAX('ALL(responses)'!T$3:T$322)-MIN('ALL(responses)'!T$3:T$322)),3)
</f>
        <v>0.47</v>
      </c>
      <c r="Q56" s="40">
        <f t="shared" si="2"/>
        <v>0.481</v>
      </c>
    </row>
    <row r="57">
      <c r="A57" s="5" t="s">
        <v>42</v>
      </c>
      <c r="B57" s="6" t="s">
        <v>105</v>
      </c>
      <c r="C57" s="7" t="s">
        <v>53</v>
      </c>
      <c r="D57" s="7" t="s">
        <v>121</v>
      </c>
      <c r="E57" s="9">
        <v>44999.0</v>
      </c>
      <c r="F57" s="6">
        <f>ROUND(('ALL(responses)'!F57 - MIN('ALL(responses)'!F$2:F$641)) / (MAX('ALL(responses)'!F$2:F$641)-MIN('ALL(responses)'!F$2:F$641)),3)
</f>
        <v>0.125</v>
      </c>
      <c r="G57" s="6">
        <f>ROUND(('ALL(responses)'!G58 - MIN('ALL(responses)'!G$3:G$322)) / (MAX('ALL(responses)'!G$3:G$322)-MIN('ALL(responses)'!G$3:G$322)),3)
</f>
        <v>0.429</v>
      </c>
      <c r="H57" s="6">
        <f>ROUND(('ALL(responses)'!H58 - MIN('ALL(responses)'!H$3:H$322)) / (MAX('ALL(responses)'!H$3:H$322)-MIN('ALL(responses)'!H$3:H$322)),3)
</f>
        <v>0.667</v>
      </c>
      <c r="I57" s="6">
        <f>ROUND(('ALL(responses)'!I58 - MIN('ALL(responses)'!I$3:I$322)) / (MAX('ALL(responses)'!I$3:I$322)-MIN('ALL(responses)'!I$3:I$322)),3)
</f>
        <v>0.429</v>
      </c>
      <c r="J57" s="6">
        <f>ROUND(('ALL(responses)'!J58 - MIN('ALL(responses)'!J$3:J$322)) / (MAX('ALL(responses)'!J$3:J$322)-MIN('ALL(responses)'!J$3:J$322)),3)
</f>
        <v>0.5</v>
      </c>
      <c r="K57" s="6">
        <f>ROUND(('ALL(responses)'!M58 - MIN('ALL(responses)'!M$3:M$322)) / (MAX('ALL(responses)'!M$3:M$322)-MIN('ALL(responses)'!M$3:M$322)),3)
</f>
        <v>0.374</v>
      </c>
      <c r="L57" s="6">
        <f>ROUND(('ALL(responses)'!P58 - MIN('ALL(responses)'!P$3:P$322)) / (MAX('ALL(responses)'!P$3:P$322)-MIN('ALL(responses)'!P$3:P$322)),3)
</f>
        <v>0.474</v>
      </c>
      <c r="M57" s="6">
        <f>ROUND(('ALL(responses)'!Q58 - MIN('ALL(responses)'!Q$3:Q$322)) / (MAX('ALL(responses)'!Q$3:Q$322)-MIN('ALL(responses)'!Q$3:Q$322)),3)
</f>
        <v>0.427</v>
      </c>
      <c r="N57" s="6">
        <f>ROUND(('ALL(responses)'!R58 - MIN('ALL(responses)'!R$3:R$322)) / (MAX('ALL(responses)'!R$3:R$322)-MIN('ALL(responses)'!R$3:R$322)),3)
</f>
        <v>0.868</v>
      </c>
      <c r="O57" s="6">
        <f>ROUND(('ALL(responses)'!S58 - MIN('ALL(responses)'!S$3:S$322)) / (MAX('ALL(responses)'!S$3:S$322)-MIN('ALL(responses)'!S$3:S$322)),3)
</f>
        <v>0.934</v>
      </c>
      <c r="P57" s="6">
        <f>ROUND(('ALL(responses)'!T58 - MIN('ALL(responses)'!T$3:T$322)) / (MAX('ALL(responses)'!T$3:T$322)-MIN('ALL(responses)'!T$3:T$322)),3)
</f>
        <v>0.452</v>
      </c>
      <c r="Q57" s="40">
        <f t="shared" si="2"/>
        <v>0.481</v>
      </c>
    </row>
    <row r="58">
      <c r="A58" s="5" t="s">
        <v>42</v>
      </c>
      <c r="B58" s="6" t="s">
        <v>105</v>
      </c>
      <c r="C58" s="7" t="s">
        <v>55</v>
      </c>
      <c r="D58" s="7" t="s">
        <v>122</v>
      </c>
      <c r="E58" s="9">
        <v>44999.0</v>
      </c>
      <c r="F58" s="6">
        <f>ROUND(('ALL(responses)'!F58 - MIN('ALL(responses)'!F$2:F$641)) / (MAX('ALL(responses)'!F$2:F$641)-MIN('ALL(responses)'!F$2:F$641)),3)
</f>
        <v>0.375</v>
      </c>
      <c r="G58" s="6">
        <f>ROUND(('ALL(responses)'!G59 - MIN('ALL(responses)'!G$3:G$322)) / (MAX('ALL(responses)'!G$3:G$322)-MIN('ALL(responses)'!G$3:G$322)),3)
</f>
        <v>0.143</v>
      </c>
      <c r="H58" s="6">
        <f>ROUND(('ALL(responses)'!H59 - MIN('ALL(responses)'!H$3:H$322)) / (MAX('ALL(responses)'!H$3:H$322)-MIN('ALL(responses)'!H$3:H$322)),3)
</f>
        <v>0.167</v>
      </c>
      <c r="I58" s="6">
        <f>ROUND(('ALL(responses)'!I59 - MIN('ALL(responses)'!I$3:I$322)) / (MAX('ALL(responses)'!I$3:I$322)-MIN('ALL(responses)'!I$3:I$322)),3)
</f>
        <v>0.143</v>
      </c>
      <c r="J58" s="6">
        <f>ROUND(('ALL(responses)'!J59 - MIN('ALL(responses)'!J$3:J$322)) / (MAX('ALL(responses)'!J$3:J$322)-MIN('ALL(responses)'!J$3:J$322)),3)
</f>
        <v>0</v>
      </c>
      <c r="K58" s="6">
        <f>ROUND(('ALL(responses)'!M59 - MIN('ALL(responses)'!M$3:M$322)) / (MAX('ALL(responses)'!M$3:M$322)-MIN('ALL(responses)'!M$3:M$322)),3)
</f>
        <v>0.532</v>
      </c>
      <c r="L58" s="6">
        <f>ROUND(('ALL(responses)'!P59 - MIN('ALL(responses)'!P$3:P$322)) / (MAX('ALL(responses)'!P$3:P$322)-MIN('ALL(responses)'!P$3:P$322)),3)
</f>
        <v>0.72</v>
      </c>
      <c r="M58" s="6">
        <f>ROUND(('ALL(responses)'!Q59 - MIN('ALL(responses)'!Q$3:Q$322)) / (MAX('ALL(responses)'!Q$3:Q$322)-MIN('ALL(responses)'!Q$3:Q$322)),3)
</f>
        <v>0.6</v>
      </c>
      <c r="N58" s="6">
        <f>ROUND(('ALL(responses)'!R59 - MIN('ALL(responses)'!R$3:R$322)) / (MAX('ALL(responses)'!R$3:R$322)-MIN('ALL(responses)'!R$3:R$322)),3)
</f>
        <v>0.933</v>
      </c>
      <c r="O58" s="6">
        <f>ROUND(('ALL(responses)'!S59 - MIN('ALL(responses)'!S$3:S$322)) / (MAX('ALL(responses)'!S$3:S$322)-MIN('ALL(responses)'!S$3:S$322)),3)
</f>
        <v>0.967</v>
      </c>
      <c r="P58" s="6">
        <f>ROUND(('ALL(responses)'!T59 - MIN('ALL(responses)'!T$3:T$322)) / (MAX('ALL(responses)'!T$3:T$322)-MIN('ALL(responses)'!T$3:T$322)),3)
</f>
        <v>0.321</v>
      </c>
      <c r="Q58" s="40">
        <f t="shared" si="2"/>
        <v>0.481</v>
      </c>
    </row>
    <row r="59">
      <c r="A59" s="5" t="s">
        <v>42</v>
      </c>
      <c r="B59" s="6" t="s">
        <v>105</v>
      </c>
      <c r="C59" s="7" t="s">
        <v>57</v>
      </c>
      <c r="D59" s="7" t="s">
        <v>123</v>
      </c>
      <c r="E59" s="9">
        <v>44999.0</v>
      </c>
      <c r="F59" s="6">
        <f>ROUND(('ALL(responses)'!F59 - MIN('ALL(responses)'!F$2:F$641)) / (MAX('ALL(responses)'!F$2:F$641)-MIN('ALL(responses)'!F$2:F$641)),3)
</f>
        <v>0.5</v>
      </c>
      <c r="G59" s="6">
        <f>ROUND(('ALL(responses)'!G60 - MIN('ALL(responses)'!G$3:G$322)) / (MAX('ALL(responses)'!G$3:G$322)-MIN('ALL(responses)'!G$3:G$322)),3)
</f>
        <v>0.429</v>
      </c>
      <c r="H59" s="6">
        <f>ROUND(('ALL(responses)'!H60 - MIN('ALL(responses)'!H$3:H$322)) / (MAX('ALL(responses)'!H$3:H$322)-MIN('ALL(responses)'!H$3:H$322)),3)
</f>
        <v>0.167</v>
      </c>
      <c r="I59" s="6">
        <f>ROUND(('ALL(responses)'!I60 - MIN('ALL(responses)'!I$3:I$322)) / (MAX('ALL(responses)'!I$3:I$322)-MIN('ALL(responses)'!I$3:I$322)),3)
</f>
        <v>0.143</v>
      </c>
      <c r="J59" s="6">
        <f>ROUND(('ALL(responses)'!J60 - MIN('ALL(responses)'!J$3:J$322)) / (MAX('ALL(responses)'!J$3:J$322)-MIN('ALL(responses)'!J$3:J$322)),3)
</f>
        <v>1</v>
      </c>
      <c r="K59" s="6">
        <f>ROUND(('ALL(responses)'!M60 - MIN('ALL(responses)'!M$3:M$322)) / (MAX('ALL(responses)'!M$3:M$322)-MIN('ALL(responses)'!M$3:M$322)),3)
</f>
        <v>0.613</v>
      </c>
      <c r="L59" s="6">
        <f>ROUND(('ALL(responses)'!P60 - MIN('ALL(responses)'!P$3:P$322)) / (MAX('ALL(responses)'!P$3:P$322)-MIN('ALL(responses)'!P$3:P$322)),3)
</f>
        <v>0.814</v>
      </c>
      <c r="M59" s="6">
        <f>ROUND(('ALL(responses)'!Q60 - MIN('ALL(responses)'!Q$3:Q$322)) / (MAX('ALL(responses)'!Q$3:Q$322)-MIN('ALL(responses)'!Q$3:Q$322)),3)
</f>
        <v>0.371</v>
      </c>
      <c r="N59" s="6">
        <f>ROUND(('ALL(responses)'!R60 - MIN('ALL(responses)'!R$3:R$322)) / (MAX('ALL(responses)'!R$3:R$322)-MIN('ALL(responses)'!R$3:R$322)),3)
</f>
        <v>0.888</v>
      </c>
      <c r="O59" s="6">
        <f>ROUND(('ALL(responses)'!S60 - MIN('ALL(responses)'!S$3:S$322)) / (MAX('ALL(responses)'!S$3:S$322)-MIN('ALL(responses)'!S$3:S$322)),3)
</f>
        <v>0.944</v>
      </c>
      <c r="P59" s="6">
        <f>ROUND(('ALL(responses)'!T60 - MIN('ALL(responses)'!T$3:T$322)) / (MAX('ALL(responses)'!T$3:T$322)-MIN('ALL(responses)'!T$3:T$322)),3)
</f>
        <v>0.371</v>
      </c>
      <c r="Q59" s="40">
        <f t="shared" si="2"/>
        <v>0.481</v>
      </c>
    </row>
    <row r="60">
      <c r="A60" s="5" t="s">
        <v>42</v>
      </c>
      <c r="B60" s="6" t="s">
        <v>105</v>
      </c>
      <c r="C60" s="7" t="s">
        <v>59</v>
      </c>
      <c r="D60" s="7" t="s">
        <v>124</v>
      </c>
      <c r="E60" s="9">
        <v>44999.0</v>
      </c>
      <c r="F60" s="6">
        <f>ROUND(('ALL(responses)'!F60 - MIN('ALL(responses)'!F$2:F$641)) / (MAX('ALL(responses)'!F$2:F$641)-MIN('ALL(responses)'!F$2:F$641)),3)
</f>
        <v>0</v>
      </c>
      <c r="G60" s="6">
        <f>ROUND(('ALL(responses)'!G61 - MIN('ALL(responses)'!G$3:G$322)) / (MAX('ALL(responses)'!G$3:G$322)-MIN('ALL(responses)'!G$3:G$322)),3)
</f>
        <v>0.143</v>
      </c>
      <c r="H60" s="6">
        <f>ROUND(('ALL(responses)'!H61 - MIN('ALL(responses)'!H$3:H$322)) / (MAX('ALL(responses)'!H$3:H$322)-MIN('ALL(responses)'!H$3:H$322)),3)
</f>
        <v>0</v>
      </c>
      <c r="I60" s="6">
        <f>ROUND(('ALL(responses)'!I61 - MIN('ALL(responses)'!I$3:I$322)) / (MAX('ALL(responses)'!I$3:I$322)-MIN('ALL(responses)'!I$3:I$322)),3)
</f>
        <v>0.571</v>
      </c>
      <c r="J60" s="6">
        <f>ROUND(('ALL(responses)'!J61 - MIN('ALL(responses)'!J$3:J$322)) / (MAX('ALL(responses)'!J$3:J$322)-MIN('ALL(responses)'!J$3:J$322)),3)
</f>
        <v>0</v>
      </c>
      <c r="K60" s="6">
        <f>ROUND(('ALL(responses)'!M61 - MIN('ALL(responses)'!M$3:M$322)) / (MAX('ALL(responses)'!M$3:M$322)-MIN('ALL(responses)'!M$3:M$322)),3)
</f>
        <v>0.798</v>
      </c>
      <c r="L60" s="6">
        <f>ROUND(('ALL(responses)'!P61 - MIN('ALL(responses)'!P$3:P$322)) / (MAX('ALL(responses)'!P$3:P$322)-MIN('ALL(responses)'!P$3:P$322)),3)
</f>
        <v>0.5</v>
      </c>
      <c r="M60" s="6">
        <f>ROUND(('ALL(responses)'!Q61 - MIN('ALL(responses)'!Q$3:Q$322)) / (MAX('ALL(responses)'!Q$3:Q$322)-MIN('ALL(responses)'!Q$3:Q$322)),3)
</f>
        <v>0.529</v>
      </c>
      <c r="N60" s="6">
        <f>ROUND(('ALL(responses)'!R61 - MIN('ALL(responses)'!R$3:R$322)) / (MAX('ALL(responses)'!R$3:R$322)-MIN('ALL(responses)'!R$3:R$322)),3)
</f>
        <v>0.987</v>
      </c>
      <c r="O60" s="6">
        <f>ROUND(('ALL(responses)'!S61 - MIN('ALL(responses)'!S$3:S$322)) / (MAX('ALL(responses)'!S$3:S$322)-MIN('ALL(responses)'!S$3:S$322)),3)
</f>
        <v>0.994</v>
      </c>
      <c r="P60" s="6">
        <f>ROUND(('ALL(responses)'!T61 - MIN('ALL(responses)'!T$3:T$322)) / (MAX('ALL(responses)'!T$3:T$322)-MIN('ALL(responses)'!T$3:T$322)),3)
</f>
        <v>0.342</v>
      </c>
      <c r="Q60" s="40">
        <f t="shared" si="2"/>
        <v>0.481</v>
      </c>
    </row>
    <row r="61">
      <c r="A61" s="5" t="s">
        <v>42</v>
      </c>
      <c r="B61" s="6" t="s">
        <v>105</v>
      </c>
      <c r="C61" s="7" t="s">
        <v>61</v>
      </c>
      <c r="D61" s="7" t="s">
        <v>125</v>
      </c>
      <c r="E61" s="9">
        <v>44999.0</v>
      </c>
      <c r="F61" s="6">
        <f>ROUND(('ALL(responses)'!F61 - MIN('ALL(responses)'!F$2:F$641)) / (MAX('ALL(responses)'!F$2:F$641)-MIN('ALL(responses)'!F$2:F$641)),3)
</f>
        <v>0.375</v>
      </c>
      <c r="G61" s="6">
        <f>ROUND(('ALL(responses)'!G62 - MIN('ALL(responses)'!G$3:G$322)) / (MAX('ALL(responses)'!G$3:G$322)-MIN('ALL(responses)'!G$3:G$322)),3)
</f>
        <v>0.143</v>
      </c>
      <c r="H61" s="6">
        <f>ROUND(('ALL(responses)'!H62 - MIN('ALL(responses)'!H$3:H$322)) / (MAX('ALL(responses)'!H$3:H$322)-MIN('ALL(responses)'!H$3:H$322)),3)
</f>
        <v>0.5</v>
      </c>
      <c r="I61" s="6">
        <f>ROUND(('ALL(responses)'!I62 - MIN('ALL(responses)'!I$3:I$322)) / (MAX('ALL(responses)'!I$3:I$322)-MIN('ALL(responses)'!I$3:I$322)),3)
</f>
        <v>0</v>
      </c>
      <c r="J61" s="6">
        <f>ROUND(('ALL(responses)'!J62 - MIN('ALL(responses)'!J$3:J$322)) / (MAX('ALL(responses)'!J$3:J$322)-MIN('ALL(responses)'!J$3:J$322)),3)
</f>
        <v>0</v>
      </c>
      <c r="K61" s="6">
        <f>ROUND(('ALL(responses)'!M62 - MIN('ALL(responses)'!M$3:M$322)) / (MAX('ALL(responses)'!M$3:M$322)-MIN('ALL(responses)'!M$3:M$322)),3)
</f>
        <v>0.507</v>
      </c>
      <c r="L61" s="6">
        <f>ROUND(('ALL(responses)'!P62 - MIN('ALL(responses)'!P$3:P$322)) / (MAX('ALL(responses)'!P$3:P$322)-MIN('ALL(responses)'!P$3:P$322)),3)
</f>
        <v>0.432</v>
      </c>
      <c r="M61" s="6">
        <f>ROUND(('ALL(responses)'!Q62 - MIN('ALL(responses)'!Q$3:Q$322)) / (MAX('ALL(responses)'!Q$3:Q$322)-MIN('ALL(responses)'!Q$3:Q$322)),3)
</f>
        <v>0.346</v>
      </c>
      <c r="N61" s="6">
        <f>ROUND(('ALL(responses)'!R62 - MIN('ALL(responses)'!R$3:R$322)) / (MAX('ALL(responses)'!R$3:R$322)-MIN('ALL(responses)'!R$3:R$322)),3)
</f>
        <v>0.595</v>
      </c>
      <c r="O61" s="6">
        <f>ROUND(('ALL(responses)'!S62 - MIN('ALL(responses)'!S$3:S$322)) / (MAX('ALL(responses)'!S$3:S$322)-MIN('ALL(responses)'!S$3:S$322)),3)
</f>
        <v>0.202</v>
      </c>
      <c r="P61" s="6">
        <f>ROUND(('ALL(responses)'!T62 - MIN('ALL(responses)'!T$3:T$322)) / (MAX('ALL(responses)'!T$3:T$322)-MIN('ALL(responses)'!T$3:T$322)),3)
</f>
        <v>0.502</v>
      </c>
      <c r="Q61" s="40">
        <f t="shared" si="2"/>
        <v>0.481</v>
      </c>
    </row>
    <row r="62">
      <c r="A62" s="5" t="s">
        <v>63</v>
      </c>
      <c r="B62" s="6" t="s">
        <v>105</v>
      </c>
      <c r="C62" s="7" t="s">
        <v>64</v>
      </c>
      <c r="D62" s="7" t="s">
        <v>126</v>
      </c>
      <c r="E62" s="9">
        <v>44999.0</v>
      </c>
      <c r="F62" s="6">
        <f>ROUND(('ALL(responses)'!F62 - MIN('ALL(responses)'!F$2:F$641)) / (MAX('ALL(responses)'!F$2:F$641)-MIN('ALL(responses)'!F$2:F$641)),3)
</f>
        <v>0.125</v>
      </c>
      <c r="G62" s="6">
        <f>ROUND(('ALL(responses)'!G63 - MIN('ALL(responses)'!G$3:G$322)) / (MAX('ALL(responses)'!G$3:G$322)-MIN('ALL(responses)'!G$3:G$322)),3)
</f>
        <v>0.429</v>
      </c>
      <c r="H62" s="6">
        <f>ROUND(('ALL(responses)'!H63 - MIN('ALL(responses)'!H$3:H$322)) / (MAX('ALL(responses)'!H$3:H$322)-MIN('ALL(responses)'!H$3:H$322)),3)
</f>
        <v>0</v>
      </c>
      <c r="I62" s="6">
        <f>ROUND(('ALL(responses)'!I63 - MIN('ALL(responses)'!I$3:I$322)) / (MAX('ALL(responses)'!I$3:I$322)-MIN('ALL(responses)'!I$3:I$322)),3)
</f>
        <v>0.571</v>
      </c>
      <c r="J62" s="6">
        <f>ROUND(('ALL(responses)'!J63 - MIN('ALL(responses)'!J$3:J$322)) / (MAX('ALL(responses)'!J$3:J$322)-MIN('ALL(responses)'!J$3:J$322)),3)
</f>
        <v>0.5</v>
      </c>
      <c r="K62" s="6">
        <f>ROUND(('ALL(responses)'!M63 - MIN('ALL(responses)'!M$3:M$322)) / (MAX('ALL(responses)'!M$3:M$322)-MIN('ALL(responses)'!M$3:M$322)),3)
</f>
        <v>0.827</v>
      </c>
      <c r="L62" s="6">
        <f>ROUND(('ALL(responses)'!P63 - MIN('ALL(responses)'!P$3:P$322)) / (MAX('ALL(responses)'!P$3:P$322)-MIN('ALL(responses)'!P$3:P$322)),3)
</f>
        <v>0.817</v>
      </c>
      <c r="M62" s="6">
        <f>ROUND(('ALL(responses)'!Q63 - MIN('ALL(responses)'!Q$3:Q$322)) / (MAX('ALL(responses)'!Q$3:Q$322)-MIN('ALL(responses)'!Q$3:Q$322)),3)
</f>
        <v>0.551</v>
      </c>
      <c r="N62" s="6">
        <f>ROUND(('ALL(responses)'!R63 - MIN('ALL(responses)'!R$3:R$322)) / (MAX('ALL(responses)'!R$3:R$322)-MIN('ALL(responses)'!R$3:R$322)),3)
</f>
        <v>0.933</v>
      </c>
      <c r="O62" s="6">
        <f>ROUND(('ALL(responses)'!S63 - MIN('ALL(responses)'!S$3:S$322)) / (MAX('ALL(responses)'!S$3:S$322)-MIN('ALL(responses)'!S$3:S$322)),3)
</f>
        <v>0.033</v>
      </c>
      <c r="P62" s="6">
        <f>ROUND(('ALL(responses)'!T63 - MIN('ALL(responses)'!T$3:T$322)) / (MAX('ALL(responses)'!T$3:T$322)-MIN('ALL(responses)'!T$3:T$322)),3)
</f>
        <v>0.515</v>
      </c>
      <c r="Q62" s="40">
        <f t="shared" si="2"/>
        <v>0.481</v>
      </c>
    </row>
    <row r="63">
      <c r="A63" s="5" t="s">
        <v>63</v>
      </c>
      <c r="B63" s="6" t="s">
        <v>105</v>
      </c>
      <c r="C63" s="7" t="s">
        <v>66</v>
      </c>
      <c r="D63" s="7" t="s">
        <v>127</v>
      </c>
      <c r="E63" s="9">
        <v>44999.0</v>
      </c>
      <c r="F63" s="6">
        <f>ROUND(('ALL(responses)'!F63 - MIN('ALL(responses)'!F$2:F$641)) / (MAX('ALL(responses)'!F$2:F$641)-MIN('ALL(responses)'!F$2:F$641)),3)
</f>
        <v>0.5</v>
      </c>
      <c r="G63" s="6">
        <f>ROUND(('ALL(responses)'!G64 - MIN('ALL(responses)'!G$3:G$322)) / (MAX('ALL(responses)'!G$3:G$322)-MIN('ALL(responses)'!G$3:G$322)),3)
</f>
        <v>0.571</v>
      </c>
      <c r="H63" s="6">
        <f>ROUND(('ALL(responses)'!H64 - MIN('ALL(responses)'!H$3:H$322)) / (MAX('ALL(responses)'!H$3:H$322)-MIN('ALL(responses)'!H$3:H$322)),3)
</f>
        <v>0.5</v>
      </c>
      <c r="I63" s="6">
        <f>ROUND(('ALL(responses)'!I64 - MIN('ALL(responses)'!I$3:I$322)) / (MAX('ALL(responses)'!I$3:I$322)-MIN('ALL(responses)'!I$3:I$322)),3)
</f>
        <v>0.429</v>
      </c>
      <c r="J63" s="6">
        <f>ROUND(('ALL(responses)'!J64 - MIN('ALL(responses)'!J$3:J$322)) / (MAX('ALL(responses)'!J$3:J$322)-MIN('ALL(responses)'!J$3:J$322)),3)
</f>
        <v>0</v>
      </c>
      <c r="K63" s="6">
        <f>ROUND(('ALL(responses)'!M64 - MIN('ALL(responses)'!M$3:M$322)) / (MAX('ALL(responses)'!M$3:M$322)-MIN('ALL(responses)'!M$3:M$322)),3)
</f>
        <v>0.63</v>
      </c>
      <c r="L63" s="6">
        <f>ROUND(('ALL(responses)'!P64 - MIN('ALL(responses)'!P$3:P$322)) / (MAX('ALL(responses)'!P$3:P$322)-MIN('ALL(responses)'!P$3:P$322)),3)
</f>
        <v>0.676</v>
      </c>
      <c r="M63" s="6">
        <f>ROUND(('ALL(responses)'!Q64 - MIN('ALL(responses)'!Q$3:Q$322)) / (MAX('ALL(responses)'!Q$3:Q$322)-MIN('ALL(responses)'!Q$3:Q$322)),3)
</f>
        <v>0.545</v>
      </c>
      <c r="N63" s="6">
        <f>ROUND(('ALL(responses)'!R64 - MIN('ALL(responses)'!R$3:R$322)) / (MAX('ALL(responses)'!R$3:R$322)-MIN('ALL(responses)'!R$3:R$322)),3)
</f>
        <v>0.62</v>
      </c>
      <c r="O63" s="6">
        <f>ROUND(('ALL(responses)'!S64 - MIN('ALL(responses)'!S$3:S$322)) / (MAX('ALL(responses)'!S$3:S$322)-MIN('ALL(responses)'!S$3:S$322)),3)
</f>
        <v>0.81</v>
      </c>
      <c r="P63" s="6">
        <f>ROUND(('ALL(responses)'!T64 - MIN('ALL(responses)'!T$3:T$322)) / (MAX('ALL(responses)'!T$3:T$322)-MIN('ALL(responses)'!T$3:T$322)),3)
</f>
        <v>0.574</v>
      </c>
      <c r="Q63" s="40">
        <f t="shared" si="2"/>
        <v>0.481</v>
      </c>
    </row>
    <row r="64">
      <c r="A64" s="5" t="s">
        <v>63</v>
      </c>
      <c r="B64" s="6" t="s">
        <v>105</v>
      </c>
      <c r="C64" s="7" t="s">
        <v>68</v>
      </c>
      <c r="D64" s="7" t="s">
        <v>128</v>
      </c>
      <c r="E64" s="9">
        <v>44999.0</v>
      </c>
      <c r="F64" s="6">
        <f>ROUND(('ALL(responses)'!F64 - MIN('ALL(responses)'!F$2:F$641)) / (MAX('ALL(responses)'!F$2:F$641)-MIN('ALL(responses)'!F$2:F$641)),3)
</f>
        <v>0.375</v>
      </c>
      <c r="G64" s="6">
        <f>ROUND(('ALL(responses)'!G65 - MIN('ALL(responses)'!G$3:G$322)) / (MAX('ALL(responses)'!G$3:G$322)-MIN('ALL(responses)'!G$3:G$322)),3)
</f>
        <v>0.143</v>
      </c>
      <c r="H64" s="6">
        <f>ROUND(('ALL(responses)'!H65 - MIN('ALL(responses)'!H$3:H$322)) / (MAX('ALL(responses)'!H$3:H$322)-MIN('ALL(responses)'!H$3:H$322)),3)
</f>
        <v>0.167</v>
      </c>
      <c r="I64" s="6">
        <f>ROUND(('ALL(responses)'!I65 - MIN('ALL(responses)'!I$3:I$322)) / (MAX('ALL(responses)'!I$3:I$322)-MIN('ALL(responses)'!I$3:I$322)),3)
</f>
        <v>0.429</v>
      </c>
      <c r="J64" s="6">
        <f>ROUND(('ALL(responses)'!J65 - MIN('ALL(responses)'!J$3:J$322)) / (MAX('ALL(responses)'!J$3:J$322)-MIN('ALL(responses)'!J$3:J$322)),3)
</f>
        <v>0.25</v>
      </c>
      <c r="K64" s="6">
        <f>ROUND(('ALL(responses)'!M65 - MIN('ALL(responses)'!M$3:M$322)) / (MAX('ALL(responses)'!M$3:M$322)-MIN('ALL(responses)'!M$3:M$322)),3)
</f>
        <v>0.822</v>
      </c>
      <c r="L64" s="6">
        <f>ROUND(('ALL(responses)'!P65 - MIN('ALL(responses)'!P$3:P$322)) / (MAX('ALL(responses)'!P$3:P$322)-MIN('ALL(responses)'!P$3:P$322)),3)
</f>
        <v>0.343</v>
      </c>
      <c r="M64" s="6">
        <f>ROUND(('ALL(responses)'!Q65 - MIN('ALL(responses)'!Q$3:Q$322)) / (MAX('ALL(responses)'!Q$3:Q$322)-MIN('ALL(responses)'!Q$3:Q$322)),3)
</f>
        <v>0.485</v>
      </c>
      <c r="N64" s="6">
        <f>ROUND(('ALL(responses)'!R65 - MIN('ALL(responses)'!R$3:R$322)) / (MAX('ALL(responses)'!R$3:R$322)-MIN('ALL(responses)'!R$3:R$322)),3)
</f>
        <v>0.975</v>
      </c>
      <c r="O64" s="6">
        <f>ROUND(('ALL(responses)'!S65 - MIN('ALL(responses)'!S$3:S$322)) / (MAX('ALL(responses)'!S$3:S$322)-MIN('ALL(responses)'!S$3:S$322)),3)
</f>
        <v>0.988</v>
      </c>
      <c r="P64" s="6">
        <f>ROUND(('ALL(responses)'!T65 - MIN('ALL(responses)'!T$3:T$322)) / (MAX('ALL(responses)'!T$3:T$322)-MIN('ALL(responses)'!T$3:T$322)),3)
</f>
        <v>0.608</v>
      </c>
      <c r="Q64" s="40">
        <f t="shared" si="2"/>
        <v>0.481</v>
      </c>
    </row>
    <row r="65">
      <c r="A65" s="5" t="s">
        <v>63</v>
      </c>
      <c r="B65" s="6" t="s">
        <v>105</v>
      </c>
      <c r="C65" s="7" t="s">
        <v>70</v>
      </c>
      <c r="D65" s="7" t="s">
        <v>129</v>
      </c>
      <c r="E65" s="9">
        <v>44999.0</v>
      </c>
      <c r="F65" s="6">
        <f>ROUND(('ALL(responses)'!F65 - MIN('ALL(responses)'!F$2:F$641)) / (MAX('ALL(responses)'!F$2:F$641)-MIN('ALL(responses)'!F$2:F$641)),3)
</f>
        <v>0</v>
      </c>
      <c r="G65" s="6">
        <f>ROUND(('ALL(responses)'!G66 - MIN('ALL(responses)'!G$3:G$322)) / (MAX('ALL(responses)'!G$3:G$322)-MIN('ALL(responses)'!G$3:G$322)),3)
</f>
        <v>0.143</v>
      </c>
      <c r="H65" s="6">
        <f>ROUND(('ALL(responses)'!H66 - MIN('ALL(responses)'!H$3:H$322)) / (MAX('ALL(responses)'!H$3:H$322)-MIN('ALL(responses)'!H$3:H$322)),3)
</f>
        <v>0</v>
      </c>
      <c r="I65" s="6">
        <f>ROUND(('ALL(responses)'!I66 - MIN('ALL(responses)'!I$3:I$322)) / (MAX('ALL(responses)'!I$3:I$322)-MIN('ALL(responses)'!I$3:I$322)),3)
</f>
        <v>0.429</v>
      </c>
      <c r="J65" s="6">
        <f>ROUND(('ALL(responses)'!J66 - MIN('ALL(responses)'!J$3:J$322)) / (MAX('ALL(responses)'!J$3:J$322)-MIN('ALL(responses)'!J$3:J$322)),3)
</f>
        <v>0.25</v>
      </c>
      <c r="K65" s="6">
        <f>ROUND(('ALL(responses)'!M66 - MIN('ALL(responses)'!M$3:M$322)) / (MAX('ALL(responses)'!M$3:M$322)-MIN('ALL(responses)'!M$3:M$322)),3)
</f>
        <v>0.847</v>
      </c>
      <c r="L65" s="6">
        <f>ROUND(('ALL(responses)'!P66 - MIN('ALL(responses)'!P$3:P$322)) / (MAX('ALL(responses)'!P$3:P$322)-MIN('ALL(responses)'!P$3:P$322)),3)
</f>
        <v>0.443</v>
      </c>
      <c r="M65" s="6">
        <f>ROUND(('ALL(responses)'!Q66 - MIN('ALL(responses)'!Q$3:Q$322)) / (MAX('ALL(responses)'!Q$3:Q$322)-MIN('ALL(responses)'!Q$3:Q$322)),3)
</f>
        <v>0.36</v>
      </c>
      <c r="N65" s="6">
        <f>ROUND(('ALL(responses)'!R66 - MIN('ALL(responses)'!R$3:R$322)) / (MAX('ALL(responses)'!R$3:R$322)-MIN('ALL(responses)'!R$3:R$322)),3)
</f>
        <v>0.96</v>
      </c>
      <c r="O65" s="6">
        <f>ROUND(('ALL(responses)'!S66 - MIN('ALL(responses)'!S$3:S$322)) / (MAX('ALL(responses)'!S$3:S$322)-MIN('ALL(responses)'!S$3:S$322)),3)
</f>
        <v>0.98</v>
      </c>
      <c r="P65" s="6">
        <f>ROUND(('ALL(responses)'!T66 - MIN('ALL(responses)'!T$3:T$322)) / (MAX('ALL(responses)'!T$3:T$322)-MIN('ALL(responses)'!T$3:T$322)),3)
</f>
        <v>0.598</v>
      </c>
      <c r="Q65" s="40">
        <f t="shared" si="2"/>
        <v>0.481</v>
      </c>
    </row>
    <row r="66">
      <c r="A66" s="5" t="s">
        <v>63</v>
      </c>
      <c r="B66" s="6" t="s">
        <v>105</v>
      </c>
      <c r="C66" s="7" t="s">
        <v>72</v>
      </c>
      <c r="D66" s="7" t="s">
        <v>130</v>
      </c>
      <c r="E66" s="9">
        <v>44999.0</v>
      </c>
      <c r="F66" s="6">
        <f>ROUND(('ALL(responses)'!F66 - MIN('ALL(responses)'!F$2:F$641)) / (MAX('ALL(responses)'!F$2:F$641)-MIN('ALL(responses)'!F$2:F$641)),3)
</f>
        <v>0</v>
      </c>
      <c r="G66" s="6">
        <f>ROUND(('ALL(responses)'!G67 - MIN('ALL(responses)'!G$3:G$322)) / (MAX('ALL(responses)'!G$3:G$322)-MIN('ALL(responses)'!G$3:G$322)),3)
</f>
        <v>0.429</v>
      </c>
      <c r="H66" s="6">
        <f>ROUND(('ALL(responses)'!H67 - MIN('ALL(responses)'!H$3:H$322)) / (MAX('ALL(responses)'!H$3:H$322)-MIN('ALL(responses)'!H$3:H$322)),3)
</f>
        <v>0.667</v>
      </c>
      <c r="I66" s="6">
        <f>ROUND(('ALL(responses)'!I67 - MIN('ALL(responses)'!I$3:I$322)) / (MAX('ALL(responses)'!I$3:I$322)-MIN('ALL(responses)'!I$3:I$322)),3)
</f>
        <v>0.429</v>
      </c>
      <c r="J66" s="6">
        <f>ROUND(('ALL(responses)'!J67 - MIN('ALL(responses)'!J$3:J$322)) / (MAX('ALL(responses)'!J$3:J$322)-MIN('ALL(responses)'!J$3:J$322)),3)
</f>
        <v>0.75</v>
      </c>
      <c r="K66" s="6">
        <f>ROUND(('ALL(responses)'!M67 - MIN('ALL(responses)'!M$3:M$322)) / (MAX('ALL(responses)'!M$3:M$322)-MIN('ALL(responses)'!M$3:M$322)),3)
</f>
        <v>1</v>
      </c>
      <c r="L66" s="6">
        <f>ROUND(('ALL(responses)'!P67 - MIN('ALL(responses)'!P$3:P$322)) / (MAX('ALL(responses)'!P$3:P$322)-MIN('ALL(responses)'!P$3:P$322)),3)
</f>
        <v>0.427</v>
      </c>
      <c r="M66" s="6">
        <f>ROUND(('ALL(responses)'!Q67 - MIN('ALL(responses)'!Q$3:Q$322)) / (MAX('ALL(responses)'!Q$3:Q$322)-MIN('ALL(responses)'!Q$3:Q$322)),3)
</f>
        <v>0.5</v>
      </c>
      <c r="N66" s="6">
        <f>ROUND(('ALL(responses)'!R67 - MIN('ALL(responses)'!R$3:R$322)) / (MAX('ALL(responses)'!R$3:R$322)-MIN('ALL(responses)'!R$3:R$322)),3)
</f>
        <v>0.987</v>
      </c>
      <c r="O66" s="6">
        <f>ROUND(('ALL(responses)'!S67 - MIN('ALL(responses)'!S$3:S$322)) / (MAX('ALL(responses)'!S$3:S$322)-MIN('ALL(responses)'!S$3:S$322)),3)
</f>
        <v>0.994</v>
      </c>
      <c r="P66" s="6">
        <f>ROUND(('ALL(responses)'!T67 - MIN('ALL(responses)'!T$3:T$322)) / (MAX('ALL(responses)'!T$3:T$322)-MIN('ALL(responses)'!T$3:T$322)),3)
</f>
        <v>0.362</v>
      </c>
      <c r="Q66" s="40">
        <f t="shared" si="2"/>
        <v>0.481</v>
      </c>
    </row>
    <row r="67">
      <c r="A67" s="5" t="s">
        <v>63</v>
      </c>
      <c r="B67" s="6" t="s">
        <v>105</v>
      </c>
      <c r="C67" s="7" t="s">
        <v>74</v>
      </c>
      <c r="D67" s="7" t="s">
        <v>131</v>
      </c>
      <c r="E67" s="9">
        <v>44999.0</v>
      </c>
      <c r="F67" s="6">
        <f>ROUND(('ALL(responses)'!F67 - MIN('ALL(responses)'!F$2:F$641)) / (MAX('ALL(responses)'!F$2:F$641)-MIN('ALL(responses)'!F$2:F$641)),3)
</f>
        <v>0.25</v>
      </c>
      <c r="G67" s="6">
        <f>ROUND(('ALL(responses)'!G68 - MIN('ALL(responses)'!G$3:G$322)) / (MAX('ALL(responses)'!G$3:G$322)-MIN('ALL(responses)'!G$3:G$322)),3)
</f>
        <v>0.143</v>
      </c>
      <c r="H67" s="6">
        <f>ROUND(('ALL(responses)'!H68 - MIN('ALL(responses)'!H$3:H$322)) / (MAX('ALL(responses)'!H$3:H$322)-MIN('ALL(responses)'!H$3:H$322)),3)
</f>
        <v>0.333</v>
      </c>
      <c r="I67" s="6">
        <f>ROUND(('ALL(responses)'!I68 - MIN('ALL(responses)'!I$3:I$322)) / (MAX('ALL(responses)'!I$3:I$322)-MIN('ALL(responses)'!I$3:I$322)),3)
</f>
        <v>0.429</v>
      </c>
      <c r="J67" s="6">
        <f>ROUND(('ALL(responses)'!J68 - MIN('ALL(responses)'!J$3:J$322)) / (MAX('ALL(responses)'!J$3:J$322)-MIN('ALL(responses)'!J$3:J$322)),3)
</f>
        <v>1</v>
      </c>
      <c r="K67" s="6">
        <f>ROUND(('ALL(responses)'!M68 - MIN('ALL(responses)'!M$3:M$322)) / (MAX('ALL(responses)'!M$3:M$322)-MIN('ALL(responses)'!M$3:M$322)),3)
</f>
        <v>0.789</v>
      </c>
      <c r="L67" s="6">
        <f>ROUND(('ALL(responses)'!P68 - MIN('ALL(responses)'!P$3:P$322)) / (MAX('ALL(responses)'!P$3:P$322)-MIN('ALL(responses)'!P$3:P$322)),3)
</f>
        <v>0.526</v>
      </c>
      <c r="M67" s="6">
        <f>ROUND(('ALL(responses)'!Q68 - MIN('ALL(responses)'!Q$3:Q$322)) / (MAX('ALL(responses)'!Q$3:Q$322)-MIN('ALL(responses)'!Q$3:Q$322)),3)
</f>
        <v>0.3</v>
      </c>
      <c r="N67" s="6">
        <f>ROUND(('ALL(responses)'!R68 - MIN('ALL(responses)'!R$3:R$322)) / (MAX('ALL(responses)'!R$3:R$322)-MIN('ALL(responses)'!R$3:R$322)),3)
</f>
        <v>0.973</v>
      </c>
      <c r="O67" s="6">
        <f>ROUND(('ALL(responses)'!S68 - MIN('ALL(responses)'!S$3:S$322)) / (MAX('ALL(responses)'!S$3:S$322)-MIN('ALL(responses)'!S$3:S$322)),3)
</f>
        <v>0.987</v>
      </c>
      <c r="P67" s="6">
        <f>ROUND(('ALL(responses)'!T68 - MIN('ALL(responses)'!T$3:T$322)) / (MAX('ALL(responses)'!T$3:T$322)-MIN('ALL(responses)'!T$3:T$322)),3)
</f>
        <v>0.44</v>
      </c>
      <c r="Q67" s="40">
        <f t="shared" si="2"/>
        <v>0.481</v>
      </c>
    </row>
    <row r="68">
      <c r="A68" s="5" t="s">
        <v>63</v>
      </c>
      <c r="B68" s="6" t="s">
        <v>105</v>
      </c>
      <c r="C68" s="7" t="s">
        <v>76</v>
      </c>
      <c r="D68" s="7" t="s">
        <v>132</v>
      </c>
      <c r="E68" s="9">
        <v>44999.0</v>
      </c>
      <c r="F68" s="6">
        <f>ROUND(('ALL(responses)'!F68 - MIN('ALL(responses)'!F$2:F$641)) / (MAX('ALL(responses)'!F$2:F$641)-MIN('ALL(responses)'!F$2:F$641)),3)
</f>
        <v>0.25</v>
      </c>
      <c r="G68" s="6">
        <f>ROUND(('ALL(responses)'!G69 - MIN('ALL(responses)'!G$3:G$322)) / (MAX('ALL(responses)'!G$3:G$322)-MIN('ALL(responses)'!G$3:G$322)),3)
</f>
        <v>0.143</v>
      </c>
      <c r="H68" s="6">
        <f>ROUND(('ALL(responses)'!H69 - MIN('ALL(responses)'!H$3:H$322)) / (MAX('ALL(responses)'!H$3:H$322)-MIN('ALL(responses)'!H$3:H$322)),3)
</f>
        <v>0.5</v>
      </c>
      <c r="I68" s="6">
        <f>ROUND(('ALL(responses)'!I69 - MIN('ALL(responses)'!I$3:I$322)) / (MAX('ALL(responses)'!I$3:I$322)-MIN('ALL(responses)'!I$3:I$322)),3)
</f>
        <v>0.286</v>
      </c>
      <c r="J68" s="6">
        <f>ROUND(('ALL(responses)'!J69 - MIN('ALL(responses)'!J$3:J$322)) / (MAX('ALL(responses)'!J$3:J$322)-MIN('ALL(responses)'!J$3:J$322)),3)
</f>
        <v>0</v>
      </c>
      <c r="K68" s="6">
        <f>ROUND(('ALL(responses)'!M69 - MIN('ALL(responses)'!M$3:M$322)) / (MAX('ALL(responses)'!M$3:M$322)-MIN('ALL(responses)'!M$3:M$322)),3)
</f>
        <v>0.801</v>
      </c>
      <c r="L68" s="6">
        <f>ROUND(('ALL(responses)'!P69 - MIN('ALL(responses)'!P$3:P$322)) / (MAX('ALL(responses)'!P$3:P$322)-MIN('ALL(responses)'!P$3:P$322)),3)
</f>
        <v>0.196</v>
      </c>
      <c r="M68" s="6">
        <f>ROUND(('ALL(responses)'!Q69 - MIN('ALL(responses)'!Q$3:Q$322)) / (MAX('ALL(responses)'!Q$3:Q$322)-MIN('ALL(responses)'!Q$3:Q$322)),3)
</f>
        <v>0.272</v>
      </c>
      <c r="N68" s="6">
        <f>ROUND(('ALL(responses)'!R69 - MIN('ALL(responses)'!R$3:R$322)) / (MAX('ALL(responses)'!R$3:R$322)-MIN('ALL(responses)'!R$3:R$322)),3)
</f>
        <v>0.985</v>
      </c>
      <c r="O68" s="6">
        <f>ROUND(('ALL(responses)'!S69 - MIN('ALL(responses)'!S$3:S$322)) / (MAX('ALL(responses)'!S$3:S$322)-MIN('ALL(responses)'!S$3:S$322)),3)
</f>
        <v>0.992</v>
      </c>
      <c r="P68" s="6">
        <f>ROUND(('ALL(responses)'!T69 - MIN('ALL(responses)'!T$3:T$322)) / (MAX('ALL(responses)'!T$3:T$322)-MIN('ALL(responses)'!T$3:T$322)),3)
</f>
        <v>0.384</v>
      </c>
      <c r="Q68" s="40">
        <f t="shared" si="2"/>
        <v>0.481</v>
      </c>
    </row>
    <row r="69">
      <c r="A69" s="5" t="s">
        <v>63</v>
      </c>
      <c r="B69" s="6" t="s">
        <v>105</v>
      </c>
      <c r="C69" s="7" t="s">
        <v>78</v>
      </c>
      <c r="D69" s="7" t="s">
        <v>133</v>
      </c>
      <c r="E69" s="9">
        <v>44999.0</v>
      </c>
      <c r="F69" s="6">
        <f>ROUND(('ALL(responses)'!F69 - MIN('ALL(responses)'!F$2:F$641)) / (MAX('ALL(responses)'!F$2:F$641)-MIN('ALL(responses)'!F$2:F$641)),3)
</f>
        <v>0.125</v>
      </c>
      <c r="G69" s="6">
        <f>ROUND(('ALL(responses)'!G70 - MIN('ALL(responses)'!G$3:G$322)) / (MAX('ALL(responses)'!G$3:G$322)-MIN('ALL(responses)'!G$3:G$322)),3)
</f>
        <v>0.429</v>
      </c>
      <c r="H69" s="6">
        <f>ROUND(('ALL(responses)'!H70 - MIN('ALL(responses)'!H$3:H$322)) / (MAX('ALL(responses)'!H$3:H$322)-MIN('ALL(responses)'!H$3:H$322)),3)
</f>
        <v>0.333</v>
      </c>
      <c r="I69" s="6">
        <f>ROUND(('ALL(responses)'!I70 - MIN('ALL(responses)'!I$3:I$322)) / (MAX('ALL(responses)'!I$3:I$322)-MIN('ALL(responses)'!I$3:I$322)),3)
</f>
        <v>0.143</v>
      </c>
      <c r="J69" s="6">
        <f>ROUND(('ALL(responses)'!J70 - MIN('ALL(responses)'!J$3:J$322)) / (MAX('ALL(responses)'!J$3:J$322)-MIN('ALL(responses)'!J$3:J$322)),3)
</f>
        <v>0</v>
      </c>
      <c r="K69" s="6">
        <f>ROUND(('ALL(responses)'!M70 - MIN('ALL(responses)'!M$3:M$322)) / (MAX('ALL(responses)'!M$3:M$322)-MIN('ALL(responses)'!M$3:M$322)),3)
</f>
        <v>0.757</v>
      </c>
      <c r="L69" s="6">
        <f>ROUND(('ALL(responses)'!P70 - MIN('ALL(responses)'!P$3:P$322)) / (MAX('ALL(responses)'!P$3:P$322)-MIN('ALL(responses)'!P$3:P$322)),3)
</f>
        <v>0.417</v>
      </c>
      <c r="M69" s="6">
        <f>ROUND(('ALL(responses)'!Q70 - MIN('ALL(responses)'!Q$3:Q$322)) / (MAX('ALL(responses)'!Q$3:Q$322)-MIN('ALL(responses)'!Q$3:Q$322)),3)
</f>
        <v>0.563</v>
      </c>
      <c r="N69" s="6">
        <f>ROUND(('ALL(responses)'!R70 - MIN('ALL(responses)'!R$3:R$322)) / (MAX('ALL(responses)'!R$3:R$322)-MIN('ALL(responses)'!R$3:R$322)),3)
</f>
        <v>0.241</v>
      </c>
      <c r="O69" s="6">
        <f>ROUND(('ALL(responses)'!S70 - MIN('ALL(responses)'!S$3:S$322)) / (MAX('ALL(responses)'!S$3:S$322)-MIN('ALL(responses)'!S$3:S$322)),3)
</f>
        <v>0.62</v>
      </c>
      <c r="P69" s="6">
        <f>ROUND(('ALL(responses)'!T70 - MIN('ALL(responses)'!T$3:T$322)) / (MAX('ALL(responses)'!T$3:T$322)-MIN('ALL(responses)'!T$3:T$322)),3)
</f>
        <v>0.443</v>
      </c>
      <c r="Q69" s="40">
        <f t="shared" si="2"/>
        <v>0.481</v>
      </c>
    </row>
    <row r="70">
      <c r="A70" s="5" t="s">
        <v>63</v>
      </c>
      <c r="B70" s="6" t="s">
        <v>105</v>
      </c>
      <c r="C70" s="7" t="s">
        <v>80</v>
      </c>
      <c r="D70" s="7" t="s">
        <v>134</v>
      </c>
      <c r="E70" s="9">
        <v>44999.0</v>
      </c>
      <c r="F70" s="6">
        <f>ROUND(('ALL(responses)'!F70 - MIN('ALL(responses)'!F$2:F$641)) / (MAX('ALL(responses)'!F$2:F$641)-MIN('ALL(responses)'!F$2:F$641)),3)
</f>
        <v>0.375</v>
      </c>
      <c r="G70" s="6">
        <f>ROUND(('ALL(responses)'!G71 - MIN('ALL(responses)'!G$3:G$322)) / (MAX('ALL(responses)'!G$3:G$322)-MIN('ALL(responses)'!G$3:G$322)),3)
</f>
        <v>0.429</v>
      </c>
      <c r="H70" s="6">
        <f>ROUND(('ALL(responses)'!H71 - MIN('ALL(responses)'!H$3:H$322)) / (MAX('ALL(responses)'!H$3:H$322)-MIN('ALL(responses)'!H$3:H$322)),3)
</f>
        <v>0.333</v>
      </c>
      <c r="I70" s="6">
        <f>ROUND(('ALL(responses)'!I71 - MIN('ALL(responses)'!I$3:I$322)) / (MAX('ALL(responses)'!I$3:I$322)-MIN('ALL(responses)'!I$3:I$322)),3)
</f>
        <v>0.429</v>
      </c>
      <c r="J70" s="6">
        <f>ROUND(('ALL(responses)'!J71 - MIN('ALL(responses)'!J$3:J$322)) / (MAX('ALL(responses)'!J$3:J$322)-MIN('ALL(responses)'!J$3:J$322)),3)
</f>
        <v>0.5</v>
      </c>
      <c r="K70" s="6">
        <f>ROUND(('ALL(responses)'!M71 - MIN('ALL(responses)'!M$3:M$322)) / (MAX('ALL(responses)'!M$3:M$322)-MIN('ALL(responses)'!M$3:M$322)),3)
</f>
        <v>0.767</v>
      </c>
      <c r="L70" s="6">
        <f>ROUND(('ALL(responses)'!P71 - MIN('ALL(responses)'!P$3:P$322)) / (MAX('ALL(responses)'!P$3:P$322)-MIN('ALL(responses)'!P$3:P$322)),3)
</f>
        <v>0.593</v>
      </c>
      <c r="M70" s="6">
        <f>ROUND(('ALL(responses)'!Q71 - MIN('ALL(responses)'!Q$3:Q$322)) / (MAX('ALL(responses)'!Q$3:Q$322)-MIN('ALL(responses)'!Q$3:Q$322)),3)
</f>
        <v>0.398</v>
      </c>
      <c r="N70" s="6">
        <f>ROUND(('ALL(responses)'!R71 - MIN('ALL(responses)'!R$3:R$322)) / (MAX('ALL(responses)'!R$3:R$322)-MIN('ALL(responses)'!R$3:R$322)),3)
</f>
        <v>0.948</v>
      </c>
      <c r="O70" s="6">
        <f>ROUND(('ALL(responses)'!S71 - MIN('ALL(responses)'!S$3:S$322)) / (MAX('ALL(responses)'!S$3:S$322)-MIN('ALL(responses)'!S$3:S$322)),3)
</f>
        <v>0.974</v>
      </c>
      <c r="P70" s="6">
        <f>ROUND(('ALL(responses)'!T71 - MIN('ALL(responses)'!T$3:T$322)) / (MAX('ALL(responses)'!T$3:T$322)-MIN('ALL(responses)'!T$3:T$322)),3)
</f>
        <v>0.238</v>
      </c>
      <c r="Q70" s="40">
        <f t="shared" si="2"/>
        <v>0.481</v>
      </c>
    </row>
    <row r="71">
      <c r="A71" s="5" t="s">
        <v>63</v>
      </c>
      <c r="B71" s="6" t="s">
        <v>105</v>
      </c>
      <c r="C71" s="7" t="s">
        <v>82</v>
      </c>
      <c r="D71" s="8" t="s">
        <v>134</v>
      </c>
      <c r="E71" s="9">
        <v>44999.0</v>
      </c>
      <c r="F71" s="6">
        <f>ROUND(('ALL(responses)'!F71 - MIN('ALL(responses)'!F$2:F$641)) / (MAX('ALL(responses)'!F$2:F$641)-MIN('ALL(responses)'!F$2:F$641)),3)
</f>
        <v>0.375</v>
      </c>
      <c r="G71" s="6">
        <f>ROUND(('ALL(responses)'!G72 - MIN('ALL(responses)'!G$3:G$322)) / (MAX('ALL(responses)'!G$3:G$322)-MIN('ALL(responses)'!G$3:G$322)),3)
</f>
        <v>0</v>
      </c>
      <c r="H71" s="6">
        <f>ROUND(('ALL(responses)'!H72 - MIN('ALL(responses)'!H$3:H$322)) / (MAX('ALL(responses)'!H$3:H$322)-MIN('ALL(responses)'!H$3:H$322)),3)
</f>
        <v>0</v>
      </c>
      <c r="I71" s="6">
        <f>ROUND(('ALL(responses)'!I72 - MIN('ALL(responses)'!I$3:I$322)) / (MAX('ALL(responses)'!I$3:I$322)-MIN('ALL(responses)'!I$3:I$322)),3)
</f>
        <v>0</v>
      </c>
      <c r="J71" s="6">
        <f>ROUND(('ALL(responses)'!J72 - MIN('ALL(responses)'!J$3:J$322)) / (MAX('ALL(responses)'!J$3:J$322)-MIN('ALL(responses)'!J$3:J$322)),3)
</f>
        <v>0.25</v>
      </c>
      <c r="K71" s="6">
        <f>ROUND(('ALL(responses)'!M72 - MIN('ALL(responses)'!M$3:M$322)) / (MAX('ALL(responses)'!M$3:M$322)-MIN('ALL(responses)'!M$3:M$322)),3)
</f>
        <v>0.735</v>
      </c>
      <c r="L71" s="6">
        <f>ROUND(('ALL(responses)'!P72 - MIN('ALL(responses)'!P$3:P$322)) / (MAX('ALL(responses)'!P$3:P$322)-MIN('ALL(responses)'!P$3:P$322)),3)
</f>
        <v>0.427</v>
      </c>
      <c r="M71" s="6">
        <f>ROUND(('ALL(responses)'!Q72 - MIN('ALL(responses)'!Q$3:Q$322)) / (MAX('ALL(responses)'!Q$3:Q$322)-MIN('ALL(responses)'!Q$3:Q$322)),3)
</f>
        <v>0.338</v>
      </c>
      <c r="N71" s="6">
        <f>ROUND(('ALL(responses)'!R72 - MIN('ALL(responses)'!R$3:R$322)) / (MAX('ALL(responses)'!R$3:R$322)-MIN('ALL(responses)'!R$3:R$322)),3)
</f>
        <v>0.994</v>
      </c>
      <c r="O71" s="6">
        <f>ROUND(('ALL(responses)'!S72 - MIN('ALL(responses)'!S$3:S$322)) / (MAX('ALL(responses)'!S$3:S$322)-MIN('ALL(responses)'!S$3:S$322)),3)
</f>
        <v>0.997</v>
      </c>
      <c r="P71" s="6">
        <f>ROUND(('ALL(responses)'!T72 - MIN('ALL(responses)'!T$3:T$322)) / (MAX('ALL(responses)'!T$3:T$322)-MIN('ALL(responses)'!T$3:T$322)),3)
</f>
        <v>0.573</v>
      </c>
      <c r="Q71" s="40">
        <f t="shared" si="2"/>
        <v>0.481</v>
      </c>
    </row>
    <row r="72">
      <c r="A72" s="5" t="s">
        <v>84</v>
      </c>
      <c r="B72" s="6" t="s">
        <v>105</v>
      </c>
      <c r="C72" s="7" t="s">
        <v>85</v>
      </c>
      <c r="D72" s="7" t="s">
        <v>135</v>
      </c>
      <c r="E72" s="9">
        <v>44999.0</v>
      </c>
      <c r="F72" s="6">
        <f>ROUND(('ALL(responses)'!F72 - MIN('ALL(responses)'!F$2:F$641)) / (MAX('ALL(responses)'!F$2:F$641)-MIN('ALL(responses)'!F$2:F$641)),3)
</f>
        <v>0.25</v>
      </c>
      <c r="G72" s="6">
        <f>ROUND(('ALL(responses)'!G73 - MIN('ALL(responses)'!G$3:G$322)) / (MAX('ALL(responses)'!G$3:G$322)-MIN('ALL(responses)'!G$3:G$322)),3)
</f>
        <v>0.571</v>
      </c>
      <c r="H72" s="6">
        <f>ROUND(('ALL(responses)'!H73 - MIN('ALL(responses)'!H$3:H$322)) / (MAX('ALL(responses)'!H$3:H$322)-MIN('ALL(responses)'!H$3:H$322)),3)
</f>
        <v>0.333</v>
      </c>
      <c r="I72" s="6">
        <f>ROUND(('ALL(responses)'!I73 - MIN('ALL(responses)'!I$3:I$322)) / (MAX('ALL(responses)'!I$3:I$322)-MIN('ALL(responses)'!I$3:I$322)),3)
</f>
        <v>0</v>
      </c>
      <c r="J72" s="6">
        <f>ROUND(('ALL(responses)'!J73 - MIN('ALL(responses)'!J$3:J$322)) / (MAX('ALL(responses)'!J$3:J$322)-MIN('ALL(responses)'!J$3:J$322)),3)
</f>
        <v>1</v>
      </c>
      <c r="K72" s="6">
        <f>ROUND(('ALL(responses)'!M73 - MIN('ALL(responses)'!M$3:M$322)) / (MAX('ALL(responses)'!M$3:M$322)-MIN('ALL(responses)'!M$3:M$322)),3)
</f>
        <v>0.722</v>
      </c>
      <c r="L72" s="6">
        <f>ROUND(('ALL(responses)'!P73 - MIN('ALL(responses)'!P$3:P$322)) / (MAX('ALL(responses)'!P$3:P$322)-MIN('ALL(responses)'!P$3:P$322)),3)
</f>
        <v>0.641</v>
      </c>
      <c r="M72" s="6">
        <f>ROUND(('ALL(responses)'!Q73 - MIN('ALL(responses)'!Q$3:Q$322)) / (MAX('ALL(responses)'!Q$3:Q$322)-MIN('ALL(responses)'!Q$3:Q$322)),3)
</f>
        <v>0.724</v>
      </c>
      <c r="N72" s="6">
        <f>ROUND(('ALL(responses)'!R73 - MIN('ALL(responses)'!R$3:R$322)) / (MAX('ALL(responses)'!R$3:R$322)-MIN('ALL(responses)'!R$3:R$322)),3)
</f>
        <v>0.889</v>
      </c>
      <c r="O72" s="6">
        <f>ROUND(('ALL(responses)'!S73 - MIN('ALL(responses)'!S$3:S$322)) / (MAX('ALL(responses)'!S$3:S$322)-MIN('ALL(responses)'!S$3:S$322)),3)
</f>
        <v>0.055</v>
      </c>
      <c r="P72" s="6">
        <f>ROUND(('ALL(responses)'!T73 - MIN('ALL(responses)'!T$3:T$322)) / (MAX('ALL(responses)'!T$3:T$322)-MIN('ALL(responses)'!T$3:T$322)),3)
</f>
        <v>0.413</v>
      </c>
      <c r="Q72" s="40">
        <f t="shared" si="2"/>
        <v>0.481</v>
      </c>
    </row>
    <row r="73">
      <c r="A73" s="5" t="s">
        <v>84</v>
      </c>
      <c r="B73" s="6" t="s">
        <v>105</v>
      </c>
      <c r="C73" s="7" t="s">
        <v>87</v>
      </c>
      <c r="D73" s="7" t="s">
        <v>136</v>
      </c>
      <c r="E73" s="9">
        <v>44999.0</v>
      </c>
      <c r="F73" s="6">
        <f>ROUND(('ALL(responses)'!F73 - MIN('ALL(responses)'!F$2:F$641)) / (MAX('ALL(responses)'!F$2:F$641)-MIN('ALL(responses)'!F$2:F$641)),3)
</f>
        <v>0.375</v>
      </c>
      <c r="G73" s="6">
        <f>ROUND(('ALL(responses)'!G74 - MIN('ALL(responses)'!G$3:G$322)) / (MAX('ALL(responses)'!G$3:G$322)-MIN('ALL(responses)'!G$3:G$322)),3)
</f>
        <v>0.571</v>
      </c>
      <c r="H73" s="6">
        <f>ROUND(('ALL(responses)'!H74 - MIN('ALL(responses)'!H$3:H$322)) / (MAX('ALL(responses)'!H$3:H$322)-MIN('ALL(responses)'!H$3:H$322)),3)
</f>
        <v>0.667</v>
      </c>
      <c r="I73" s="6">
        <f>ROUND(('ALL(responses)'!I74 - MIN('ALL(responses)'!I$3:I$322)) / (MAX('ALL(responses)'!I$3:I$322)-MIN('ALL(responses)'!I$3:I$322)),3)
</f>
        <v>0</v>
      </c>
      <c r="J73" s="6">
        <f>ROUND(('ALL(responses)'!J74 - MIN('ALL(responses)'!J$3:J$322)) / (MAX('ALL(responses)'!J$3:J$322)-MIN('ALL(responses)'!J$3:J$322)),3)
</f>
        <v>0.75</v>
      </c>
      <c r="K73" s="6">
        <f>ROUND(('ALL(responses)'!M74 - MIN('ALL(responses)'!M$3:M$322)) / (MAX('ALL(responses)'!M$3:M$322)-MIN('ALL(responses)'!M$3:M$322)),3)
</f>
        <v>0.491</v>
      </c>
      <c r="L73" s="6">
        <f>ROUND(('ALL(responses)'!P74 - MIN('ALL(responses)'!P$3:P$322)) / (MAX('ALL(responses)'!P$3:P$322)-MIN('ALL(responses)'!P$3:P$322)),3)
</f>
        <v>0.292</v>
      </c>
      <c r="M73" s="6">
        <f>ROUND(('ALL(responses)'!Q74 - MIN('ALL(responses)'!Q$3:Q$322)) / (MAX('ALL(responses)'!Q$3:Q$322)-MIN('ALL(responses)'!Q$3:Q$322)),3)
</f>
        <v>0.346</v>
      </c>
      <c r="N73" s="6">
        <f>ROUND(('ALL(responses)'!R74 - MIN('ALL(responses)'!R$3:R$322)) / (MAX('ALL(responses)'!R$3:R$322)-MIN('ALL(responses)'!R$3:R$322)),3)
</f>
        <v>0.691</v>
      </c>
      <c r="O73" s="6">
        <f>ROUND(('ALL(responses)'!S74 - MIN('ALL(responses)'!S$3:S$322)) / (MAX('ALL(responses)'!S$3:S$322)-MIN('ALL(responses)'!S$3:S$322)),3)
</f>
        <v>0.845</v>
      </c>
      <c r="P73" s="6">
        <f>ROUND(('ALL(responses)'!T74 - MIN('ALL(responses)'!T$3:T$322)) / (MAX('ALL(responses)'!T$3:T$322)-MIN('ALL(responses)'!T$3:T$322)),3)
</f>
        <v>0.555</v>
      </c>
      <c r="Q73" s="40">
        <f t="shared" si="2"/>
        <v>0.481</v>
      </c>
    </row>
    <row r="74">
      <c r="A74" s="5" t="s">
        <v>84</v>
      </c>
      <c r="B74" s="6" t="s">
        <v>105</v>
      </c>
      <c r="C74" s="7" t="s">
        <v>89</v>
      </c>
      <c r="D74" s="7" t="s">
        <v>137</v>
      </c>
      <c r="E74" s="9">
        <v>44999.0</v>
      </c>
      <c r="F74" s="6">
        <f>ROUND(('ALL(responses)'!F74 - MIN('ALL(responses)'!F$2:F$641)) / (MAX('ALL(responses)'!F$2:F$641)-MIN('ALL(responses)'!F$2:F$641)),3)
</f>
        <v>0.375</v>
      </c>
      <c r="G74" s="6">
        <f>ROUND(('ALL(responses)'!G75 - MIN('ALL(responses)'!G$3:G$322)) / (MAX('ALL(responses)'!G$3:G$322)-MIN('ALL(responses)'!G$3:G$322)),3)
</f>
        <v>0.143</v>
      </c>
      <c r="H74" s="6">
        <f>ROUND(('ALL(responses)'!H75 - MIN('ALL(responses)'!H$3:H$322)) / (MAX('ALL(responses)'!H$3:H$322)-MIN('ALL(responses)'!H$3:H$322)),3)
</f>
        <v>0.333</v>
      </c>
      <c r="I74" s="6">
        <f>ROUND(('ALL(responses)'!I75 - MIN('ALL(responses)'!I$3:I$322)) / (MAX('ALL(responses)'!I$3:I$322)-MIN('ALL(responses)'!I$3:I$322)),3)
</f>
        <v>0</v>
      </c>
      <c r="J74" s="6">
        <f>ROUND(('ALL(responses)'!J75 - MIN('ALL(responses)'!J$3:J$322)) / (MAX('ALL(responses)'!J$3:J$322)-MIN('ALL(responses)'!J$3:J$322)),3)
</f>
        <v>0.25</v>
      </c>
      <c r="K74" s="6">
        <f>ROUND(('ALL(responses)'!M75 - MIN('ALL(responses)'!M$3:M$322)) / (MAX('ALL(responses)'!M$3:M$322)-MIN('ALL(responses)'!M$3:M$322)),3)
</f>
        <v>0.547</v>
      </c>
      <c r="L74" s="6">
        <f>ROUND(('ALL(responses)'!P75 - MIN('ALL(responses)'!P$3:P$322)) / (MAX('ALL(responses)'!P$3:P$322)-MIN('ALL(responses)'!P$3:P$322)),3)
</f>
        <v>0.406</v>
      </c>
      <c r="M74" s="6">
        <f>ROUND(('ALL(responses)'!Q75 - MIN('ALL(responses)'!Q$3:Q$322)) / (MAX('ALL(responses)'!Q$3:Q$322)-MIN('ALL(responses)'!Q$3:Q$322)),3)
</f>
        <v>0.45</v>
      </c>
      <c r="N74" s="6">
        <f>ROUND(('ALL(responses)'!R75 - MIN('ALL(responses)'!R$3:R$322)) / (MAX('ALL(responses)'!R$3:R$322)-MIN('ALL(responses)'!R$3:R$322)),3)
</f>
        <v>0.923</v>
      </c>
      <c r="O74" s="6">
        <f>ROUND(('ALL(responses)'!S75 - MIN('ALL(responses)'!S$3:S$322)) / (MAX('ALL(responses)'!S$3:S$322)-MIN('ALL(responses)'!S$3:S$322)),3)
</f>
        <v>0.962</v>
      </c>
      <c r="P74" s="6">
        <f>ROUND(('ALL(responses)'!T75 - MIN('ALL(responses)'!T$3:T$322)) / (MAX('ALL(responses)'!T$3:T$322)-MIN('ALL(responses)'!T$3:T$322)),3)
</f>
        <v>0.611</v>
      </c>
      <c r="Q74" s="40">
        <f t="shared" si="2"/>
        <v>0.481</v>
      </c>
    </row>
    <row r="75">
      <c r="A75" s="5" t="s">
        <v>84</v>
      </c>
      <c r="B75" s="6" t="s">
        <v>105</v>
      </c>
      <c r="C75" s="7" t="s">
        <v>91</v>
      </c>
      <c r="D75" s="7" t="s">
        <v>138</v>
      </c>
      <c r="E75" s="9">
        <v>44999.0</v>
      </c>
      <c r="F75" s="6">
        <f>ROUND(('ALL(responses)'!F75 - MIN('ALL(responses)'!F$2:F$641)) / (MAX('ALL(responses)'!F$2:F$641)-MIN('ALL(responses)'!F$2:F$641)),3)
</f>
        <v>0</v>
      </c>
      <c r="G75" s="6">
        <f>ROUND(('ALL(responses)'!G76 - MIN('ALL(responses)'!G$3:G$322)) / (MAX('ALL(responses)'!G$3:G$322)-MIN('ALL(responses)'!G$3:G$322)),3)
</f>
        <v>0.571</v>
      </c>
      <c r="H75" s="6">
        <f>ROUND(('ALL(responses)'!H76 - MIN('ALL(responses)'!H$3:H$322)) / (MAX('ALL(responses)'!H$3:H$322)-MIN('ALL(responses)'!H$3:H$322)),3)
</f>
        <v>0</v>
      </c>
      <c r="I75" s="6">
        <f>ROUND(('ALL(responses)'!I76 - MIN('ALL(responses)'!I$3:I$322)) / (MAX('ALL(responses)'!I$3:I$322)-MIN('ALL(responses)'!I$3:I$322)),3)
</f>
        <v>0.286</v>
      </c>
      <c r="J75" s="6">
        <f>ROUND(('ALL(responses)'!J76 - MIN('ALL(responses)'!J$3:J$322)) / (MAX('ALL(responses)'!J$3:J$322)-MIN('ALL(responses)'!J$3:J$322)),3)
</f>
        <v>0.75</v>
      </c>
      <c r="K75" s="6">
        <f>ROUND(('ALL(responses)'!M76 - MIN('ALL(responses)'!M$3:M$322)) / (MAX('ALL(responses)'!M$3:M$322)-MIN('ALL(responses)'!M$3:M$322)),3)
</f>
        <v>0.667</v>
      </c>
      <c r="L75" s="6">
        <f>ROUND(('ALL(responses)'!P76 - MIN('ALL(responses)'!P$3:P$322)) / (MAX('ALL(responses)'!P$3:P$322)-MIN('ALL(responses)'!P$3:P$322)),3)
</f>
        <v>0.31</v>
      </c>
      <c r="M75" s="6">
        <f>ROUND(('ALL(responses)'!Q76 - MIN('ALL(responses)'!Q$3:Q$322)) / (MAX('ALL(responses)'!Q$3:Q$322)-MIN('ALL(responses)'!Q$3:Q$322)),3)
</f>
        <v>0.458</v>
      </c>
      <c r="N75" s="6">
        <f>ROUND(('ALL(responses)'!R76 - MIN('ALL(responses)'!R$3:R$322)) / (MAX('ALL(responses)'!R$3:R$322)-MIN('ALL(responses)'!R$3:R$322)),3)
</f>
        <v>0.941</v>
      </c>
      <c r="O75" s="6">
        <f>ROUND(('ALL(responses)'!S76 - MIN('ALL(responses)'!S$3:S$322)) / (MAX('ALL(responses)'!S$3:S$322)-MIN('ALL(responses)'!S$3:S$322)),3)
</f>
        <v>0.97</v>
      </c>
      <c r="P75" s="6">
        <f>ROUND(('ALL(responses)'!T76 - MIN('ALL(responses)'!T$3:T$322)) / (MAX('ALL(responses)'!T$3:T$322)-MIN('ALL(responses)'!T$3:T$322)),3)
</f>
        <v>0.576</v>
      </c>
      <c r="Q75" s="40">
        <f t="shared" si="2"/>
        <v>0.481</v>
      </c>
    </row>
    <row r="76">
      <c r="A76" s="5" t="s">
        <v>84</v>
      </c>
      <c r="B76" s="6" t="s">
        <v>105</v>
      </c>
      <c r="C76" s="7" t="s">
        <v>93</v>
      </c>
      <c r="D76" s="7" t="s">
        <v>139</v>
      </c>
      <c r="E76" s="9">
        <v>44999.0</v>
      </c>
      <c r="F76" s="6">
        <f>ROUND(('ALL(responses)'!F76 - MIN('ALL(responses)'!F$2:F$641)) / (MAX('ALL(responses)'!F$2:F$641)-MIN('ALL(responses)'!F$2:F$641)),3)
</f>
        <v>0.25</v>
      </c>
      <c r="G76" s="6">
        <f>ROUND(('ALL(responses)'!G77 - MIN('ALL(responses)'!G$3:G$322)) / (MAX('ALL(responses)'!G$3:G$322)-MIN('ALL(responses)'!G$3:G$322)),3)
</f>
        <v>0.143</v>
      </c>
      <c r="H76" s="6">
        <f>ROUND(('ALL(responses)'!H77 - MIN('ALL(responses)'!H$3:H$322)) / (MAX('ALL(responses)'!H$3:H$322)-MIN('ALL(responses)'!H$3:H$322)),3)
</f>
        <v>0.667</v>
      </c>
      <c r="I76" s="6">
        <f>ROUND(('ALL(responses)'!I77 - MIN('ALL(responses)'!I$3:I$322)) / (MAX('ALL(responses)'!I$3:I$322)-MIN('ALL(responses)'!I$3:I$322)),3)
</f>
        <v>0</v>
      </c>
      <c r="J76" s="6">
        <f>ROUND(('ALL(responses)'!J77 - MIN('ALL(responses)'!J$3:J$322)) / (MAX('ALL(responses)'!J$3:J$322)-MIN('ALL(responses)'!J$3:J$322)),3)
</f>
        <v>0.5</v>
      </c>
      <c r="K76" s="6">
        <f>ROUND(('ALL(responses)'!M77 - MIN('ALL(responses)'!M$3:M$322)) / (MAX('ALL(responses)'!M$3:M$322)-MIN('ALL(responses)'!M$3:M$322)),3)
</f>
        <v>0.491</v>
      </c>
      <c r="L76" s="6">
        <f>ROUND(('ALL(responses)'!P77 - MIN('ALL(responses)'!P$3:P$322)) / (MAX('ALL(responses)'!P$3:P$322)-MIN('ALL(responses)'!P$3:P$322)),3)
</f>
        <v>0.292</v>
      </c>
      <c r="M76" s="6">
        <f>ROUND(('ALL(responses)'!Q77 - MIN('ALL(responses)'!Q$3:Q$322)) / (MAX('ALL(responses)'!Q$3:Q$322)-MIN('ALL(responses)'!Q$3:Q$322)),3)
</f>
        <v>0.346</v>
      </c>
      <c r="N76" s="6">
        <f>ROUND(('ALL(responses)'!R77 - MIN('ALL(responses)'!R$3:R$322)) / (MAX('ALL(responses)'!R$3:R$322)-MIN('ALL(responses)'!R$3:R$322)),3)
</f>
        <v>0.691</v>
      </c>
      <c r="O76" s="6">
        <f>ROUND(('ALL(responses)'!S77 - MIN('ALL(responses)'!S$3:S$322)) / (MAX('ALL(responses)'!S$3:S$322)-MIN('ALL(responses)'!S$3:S$322)),3)
</f>
        <v>0.845</v>
      </c>
      <c r="P76" s="6">
        <f>ROUND(('ALL(responses)'!T77 - MIN('ALL(responses)'!T$3:T$322)) / (MAX('ALL(responses)'!T$3:T$322)-MIN('ALL(responses)'!T$3:T$322)),3)
</f>
        <v>0.555</v>
      </c>
      <c r="Q76" s="40">
        <f t="shared" si="2"/>
        <v>0.481</v>
      </c>
    </row>
    <row r="77">
      <c r="A77" s="5" t="s">
        <v>84</v>
      </c>
      <c r="B77" s="6" t="s">
        <v>105</v>
      </c>
      <c r="C77" s="7" t="s">
        <v>95</v>
      </c>
      <c r="D77" s="7" t="s">
        <v>140</v>
      </c>
      <c r="E77" s="9">
        <v>44999.0</v>
      </c>
      <c r="F77" s="6">
        <f>ROUND(('ALL(responses)'!F77 - MIN('ALL(responses)'!F$2:F$641)) / (MAX('ALL(responses)'!F$2:F$641)-MIN('ALL(responses)'!F$2:F$641)),3)
</f>
        <v>0.5</v>
      </c>
      <c r="G77" s="6">
        <f>ROUND(('ALL(responses)'!G78 - MIN('ALL(responses)'!G$3:G$322)) / (MAX('ALL(responses)'!G$3:G$322)-MIN('ALL(responses)'!G$3:G$322)),3)
</f>
        <v>0</v>
      </c>
      <c r="H77" s="6">
        <f>ROUND(('ALL(responses)'!H78 - MIN('ALL(responses)'!H$3:H$322)) / (MAX('ALL(responses)'!H$3:H$322)-MIN('ALL(responses)'!H$3:H$322)),3)
</f>
        <v>0.167</v>
      </c>
      <c r="I77" s="6">
        <f>ROUND(('ALL(responses)'!I78 - MIN('ALL(responses)'!I$3:I$322)) / (MAX('ALL(responses)'!I$3:I$322)-MIN('ALL(responses)'!I$3:I$322)),3)
</f>
        <v>0.429</v>
      </c>
      <c r="J77" s="6">
        <f>ROUND(('ALL(responses)'!J78 - MIN('ALL(responses)'!J$3:J$322)) / (MAX('ALL(responses)'!J$3:J$322)-MIN('ALL(responses)'!J$3:J$322)),3)
</f>
        <v>0.5</v>
      </c>
      <c r="K77" s="6">
        <f>ROUND(('ALL(responses)'!M78 - MIN('ALL(responses)'!M$3:M$322)) / (MAX('ALL(responses)'!M$3:M$322)-MIN('ALL(responses)'!M$3:M$322)),3)
</f>
        <v>0.788</v>
      </c>
      <c r="L77" s="6">
        <f>ROUND(('ALL(responses)'!P78 - MIN('ALL(responses)'!P$3:P$322)) / (MAX('ALL(responses)'!P$3:P$322)-MIN('ALL(responses)'!P$3:P$322)),3)
</f>
        <v>0.216</v>
      </c>
      <c r="M77" s="6">
        <f>ROUND(('ALL(responses)'!Q78 - MIN('ALL(responses)'!Q$3:Q$322)) / (MAX('ALL(responses)'!Q$3:Q$322)-MIN('ALL(responses)'!Q$3:Q$322)),3)
</f>
        <v>0.35</v>
      </c>
      <c r="N77" s="6">
        <f>ROUND(('ALL(responses)'!R78 - MIN('ALL(responses)'!R$3:R$322)) / (MAX('ALL(responses)'!R$3:R$322)-MIN('ALL(responses)'!R$3:R$322)),3)
</f>
        <v>0.946</v>
      </c>
      <c r="O77" s="6">
        <f>ROUND(('ALL(responses)'!S78 - MIN('ALL(responses)'!S$3:S$322)) / (MAX('ALL(responses)'!S$3:S$322)-MIN('ALL(responses)'!S$3:S$322)),3)
</f>
        <v>0.973</v>
      </c>
      <c r="P77" s="6">
        <f>ROUND(('ALL(responses)'!T78 - MIN('ALL(responses)'!T$3:T$322)) / (MAX('ALL(responses)'!T$3:T$322)-MIN('ALL(responses)'!T$3:T$322)),3)
</f>
        <v>0.528</v>
      </c>
      <c r="Q77" s="40">
        <f t="shared" si="2"/>
        <v>0.481</v>
      </c>
    </row>
    <row r="78">
      <c r="A78" s="5" t="s">
        <v>84</v>
      </c>
      <c r="B78" s="6" t="s">
        <v>105</v>
      </c>
      <c r="C78" s="7" t="s">
        <v>97</v>
      </c>
      <c r="D78" s="7" t="s">
        <v>141</v>
      </c>
      <c r="E78" s="9">
        <v>44999.0</v>
      </c>
      <c r="F78" s="6">
        <f>ROUND(('ALL(responses)'!F78 - MIN('ALL(responses)'!F$2:F$641)) / (MAX('ALL(responses)'!F$2:F$641)-MIN('ALL(responses)'!F$2:F$641)),3)
</f>
        <v>0.25</v>
      </c>
      <c r="G78" s="6">
        <f>ROUND(('ALL(responses)'!G79 - MIN('ALL(responses)'!G$3:G$322)) / (MAX('ALL(responses)'!G$3:G$322)-MIN('ALL(responses)'!G$3:G$322)),3)
</f>
        <v>0.429</v>
      </c>
      <c r="H78" s="6">
        <f>ROUND(('ALL(responses)'!H79 - MIN('ALL(responses)'!H$3:H$322)) / (MAX('ALL(responses)'!H$3:H$322)-MIN('ALL(responses)'!H$3:H$322)),3)
</f>
        <v>0.333</v>
      </c>
      <c r="I78" s="6">
        <f>ROUND(('ALL(responses)'!I79 - MIN('ALL(responses)'!I$3:I$322)) / (MAX('ALL(responses)'!I$3:I$322)-MIN('ALL(responses)'!I$3:I$322)),3)
</f>
        <v>0.571</v>
      </c>
      <c r="J78" s="6">
        <f>ROUND(('ALL(responses)'!J79 - MIN('ALL(responses)'!J$3:J$322)) / (MAX('ALL(responses)'!J$3:J$322)-MIN('ALL(responses)'!J$3:J$322)),3)
</f>
        <v>0</v>
      </c>
      <c r="K78" s="6">
        <f>ROUND(('ALL(responses)'!M79 - MIN('ALL(responses)'!M$3:M$322)) / (MAX('ALL(responses)'!M$3:M$322)-MIN('ALL(responses)'!M$3:M$322)),3)
</f>
        <v>0.594</v>
      </c>
      <c r="L78" s="6">
        <f>ROUND(('ALL(responses)'!P79 - MIN('ALL(responses)'!P$3:P$322)) / (MAX('ALL(responses)'!P$3:P$322)-MIN('ALL(responses)'!P$3:P$322)),3)
</f>
        <v>0.432</v>
      </c>
      <c r="M78" s="6">
        <f>ROUND(('ALL(responses)'!Q79 - MIN('ALL(responses)'!Q$3:Q$322)) / (MAX('ALL(responses)'!Q$3:Q$322)-MIN('ALL(responses)'!Q$3:Q$322)),3)
</f>
        <v>0.237</v>
      </c>
      <c r="N78" s="6">
        <f>ROUND(('ALL(responses)'!R79 - MIN('ALL(responses)'!R$3:R$322)) / (MAX('ALL(responses)'!R$3:R$322)-MIN('ALL(responses)'!R$3:R$322)),3)
</f>
        <v>0.993</v>
      </c>
      <c r="O78" s="6">
        <f>ROUND(('ALL(responses)'!S79 - MIN('ALL(responses)'!S$3:S$322)) / (MAX('ALL(responses)'!S$3:S$322)-MIN('ALL(responses)'!S$3:S$322)),3)
</f>
        <v>0.996</v>
      </c>
      <c r="P78" s="6">
        <f>ROUND(('ALL(responses)'!T79 - MIN('ALL(responses)'!T$3:T$322)) / (MAX('ALL(responses)'!T$3:T$322)-MIN('ALL(responses)'!T$3:T$322)),3)
</f>
        <v>0.616</v>
      </c>
      <c r="Q78" s="40">
        <f t="shared" si="2"/>
        <v>0.481</v>
      </c>
    </row>
    <row r="79">
      <c r="A79" s="5" t="s">
        <v>84</v>
      </c>
      <c r="B79" s="6" t="s">
        <v>105</v>
      </c>
      <c r="C79" s="7" t="s">
        <v>99</v>
      </c>
      <c r="D79" s="7" t="s">
        <v>142</v>
      </c>
      <c r="E79" s="9">
        <v>44999.0</v>
      </c>
      <c r="F79" s="6">
        <f>ROUND(('ALL(responses)'!F79 - MIN('ALL(responses)'!F$2:F$641)) / (MAX('ALL(responses)'!F$2:F$641)-MIN('ALL(responses)'!F$2:F$641)),3)
</f>
        <v>0.5</v>
      </c>
      <c r="G79" s="6">
        <f>ROUND(('ALL(responses)'!G80 - MIN('ALL(responses)'!G$3:G$322)) / (MAX('ALL(responses)'!G$3:G$322)-MIN('ALL(responses)'!G$3:G$322)),3)
</f>
        <v>0.429</v>
      </c>
      <c r="H79" s="6">
        <f>ROUND(('ALL(responses)'!H80 - MIN('ALL(responses)'!H$3:H$322)) / (MAX('ALL(responses)'!H$3:H$322)-MIN('ALL(responses)'!H$3:H$322)),3)
</f>
        <v>0</v>
      </c>
      <c r="I79" s="6">
        <f>ROUND(('ALL(responses)'!I80 - MIN('ALL(responses)'!I$3:I$322)) / (MAX('ALL(responses)'!I$3:I$322)-MIN('ALL(responses)'!I$3:I$322)),3)
</f>
        <v>0</v>
      </c>
      <c r="J79" s="6">
        <f>ROUND(('ALL(responses)'!J80 - MIN('ALL(responses)'!J$3:J$322)) / (MAX('ALL(responses)'!J$3:J$322)-MIN('ALL(responses)'!J$3:J$322)),3)
</f>
        <v>1</v>
      </c>
      <c r="K79" s="6">
        <f>ROUND(('ALL(responses)'!M80 - MIN('ALL(responses)'!M$3:M$322)) / (MAX('ALL(responses)'!M$3:M$322)-MIN('ALL(responses)'!M$3:M$322)),3)
</f>
        <v>0.795</v>
      </c>
      <c r="L79" s="6">
        <f>ROUND(('ALL(responses)'!P80 - MIN('ALL(responses)'!P$3:P$322)) / (MAX('ALL(responses)'!P$3:P$322)-MIN('ALL(responses)'!P$3:P$322)),3)
</f>
        <v>0.778</v>
      </c>
      <c r="M79" s="6">
        <f>ROUND(('ALL(responses)'!Q80 - MIN('ALL(responses)'!Q$3:Q$322)) / (MAX('ALL(responses)'!Q$3:Q$322)-MIN('ALL(responses)'!Q$3:Q$322)),3)
</f>
        <v>0.308</v>
      </c>
      <c r="N79" s="6">
        <f>ROUND(('ALL(responses)'!R80 - MIN('ALL(responses)'!R$3:R$322)) / (MAX('ALL(responses)'!R$3:R$322)-MIN('ALL(responses)'!R$3:R$322)),3)
</f>
        <v>0.572</v>
      </c>
      <c r="O79" s="6">
        <f>ROUND(('ALL(responses)'!S80 - MIN('ALL(responses)'!S$3:S$322)) / (MAX('ALL(responses)'!S$3:S$322)-MIN('ALL(responses)'!S$3:S$322)),3)
</f>
        <v>0.214</v>
      </c>
      <c r="P79" s="6">
        <f>ROUND(('ALL(responses)'!T80 - MIN('ALL(responses)'!T$3:T$322)) / (MAX('ALL(responses)'!T$3:T$322)-MIN('ALL(responses)'!T$3:T$322)),3)
</f>
        <v>0.56</v>
      </c>
      <c r="Q79" s="40">
        <f t="shared" si="2"/>
        <v>0.481</v>
      </c>
    </row>
    <row r="80">
      <c r="A80" s="5" t="s">
        <v>84</v>
      </c>
      <c r="B80" s="6" t="s">
        <v>105</v>
      </c>
      <c r="C80" s="7" t="s">
        <v>101</v>
      </c>
      <c r="D80" s="7" t="s">
        <v>143</v>
      </c>
      <c r="E80" s="9">
        <v>44999.0</v>
      </c>
      <c r="F80" s="6">
        <f>ROUND(('ALL(responses)'!F80 - MIN('ALL(responses)'!F$2:F$641)) / (MAX('ALL(responses)'!F$2:F$641)-MIN('ALL(responses)'!F$2:F$641)),3)
</f>
        <v>0</v>
      </c>
      <c r="G80" s="6">
        <f>ROUND(('ALL(responses)'!G81 - MIN('ALL(responses)'!G$3:G$322)) / (MAX('ALL(responses)'!G$3:G$322)-MIN('ALL(responses)'!G$3:G$322)),3)
</f>
        <v>0.429</v>
      </c>
      <c r="H80" s="6">
        <f>ROUND(('ALL(responses)'!H81 - MIN('ALL(responses)'!H$3:H$322)) / (MAX('ALL(responses)'!H$3:H$322)-MIN('ALL(responses)'!H$3:H$322)),3)
</f>
        <v>0.167</v>
      </c>
      <c r="I80" s="6">
        <f>ROUND(('ALL(responses)'!I81 - MIN('ALL(responses)'!I$3:I$322)) / (MAX('ALL(responses)'!I$3:I$322)-MIN('ALL(responses)'!I$3:I$322)),3)
</f>
        <v>0.286</v>
      </c>
      <c r="J80" s="6">
        <f>ROUND(('ALL(responses)'!J81 - MIN('ALL(responses)'!J$3:J$322)) / (MAX('ALL(responses)'!J$3:J$322)-MIN('ALL(responses)'!J$3:J$322)),3)
</f>
        <v>0.75</v>
      </c>
      <c r="K80" s="6">
        <f>ROUND(('ALL(responses)'!M81 - MIN('ALL(responses)'!M$3:M$322)) / (MAX('ALL(responses)'!M$3:M$322)-MIN('ALL(responses)'!M$3:M$322)),3)
</f>
        <v>0.788</v>
      </c>
      <c r="L80" s="6">
        <f>ROUND(('ALL(responses)'!P81 - MIN('ALL(responses)'!P$3:P$322)) / (MAX('ALL(responses)'!P$3:P$322)-MIN('ALL(responses)'!P$3:P$322)),3)
</f>
        <v>0.255</v>
      </c>
      <c r="M80" s="6">
        <f>ROUND(('ALL(responses)'!Q81 - MIN('ALL(responses)'!Q$3:Q$322)) / (MAX('ALL(responses)'!Q$3:Q$322)-MIN('ALL(responses)'!Q$3:Q$322)),3)
</f>
        <v>0.409</v>
      </c>
      <c r="N80" s="6">
        <f>ROUND(('ALL(responses)'!R81 - MIN('ALL(responses)'!R$3:R$322)) / (MAX('ALL(responses)'!R$3:R$322)-MIN('ALL(responses)'!R$3:R$322)),3)
</f>
        <v>0.991</v>
      </c>
      <c r="O80" s="6">
        <f>ROUND(('ALL(responses)'!S81 - MIN('ALL(responses)'!S$3:S$322)) / (MAX('ALL(responses)'!S$3:S$322)-MIN('ALL(responses)'!S$3:S$322)),3)
</f>
        <v>0.996</v>
      </c>
      <c r="P80" s="6">
        <f>ROUND(('ALL(responses)'!T81 - MIN('ALL(responses)'!T$3:T$322)) / (MAX('ALL(responses)'!T$3:T$322)-MIN('ALL(responses)'!T$3:T$322)),3)
</f>
        <v>0.45</v>
      </c>
      <c r="Q80" s="40">
        <f t="shared" si="2"/>
        <v>0.481</v>
      </c>
    </row>
    <row r="81">
      <c r="A81" s="5" t="s">
        <v>84</v>
      </c>
      <c r="B81" s="6" t="s">
        <v>105</v>
      </c>
      <c r="C81" s="7" t="s">
        <v>103</v>
      </c>
      <c r="D81" s="7" t="s">
        <v>144</v>
      </c>
      <c r="E81" s="9">
        <v>44999.0</v>
      </c>
      <c r="F81" s="6">
        <f>ROUND(('ALL(responses)'!F81 - MIN('ALL(responses)'!F$2:F$641)) / (MAX('ALL(responses)'!F$2:F$641)-MIN('ALL(responses)'!F$2:F$641)),3)
</f>
        <v>0.125</v>
      </c>
      <c r="G81" s="6">
        <f>ROUND(('ALL(responses)'!G82 - MIN('ALL(responses)'!G$3:G$322)) / (MAX('ALL(responses)'!G$3:G$322)-MIN('ALL(responses)'!G$3:G$322)),3)
</f>
        <v>1</v>
      </c>
      <c r="H81" s="6">
        <f>ROUND(('ALL(responses)'!H82 - MIN('ALL(responses)'!H$3:H$322)) / (MAX('ALL(responses)'!H$3:H$322)-MIN('ALL(responses)'!H$3:H$322)),3)
</f>
        <v>0.667</v>
      </c>
      <c r="I81" s="6">
        <f>ROUND(('ALL(responses)'!I82 - MIN('ALL(responses)'!I$3:I$322)) / (MAX('ALL(responses)'!I$3:I$322)-MIN('ALL(responses)'!I$3:I$322)),3)
</f>
        <v>1</v>
      </c>
      <c r="J81" s="6">
        <f>ROUND(('ALL(responses)'!J82 - MIN('ALL(responses)'!J$3:J$322)) / (MAX('ALL(responses)'!J$3:J$322)-MIN('ALL(responses)'!J$3:J$322)),3)
</f>
        <v>1</v>
      </c>
      <c r="K81" s="6">
        <f>ROUND(('ALL(responses)'!M82 - MIN('ALL(responses)'!M$3:M$322)) / (MAX('ALL(responses)'!M$3:M$322)-MIN('ALL(responses)'!M$3:M$322)),3)
</f>
        <v>0.541</v>
      </c>
      <c r="L81" s="6">
        <f>ROUND(('ALL(responses)'!P82 - MIN('ALL(responses)'!P$3:P$322)) / (MAX('ALL(responses)'!P$3:P$322)-MIN('ALL(responses)'!P$3:P$322)),3)
</f>
        <v>0.467</v>
      </c>
      <c r="M81" s="6">
        <f>ROUND(('ALL(responses)'!Q82 - MIN('ALL(responses)'!Q$3:Q$322)) / (MAX('ALL(responses)'!Q$3:Q$322)-MIN('ALL(responses)'!Q$3:Q$322)),3)
</f>
        <v>0.783</v>
      </c>
      <c r="N81" s="6">
        <f>ROUND(('ALL(responses)'!R82 - MIN('ALL(responses)'!R$3:R$322)) / (MAX('ALL(responses)'!R$3:R$322)-MIN('ALL(responses)'!R$3:R$322)),3)
</f>
        <v>0.808</v>
      </c>
      <c r="O81" s="6">
        <f>ROUND(('ALL(responses)'!S82 - MIN('ALL(responses)'!S$3:S$322)) / (MAX('ALL(responses)'!S$3:S$322)-MIN('ALL(responses)'!S$3:S$322)),3)
</f>
        <v>0.904</v>
      </c>
      <c r="P81" s="6">
        <f>ROUND(('ALL(responses)'!T82 - MIN('ALL(responses)'!T$3:T$322)) / (MAX('ALL(responses)'!T$3:T$322)-MIN('ALL(responses)'!T$3:T$322)),3)
</f>
        <v>0.432</v>
      </c>
      <c r="Q81" s="40">
        <f t="shared" si="2"/>
        <v>0.481</v>
      </c>
    </row>
    <row r="82">
      <c r="A82" s="5" t="s">
        <v>20</v>
      </c>
      <c r="B82" s="6" t="s">
        <v>186</v>
      </c>
      <c r="C82" s="12" t="s">
        <v>22</v>
      </c>
      <c r="D82" s="8" t="s">
        <v>187</v>
      </c>
      <c r="E82" s="20">
        <v>45236.0</v>
      </c>
      <c r="F82" s="6">
        <f>ROUND(('ALL(responses)'!F82 - MIN('ALL(responses)'!F$2:F$641)) / (MAX('ALL(responses)'!F$2:F$641)-MIN('ALL(responses)'!F$2:F$641)),3)
</f>
        <v>0</v>
      </c>
      <c r="G82" s="6">
        <f>ROUND(('ALL(responses)'!G83 - MIN('ALL(responses)'!G$3:G$322)) / (MAX('ALL(responses)'!G$3:G$322)-MIN('ALL(responses)'!G$3:G$322)),3)
</f>
        <v>1</v>
      </c>
      <c r="H82" s="6">
        <f>ROUND(('ALL(responses)'!H83 - MIN('ALL(responses)'!H$3:H$322)) / (MAX('ALL(responses)'!H$3:H$322)-MIN('ALL(responses)'!H$3:H$322)),3)
</f>
        <v>0.667</v>
      </c>
      <c r="I82" s="6">
        <f>ROUND(('ALL(responses)'!I83 - MIN('ALL(responses)'!I$3:I$322)) / (MAX('ALL(responses)'!I$3:I$322)-MIN('ALL(responses)'!I$3:I$322)),3)
</f>
        <v>1</v>
      </c>
      <c r="J82" s="6">
        <f>ROUND(('ALL(responses)'!J83 - MIN('ALL(responses)'!J$3:J$322)) / (MAX('ALL(responses)'!J$3:J$322)-MIN('ALL(responses)'!J$3:J$322)),3)
</f>
        <v>0</v>
      </c>
      <c r="K82" s="6">
        <f>ROUND(('ALL(responses)'!M83 - MIN('ALL(responses)'!M$3:M$322)) / (MAX('ALL(responses)'!M$3:M$322)-MIN('ALL(responses)'!M$3:M$322)),3)
</f>
        <v>0.482</v>
      </c>
      <c r="L82" s="6">
        <f>ROUND(('ALL(responses)'!P83 - MIN('ALL(responses)'!P$3:P$322)) / (MAX('ALL(responses)'!P$3:P$322)-MIN('ALL(responses)'!P$3:P$322)),3)
</f>
        <v>0.915</v>
      </c>
      <c r="M82" s="6">
        <f>ROUND(('ALL(responses)'!Q83 - MIN('ALL(responses)'!Q$3:Q$322)) / (MAX('ALL(responses)'!Q$3:Q$322)-MIN('ALL(responses)'!Q$3:Q$322)),3)
</f>
        <v>0.54</v>
      </c>
      <c r="N82" s="6">
        <f>ROUND(('ALL(responses)'!R83 - MIN('ALL(responses)'!R$3:R$322)) / (MAX('ALL(responses)'!R$3:R$322)-MIN('ALL(responses)'!R$3:R$322)),3)
</f>
        <v>0.76</v>
      </c>
      <c r="O82" s="6">
        <f>ROUND(('ALL(responses)'!S83 - MIN('ALL(responses)'!S$3:S$322)) / (MAX('ALL(responses)'!S$3:S$322)-MIN('ALL(responses)'!S$3:S$322)),3)
</f>
        <v>0.88</v>
      </c>
      <c r="P82" s="6">
        <f>ROUND(('ALL(responses)'!T83 - MIN('ALL(responses)'!T$3:T$322)) / (MAX('ALL(responses)'!T$3:T$322)-MIN('ALL(responses)'!T$3:T$322)),3)
</f>
        <v>0.479</v>
      </c>
      <c r="Q82" s="40">
        <f t="shared" ref="Q82:Q121" si="3">ROUND(AVERAGE(F$82:P$121),3)</f>
        <v>0.643</v>
      </c>
    </row>
    <row r="83">
      <c r="A83" s="5" t="s">
        <v>20</v>
      </c>
      <c r="B83" s="6" t="s">
        <v>186</v>
      </c>
      <c r="C83" s="12" t="s">
        <v>24</v>
      </c>
      <c r="D83" s="8" t="s">
        <v>188</v>
      </c>
      <c r="E83" s="20">
        <v>45236.0</v>
      </c>
      <c r="F83" s="6">
        <f>ROUND(('ALL(responses)'!F83 - MIN('ALL(responses)'!F$2:F$641)) / (MAX('ALL(responses)'!F$2:F$641)-MIN('ALL(responses)'!F$2:F$641)),3)
</f>
        <v>0.875</v>
      </c>
      <c r="G83" s="6">
        <f>ROUND(('ALL(responses)'!G84 - MIN('ALL(responses)'!G$3:G$322)) / (MAX('ALL(responses)'!G$3:G$322)-MIN('ALL(responses)'!G$3:G$322)),3)
</f>
        <v>1</v>
      </c>
      <c r="H83" s="6">
        <f>ROUND(('ALL(responses)'!H84 - MIN('ALL(responses)'!H$3:H$322)) / (MAX('ALL(responses)'!H$3:H$322)-MIN('ALL(responses)'!H$3:H$322)),3)
</f>
        <v>0.667</v>
      </c>
      <c r="I83" s="6">
        <f>ROUND(('ALL(responses)'!I84 - MIN('ALL(responses)'!I$3:I$322)) / (MAX('ALL(responses)'!I$3:I$322)-MIN('ALL(responses)'!I$3:I$322)),3)
</f>
        <v>1</v>
      </c>
      <c r="J83" s="6">
        <f>ROUND(('ALL(responses)'!J84 - MIN('ALL(responses)'!J$3:J$322)) / (MAX('ALL(responses)'!J$3:J$322)-MIN('ALL(responses)'!J$3:J$322)),3)
</f>
        <v>1</v>
      </c>
      <c r="K83" s="6">
        <f>ROUND(('ALL(responses)'!M84 - MIN('ALL(responses)'!M$3:M$322)) / (MAX('ALL(responses)'!M$3:M$322)-MIN('ALL(responses)'!M$3:M$322)),3)
</f>
        <v>0.592</v>
      </c>
      <c r="L83" s="6">
        <f>ROUND(('ALL(responses)'!P84 - MIN('ALL(responses)'!P$3:P$322)) / (MAX('ALL(responses)'!P$3:P$322)-MIN('ALL(responses)'!P$3:P$322)),3)
</f>
        <v>0.569</v>
      </c>
      <c r="M83" s="6">
        <f>ROUND(('ALL(responses)'!Q84 - MIN('ALL(responses)'!Q$3:Q$322)) / (MAX('ALL(responses)'!Q$3:Q$322)-MIN('ALL(responses)'!Q$3:Q$322)),3)
</f>
        <v>0.808</v>
      </c>
      <c r="N83" s="6">
        <f>ROUND(('ALL(responses)'!R84 - MIN('ALL(responses)'!R$3:R$322)) / (MAX('ALL(responses)'!R$3:R$322)-MIN('ALL(responses)'!R$3:R$322)),3)
</f>
        <v>0.828</v>
      </c>
      <c r="O83" s="6">
        <f>ROUND(('ALL(responses)'!S84 - MIN('ALL(responses)'!S$3:S$322)) / (MAX('ALL(responses)'!S$3:S$322)-MIN('ALL(responses)'!S$3:S$322)),3)
</f>
        <v>0.914</v>
      </c>
      <c r="P83" s="6">
        <f>ROUND(('ALL(responses)'!T84 - MIN('ALL(responses)'!T$3:T$322)) / (MAX('ALL(responses)'!T$3:T$322)-MIN('ALL(responses)'!T$3:T$322)),3)
</f>
        <v>0.235</v>
      </c>
      <c r="Q83" s="40">
        <f t="shared" si="3"/>
        <v>0.643</v>
      </c>
    </row>
    <row r="84">
      <c r="A84" s="5" t="s">
        <v>20</v>
      </c>
      <c r="B84" s="6" t="s">
        <v>186</v>
      </c>
      <c r="C84" s="13" t="s">
        <v>26</v>
      </c>
      <c r="D84" s="21" t="s">
        <v>189</v>
      </c>
      <c r="E84" s="20">
        <v>45236.0</v>
      </c>
      <c r="F84" s="6">
        <f>ROUND(('ALL(responses)'!F84 - MIN('ALL(responses)'!F$2:F$641)) / (MAX('ALL(responses)'!F$2:F$641)-MIN('ALL(responses)'!F$2:F$641)),3)
</f>
        <v>0</v>
      </c>
      <c r="G84" s="6">
        <f>ROUND(('ALL(responses)'!G85 - MIN('ALL(responses)'!G$3:G$322)) / (MAX('ALL(responses)'!G$3:G$322)-MIN('ALL(responses)'!G$3:G$322)),3)
</f>
        <v>0</v>
      </c>
      <c r="H84" s="6">
        <f>ROUND(('ALL(responses)'!H85 - MIN('ALL(responses)'!H$3:H$322)) / (MAX('ALL(responses)'!H$3:H$322)-MIN('ALL(responses)'!H$3:H$322)),3)
</f>
        <v>0.667</v>
      </c>
      <c r="I84" s="6">
        <f>ROUND(('ALL(responses)'!I85 - MIN('ALL(responses)'!I$3:I$322)) / (MAX('ALL(responses)'!I$3:I$322)-MIN('ALL(responses)'!I$3:I$322)),3)
</f>
        <v>1</v>
      </c>
      <c r="J84" s="6">
        <f>ROUND(('ALL(responses)'!J85 - MIN('ALL(responses)'!J$3:J$322)) / (MAX('ALL(responses)'!J$3:J$322)-MIN('ALL(responses)'!J$3:J$322)),3)
</f>
        <v>1</v>
      </c>
      <c r="K84" s="6">
        <f>ROUND(('ALL(responses)'!M85 - MIN('ALL(responses)'!M$3:M$322)) / (MAX('ALL(responses)'!M$3:M$322)-MIN('ALL(responses)'!M$3:M$322)),3)
</f>
        <v>0.333</v>
      </c>
      <c r="L84" s="6">
        <f>ROUND(('ALL(responses)'!P85 - MIN('ALL(responses)'!P$3:P$322)) / (MAX('ALL(responses)'!P$3:P$322)-MIN('ALL(responses)'!P$3:P$322)),3)
</f>
        <v>0</v>
      </c>
      <c r="M84" s="6">
        <f>ROUND(('ALL(responses)'!Q85 - MIN('ALL(responses)'!Q$3:Q$322)) / (MAX('ALL(responses)'!Q$3:Q$322)-MIN('ALL(responses)'!Q$3:Q$322)),3)
</f>
        <v>0.45</v>
      </c>
      <c r="N84" s="6">
        <f>ROUND(('ALL(responses)'!R85 - MIN('ALL(responses)'!R$3:R$322)) / (MAX('ALL(responses)'!R$3:R$322)-MIN('ALL(responses)'!R$3:R$322)),3)
</f>
        <v>0.877</v>
      </c>
      <c r="O84" s="6">
        <f>ROUND(('ALL(responses)'!S85 - MIN('ALL(responses)'!S$3:S$322)) / (MAX('ALL(responses)'!S$3:S$322)-MIN('ALL(responses)'!S$3:S$322)),3)
</f>
        <v>0.938</v>
      </c>
      <c r="P84" s="6">
        <f>ROUND(('ALL(responses)'!T85 - MIN('ALL(responses)'!T$3:T$322)) / (MAX('ALL(responses)'!T$3:T$322)-MIN('ALL(responses)'!T$3:T$322)),3)
</f>
        <v>0.356</v>
      </c>
      <c r="Q84" s="40">
        <f t="shared" si="3"/>
        <v>0.643</v>
      </c>
    </row>
    <row r="85">
      <c r="A85" s="5" t="s">
        <v>20</v>
      </c>
      <c r="B85" s="6" t="s">
        <v>186</v>
      </c>
      <c r="C85" s="12" t="s">
        <v>28</v>
      </c>
      <c r="D85" s="8" t="s">
        <v>190</v>
      </c>
      <c r="E85" s="20">
        <v>45236.0</v>
      </c>
      <c r="F85" s="6">
        <f>ROUND(('ALL(responses)'!F85 - MIN('ALL(responses)'!F$2:F$641)) / (MAX('ALL(responses)'!F$2:F$641)-MIN('ALL(responses)'!F$2:F$641)),3)
</f>
        <v>0</v>
      </c>
      <c r="G85" s="6">
        <f>ROUND(('ALL(responses)'!G86 - MIN('ALL(responses)'!G$3:G$322)) / (MAX('ALL(responses)'!G$3:G$322)-MIN('ALL(responses)'!G$3:G$322)),3)
</f>
        <v>1</v>
      </c>
      <c r="H85" s="6">
        <f>ROUND(('ALL(responses)'!H86 - MIN('ALL(responses)'!H$3:H$322)) / (MAX('ALL(responses)'!H$3:H$322)-MIN('ALL(responses)'!H$3:H$322)),3)
</f>
        <v>0.667</v>
      </c>
      <c r="I85" s="6">
        <f>ROUND(('ALL(responses)'!I86 - MIN('ALL(responses)'!I$3:I$322)) / (MAX('ALL(responses)'!I$3:I$322)-MIN('ALL(responses)'!I$3:I$322)),3)
</f>
        <v>1</v>
      </c>
      <c r="J85" s="6">
        <f>ROUND(('ALL(responses)'!J86 - MIN('ALL(responses)'!J$3:J$322)) / (MAX('ALL(responses)'!J$3:J$322)-MIN('ALL(responses)'!J$3:J$322)),3)
</f>
        <v>1</v>
      </c>
      <c r="K85" s="6">
        <f>ROUND(('ALL(responses)'!M86 - MIN('ALL(responses)'!M$3:M$322)) / (MAX('ALL(responses)'!M$3:M$322)-MIN('ALL(responses)'!M$3:M$322)),3)
</f>
        <v>0.156</v>
      </c>
      <c r="L85" s="6">
        <f>ROUND(('ALL(responses)'!P86 - MIN('ALL(responses)'!P$3:P$322)) / (MAX('ALL(responses)'!P$3:P$322)-MIN('ALL(responses)'!P$3:P$322)),3)
</f>
        <v>0.569</v>
      </c>
      <c r="M85" s="6">
        <f>ROUND(('ALL(responses)'!Q86 - MIN('ALL(responses)'!Q$3:Q$322)) / (MAX('ALL(responses)'!Q$3:Q$322)-MIN('ALL(responses)'!Q$3:Q$322)),3)
</f>
        <v>0.346</v>
      </c>
      <c r="N85" s="6">
        <f>ROUND(('ALL(responses)'!R86 - MIN('ALL(responses)'!R$3:R$322)) / (MAX('ALL(responses)'!R$3:R$322)-MIN('ALL(responses)'!R$3:R$322)),3)
</f>
        <v>0.441</v>
      </c>
      <c r="O85" s="6">
        <f>ROUND(('ALL(responses)'!S86 - MIN('ALL(responses)'!S$3:S$322)) / (MAX('ALL(responses)'!S$3:S$322)-MIN('ALL(responses)'!S$3:S$322)),3)
</f>
        <v>0.72</v>
      </c>
      <c r="P85" s="6">
        <f>ROUND(('ALL(responses)'!T86 - MIN('ALL(responses)'!T$3:T$322)) / (MAX('ALL(responses)'!T$3:T$322)-MIN('ALL(responses)'!T$3:T$322)),3)
</f>
        <v>0.235</v>
      </c>
      <c r="Q85" s="40">
        <f t="shared" si="3"/>
        <v>0.643</v>
      </c>
    </row>
    <row r="86">
      <c r="A86" s="5" t="s">
        <v>20</v>
      </c>
      <c r="B86" s="6" t="s">
        <v>186</v>
      </c>
      <c r="C86" s="12" t="s">
        <v>30</v>
      </c>
      <c r="D86" s="8" t="s">
        <v>191</v>
      </c>
      <c r="E86" s="20">
        <v>45236.0</v>
      </c>
      <c r="F86" s="6">
        <f>ROUND(('ALL(responses)'!F86 - MIN('ALL(responses)'!F$2:F$641)) / (MAX('ALL(responses)'!F$2:F$641)-MIN('ALL(responses)'!F$2:F$641)),3)
</f>
        <v>0</v>
      </c>
      <c r="G86" s="6">
        <f>ROUND(('ALL(responses)'!G87 - MIN('ALL(responses)'!G$3:G$322)) / (MAX('ALL(responses)'!G$3:G$322)-MIN('ALL(responses)'!G$3:G$322)),3)
</f>
        <v>1</v>
      </c>
      <c r="H86" s="6">
        <f>ROUND(('ALL(responses)'!H87 - MIN('ALL(responses)'!H$3:H$322)) / (MAX('ALL(responses)'!H$3:H$322)-MIN('ALL(responses)'!H$3:H$322)),3)
</f>
        <v>0.667</v>
      </c>
      <c r="I86" s="6">
        <f>ROUND(('ALL(responses)'!I87 - MIN('ALL(responses)'!I$3:I$322)) / (MAX('ALL(responses)'!I$3:I$322)-MIN('ALL(responses)'!I$3:I$322)),3)
</f>
        <v>1</v>
      </c>
      <c r="J86" s="6">
        <f>ROUND(('ALL(responses)'!J87 - MIN('ALL(responses)'!J$3:J$322)) / (MAX('ALL(responses)'!J$3:J$322)-MIN('ALL(responses)'!J$3:J$322)),3)
</f>
        <v>1</v>
      </c>
      <c r="K86" s="6">
        <f>ROUND(('ALL(responses)'!M87 - MIN('ALL(responses)'!M$3:M$322)) / (MAX('ALL(responses)'!M$3:M$322)-MIN('ALL(responses)'!M$3:M$322)),3)
</f>
        <v>0.157</v>
      </c>
      <c r="L86" s="6">
        <f>ROUND(('ALL(responses)'!P87 - MIN('ALL(responses)'!P$3:P$322)) / (MAX('ALL(responses)'!P$3:P$322)-MIN('ALL(responses)'!P$3:P$322)),3)
</f>
        <v>0</v>
      </c>
      <c r="M86" s="6">
        <f>ROUND(('ALL(responses)'!Q87 - MIN('ALL(responses)'!Q$3:Q$322)) / (MAX('ALL(responses)'!Q$3:Q$322)-MIN('ALL(responses)'!Q$3:Q$322)),3)
</f>
        <v>0.365</v>
      </c>
      <c r="N86" s="6">
        <f>ROUND(('ALL(responses)'!R87 - MIN('ALL(responses)'!R$3:R$322)) / (MAX('ALL(responses)'!R$3:R$322)-MIN('ALL(responses)'!R$3:R$322)),3)
</f>
        <v>0.813</v>
      </c>
      <c r="O86" s="6">
        <f>ROUND(('ALL(responses)'!S87 - MIN('ALL(responses)'!S$3:S$322)) / (MAX('ALL(responses)'!S$3:S$322)-MIN('ALL(responses)'!S$3:S$322)),3)
</f>
        <v>0.906</v>
      </c>
      <c r="P86" s="6">
        <f>ROUND(('ALL(responses)'!T87 - MIN('ALL(responses)'!T$3:T$322)) / (MAX('ALL(responses)'!T$3:T$322)-MIN('ALL(responses)'!T$3:T$322)),3)
</f>
        <v>0.713</v>
      </c>
      <c r="Q86" s="40">
        <f t="shared" si="3"/>
        <v>0.643</v>
      </c>
    </row>
    <row r="87">
      <c r="A87" s="5" t="s">
        <v>20</v>
      </c>
      <c r="B87" s="6" t="s">
        <v>186</v>
      </c>
      <c r="C87" s="12" t="s">
        <v>32</v>
      </c>
      <c r="D87" s="8" t="s">
        <v>192</v>
      </c>
      <c r="E87" s="20">
        <v>45236.0</v>
      </c>
      <c r="F87" s="6">
        <f>ROUND(('ALL(responses)'!F87 - MIN('ALL(responses)'!F$2:F$641)) / (MAX('ALL(responses)'!F$2:F$641)-MIN('ALL(responses)'!F$2:F$641)),3)
</f>
        <v>0.875</v>
      </c>
      <c r="G87" s="6">
        <f>ROUND(('ALL(responses)'!G88 - MIN('ALL(responses)'!G$3:G$322)) / (MAX('ALL(responses)'!G$3:G$322)-MIN('ALL(responses)'!G$3:G$322)),3)
</f>
        <v>1</v>
      </c>
      <c r="H87" s="6">
        <f>ROUND(('ALL(responses)'!H88 - MIN('ALL(responses)'!H$3:H$322)) / (MAX('ALL(responses)'!H$3:H$322)-MIN('ALL(responses)'!H$3:H$322)),3)
</f>
        <v>0.667</v>
      </c>
      <c r="I87" s="6">
        <f>ROUND(('ALL(responses)'!I88 - MIN('ALL(responses)'!I$3:I$322)) / (MAX('ALL(responses)'!I$3:I$322)-MIN('ALL(responses)'!I$3:I$322)),3)
</f>
        <v>1</v>
      </c>
      <c r="J87" s="6">
        <f>ROUND(('ALL(responses)'!J88 - MIN('ALL(responses)'!J$3:J$322)) / (MAX('ALL(responses)'!J$3:J$322)-MIN('ALL(responses)'!J$3:J$322)),3)
</f>
        <v>1</v>
      </c>
      <c r="K87" s="6">
        <f>ROUND(('ALL(responses)'!M88 - MIN('ALL(responses)'!M$3:M$322)) / (MAX('ALL(responses)'!M$3:M$322)-MIN('ALL(responses)'!M$3:M$322)),3)
</f>
        <v>0.511</v>
      </c>
      <c r="L87" s="6">
        <f>ROUND(('ALL(responses)'!P88 - MIN('ALL(responses)'!P$3:P$322)) / (MAX('ALL(responses)'!P$3:P$322)-MIN('ALL(responses)'!P$3:P$322)),3)
</f>
        <v>0</v>
      </c>
      <c r="M87" s="6">
        <f>ROUND(('ALL(responses)'!Q88 - MIN('ALL(responses)'!Q$3:Q$322)) / (MAX('ALL(responses)'!Q$3:Q$322)-MIN('ALL(responses)'!Q$3:Q$322)),3)
</f>
        <v>0.5</v>
      </c>
      <c r="N87" s="6">
        <f>ROUND(('ALL(responses)'!R88 - MIN('ALL(responses)'!R$3:R$322)) / (MAX('ALL(responses)'!R$3:R$322)-MIN('ALL(responses)'!R$3:R$322)),3)
</f>
        <v>0.852</v>
      </c>
      <c r="O87" s="6">
        <f>ROUND(('ALL(responses)'!S88 - MIN('ALL(responses)'!S$3:S$322)) / (MAX('ALL(responses)'!S$3:S$322)-MIN('ALL(responses)'!S$3:S$322)),3)
</f>
        <v>0.926</v>
      </c>
      <c r="P87" s="6">
        <f>ROUND(('ALL(responses)'!T88 - MIN('ALL(responses)'!T$3:T$322)) / (MAX('ALL(responses)'!T$3:T$322)-MIN('ALL(responses)'!T$3:T$322)),3)
</f>
        <v>0.37</v>
      </c>
      <c r="Q87" s="40">
        <f t="shared" si="3"/>
        <v>0.643</v>
      </c>
    </row>
    <row r="88">
      <c r="A88" s="5" t="s">
        <v>20</v>
      </c>
      <c r="B88" s="6" t="s">
        <v>186</v>
      </c>
      <c r="C88" s="12" t="s">
        <v>34</v>
      </c>
      <c r="D88" s="8" t="s">
        <v>193</v>
      </c>
      <c r="E88" s="20">
        <v>45236.0</v>
      </c>
      <c r="F88" s="6">
        <f>ROUND(('ALL(responses)'!F88 - MIN('ALL(responses)'!F$2:F$641)) / (MAX('ALL(responses)'!F$2:F$641)-MIN('ALL(responses)'!F$2:F$641)),3)
</f>
        <v>0</v>
      </c>
      <c r="G88" s="6">
        <f>ROUND(('ALL(responses)'!G89 - MIN('ALL(responses)'!G$3:G$322)) / (MAX('ALL(responses)'!G$3:G$322)-MIN('ALL(responses)'!G$3:G$322)),3)
</f>
        <v>1</v>
      </c>
      <c r="H88" s="6">
        <f>ROUND(('ALL(responses)'!H89 - MIN('ALL(responses)'!H$3:H$322)) / (MAX('ALL(responses)'!H$3:H$322)-MIN('ALL(responses)'!H$3:H$322)),3)
</f>
        <v>0.667</v>
      </c>
      <c r="I88" s="6">
        <f>ROUND(('ALL(responses)'!I89 - MIN('ALL(responses)'!I$3:I$322)) / (MAX('ALL(responses)'!I$3:I$322)-MIN('ALL(responses)'!I$3:I$322)),3)
</f>
        <v>1</v>
      </c>
      <c r="J88" s="6">
        <f>ROUND(('ALL(responses)'!J89 - MIN('ALL(responses)'!J$3:J$322)) / (MAX('ALL(responses)'!J$3:J$322)-MIN('ALL(responses)'!J$3:J$322)),3)
</f>
        <v>1</v>
      </c>
      <c r="K88" s="6">
        <f>ROUND(('ALL(responses)'!M89 - MIN('ALL(responses)'!M$3:M$322)) / (MAX('ALL(responses)'!M$3:M$322)-MIN('ALL(responses)'!M$3:M$322)),3)
</f>
        <v>0.472</v>
      </c>
      <c r="L88" s="6">
        <f>ROUND(('ALL(responses)'!P89 - MIN('ALL(responses)'!P$3:P$322)) / (MAX('ALL(responses)'!P$3:P$322)-MIN('ALL(responses)'!P$3:P$322)),3)
</f>
        <v>0.205</v>
      </c>
      <c r="M88" s="6">
        <f>ROUND(('ALL(responses)'!Q89 - MIN('ALL(responses)'!Q$3:Q$322)) / (MAX('ALL(responses)'!Q$3:Q$322)-MIN('ALL(responses)'!Q$3:Q$322)),3)
</f>
        <v>0.583</v>
      </c>
      <c r="N88" s="6">
        <f>ROUND(('ALL(responses)'!R89 - MIN('ALL(responses)'!R$3:R$322)) / (MAX('ALL(responses)'!R$3:R$322)-MIN('ALL(responses)'!R$3:R$322)),3)
</f>
        <v>0.956</v>
      </c>
      <c r="O88" s="6">
        <f>ROUND(('ALL(responses)'!S89 - MIN('ALL(responses)'!S$3:S$322)) / (MAX('ALL(responses)'!S$3:S$322)-MIN('ALL(responses)'!S$3:S$322)),3)
</f>
        <v>0.978</v>
      </c>
      <c r="P88" s="6">
        <f>ROUND(('ALL(responses)'!T89 - MIN('ALL(responses)'!T$3:T$322)) / (MAX('ALL(responses)'!T$3:T$322)-MIN('ALL(responses)'!T$3:T$322)),3)
</f>
        <v>0.454</v>
      </c>
      <c r="Q88" s="40">
        <f t="shared" si="3"/>
        <v>0.643</v>
      </c>
    </row>
    <row r="89">
      <c r="A89" s="5" t="s">
        <v>20</v>
      </c>
      <c r="B89" s="6" t="s">
        <v>186</v>
      </c>
      <c r="C89" s="12" t="s">
        <v>36</v>
      </c>
      <c r="D89" s="8" t="s">
        <v>194</v>
      </c>
      <c r="E89" s="20">
        <v>45236.0</v>
      </c>
      <c r="F89" s="6">
        <f>ROUND(('ALL(responses)'!F89 - MIN('ALL(responses)'!F$2:F$641)) / (MAX('ALL(responses)'!F$2:F$641)-MIN('ALL(responses)'!F$2:F$641)),3)
</f>
        <v>0</v>
      </c>
      <c r="G89" s="6">
        <f>ROUND(('ALL(responses)'!G90 - MIN('ALL(responses)'!G$3:G$322)) / (MAX('ALL(responses)'!G$3:G$322)-MIN('ALL(responses)'!G$3:G$322)),3)
</f>
        <v>1</v>
      </c>
      <c r="H89" s="6">
        <f>ROUND(('ALL(responses)'!H90 - MIN('ALL(responses)'!H$3:H$322)) / (MAX('ALL(responses)'!H$3:H$322)-MIN('ALL(responses)'!H$3:H$322)),3)
</f>
        <v>0.667</v>
      </c>
      <c r="I89" s="6">
        <f>ROUND(('ALL(responses)'!I90 - MIN('ALL(responses)'!I$3:I$322)) / (MAX('ALL(responses)'!I$3:I$322)-MIN('ALL(responses)'!I$3:I$322)),3)
</f>
        <v>1</v>
      </c>
      <c r="J89" s="6">
        <f>ROUND(('ALL(responses)'!J90 - MIN('ALL(responses)'!J$3:J$322)) / (MAX('ALL(responses)'!J$3:J$322)-MIN('ALL(responses)'!J$3:J$322)),3)
</f>
        <v>1</v>
      </c>
      <c r="K89" s="6">
        <f>ROUND(('ALL(responses)'!M90 - MIN('ALL(responses)'!M$3:M$322)) / (MAX('ALL(responses)'!M$3:M$322)-MIN('ALL(responses)'!M$3:M$322)),3)
</f>
        <v>0.22</v>
      </c>
      <c r="L89" s="6">
        <f>ROUND(('ALL(responses)'!P90 - MIN('ALL(responses)'!P$3:P$322)) / (MAX('ALL(responses)'!P$3:P$322)-MIN('ALL(responses)'!P$3:P$322)),3)
</f>
        <v>0</v>
      </c>
      <c r="M89" s="6">
        <f>ROUND(('ALL(responses)'!Q90 - MIN('ALL(responses)'!Q$3:Q$322)) / (MAX('ALL(responses)'!Q$3:Q$322)-MIN('ALL(responses)'!Q$3:Q$322)),3)
</f>
        <v>0.316</v>
      </c>
      <c r="N89" s="6">
        <f>ROUND(('ALL(responses)'!R90 - MIN('ALL(responses)'!R$3:R$322)) / (MAX('ALL(responses)'!R$3:R$322)-MIN('ALL(responses)'!R$3:R$322)),3)
</f>
        <v>0.441</v>
      </c>
      <c r="O89" s="6">
        <f>ROUND(('ALL(responses)'!S90 - MIN('ALL(responses)'!S$3:S$322)) / (MAX('ALL(responses)'!S$3:S$322)-MIN('ALL(responses)'!S$3:S$322)),3)
</f>
        <v>0.72</v>
      </c>
      <c r="P89" s="6">
        <f>ROUND(('ALL(responses)'!T90 - MIN('ALL(responses)'!T$3:T$322)) / (MAX('ALL(responses)'!T$3:T$322)-MIN('ALL(responses)'!T$3:T$322)),3)
</f>
        <v>0.564</v>
      </c>
      <c r="Q89" s="40">
        <f t="shared" si="3"/>
        <v>0.643</v>
      </c>
    </row>
    <row r="90">
      <c r="A90" s="5" t="s">
        <v>20</v>
      </c>
      <c r="B90" s="6" t="s">
        <v>186</v>
      </c>
      <c r="C90" s="12" t="s">
        <v>38</v>
      </c>
      <c r="D90" s="8" t="s">
        <v>195</v>
      </c>
      <c r="E90" s="20">
        <v>45236.0</v>
      </c>
      <c r="F90" s="6">
        <f>ROUND(('ALL(responses)'!F90 - MIN('ALL(responses)'!F$2:F$641)) / (MAX('ALL(responses)'!F$2:F$641)-MIN('ALL(responses)'!F$2:F$641)),3)
</f>
        <v>0</v>
      </c>
      <c r="G90" s="6">
        <f>ROUND(('ALL(responses)'!G91 - MIN('ALL(responses)'!G$3:G$322)) / (MAX('ALL(responses)'!G$3:G$322)-MIN('ALL(responses)'!G$3:G$322)),3)
</f>
        <v>0</v>
      </c>
      <c r="H90" s="6">
        <f>ROUND(('ALL(responses)'!H91 - MIN('ALL(responses)'!H$3:H$322)) / (MAX('ALL(responses)'!H$3:H$322)-MIN('ALL(responses)'!H$3:H$322)),3)
</f>
        <v>0.667</v>
      </c>
      <c r="I90" s="6">
        <f>ROUND(('ALL(responses)'!I91 - MIN('ALL(responses)'!I$3:I$322)) / (MAX('ALL(responses)'!I$3:I$322)-MIN('ALL(responses)'!I$3:I$322)),3)
</f>
        <v>1</v>
      </c>
      <c r="J90" s="6">
        <f>ROUND(('ALL(responses)'!J91 - MIN('ALL(responses)'!J$3:J$322)) / (MAX('ALL(responses)'!J$3:J$322)-MIN('ALL(responses)'!J$3:J$322)),3)
</f>
        <v>1</v>
      </c>
      <c r="K90" s="6">
        <f>ROUND(('ALL(responses)'!M91 - MIN('ALL(responses)'!M$3:M$322)) / (MAX('ALL(responses)'!M$3:M$322)-MIN('ALL(responses)'!M$3:M$322)),3)
</f>
        <v>0.277</v>
      </c>
      <c r="L90" s="6">
        <f>ROUND(('ALL(responses)'!P91 - MIN('ALL(responses)'!P$3:P$322)) / (MAX('ALL(responses)'!P$3:P$322)-MIN('ALL(responses)'!P$3:P$322)),3)
</f>
        <v>0.53</v>
      </c>
      <c r="M90" s="6">
        <f>ROUND(('ALL(responses)'!Q91 - MIN('ALL(responses)'!Q$3:Q$322)) / (MAX('ALL(responses)'!Q$3:Q$322)-MIN('ALL(responses)'!Q$3:Q$322)),3)
</f>
        <v>0.536</v>
      </c>
      <c r="N90" s="6">
        <f>ROUND(('ALL(responses)'!R91 - MIN('ALL(responses)'!R$3:R$322)) / (MAX('ALL(responses)'!R$3:R$322)-MIN('ALL(responses)'!R$3:R$322)),3)
</f>
        <v>0.258</v>
      </c>
      <c r="O90" s="6">
        <f>ROUND(('ALL(responses)'!S91 - MIN('ALL(responses)'!S$3:S$322)) / (MAX('ALL(responses)'!S$3:S$322)-MIN('ALL(responses)'!S$3:S$322)),3)
</f>
        <v>0.371</v>
      </c>
      <c r="P90" s="6">
        <f>ROUND(('ALL(responses)'!T91 - MIN('ALL(responses)'!T$3:T$322)) / (MAX('ALL(responses)'!T$3:T$322)-MIN('ALL(responses)'!T$3:T$322)),3)
</f>
        <v>0.532</v>
      </c>
      <c r="Q90" s="40">
        <f t="shared" si="3"/>
        <v>0.643</v>
      </c>
    </row>
    <row r="91">
      <c r="A91" s="5" t="s">
        <v>20</v>
      </c>
      <c r="B91" s="6" t="s">
        <v>186</v>
      </c>
      <c r="C91" s="12" t="s">
        <v>40</v>
      </c>
      <c r="D91" s="8" t="s">
        <v>196</v>
      </c>
      <c r="E91" s="20">
        <v>45236.0</v>
      </c>
      <c r="F91" s="6">
        <f>ROUND(('ALL(responses)'!F91 - MIN('ALL(responses)'!F$2:F$641)) / (MAX('ALL(responses)'!F$2:F$641)-MIN('ALL(responses)'!F$2:F$641)),3)
</f>
        <v>0.875</v>
      </c>
      <c r="G91" s="6">
        <f>ROUND(('ALL(responses)'!G92 - MIN('ALL(responses)'!G$3:G$322)) / (MAX('ALL(responses)'!G$3:G$322)-MIN('ALL(responses)'!G$3:G$322)),3)
</f>
        <v>1</v>
      </c>
      <c r="H91" s="6">
        <f>ROUND(('ALL(responses)'!H92 - MIN('ALL(responses)'!H$3:H$322)) / (MAX('ALL(responses)'!H$3:H$322)-MIN('ALL(responses)'!H$3:H$322)),3)
</f>
        <v>0.667</v>
      </c>
      <c r="I91" s="6">
        <f>ROUND(('ALL(responses)'!I92 - MIN('ALL(responses)'!I$3:I$322)) / (MAX('ALL(responses)'!I$3:I$322)-MIN('ALL(responses)'!I$3:I$322)),3)
</f>
        <v>1</v>
      </c>
      <c r="J91" s="6">
        <f>ROUND(('ALL(responses)'!J92 - MIN('ALL(responses)'!J$3:J$322)) / (MAX('ALL(responses)'!J$3:J$322)-MIN('ALL(responses)'!J$3:J$322)),3)
</f>
        <v>1</v>
      </c>
      <c r="K91" s="6">
        <f>ROUND(('ALL(responses)'!M92 - MIN('ALL(responses)'!M$3:M$322)) / (MAX('ALL(responses)'!M$3:M$322)-MIN('ALL(responses)'!M$3:M$322)),3)
</f>
        <v>0.517</v>
      </c>
      <c r="L91" s="6">
        <f>ROUND(('ALL(responses)'!P92 - MIN('ALL(responses)'!P$3:P$322)) / (MAX('ALL(responses)'!P$3:P$322)-MIN('ALL(responses)'!P$3:P$322)),3)
</f>
        <v>0.761</v>
      </c>
      <c r="M91" s="6">
        <f>ROUND(('ALL(responses)'!Q92 - MIN('ALL(responses)'!Q$3:Q$322)) / (MAX('ALL(responses)'!Q$3:Q$322)-MIN('ALL(responses)'!Q$3:Q$322)),3)
</f>
        <v>0.307</v>
      </c>
      <c r="N91" s="6">
        <f>ROUND(('ALL(responses)'!R92 - MIN('ALL(responses)'!R$3:R$322)) / (MAX('ALL(responses)'!R$3:R$322)-MIN('ALL(responses)'!R$3:R$322)),3)
</f>
        <v>0.931</v>
      </c>
      <c r="O91" s="6">
        <f>ROUND(('ALL(responses)'!S92 - MIN('ALL(responses)'!S$3:S$322)) / (MAX('ALL(responses)'!S$3:S$322)-MIN('ALL(responses)'!S$3:S$322)),3)
</f>
        <v>0.965</v>
      </c>
      <c r="P91" s="6">
        <f>ROUND(('ALL(responses)'!T92 - MIN('ALL(responses)'!T$3:T$322)) / (MAX('ALL(responses)'!T$3:T$322)-MIN('ALL(responses)'!T$3:T$322)),3)
</f>
        <v>0.49</v>
      </c>
      <c r="Q91" s="40">
        <f t="shared" si="3"/>
        <v>0.643</v>
      </c>
    </row>
    <row r="92">
      <c r="A92" s="5" t="s">
        <v>42</v>
      </c>
      <c r="B92" s="6" t="s">
        <v>186</v>
      </c>
      <c r="C92" s="12" t="s">
        <v>43</v>
      </c>
      <c r="D92" s="8" t="s">
        <v>197</v>
      </c>
      <c r="E92" s="20">
        <v>45236.0</v>
      </c>
      <c r="F92" s="6">
        <f>ROUND(('ALL(responses)'!F92 - MIN('ALL(responses)'!F$2:F$641)) / (MAX('ALL(responses)'!F$2:F$641)-MIN('ALL(responses)'!F$2:F$641)),3)
</f>
        <v>0</v>
      </c>
      <c r="G92" s="6">
        <f>ROUND(('ALL(responses)'!G93 - MIN('ALL(responses)'!G$3:G$322)) / (MAX('ALL(responses)'!G$3:G$322)-MIN('ALL(responses)'!G$3:G$322)),3)
</f>
        <v>1</v>
      </c>
      <c r="H92" s="6">
        <f>ROUND(('ALL(responses)'!H93 - MIN('ALL(responses)'!H$3:H$322)) / (MAX('ALL(responses)'!H$3:H$322)-MIN('ALL(responses)'!H$3:H$322)),3)
</f>
        <v>0.667</v>
      </c>
      <c r="I92" s="6">
        <f>ROUND(('ALL(responses)'!I93 - MIN('ALL(responses)'!I$3:I$322)) / (MAX('ALL(responses)'!I$3:I$322)-MIN('ALL(responses)'!I$3:I$322)),3)
</f>
        <v>1</v>
      </c>
      <c r="J92" s="6">
        <f>ROUND(('ALL(responses)'!J93 - MIN('ALL(responses)'!J$3:J$322)) / (MAX('ALL(responses)'!J$3:J$322)-MIN('ALL(responses)'!J$3:J$322)),3)
</f>
        <v>1</v>
      </c>
      <c r="K92" s="6">
        <f>ROUND(('ALL(responses)'!M93 - MIN('ALL(responses)'!M$3:M$322)) / (MAX('ALL(responses)'!M$3:M$322)-MIN('ALL(responses)'!M$3:M$322)),3)
</f>
        <v>0.512</v>
      </c>
      <c r="L92" s="6">
        <f>ROUND(('ALL(responses)'!P93 - MIN('ALL(responses)'!P$3:P$322)) / (MAX('ALL(responses)'!P$3:P$322)-MIN('ALL(responses)'!P$3:P$322)),3)
</f>
        <v>0</v>
      </c>
      <c r="M92" s="6">
        <f>ROUND(('ALL(responses)'!Q93 - MIN('ALL(responses)'!Q$3:Q$322)) / (MAX('ALL(responses)'!Q$3:Q$322)-MIN('ALL(responses)'!Q$3:Q$322)),3)
</f>
        <v>0.486</v>
      </c>
      <c r="N92" s="6">
        <f>ROUND(('ALL(responses)'!R93 - MIN('ALL(responses)'!R$3:R$322)) / (MAX('ALL(responses)'!R$3:R$322)-MIN('ALL(responses)'!R$3:R$322)),3)
</f>
        <v>0.477</v>
      </c>
      <c r="O92" s="6">
        <f>ROUND(('ALL(responses)'!S93 - MIN('ALL(responses)'!S$3:S$322)) / (MAX('ALL(responses)'!S$3:S$322)-MIN('ALL(responses)'!S$3:S$322)),3)
</f>
        <v>0.738</v>
      </c>
      <c r="P92" s="6">
        <f>ROUND(('ALL(responses)'!T93 - MIN('ALL(responses)'!T$3:T$322)) / (MAX('ALL(responses)'!T$3:T$322)-MIN('ALL(responses)'!T$3:T$322)),3)
</f>
        <v>0.674</v>
      </c>
      <c r="Q92" s="40">
        <f t="shared" si="3"/>
        <v>0.643</v>
      </c>
    </row>
    <row r="93">
      <c r="A93" s="5" t="s">
        <v>42</v>
      </c>
      <c r="B93" s="6" t="s">
        <v>186</v>
      </c>
      <c r="C93" s="12" t="s">
        <v>45</v>
      </c>
      <c r="D93" s="8" t="s">
        <v>198</v>
      </c>
      <c r="E93" s="20">
        <v>45236.0</v>
      </c>
      <c r="F93" s="6">
        <f>ROUND(('ALL(responses)'!F93 - MIN('ALL(responses)'!F$2:F$641)) / (MAX('ALL(responses)'!F$2:F$641)-MIN('ALL(responses)'!F$2:F$641)),3)
</f>
        <v>0</v>
      </c>
      <c r="G93" s="6">
        <f>ROUND(('ALL(responses)'!G94 - MIN('ALL(responses)'!G$3:G$322)) / (MAX('ALL(responses)'!G$3:G$322)-MIN('ALL(responses)'!G$3:G$322)),3)
</f>
        <v>1</v>
      </c>
      <c r="H93" s="6">
        <f>ROUND(('ALL(responses)'!H94 - MIN('ALL(responses)'!H$3:H$322)) / (MAX('ALL(responses)'!H$3:H$322)-MIN('ALL(responses)'!H$3:H$322)),3)
</f>
        <v>0.667</v>
      </c>
      <c r="I93" s="6">
        <f>ROUND(('ALL(responses)'!I94 - MIN('ALL(responses)'!I$3:I$322)) / (MAX('ALL(responses)'!I$3:I$322)-MIN('ALL(responses)'!I$3:I$322)),3)
</f>
        <v>1</v>
      </c>
      <c r="J93" s="6">
        <f>ROUND(('ALL(responses)'!J94 - MIN('ALL(responses)'!J$3:J$322)) / (MAX('ALL(responses)'!J$3:J$322)-MIN('ALL(responses)'!J$3:J$322)),3)
</f>
        <v>1</v>
      </c>
      <c r="K93" s="6">
        <f>ROUND(('ALL(responses)'!M94 - MIN('ALL(responses)'!M$3:M$322)) / (MAX('ALL(responses)'!M$3:M$322)-MIN('ALL(responses)'!M$3:M$322)),3)
</f>
        <v>0.358</v>
      </c>
      <c r="L93" s="6">
        <f>ROUND(('ALL(responses)'!P94 - MIN('ALL(responses)'!P$3:P$322)) / (MAX('ALL(responses)'!P$3:P$322)-MIN('ALL(responses)'!P$3:P$322)),3)
</f>
        <v>1</v>
      </c>
      <c r="M93" s="6">
        <f>ROUND(('ALL(responses)'!Q94 - MIN('ALL(responses)'!Q$3:Q$322)) / (MAX('ALL(responses)'!Q$3:Q$322)-MIN('ALL(responses)'!Q$3:Q$322)),3)
</f>
        <v>0.529</v>
      </c>
      <c r="N93" s="6">
        <f>ROUND(('ALL(responses)'!R94 - MIN('ALL(responses)'!R$3:R$322)) / (MAX('ALL(responses)'!R$3:R$322)-MIN('ALL(responses)'!R$3:R$322)),3)
</f>
        <v>0.868</v>
      </c>
      <c r="O93" s="6">
        <f>ROUND(('ALL(responses)'!S94 - MIN('ALL(responses)'!S$3:S$322)) / (MAX('ALL(responses)'!S$3:S$322)-MIN('ALL(responses)'!S$3:S$322)),3)
</f>
        <v>0.934</v>
      </c>
      <c r="P93" s="6">
        <f>ROUND(('ALL(responses)'!T94 - MIN('ALL(responses)'!T$3:T$322)) / (MAX('ALL(responses)'!T$3:T$322)-MIN('ALL(responses)'!T$3:T$322)),3)
</f>
        <v>0.601</v>
      </c>
      <c r="Q93" s="40">
        <f t="shared" si="3"/>
        <v>0.643</v>
      </c>
    </row>
    <row r="94">
      <c r="A94" s="5" t="s">
        <v>42</v>
      </c>
      <c r="B94" s="6" t="s">
        <v>186</v>
      </c>
      <c r="C94" s="12" t="s">
        <v>47</v>
      </c>
      <c r="D94" s="8" t="s">
        <v>199</v>
      </c>
      <c r="E94" s="20">
        <v>45236.0</v>
      </c>
      <c r="F94" s="6">
        <f>ROUND(('ALL(responses)'!F94 - MIN('ALL(responses)'!F$2:F$641)) / (MAX('ALL(responses)'!F$2:F$641)-MIN('ALL(responses)'!F$2:F$641)),3)
</f>
        <v>0.875</v>
      </c>
      <c r="G94" s="6">
        <f>ROUND(('ALL(responses)'!G95 - MIN('ALL(responses)'!G$3:G$322)) / (MAX('ALL(responses)'!G$3:G$322)-MIN('ALL(responses)'!G$3:G$322)),3)
</f>
        <v>1</v>
      </c>
      <c r="H94" s="6">
        <f>ROUND(('ALL(responses)'!H95 - MIN('ALL(responses)'!H$3:H$322)) / (MAX('ALL(responses)'!H$3:H$322)-MIN('ALL(responses)'!H$3:H$322)),3)
</f>
        <v>0.667</v>
      </c>
      <c r="I94" s="6">
        <f>ROUND(('ALL(responses)'!I95 - MIN('ALL(responses)'!I$3:I$322)) / (MAX('ALL(responses)'!I$3:I$322)-MIN('ALL(responses)'!I$3:I$322)),3)
</f>
        <v>1</v>
      </c>
      <c r="J94" s="6">
        <f>ROUND(('ALL(responses)'!J95 - MIN('ALL(responses)'!J$3:J$322)) / (MAX('ALL(responses)'!J$3:J$322)-MIN('ALL(responses)'!J$3:J$322)),3)
</f>
        <v>1</v>
      </c>
      <c r="K94" s="6">
        <f>ROUND(('ALL(responses)'!M95 - MIN('ALL(responses)'!M$3:M$322)) / (MAX('ALL(responses)'!M$3:M$322)-MIN('ALL(responses)'!M$3:M$322)),3)
</f>
        <v>0.378</v>
      </c>
      <c r="L94" s="6">
        <f>ROUND(('ALL(responses)'!P95 - MIN('ALL(responses)'!P$3:P$322)) / (MAX('ALL(responses)'!P$3:P$322)-MIN('ALL(responses)'!P$3:P$322)),3)
</f>
        <v>0.229</v>
      </c>
      <c r="M94" s="6">
        <f>ROUND(('ALL(responses)'!Q95 - MIN('ALL(responses)'!Q$3:Q$322)) / (MAX('ALL(responses)'!Q$3:Q$322)-MIN('ALL(responses)'!Q$3:Q$322)),3)
</f>
        <v>0.551</v>
      </c>
      <c r="N94" s="6">
        <f>ROUND(('ALL(responses)'!R95 - MIN('ALL(responses)'!R$3:R$322)) / (MAX('ALL(responses)'!R$3:R$322)-MIN('ALL(responses)'!R$3:R$322)),3)
</f>
        <v>0.863</v>
      </c>
      <c r="O94" s="6">
        <f>ROUND(('ALL(responses)'!S95 - MIN('ALL(responses)'!S$3:S$322)) / (MAX('ALL(responses)'!S$3:S$322)-MIN('ALL(responses)'!S$3:S$322)),3)
</f>
        <v>0.932</v>
      </c>
      <c r="P94" s="6">
        <f>ROUND(('ALL(responses)'!T95 - MIN('ALL(responses)'!T$3:T$322)) / (MAX('ALL(responses)'!T$3:T$322)-MIN('ALL(responses)'!T$3:T$322)),3)
</f>
        <v>0.568</v>
      </c>
      <c r="Q94" s="40">
        <f t="shared" si="3"/>
        <v>0.643</v>
      </c>
    </row>
    <row r="95">
      <c r="A95" s="5" t="s">
        <v>42</v>
      </c>
      <c r="B95" s="6" t="s">
        <v>186</v>
      </c>
      <c r="C95" s="12" t="s">
        <v>49</v>
      </c>
      <c r="D95" s="8" t="s">
        <v>200</v>
      </c>
      <c r="E95" s="20">
        <v>45236.0</v>
      </c>
      <c r="F95" s="6">
        <f>ROUND(('ALL(responses)'!F95 - MIN('ALL(responses)'!F$2:F$641)) / (MAX('ALL(responses)'!F$2:F$641)-MIN('ALL(responses)'!F$2:F$641)),3)
</f>
        <v>0</v>
      </c>
      <c r="G95" s="6">
        <f>ROUND(('ALL(responses)'!G96 - MIN('ALL(responses)'!G$3:G$322)) / (MAX('ALL(responses)'!G$3:G$322)-MIN('ALL(responses)'!G$3:G$322)),3)
</f>
        <v>0</v>
      </c>
      <c r="H95" s="6">
        <f>ROUND(('ALL(responses)'!H96 - MIN('ALL(responses)'!H$3:H$322)) / (MAX('ALL(responses)'!H$3:H$322)-MIN('ALL(responses)'!H$3:H$322)),3)
</f>
        <v>0.667</v>
      </c>
      <c r="I95" s="6">
        <f>ROUND(('ALL(responses)'!I96 - MIN('ALL(responses)'!I$3:I$322)) / (MAX('ALL(responses)'!I$3:I$322)-MIN('ALL(responses)'!I$3:I$322)),3)
</f>
        <v>1</v>
      </c>
      <c r="J95" s="6">
        <f>ROUND(('ALL(responses)'!J96 - MIN('ALL(responses)'!J$3:J$322)) / (MAX('ALL(responses)'!J$3:J$322)-MIN('ALL(responses)'!J$3:J$322)),3)
</f>
        <v>1</v>
      </c>
      <c r="K95" s="6">
        <f>ROUND(('ALL(responses)'!M96 - MIN('ALL(responses)'!M$3:M$322)) / (MAX('ALL(responses)'!M$3:M$322)-MIN('ALL(responses)'!M$3:M$322)),3)
</f>
        <v>0.488</v>
      </c>
      <c r="L95" s="6">
        <f>ROUND(('ALL(responses)'!P96 - MIN('ALL(responses)'!P$3:P$322)) / (MAX('ALL(responses)'!P$3:P$322)-MIN('ALL(responses)'!P$3:P$322)),3)
</f>
        <v>0.365</v>
      </c>
      <c r="M95" s="6">
        <f>ROUND(('ALL(responses)'!Q96 - MIN('ALL(responses)'!Q$3:Q$322)) / (MAX('ALL(responses)'!Q$3:Q$322)-MIN('ALL(responses)'!Q$3:Q$322)),3)
</f>
        <v>0.29</v>
      </c>
      <c r="N95" s="6">
        <f>ROUND(('ALL(responses)'!R96 - MIN('ALL(responses)'!R$3:R$322)) / (MAX('ALL(responses)'!R$3:R$322)-MIN('ALL(responses)'!R$3:R$322)),3)
</f>
        <v>0.92</v>
      </c>
      <c r="O95" s="6">
        <f>ROUND(('ALL(responses)'!S96 - MIN('ALL(responses)'!S$3:S$322)) / (MAX('ALL(responses)'!S$3:S$322)-MIN('ALL(responses)'!S$3:S$322)),3)
</f>
        <v>0.96</v>
      </c>
      <c r="P95" s="6">
        <f>ROUND(('ALL(responses)'!T96 - MIN('ALL(responses)'!T$3:T$322)) / (MAX('ALL(responses)'!T$3:T$322)-MIN('ALL(responses)'!T$3:T$322)),3)
</f>
        <v>0.994</v>
      </c>
      <c r="Q95" s="40">
        <f t="shared" si="3"/>
        <v>0.643</v>
      </c>
    </row>
    <row r="96">
      <c r="A96" s="5" t="s">
        <v>42</v>
      </c>
      <c r="B96" s="6" t="s">
        <v>186</v>
      </c>
      <c r="C96" s="12" t="s">
        <v>51</v>
      </c>
      <c r="D96" s="8" t="s">
        <v>201</v>
      </c>
      <c r="E96" s="20">
        <v>45236.0</v>
      </c>
      <c r="F96" s="6">
        <f>ROUND(('ALL(responses)'!F96 - MIN('ALL(responses)'!F$2:F$641)) / (MAX('ALL(responses)'!F$2:F$641)-MIN('ALL(responses)'!F$2:F$641)),3)
</f>
        <v>0.875</v>
      </c>
      <c r="G96" s="6">
        <f>ROUND(('ALL(responses)'!G97 - MIN('ALL(responses)'!G$3:G$322)) / (MAX('ALL(responses)'!G$3:G$322)-MIN('ALL(responses)'!G$3:G$322)),3)
</f>
        <v>1</v>
      </c>
      <c r="H96" s="6">
        <f>ROUND(('ALL(responses)'!H97 - MIN('ALL(responses)'!H$3:H$322)) / (MAX('ALL(responses)'!H$3:H$322)-MIN('ALL(responses)'!H$3:H$322)),3)
</f>
        <v>0.667</v>
      </c>
      <c r="I96" s="6">
        <f>ROUND(('ALL(responses)'!I97 - MIN('ALL(responses)'!I$3:I$322)) / (MAX('ALL(responses)'!I$3:I$322)-MIN('ALL(responses)'!I$3:I$322)),3)
</f>
        <v>1</v>
      </c>
      <c r="J96" s="6">
        <f>ROUND(('ALL(responses)'!J97 - MIN('ALL(responses)'!J$3:J$322)) / (MAX('ALL(responses)'!J$3:J$322)-MIN('ALL(responses)'!J$3:J$322)),3)
</f>
        <v>1</v>
      </c>
      <c r="K96" s="6">
        <f>ROUND(('ALL(responses)'!M97 - MIN('ALL(responses)'!M$3:M$322)) / (MAX('ALL(responses)'!M$3:M$322)-MIN('ALL(responses)'!M$3:M$322)),3)
</f>
        <v>0.522</v>
      </c>
      <c r="L96" s="6">
        <f>ROUND(('ALL(responses)'!P97 - MIN('ALL(responses)'!P$3:P$322)) / (MAX('ALL(responses)'!P$3:P$322)-MIN('ALL(responses)'!P$3:P$322)),3)
</f>
        <v>0</v>
      </c>
      <c r="M96" s="6">
        <f>ROUND(('ALL(responses)'!Q97 - MIN('ALL(responses)'!Q$3:Q$322)) / (MAX('ALL(responses)'!Q$3:Q$322)-MIN('ALL(responses)'!Q$3:Q$322)),3)
</f>
        <v>0.482</v>
      </c>
      <c r="N96" s="6">
        <f>ROUND(('ALL(responses)'!R97 - MIN('ALL(responses)'!R$3:R$322)) / (MAX('ALL(responses)'!R$3:R$322)-MIN('ALL(responses)'!R$3:R$322)),3)
</f>
        <v>0.88</v>
      </c>
      <c r="O96" s="6">
        <f>ROUND(('ALL(responses)'!S97 - MIN('ALL(responses)'!S$3:S$322)) / (MAX('ALL(responses)'!S$3:S$322)-MIN('ALL(responses)'!S$3:S$322)),3)
</f>
        <v>0.94</v>
      </c>
      <c r="P96" s="6">
        <f>ROUND(('ALL(responses)'!T97 - MIN('ALL(responses)'!T$3:T$322)) / (MAX('ALL(responses)'!T$3:T$322)-MIN('ALL(responses)'!T$3:T$322)),3)
</f>
        <v>0.569</v>
      </c>
      <c r="Q96" s="40">
        <f t="shared" si="3"/>
        <v>0.643</v>
      </c>
    </row>
    <row r="97">
      <c r="A97" s="5" t="s">
        <v>42</v>
      </c>
      <c r="B97" s="6" t="s">
        <v>186</v>
      </c>
      <c r="C97" s="12" t="s">
        <v>53</v>
      </c>
      <c r="D97" s="8" t="s">
        <v>202</v>
      </c>
      <c r="E97" s="20">
        <v>45236.0</v>
      </c>
      <c r="F97" s="6">
        <f>ROUND(('ALL(responses)'!F97 - MIN('ALL(responses)'!F$2:F$641)) / (MAX('ALL(responses)'!F$2:F$641)-MIN('ALL(responses)'!F$2:F$641)),3)
</f>
        <v>0.875</v>
      </c>
      <c r="G97" s="6">
        <f>ROUND(('ALL(responses)'!G98 - MIN('ALL(responses)'!G$3:G$322)) / (MAX('ALL(responses)'!G$3:G$322)-MIN('ALL(responses)'!G$3:G$322)),3)
</f>
        <v>1</v>
      </c>
      <c r="H97" s="6">
        <f>ROUND(('ALL(responses)'!H98 - MIN('ALL(responses)'!H$3:H$322)) / (MAX('ALL(responses)'!H$3:H$322)-MIN('ALL(responses)'!H$3:H$322)),3)
</f>
        <v>0.667</v>
      </c>
      <c r="I97" s="6">
        <f>ROUND(('ALL(responses)'!I98 - MIN('ALL(responses)'!I$3:I$322)) / (MAX('ALL(responses)'!I$3:I$322)-MIN('ALL(responses)'!I$3:I$322)),3)
</f>
        <v>1</v>
      </c>
      <c r="J97" s="6">
        <f>ROUND(('ALL(responses)'!J98 - MIN('ALL(responses)'!J$3:J$322)) / (MAX('ALL(responses)'!J$3:J$322)-MIN('ALL(responses)'!J$3:J$322)),3)
</f>
        <v>1</v>
      </c>
      <c r="K97" s="6">
        <f>ROUND(('ALL(responses)'!M98 - MIN('ALL(responses)'!M$3:M$322)) / (MAX('ALL(responses)'!M$3:M$322)-MIN('ALL(responses)'!M$3:M$322)),3)
</f>
        <v>0.471</v>
      </c>
      <c r="L97" s="6">
        <f>ROUND(('ALL(responses)'!P98 - MIN('ALL(responses)'!P$3:P$322)) / (MAX('ALL(responses)'!P$3:P$322)-MIN('ALL(responses)'!P$3:P$322)),3)
</f>
        <v>0.622</v>
      </c>
      <c r="M97" s="6">
        <f>ROUND(('ALL(responses)'!Q98 - MIN('ALL(responses)'!Q$3:Q$322)) / (MAX('ALL(responses)'!Q$3:Q$322)-MIN('ALL(responses)'!Q$3:Q$322)),3)
</f>
        <v>0.182</v>
      </c>
      <c r="N97" s="6">
        <f>ROUND(('ALL(responses)'!R98 - MIN('ALL(responses)'!R$3:R$322)) / (MAX('ALL(responses)'!R$3:R$322)-MIN('ALL(responses)'!R$3:R$322)),3)
</f>
        <v>0.863</v>
      </c>
      <c r="O97" s="6">
        <f>ROUND(('ALL(responses)'!S98 - MIN('ALL(responses)'!S$3:S$322)) / (MAX('ALL(responses)'!S$3:S$322)-MIN('ALL(responses)'!S$3:S$322)),3)
</f>
        <v>0.932</v>
      </c>
      <c r="P97" s="6">
        <f>ROUND(('ALL(responses)'!T98 - MIN('ALL(responses)'!T$3:T$322)) / (MAX('ALL(responses)'!T$3:T$322)-MIN('ALL(responses)'!T$3:T$322)),3)
</f>
        <v>0.668</v>
      </c>
      <c r="Q97" s="40">
        <f t="shared" si="3"/>
        <v>0.643</v>
      </c>
    </row>
    <row r="98">
      <c r="A98" s="5" t="s">
        <v>42</v>
      </c>
      <c r="B98" s="6" t="s">
        <v>186</v>
      </c>
      <c r="C98" s="12" t="s">
        <v>55</v>
      </c>
      <c r="D98" s="8" t="s">
        <v>203</v>
      </c>
      <c r="E98" s="20">
        <v>45236.0</v>
      </c>
      <c r="F98" s="6">
        <f>ROUND(('ALL(responses)'!F98 - MIN('ALL(responses)'!F$2:F$641)) / (MAX('ALL(responses)'!F$2:F$641)-MIN('ALL(responses)'!F$2:F$641)),3)
</f>
        <v>0</v>
      </c>
      <c r="G98" s="6">
        <f>ROUND(('ALL(responses)'!G99 - MIN('ALL(responses)'!G$3:G$322)) / (MAX('ALL(responses)'!G$3:G$322)-MIN('ALL(responses)'!G$3:G$322)),3)
</f>
        <v>1</v>
      </c>
      <c r="H98" s="6">
        <f>ROUND(('ALL(responses)'!H99 - MIN('ALL(responses)'!H$3:H$322)) / (MAX('ALL(responses)'!H$3:H$322)-MIN('ALL(responses)'!H$3:H$322)),3)
</f>
        <v>0.667</v>
      </c>
      <c r="I98" s="6">
        <f>ROUND(('ALL(responses)'!I99 - MIN('ALL(responses)'!I$3:I$322)) / (MAX('ALL(responses)'!I$3:I$322)-MIN('ALL(responses)'!I$3:I$322)),3)
</f>
        <v>1</v>
      </c>
      <c r="J98" s="6">
        <f>ROUND(('ALL(responses)'!J99 - MIN('ALL(responses)'!J$3:J$322)) / (MAX('ALL(responses)'!J$3:J$322)-MIN('ALL(responses)'!J$3:J$322)),3)
</f>
        <v>1</v>
      </c>
      <c r="K98" s="6">
        <f>ROUND(('ALL(responses)'!M99 - MIN('ALL(responses)'!M$3:M$322)) / (MAX('ALL(responses)'!M$3:M$322)-MIN('ALL(responses)'!M$3:M$322)),3)
</f>
        <v>0.376</v>
      </c>
      <c r="L98" s="6">
        <f>ROUND(('ALL(responses)'!P99 - MIN('ALL(responses)'!P$3:P$322)) / (MAX('ALL(responses)'!P$3:P$322)-MIN('ALL(responses)'!P$3:P$322)),3)
</f>
        <v>0.648</v>
      </c>
      <c r="M98" s="6">
        <f>ROUND(('ALL(responses)'!Q99 - MIN('ALL(responses)'!Q$3:Q$322)) / (MAX('ALL(responses)'!Q$3:Q$322)-MIN('ALL(responses)'!Q$3:Q$322)),3)
</f>
        <v>0.265</v>
      </c>
      <c r="N98" s="6">
        <f>ROUND(('ALL(responses)'!R99 - MIN('ALL(responses)'!R$3:R$322)) / (MAX('ALL(responses)'!R$3:R$322)-MIN('ALL(responses)'!R$3:R$322)),3)
</f>
        <v>0.592</v>
      </c>
      <c r="O98" s="6">
        <f>ROUND(('ALL(responses)'!S99 - MIN('ALL(responses)'!S$3:S$322)) / (MAX('ALL(responses)'!S$3:S$322)-MIN('ALL(responses)'!S$3:S$322)),3)
</f>
        <v>0.796</v>
      </c>
      <c r="P98" s="6">
        <f>ROUND(('ALL(responses)'!T99 - MIN('ALL(responses)'!T$3:T$322)) / (MAX('ALL(responses)'!T$3:T$322)-MIN('ALL(responses)'!T$3:T$322)),3)
</f>
        <v>0.339</v>
      </c>
      <c r="Q98" s="40">
        <f t="shared" si="3"/>
        <v>0.643</v>
      </c>
    </row>
    <row r="99">
      <c r="A99" s="5" t="s">
        <v>42</v>
      </c>
      <c r="B99" s="6" t="s">
        <v>186</v>
      </c>
      <c r="C99" s="12" t="s">
        <v>57</v>
      </c>
      <c r="D99" s="8" t="s">
        <v>204</v>
      </c>
      <c r="E99" s="20">
        <v>45236.0</v>
      </c>
      <c r="F99" s="6">
        <f>ROUND(('ALL(responses)'!F99 - MIN('ALL(responses)'!F$2:F$641)) / (MAX('ALL(responses)'!F$2:F$641)-MIN('ALL(responses)'!F$2:F$641)),3)
</f>
        <v>0.875</v>
      </c>
      <c r="G99" s="6">
        <f>ROUND(('ALL(responses)'!G100 - MIN('ALL(responses)'!G$3:G$322)) / (MAX('ALL(responses)'!G$3:G$322)-MIN('ALL(responses)'!G$3:G$322)),3)
</f>
        <v>1</v>
      </c>
      <c r="H99" s="6">
        <f>ROUND(('ALL(responses)'!H100 - MIN('ALL(responses)'!H$3:H$322)) / (MAX('ALL(responses)'!H$3:H$322)-MIN('ALL(responses)'!H$3:H$322)),3)
</f>
        <v>0.667</v>
      </c>
      <c r="I99" s="6">
        <f>ROUND(('ALL(responses)'!I100 - MIN('ALL(responses)'!I$3:I$322)) / (MAX('ALL(responses)'!I$3:I$322)-MIN('ALL(responses)'!I$3:I$322)),3)
</f>
        <v>1</v>
      </c>
      <c r="J99" s="6">
        <f>ROUND(('ALL(responses)'!J100 - MIN('ALL(responses)'!J$3:J$322)) / (MAX('ALL(responses)'!J$3:J$322)-MIN('ALL(responses)'!J$3:J$322)),3)
</f>
        <v>1</v>
      </c>
      <c r="K99" s="6">
        <f>ROUND(('ALL(responses)'!M100 - MIN('ALL(responses)'!M$3:M$322)) / (MAX('ALL(responses)'!M$3:M$322)-MIN('ALL(responses)'!M$3:M$322)),3)
</f>
        <v>0.465</v>
      </c>
      <c r="L99" s="6">
        <f>ROUND(('ALL(responses)'!P100 - MIN('ALL(responses)'!P$3:P$322)) / (MAX('ALL(responses)'!P$3:P$322)-MIN('ALL(responses)'!P$3:P$322)),3)
</f>
        <v>0.761</v>
      </c>
      <c r="M99" s="6">
        <f>ROUND(('ALL(responses)'!Q100 - MIN('ALL(responses)'!Q$3:Q$322)) / (MAX('ALL(responses)'!Q$3:Q$322)-MIN('ALL(responses)'!Q$3:Q$322)),3)
</f>
        <v>0.523</v>
      </c>
      <c r="N99" s="6">
        <f>ROUND(('ALL(responses)'!R100 - MIN('ALL(responses)'!R$3:R$322)) / (MAX('ALL(responses)'!R$3:R$322)-MIN('ALL(responses)'!R$3:R$322)),3)
</f>
        <v>0.701</v>
      </c>
      <c r="O99" s="6">
        <f>ROUND(('ALL(responses)'!S100 - MIN('ALL(responses)'!S$3:S$322)) / (MAX('ALL(responses)'!S$3:S$322)-MIN('ALL(responses)'!S$3:S$322)),3)
</f>
        <v>0.85</v>
      </c>
      <c r="P99" s="6">
        <f>ROUND(('ALL(responses)'!T100 - MIN('ALL(responses)'!T$3:T$322)) / (MAX('ALL(responses)'!T$3:T$322)-MIN('ALL(responses)'!T$3:T$322)),3)
</f>
        <v>0.835</v>
      </c>
      <c r="Q99" s="40">
        <f t="shared" si="3"/>
        <v>0.643</v>
      </c>
    </row>
    <row r="100">
      <c r="A100" s="5" t="s">
        <v>42</v>
      </c>
      <c r="B100" s="6" t="s">
        <v>186</v>
      </c>
      <c r="C100" s="12" t="s">
        <v>59</v>
      </c>
      <c r="D100" s="8" t="s">
        <v>205</v>
      </c>
      <c r="E100" s="20">
        <v>45236.0</v>
      </c>
      <c r="F100" s="6">
        <f>ROUND(('ALL(responses)'!F100 - MIN('ALL(responses)'!F$2:F$641)) / (MAX('ALL(responses)'!F$2:F$641)-MIN('ALL(responses)'!F$2:F$641)),3)
</f>
        <v>0.875</v>
      </c>
      <c r="G100" s="6">
        <f>ROUND(('ALL(responses)'!G101 - MIN('ALL(responses)'!G$3:G$322)) / (MAX('ALL(responses)'!G$3:G$322)-MIN('ALL(responses)'!G$3:G$322)),3)
</f>
        <v>1</v>
      </c>
      <c r="H100" s="6">
        <f>ROUND(('ALL(responses)'!H101 - MIN('ALL(responses)'!H$3:H$322)) / (MAX('ALL(responses)'!H$3:H$322)-MIN('ALL(responses)'!H$3:H$322)),3)
</f>
        <v>0.667</v>
      </c>
      <c r="I100" s="6">
        <f>ROUND(('ALL(responses)'!I101 - MIN('ALL(responses)'!I$3:I$322)) / (MAX('ALL(responses)'!I$3:I$322)-MIN('ALL(responses)'!I$3:I$322)),3)
</f>
        <v>1</v>
      </c>
      <c r="J100" s="6">
        <f>ROUND(('ALL(responses)'!J101 - MIN('ALL(responses)'!J$3:J$322)) / (MAX('ALL(responses)'!J$3:J$322)-MIN('ALL(responses)'!J$3:J$322)),3)
</f>
        <v>1</v>
      </c>
      <c r="K100" s="6">
        <f>ROUND(('ALL(responses)'!M101 - MIN('ALL(responses)'!M$3:M$322)) / (MAX('ALL(responses)'!M$3:M$322)-MIN('ALL(responses)'!M$3:M$322)),3)
</f>
        <v>0.477</v>
      </c>
      <c r="L100" s="6">
        <f>ROUND(('ALL(responses)'!P101 - MIN('ALL(responses)'!P$3:P$322)) / (MAX('ALL(responses)'!P$3:P$322)-MIN('ALL(responses)'!P$3:P$322)),3)
</f>
        <v>0</v>
      </c>
      <c r="M100" s="6">
        <f>ROUND(('ALL(responses)'!Q101 - MIN('ALL(responses)'!Q$3:Q$322)) / (MAX('ALL(responses)'!Q$3:Q$322)-MIN('ALL(responses)'!Q$3:Q$322)),3)
</f>
        <v>0.293</v>
      </c>
      <c r="N100" s="6">
        <f>ROUND(('ALL(responses)'!R101 - MIN('ALL(responses)'!R$3:R$322)) / (MAX('ALL(responses)'!R$3:R$322)-MIN('ALL(responses)'!R$3:R$322)),3)
</f>
        <v>0.923</v>
      </c>
      <c r="O100" s="6">
        <f>ROUND(('ALL(responses)'!S101 - MIN('ALL(responses)'!S$3:S$322)) / (MAX('ALL(responses)'!S$3:S$322)-MIN('ALL(responses)'!S$3:S$322)),3)
</f>
        <v>0.962</v>
      </c>
      <c r="P100" s="6">
        <f>ROUND(('ALL(responses)'!T101 - MIN('ALL(responses)'!T$3:T$322)) / (MAX('ALL(responses)'!T$3:T$322)-MIN('ALL(responses)'!T$3:T$322)),3)
</f>
        <v>0.491</v>
      </c>
      <c r="Q100" s="40">
        <f t="shared" si="3"/>
        <v>0.643</v>
      </c>
    </row>
    <row r="101">
      <c r="A101" s="5" t="s">
        <v>42</v>
      </c>
      <c r="B101" s="6" t="s">
        <v>186</v>
      </c>
      <c r="C101" s="12" t="s">
        <v>61</v>
      </c>
      <c r="D101" s="8" t="s">
        <v>206</v>
      </c>
      <c r="E101" s="20">
        <v>45236.0</v>
      </c>
      <c r="F101" s="6">
        <f>ROUND(('ALL(responses)'!F101 - MIN('ALL(responses)'!F$2:F$641)) / (MAX('ALL(responses)'!F$2:F$641)-MIN('ALL(responses)'!F$2:F$641)),3)
</f>
        <v>0</v>
      </c>
      <c r="G101" s="6">
        <f>ROUND(('ALL(responses)'!G102 - MIN('ALL(responses)'!G$3:G$322)) / (MAX('ALL(responses)'!G$3:G$322)-MIN('ALL(responses)'!G$3:G$322)),3)
</f>
        <v>1</v>
      </c>
      <c r="H101" s="6">
        <f>ROUND(('ALL(responses)'!H102 - MIN('ALL(responses)'!H$3:H$322)) / (MAX('ALL(responses)'!H$3:H$322)-MIN('ALL(responses)'!H$3:H$322)),3)
</f>
        <v>0.667</v>
      </c>
      <c r="I101" s="6">
        <f>ROUND(('ALL(responses)'!I102 - MIN('ALL(responses)'!I$3:I$322)) / (MAX('ALL(responses)'!I$3:I$322)-MIN('ALL(responses)'!I$3:I$322)),3)
</f>
        <v>1</v>
      </c>
      <c r="J101" s="6">
        <f>ROUND(('ALL(responses)'!J102 - MIN('ALL(responses)'!J$3:J$322)) / (MAX('ALL(responses)'!J$3:J$322)-MIN('ALL(responses)'!J$3:J$322)),3)
</f>
        <v>1</v>
      </c>
      <c r="K101" s="6">
        <f>ROUND(('ALL(responses)'!M102 - MIN('ALL(responses)'!M$3:M$322)) / (MAX('ALL(responses)'!M$3:M$322)-MIN('ALL(responses)'!M$3:M$322)),3)
</f>
        <v>0.347</v>
      </c>
      <c r="L101" s="6">
        <f>ROUND(('ALL(responses)'!P102 - MIN('ALL(responses)'!P$3:P$322)) / (MAX('ALL(responses)'!P$3:P$322)-MIN('ALL(responses)'!P$3:P$322)),3)
</f>
        <v>0</v>
      </c>
      <c r="M101" s="6">
        <f>ROUND(('ALL(responses)'!Q102 - MIN('ALL(responses)'!Q$3:Q$322)) / (MAX('ALL(responses)'!Q$3:Q$322)-MIN('ALL(responses)'!Q$3:Q$322)),3)
</f>
        <v>0.409</v>
      </c>
      <c r="N101" s="6">
        <f>ROUND(('ALL(responses)'!R102 - MIN('ALL(responses)'!R$3:R$322)) / (MAX('ALL(responses)'!R$3:R$322)-MIN('ALL(responses)'!R$3:R$322)),3)
</f>
        <v>0.477</v>
      </c>
      <c r="O101" s="6">
        <f>ROUND(('ALL(responses)'!S102 - MIN('ALL(responses)'!S$3:S$322)) / (MAX('ALL(responses)'!S$3:S$322)-MIN('ALL(responses)'!S$3:S$322)),3)
</f>
        <v>0.738</v>
      </c>
      <c r="P101" s="6">
        <f>ROUND(('ALL(responses)'!T102 - MIN('ALL(responses)'!T$3:T$322)) / (MAX('ALL(responses)'!T$3:T$322)-MIN('ALL(responses)'!T$3:T$322)),3)
</f>
        <v>0.673</v>
      </c>
      <c r="Q101" s="40">
        <f t="shared" si="3"/>
        <v>0.643</v>
      </c>
    </row>
    <row r="102">
      <c r="A102" s="5" t="s">
        <v>63</v>
      </c>
      <c r="B102" s="6" t="s">
        <v>186</v>
      </c>
      <c r="C102" s="12" t="s">
        <v>64</v>
      </c>
      <c r="D102" s="8" t="s">
        <v>207</v>
      </c>
      <c r="E102" s="20">
        <v>45236.0</v>
      </c>
      <c r="F102" s="6">
        <f>ROUND(('ALL(responses)'!F102 - MIN('ALL(responses)'!F$2:F$641)) / (MAX('ALL(responses)'!F$2:F$641)-MIN('ALL(responses)'!F$2:F$641)),3)
</f>
        <v>0.875</v>
      </c>
      <c r="G102" s="6">
        <f>ROUND(('ALL(responses)'!G103 - MIN('ALL(responses)'!G$3:G$322)) / (MAX('ALL(responses)'!G$3:G$322)-MIN('ALL(responses)'!G$3:G$322)),3)
</f>
        <v>1</v>
      </c>
      <c r="H102" s="6">
        <f>ROUND(('ALL(responses)'!H103 - MIN('ALL(responses)'!H$3:H$322)) / (MAX('ALL(responses)'!H$3:H$322)-MIN('ALL(responses)'!H$3:H$322)),3)
</f>
        <v>0.667</v>
      </c>
      <c r="I102" s="6">
        <f>ROUND(('ALL(responses)'!I103 - MIN('ALL(responses)'!I$3:I$322)) / (MAX('ALL(responses)'!I$3:I$322)-MIN('ALL(responses)'!I$3:I$322)),3)
</f>
        <v>1</v>
      </c>
      <c r="J102" s="6">
        <f>ROUND(('ALL(responses)'!J103 - MIN('ALL(responses)'!J$3:J$322)) / (MAX('ALL(responses)'!J$3:J$322)-MIN('ALL(responses)'!J$3:J$322)),3)
</f>
        <v>0</v>
      </c>
      <c r="K102" s="6">
        <f>ROUND(('ALL(responses)'!M103 - MIN('ALL(responses)'!M$3:M$322)) / (MAX('ALL(responses)'!M$3:M$322)-MIN('ALL(responses)'!M$3:M$322)),3)
</f>
        <v>0.166</v>
      </c>
      <c r="L102" s="6">
        <f>ROUND(('ALL(responses)'!P103 - MIN('ALL(responses)'!P$3:P$322)) / (MAX('ALL(responses)'!P$3:P$322)-MIN('ALL(responses)'!P$3:P$322)),3)
</f>
        <v>0</v>
      </c>
      <c r="M102" s="6">
        <f>ROUND(('ALL(responses)'!Q103 - MIN('ALL(responses)'!Q$3:Q$322)) / (MAX('ALL(responses)'!Q$3:Q$322)-MIN('ALL(responses)'!Q$3:Q$322)),3)
</f>
        <v>0.54</v>
      </c>
      <c r="N102" s="6">
        <f>ROUND(('ALL(responses)'!R103 - MIN('ALL(responses)'!R$3:R$322)) / (MAX('ALL(responses)'!R$3:R$322)-MIN('ALL(responses)'!R$3:R$322)),3)
</f>
        <v>0.885</v>
      </c>
      <c r="O102" s="6">
        <f>ROUND(('ALL(responses)'!S103 - MIN('ALL(responses)'!S$3:S$322)) / (MAX('ALL(responses)'!S$3:S$322)-MIN('ALL(responses)'!S$3:S$322)),3)
</f>
        <v>0.943</v>
      </c>
      <c r="P102" s="6">
        <f>ROUND(('ALL(responses)'!T103 - MIN('ALL(responses)'!T$3:T$322)) / (MAX('ALL(responses)'!T$3:T$322)-MIN('ALL(responses)'!T$3:T$322)),3)
</f>
        <v>0.479</v>
      </c>
      <c r="Q102" s="40">
        <f t="shared" si="3"/>
        <v>0.643</v>
      </c>
    </row>
    <row r="103">
      <c r="A103" s="5" t="s">
        <v>63</v>
      </c>
      <c r="B103" s="6" t="s">
        <v>186</v>
      </c>
      <c r="C103" s="12" t="s">
        <v>66</v>
      </c>
      <c r="D103" s="8" t="s">
        <v>208</v>
      </c>
      <c r="E103" s="20">
        <v>45236.0</v>
      </c>
      <c r="F103" s="6">
        <f>ROUND(('ALL(responses)'!F103 - MIN('ALL(responses)'!F$2:F$641)) / (MAX('ALL(responses)'!F$2:F$641)-MIN('ALL(responses)'!F$2:F$641)),3)
</f>
        <v>0.875</v>
      </c>
      <c r="G103" s="6">
        <f>ROUND(('ALL(responses)'!G104 - MIN('ALL(responses)'!G$3:G$322)) / (MAX('ALL(responses)'!G$3:G$322)-MIN('ALL(responses)'!G$3:G$322)),3)
</f>
        <v>1</v>
      </c>
      <c r="H103" s="6">
        <f>ROUND(('ALL(responses)'!H104 - MIN('ALL(responses)'!H$3:H$322)) / (MAX('ALL(responses)'!H$3:H$322)-MIN('ALL(responses)'!H$3:H$322)),3)
</f>
        <v>0.667</v>
      </c>
      <c r="I103" s="6">
        <f>ROUND(('ALL(responses)'!I104 - MIN('ALL(responses)'!I$3:I$322)) / (MAX('ALL(responses)'!I$3:I$322)-MIN('ALL(responses)'!I$3:I$322)),3)
</f>
        <v>1</v>
      </c>
      <c r="J103" s="6">
        <f>ROUND(('ALL(responses)'!J104 - MIN('ALL(responses)'!J$3:J$322)) / (MAX('ALL(responses)'!J$3:J$322)-MIN('ALL(responses)'!J$3:J$322)),3)
</f>
        <v>1</v>
      </c>
      <c r="K103" s="6">
        <f>ROUND(('ALL(responses)'!M104 - MIN('ALL(responses)'!M$3:M$322)) / (MAX('ALL(responses)'!M$3:M$322)-MIN('ALL(responses)'!M$3:M$322)),3)
</f>
        <v>0.254</v>
      </c>
      <c r="L103" s="6">
        <f>ROUND(('ALL(responses)'!P104 - MIN('ALL(responses)'!P$3:P$322)) / (MAX('ALL(responses)'!P$3:P$322)-MIN('ALL(responses)'!P$3:P$322)),3)
</f>
        <v>0.389</v>
      </c>
      <c r="M103" s="6">
        <f>ROUND(('ALL(responses)'!Q104 - MIN('ALL(responses)'!Q$3:Q$322)) / (MAX('ALL(responses)'!Q$3:Q$322)-MIN('ALL(responses)'!Q$3:Q$322)),3)
</f>
        <v>0.381</v>
      </c>
      <c r="N103" s="6">
        <f>ROUND(('ALL(responses)'!R104 - MIN('ALL(responses)'!R$3:R$322)) / (MAX('ALL(responses)'!R$3:R$322)-MIN('ALL(responses)'!R$3:R$322)),3)
</f>
        <v>0.818</v>
      </c>
      <c r="O103" s="6">
        <f>ROUND(('ALL(responses)'!S104 - MIN('ALL(responses)'!S$3:S$322)) / (MAX('ALL(responses)'!S$3:S$322)-MIN('ALL(responses)'!S$3:S$322)),3)
</f>
        <v>0.909</v>
      </c>
      <c r="P103" s="6">
        <f>ROUND(('ALL(responses)'!T104 - MIN('ALL(responses)'!T$3:T$322)) / (MAX('ALL(responses)'!T$3:T$322)-MIN('ALL(responses)'!T$3:T$322)),3)
</f>
        <v>0.56</v>
      </c>
      <c r="Q103" s="40">
        <f t="shared" si="3"/>
        <v>0.643</v>
      </c>
    </row>
    <row r="104">
      <c r="A104" s="5" t="s">
        <v>63</v>
      </c>
      <c r="B104" s="6" t="s">
        <v>186</v>
      </c>
      <c r="C104" s="12" t="s">
        <v>68</v>
      </c>
      <c r="D104" s="8" t="s">
        <v>209</v>
      </c>
      <c r="E104" s="20">
        <v>45236.0</v>
      </c>
      <c r="F104" s="6">
        <f>ROUND(('ALL(responses)'!F104 - MIN('ALL(responses)'!F$2:F$641)) / (MAX('ALL(responses)'!F$2:F$641)-MIN('ALL(responses)'!F$2:F$641)),3)
</f>
        <v>0</v>
      </c>
      <c r="G104" s="6">
        <f>ROUND(('ALL(responses)'!G105 - MIN('ALL(responses)'!G$3:G$322)) / (MAX('ALL(responses)'!G$3:G$322)-MIN('ALL(responses)'!G$3:G$322)),3)
</f>
        <v>1</v>
      </c>
      <c r="H104" s="6">
        <f>ROUND(('ALL(responses)'!H105 - MIN('ALL(responses)'!H$3:H$322)) / (MAX('ALL(responses)'!H$3:H$322)-MIN('ALL(responses)'!H$3:H$322)),3)
</f>
        <v>0.667</v>
      </c>
      <c r="I104" s="6">
        <f>ROUND(('ALL(responses)'!I105 - MIN('ALL(responses)'!I$3:I$322)) / (MAX('ALL(responses)'!I$3:I$322)-MIN('ALL(responses)'!I$3:I$322)),3)
</f>
        <v>1</v>
      </c>
      <c r="J104" s="6">
        <f>ROUND(('ALL(responses)'!J105 - MIN('ALL(responses)'!J$3:J$322)) / (MAX('ALL(responses)'!J$3:J$322)-MIN('ALL(responses)'!J$3:J$322)),3)
</f>
        <v>1</v>
      </c>
      <c r="K104" s="6">
        <f>ROUND(('ALL(responses)'!M105 - MIN('ALL(responses)'!M$3:M$322)) / (MAX('ALL(responses)'!M$3:M$322)-MIN('ALL(responses)'!M$3:M$322)),3)
</f>
        <v>0.582</v>
      </c>
      <c r="L104" s="6">
        <f>ROUND(('ALL(responses)'!P105 - MIN('ALL(responses)'!P$3:P$322)) / (MAX('ALL(responses)'!P$3:P$322)-MIN('ALL(responses)'!P$3:P$322)),3)
</f>
        <v>0</v>
      </c>
      <c r="M104" s="6">
        <f>ROUND(('ALL(responses)'!Q105 - MIN('ALL(responses)'!Q$3:Q$322)) / (MAX('ALL(responses)'!Q$3:Q$322)-MIN('ALL(responses)'!Q$3:Q$322)),3)
</f>
        <v>0.409</v>
      </c>
      <c r="N104" s="6">
        <f>ROUND(('ALL(responses)'!R105 - MIN('ALL(responses)'!R$3:R$322)) / (MAX('ALL(responses)'!R$3:R$322)-MIN('ALL(responses)'!R$3:R$322)),3)
</f>
        <v>0.916</v>
      </c>
      <c r="O104" s="6">
        <f>ROUND(('ALL(responses)'!S105 - MIN('ALL(responses)'!S$3:S$322)) / (MAX('ALL(responses)'!S$3:S$322)-MIN('ALL(responses)'!S$3:S$322)),3)
</f>
        <v>0.958</v>
      </c>
      <c r="P104" s="6">
        <f>ROUND(('ALL(responses)'!T105 - MIN('ALL(responses)'!T$3:T$322)) / (MAX('ALL(responses)'!T$3:T$322)-MIN('ALL(responses)'!T$3:T$322)),3)
</f>
        <v>0.724</v>
      </c>
      <c r="Q104" s="40">
        <f t="shared" si="3"/>
        <v>0.643</v>
      </c>
    </row>
    <row r="105">
      <c r="A105" s="5" t="s">
        <v>63</v>
      </c>
      <c r="B105" s="6" t="s">
        <v>186</v>
      </c>
      <c r="C105" s="12" t="s">
        <v>70</v>
      </c>
      <c r="D105" s="8" t="s">
        <v>210</v>
      </c>
      <c r="E105" s="20">
        <v>45236.0</v>
      </c>
      <c r="F105" s="6">
        <f>ROUND(('ALL(responses)'!F105 - MIN('ALL(responses)'!F$2:F$641)) / (MAX('ALL(responses)'!F$2:F$641)-MIN('ALL(responses)'!F$2:F$641)),3)
</f>
        <v>0.875</v>
      </c>
      <c r="G105" s="6">
        <f>ROUND(('ALL(responses)'!G106 - MIN('ALL(responses)'!G$3:G$322)) / (MAX('ALL(responses)'!G$3:G$322)-MIN('ALL(responses)'!G$3:G$322)),3)
</f>
        <v>1</v>
      </c>
      <c r="H105" s="6">
        <f>ROUND(('ALL(responses)'!H106 - MIN('ALL(responses)'!H$3:H$322)) / (MAX('ALL(responses)'!H$3:H$322)-MIN('ALL(responses)'!H$3:H$322)),3)
</f>
        <v>0.667</v>
      </c>
      <c r="I105" s="6">
        <f>ROUND(('ALL(responses)'!I106 - MIN('ALL(responses)'!I$3:I$322)) / (MAX('ALL(responses)'!I$3:I$322)-MIN('ALL(responses)'!I$3:I$322)),3)
</f>
        <v>1</v>
      </c>
      <c r="J105" s="6">
        <f>ROUND(('ALL(responses)'!J106 - MIN('ALL(responses)'!J$3:J$322)) / (MAX('ALL(responses)'!J$3:J$322)-MIN('ALL(responses)'!J$3:J$322)),3)
</f>
        <v>0</v>
      </c>
      <c r="K105" s="6">
        <f>ROUND(('ALL(responses)'!M106 - MIN('ALL(responses)'!M$3:M$322)) / (MAX('ALL(responses)'!M$3:M$322)-MIN('ALL(responses)'!M$3:M$322)),3)
</f>
        <v>0.56</v>
      </c>
      <c r="L105" s="6">
        <f>ROUND(('ALL(responses)'!P106 - MIN('ALL(responses)'!P$3:P$322)) / (MAX('ALL(responses)'!P$3:P$322)-MIN('ALL(responses)'!P$3:P$322)),3)
</f>
        <v>0</v>
      </c>
      <c r="M105" s="6">
        <f>ROUND(('ALL(responses)'!Q106 - MIN('ALL(responses)'!Q$3:Q$322)) / (MAX('ALL(responses)'!Q$3:Q$322)-MIN('ALL(responses)'!Q$3:Q$322)),3)
</f>
        <v>0.333</v>
      </c>
      <c r="N105" s="6">
        <f>ROUND(('ALL(responses)'!R106 - MIN('ALL(responses)'!R$3:R$322)) / (MAX('ALL(responses)'!R$3:R$322)-MIN('ALL(responses)'!R$3:R$322)),3)
</f>
        <v>0.797</v>
      </c>
      <c r="O105" s="6">
        <f>ROUND(('ALL(responses)'!S106 - MIN('ALL(responses)'!S$3:S$322)) / (MAX('ALL(responses)'!S$3:S$322)-MIN('ALL(responses)'!S$3:S$322)),3)
</f>
        <v>0.899</v>
      </c>
      <c r="P105" s="6">
        <f>ROUND(('ALL(responses)'!T106 - MIN('ALL(responses)'!T$3:T$322)) / (MAX('ALL(responses)'!T$3:T$322)-MIN('ALL(responses)'!T$3:T$322)),3)
</f>
        <v>0.237</v>
      </c>
      <c r="Q105" s="40">
        <f t="shared" si="3"/>
        <v>0.643</v>
      </c>
    </row>
    <row r="106">
      <c r="A106" s="5" t="s">
        <v>63</v>
      </c>
      <c r="B106" s="6" t="s">
        <v>186</v>
      </c>
      <c r="C106" s="12" t="s">
        <v>72</v>
      </c>
      <c r="D106" s="8" t="s">
        <v>211</v>
      </c>
      <c r="E106" s="20">
        <v>45236.0</v>
      </c>
      <c r="F106" s="6">
        <f>ROUND(('ALL(responses)'!F106 - MIN('ALL(responses)'!F$2:F$641)) / (MAX('ALL(responses)'!F$2:F$641)-MIN('ALL(responses)'!F$2:F$641)),3)
</f>
        <v>0.875</v>
      </c>
      <c r="G106" s="6">
        <f>ROUND(('ALL(responses)'!G107 - MIN('ALL(responses)'!G$3:G$322)) / (MAX('ALL(responses)'!G$3:G$322)-MIN('ALL(responses)'!G$3:G$322)),3)
</f>
        <v>1</v>
      </c>
      <c r="H106" s="6">
        <f>ROUND(('ALL(responses)'!H107 - MIN('ALL(responses)'!H$3:H$322)) / (MAX('ALL(responses)'!H$3:H$322)-MIN('ALL(responses)'!H$3:H$322)),3)
</f>
        <v>0.667</v>
      </c>
      <c r="I106" s="6">
        <f>ROUND(('ALL(responses)'!I107 - MIN('ALL(responses)'!I$3:I$322)) / (MAX('ALL(responses)'!I$3:I$322)-MIN('ALL(responses)'!I$3:I$322)),3)
</f>
        <v>1</v>
      </c>
      <c r="J106" s="6">
        <f>ROUND(('ALL(responses)'!J107 - MIN('ALL(responses)'!J$3:J$322)) / (MAX('ALL(responses)'!J$3:J$322)-MIN('ALL(responses)'!J$3:J$322)),3)
</f>
        <v>1</v>
      </c>
      <c r="K106" s="6">
        <f>ROUND(('ALL(responses)'!M107 - MIN('ALL(responses)'!M$3:M$322)) / (MAX('ALL(responses)'!M$3:M$322)-MIN('ALL(responses)'!M$3:M$322)),3)
</f>
        <v>0.363</v>
      </c>
      <c r="L106" s="6">
        <f>ROUND(('ALL(responses)'!P107 - MIN('ALL(responses)'!P$3:P$322)) / (MAX('ALL(responses)'!P$3:P$322)-MIN('ALL(responses)'!P$3:P$322)),3)
</f>
        <v>0</v>
      </c>
      <c r="M106" s="6">
        <f>ROUND(('ALL(responses)'!Q107 - MIN('ALL(responses)'!Q$3:Q$322)) / (MAX('ALL(responses)'!Q$3:Q$322)-MIN('ALL(responses)'!Q$3:Q$322)),3)
</f>
        <v>0.514</v>
      </c>
      <c r="N106" s="6">
        <f>ROUND(('ALL(responses)'!R107 - MIN('ALL(responses)'!R$3:R$322)) / (MAX('ALL(responses)'!R$3:R$322)-MIN('ALL(responses)'!R$3:R$322)),3)
</f>
        <v>0.66</v>
      </c>
      <c r="O106" s="6">
        <f>ROUND(('ALL(responses)'!S107 - MIN('ALL(responses)'!S$3:S$322)) / (MAX('ALL(responses)'!S$3:S$322)-MIN('ALL(responses)'!S$3:S$322)),3)
</f>
        <v>0.83</v>
      </c>
      <c r="P106" s="6">
        <f>ROUND(('ALL(responses)'!T107 - MIN('ALL(responses)'!T$3:T$322)) / (MAX('ALL(responses)'!T$3:T$322)-MIN('ALL(responses)'!T$3:T$322)),3)
</f>
        <v>0.654</v>
      </c>
      <c r="Q106" s="40">
        <f t="shared" si="3"/>
        <v>0.643</v>
      </c>
    </row>
    <row r="107">
      <c r="A107" s="5" t="s">
        <v>63</v>
      </c>
      <c r="B107" s="6" t="s">
        <v>186</v>
      </c>
      <c r="C107" s="12" t="s">
        <v>74</v>
      </c>
      <c r="D107" s="8" t="s">
        <v>212</v>
      </c>
      <c r="E107" s="20">
        <v>45236.0</v>
      </c>
      <c r="F107" s="6">
        <f>ROUND(('ALL(responses)'!F107 - MIN('ALL(responses)'!F$2:F$641)) / (MAX('ALL(responses)'!F$2:F$641)-MIN('ALL(responses)'!F$2:F$641)),3)
</f>
        <v>0</v>
      </c>
      <c r="G107" s="6">
        <f>ROUND(('ALL(responses)'!G108 - MIN('ALL(responses)'!G$3:G$322)) / (MAX('ALL(responses)'!G$3:G$322)-MIN('ALL(responses)'!G$3:G$322)),3)
</f>
        <v>1</v>
      </c>
      <c r="H107" s="6">
        <f>ROUND(('ALL(responses)'!H108 - MIN('ALL(responses)'!H$3:H$322)) / (MAX('ALL(responses)'!H$3:H$322)-MIN('ALL(responses)'!H$3:H$322)),3)
</f>
        <v>0.667</v>
      </c>
      <c r="I107" s="6">
        <f>ROUND(('ALL(responses)'!I108 - MIN('ALL(responses)'!I$3:I$322)) / (MAX('ALL(responses)'!I$3:I$322)-MIN('ALL(responses)'!I$3:I$322)),3)
</f>
        <v>1</v>
      </c>
      <c r="J107" s="6">
        <f>ROUND(('ALL(responses)'!J108 - MIN('ALL(responses)'!J$3:J$322)) / (MAX('ALL(responses)'!J$3:J$322)-MIN('ALL(responses)'!J$3:J$322)),3)
</f>
        <v>1</v>
      </c>
      <c r="K107" s="6">
        <f>ROUND(('ALL(responses)'!M108 - MIN('ALL(responses)'!M$3:M$322)) / (MAX('ALL(responses)'!M$3:M$322)-MIN('ALL(responses)'!M$3:M$322)),3)
</f>
        <v>0.584</v>
      </c>
      <c r="L107" s="6">
        <f>ROUND(('ALL(responses)'!P108 - MIN('ALL(responses)'!P$3:P$322)) / (MAX('ALL(responses)'!P$3:P$322)-MIN('ALL(responses)'!P$3:P$322)),3)
</f>
        <v>0.591</v>
      </c>
      <c r="M107" s="6">
        <f>ROUND(('ALL(responses)'!Q108 - MIN('ALL(responses)'!Q$3:Q$322)) / (MAX('ALL(responses)'!Q$3:Q$322)-MIN('ALL(responses)'!Q$3:Q$322)),3)
</f>
        <v>0.31</v>
      </c>
      <c r="N107" s="6">
        <f>ROUND(('ALL(responses)'!R108 - MIN('ALL(responses)'!R$3:R$322)) / (MAX('ALL(responses)'!R$3:R$322)-MIN('ALL(responses)'!R$3:R$322)),3)
</f>
        <v>0.997</v>
      </c>
      <c r="O107" s="6">
        <f>ROUND(('ALL(responses)'!S108 - MIN('ALL(responses)'!S$3:S$322)) / (MAX('ALL(responses)'!S$3:S$322)-MIN('ALL(responses)'!S$3:S$322)),3)
</f>
        <v>0.998</v>
      </c>
      <c r="P107" s="6">
        <f>ROUND(('ALL(responses)'!T108 - MIN('ALL(responses)'!T$3:T$322)) / (MAX('ALL(responses)'!T$3:T$322)-MIN('ALL(responses)'!T$3:T$322)),3)
</f>
        <v>0.321</v>
      </c>
      <c r="Q107" s="40">
        <f t="shared" si="3"/>
        <v>0.643</v>
      </c>
    </row>
    <row r="108">
      <c r="A108" s="5" t="s">
        <v>63</v>
      </c>
      <c r="B108" s="6" t="s">
        <v>186</v>
      </c>
      <c r="C108" s="12" t="s">
        <v>76</v>
      </c>
      <c r="D108" s="8" t="s">
        <v>213</v>
      </c>
      <c r="E108" s="20">
        <v>45236.0</v>
      </c>
      <c r="F108" s="6">
        <f>ROUND(('ALL(responses)'!F108 - MIN('ALL(responses)'!F$2:F$641)) / (MAX('ALL(responses)'!F$2:F$641)-MIN('ALL(responses)'!F$2:F$641)),3)
</f>
        <v>0.875</v>
      </c>
      <c r="G108" s="6">
        <f>ROUND(('ALL(responses)'!G109 - MIN('ALL(responses)'!G$3:G$322)) / (MAX('ALL(responses)'!G$3:G$322)-MIN('ALL(responses)'!G$3:G$322)),3)
</f>
        <v>0</v>
      </c>
      <c r="H108" s="6">
        <f>ROUND(('ALL(responses)'!H109 - MIN('ALL(responses)'!H$3:H$322)) / (MAX('ALL(responses)'!H$3:H$322)-MIN('ALL(responses)'!H$3:H$322)),3)
</f>
        <v>0.667</v>
      </c>
      <c r="I108" s="6">
        <f>ROUND(('ALL(responses)'!I109 - MIN('ALL(responses)'!I$3:I$322)) / (MAX('ALL(responses)'!I$3:I$322)-MIN('ALL(responses)'!I$3:I$322)),3)
</f>
        <v>1</v>
      </c>
      <c r="J108" s="6">
        <f>ROUND(('ALL(responses)'!J109 - MIN('ALL(responses)'!J$3:J$322)) / (MAX('ALL(responses)'!J$3:J$322)-MIN('ALL(responses)'!J$3:J$322)),3)
</f>
        <v>1</v>
      </c>
      <c r="K108" s="6">
        <f>ROUND(('ALL(responses)'!M109 - MIN('ALL(responses)'!M$3:M$322)) / (MAX('ALL(responses)'!M$3:M$322)-MIN('ALL(responses)'!M$3:M$322)),3)
</f>
        <v>0.505</v>
      </c>
      <c r="L108" s="6">
        <f>ROUND(('ALL(responses)'!P109 - MIN('ALL(responses)'!P$3:P$322)) / (MAX('ALL(responses)'!P$3:P$322)-MIN('ALL(responses)'!P$3:P$322)),3)
</f>
        <v>0.32</v>
      </c>
      <c r="M108" s="6">
        <f>ROUND(('ALL(responses)'!Q109 - MIN('ALL(responses)'!Q$3:Q$322)) / (MAX('ALL(responses)'!Q$3:Q$322)-MIN('ALL(responses)'!Q$3:Q$322)),3)
</f>
        <v>0.321</v>
      </c>
      <c r="N108" s="6">
        <f>ROUND(('ALL(responses)'!R109 - MIN('ALL(responses)'!R$3:R$322)) / (MAX('ALL(responses)'!R$3:R$322)-MIN('ALL(responses)'!R$3:R$322)),3)
</f>
        <v>0.978</v>
      </c>
      <c r="O108" s="6">
        <f>ROUND(('ALL(responses)'!S109 - MIN('ALL(responses)'!S$3:S$322)) / (MAX('ALL(responses)'!S$3:S$322)-MIN('ALL(responses)'!S$3:S$322)),3)
</f>
        <v>0.989</v>
      </c>
      <c r="P108" s="6">
        <f>ROUND(('ALL(responses)'!T109 - MIN('ALL(responses)'!T$3:T$322)) / (MAX('ALL(responses)'!T$3:T$322)-MIN('ALL(responses)'!T$3:T$322)),3)
</f>
        <v>0.493</v>
      </c>
      <c r="Q108" s="40">
        <f t="shared" si="3"/>
        <v>0.643</v>
      </c>
    </row>
    <row r="109">
      <c r="A109" s="5" t="s">
        <v>63</v>
      </c>
      <c r="B109" s="6" t="s">
        <v>186</v>
      </c>
      <c r="C109" s="12" t="s">
        <v>78</v>
      </c>
      <c r="D109" s="8" t="s">
        <v>214</v>
      </c>
      <c r="E109" s="20">
        <v>45236.0</v>
      </c>
      <c r="F109" s="6">
        <f>ROUND(('ALL(responses)'!F109 - MIN('ALL(responses)'!F$2:F$641)) / (MAX('ALL(responses)'!F$2:F$641)-MIN('ALL(responses)'!F$2:F$641)),3)
</f>
        <v>0.875</v>
      </c>
      <c r="G109" s="6">
        <f>ROUND(('ALL(responses)'!G110 - MIN('ALL(responses)'!G$3:G$322)) / (MAX('ALL(responses)'!G$3:G$322)-MIN('ALL(responses)'!G$3:G$322)),3)
</f>
        <v>1</v>
      </c>
      <c r="H109" s="6">
        <f>ROUND(('ALL(responses)'!H110 - MIN('ALL(responses)'!H$3:H$322)) / (MAX('ALL(responses)'!H$3:H$322)-MIN('ALL(responses)'!H$3:H$322)),3)
</f>
        <v>0.667</v>
      </c>
      <c r="I109" s="6">
        <f>ROUND(('ALL(responses)'!I110 - MIN('ALL(responses)'!I$3:I$322)) / (MAX('ALL(responses)'!I$3:I$322)-MIN('ALL(responses)'!I$3:I$322)),3)
</f>
        <v>1</v>
      </c>
      <c r="J109" s="6">
        <f>ROUND(('ALL(responses)'!J110 - MIN('ALL(responses)'!J$3:J$322)) / (MAX('ALL(responses)'!J$3:J$322)-MIN('ALL(responses)'!J$3:J$322)),3)
</f>
        <v>1</v>
      </c>
      <c r="K109" s="6">
        <f>ROUND(('ALL(responses)'!M110 - MIN('ALL(responses)'!M$3:M$322)) / (MAX('ALL(responses)'!M$3:M$322)-MIN('ALL(responses)'!M$3:M$322)),3)
</f>
        <v>0.404</v>
      </c>
      <c r="L109" s="6">
        <f>ROUND(('ALL(responses)'!P110 - MIN('ALL(responses)'!P$3:P$322)) / (MAX('ALL(responses)'!P$3:P$322)-MIN('ALL(responses)'!P$3:P$322)),3)
</f>
        <v>0.198</v>
      </c>
      <c r="M109" s="6">
        <f>ROUND(('ALL(responses)'!Q110 - MIN('ALL(responses)'!Q$3:Q$322)) / (MAX('ALL(responses)'!Q$3:Q$322)-MIN('ALL(responses)'!Q$3:Q$322)),3)
</f>
        <v>0.474</v>
      </c>
      <c r="N109" s="6">
        <f>ROUND(('ALL(responses)'!R110 - MIN('ALL(responses)'!R$3:R$322)) / (MAX('ALL(responses)'!R$3:R$322)-MIN('ALL(responses)'!R$3:R$322)),3)
</f>
        <v>0.87</v>
      </c>
      <c r="O109" s="6">
        <f>ROUND(('ALL(responses)'!S110 - MIN('ALL(responses)'!S$3:S$322)) / (MAX('ALL(responses)'!S$3:S$322)-MIN('ALL(responses)'!S$3:S$322)),3)
</f>
        <v>0.935</v>
      </c>
      <c r="P109" s="6">
        <f>ROUND(('ALL(responses)'!T110 - MIN('ALL(responses)'!T$3:T$322)) / (MAX('ALL(responses)'!T$3:T$322)-MIN('ALL(responses)'!T$3:T$322)),3)
</f>
        <v>0.603</v>
      </c>
      <c r="Q109" s="40">
        <f t="shared" si="3"/>
        <v>0.643</v>
      </c>
    </row>
    <row r="110">
      <c r="A110" s="5" t="s">
        <v>63</v>
      </c>
      <c r="B110" s="6" t="s">
        <v>186</v>
      </c>
      <c r="C110" s="12" t="s">
        <v>80</v>
      </c>
      <c r="D110" s="8" t="s">
        <v>215</v>
      </c>
      <c r="E110" s="20">
        <v>45236.0</v>
      </c>
      <c r="F110" s="6">
        <f>ROUND(('ALL(responses)'!F110 - MIN('ALL(responses)'!F$2:F$641)) / (MAX('ALL(responses)'!F$2:F$641)-MIN('ALL(responses)'!F$2:F$641)),3)
</f>
        <v>0</v>
      </c>
      <c r="G110" s="6">
        <f>ROUND(('ALL(responses)'!G111 - MIN('ALL(responses)'!G$3:G$322)) / (MAX('ALL(responses)'!G$3:G$322)-MIN('ALL(responses)'!G$3:G$322)),3)
</f>
        <v>1</v>
      </c>
      <c r="H110" s="6">
        <f>ROUND(('ALL(responses)'!H111 - MIN('ALL(responses)'!H$3:H$322)) / (MAX('ALL(responses)'!H$3:H$322)-MIN('ALL(responses)'!H$3:H$322)),3)
</f>
        <v>0.667</v>
      </c>
      <c r="I110" s="6">
        <f>ROUND(('ALL(responses)'!I111 - MIN('ALL(responses)'!I$3:I$322)) / (MAX('ALL(responses)'!I$3:I$322)-MIN('ALL(responses)'!I$3:I$322)),3)
</f>
        <v>1</v>
      </c>
      <c r="J110" s="6">
        <f>ROUND(('ALL(responses)'!J111 - MIN('ALL(responses)'!J$3:J$322)) / (MAX('ALL(responses)'!J$3:J$322)-MIN('ALL(responses)'!J$3:J$322)),3)
</f>
        <v>1</v>
      </c>
      <c r="K110" s="6">
        <f>ROUND(('ALL(responses)'!M111 - MIN('ALL(responses)'!M$3:M$322)) / (MAX('ALL(responses)'!M$3:M$322)-MIN('ALL(responses)'!M$3:M$322)),3)
</f>
        <v>0.262</v>
      </c>
      <c r="L110" s="6">
        <f>ROUND(('ALL(responses)'!P111 - MIN('ALL(responses)'!P$3:P$322)) / (MAX('ALL(responses)'!P$3:P$322)-MIN('ALL(responses)'!P$3:P$322)),3)
</f>
        <v>0.343</v>
      </c>
      <c r="M110" s="6">
        <f>ROUND(('ALL(responses)'!Q111 - MIN('ALL(responses)'!Q$3:Q$322)) / (MAX('ALL(responses)'!Q$3:Q$322)-MIN('ALL(responses)'!Q$3:Q$322)),3)
</f>
        <v>0.346</v>
      </c>
      <c r="N110" s="6">
        <f>ROUND(('ALL(responses)'!R111 - MIN('ALL(responses)'!R$3:R$322)) / (MAX('ALL(responses)'!R$3:R$322)-MIN('ALL(responses)'!R$3:R$322)),3)
</f>
        <v>0.873</v>
      </c>
      <c r="O110" s="6">
        <f>ROUND(('ALL(responses)'!S111 - MIN('ALL(responses)'!S$3:S$322)) / (MAX('ALL(responses)'!S$3:S$322)-MIN('ALL(responses)'!S$3:S$322)),3)
</f>
        <v>0.936</v>
      </c>
      <c r="P110" s="6">
        <f>ROUND(('ALL(responses)'!T111 - MIN('ALL(responses)'!T$3:T$322)) / (MAX('ALL(responses)'!T$3:T$322)-MIN('ALL(responses)'!T$3:T$322)),3)
</f>
        <v>0.408</v>
      </c>
      <c r="Q110" s="40">
        <f t="shared" si="3"/>
        <v>0.643</v>
      </c>
    </row>
    <row r="111">
      <c r="A111" s="5" t="s">
        <v>63</v>
      </c>
      <c r="B111" s="6" t="s">
        <v>186</v>
      </c>
      <c r="C111" s="12" t="s">
        <v>82</v>
      </c>
      <c r="D111" s="8" t="s">
        <v>216</v>
      </c>
      <c r="E111" s="20">
        <v>45236.0</v>
      </c>
      <c r="F111" s="6">
        <f>ROUND(('ALL(responses)'!F111 - MIN('ALL(responses)'!F$2:F$641)) / (MAX('ALL(responses)'!F$2:F$641)-MIN('ALL(responses)'!F$2:F$641)),3)
</f>
        <v>0</v>
      </c>
      <c r="G111" s="6">
        <f>ROUND(('ALL(responses)'!G112 - MIN('ALL(responses)'!G$3:G$322)) / (MAX('ALL(responses)'!G$3:G$322)-MIN('ALL(responses)'!G$3:G$322)),3)
</f>
        <v>1</v>
      </c>
      <c r="H111" s="6">
        <f>ROUND(('ALL(responses)'!H112 - MIN('ALL(responses)'!H$3:H$322)) / (MAX('ALL(responses)'!H$3:H$322)-MIN('ALL(responses)'!H$3:H$322)),3)
</f>
        <v>0.667</v>
      </c>
      <c r="I111" s="6">
        <f>ROUND(('ALL(responses)'!I112 - MIN('ALL(responses)'!I$3:I$322)) / (MAX('ALL(responses)'!I$3:I$322)-MIN('ALL(responses)'!I$3:I$322)),3)
</f>
        <v>1</v>
      </c>
      <c r="J111" s="6">
        <f>ROUND(('ALL(responses)'!J112 - MIN('ALL(responses)'!J$3:J$322)) / (MAX('ALL(responses)'!J$3:J$322)-MIN('ALL(responses)'!J$3:J$322)),3)
</f>
        <v>1</v>
      </c>
      <c r="K111" s="6">
        <f>ROUND(('ALL(responses)'!M112 - MIN('ALL(responses)'!M$3:M$322)) / (MAX('ALL(responses)'!M$3:M$322)-MIN('ALL(responses)'!M$3:M$322)),3)
</f>
        <v>0.53</v>
      </c>
      <c r="L111" s="6">
        <f>ROUND(('ALL(responses)'!P112 - MIN('ALL(responses)'!P$3:P$322)) / (MAX('ALL(responses)'!P$3:P$322)-MIN('ALL(responses)'!P$3:P$322)),3)
</f>
        <v>0.216</v>
      </c>
      <c r="M111" s="6">
        <f>ROUND(('ALL(responses)'!Q112 - MIN('ALL(responses)'!Q$3:Q$322)) / (MAX('ALL(responses)'!Q$3:Q$322)-MIN('ALL(responses)'!Q$3:Q$322)),3)
</f>
        <v>0.433</v>
      </c>
      <c r="N111" s="6">
        <f>ROUND(('ALL(responses)'!R112 - MIN('ALL(responses)'!R$3:R$322)) / (MAX('ALL(responses)'!R$3:R$322)-MIN('ALL(responses)'!R$3:R$322)),3)
</f>
        <v>0.979</v>
      </c>
      <c r="O111" s="6">
        <f>ROUND(('ALL(responses)'!S112 - MIN('ALL(responses)'!S$3:S$322)) / (MAX('ALL(responses)'!S$3:S$322)-MIN('ALL(responses)'!S$3:S$322)),3)
</f>
        <v>0.989</v>
      </c>
      <c r="P111" s="6">
        <f>ROUND(('ALL(responses)'!T112 - MIN('ALL(responses)'!T$3:T$322)) / (MAX('ALL(responses)'!T$3:T$322)-MIN('ALL(responses)'!T$3:T$322)),3)
</f>
        <v>0.717</v>
      </c>
      <c r="Q111" s="40">
        <f t="shared" si="3"/>
        <v>0.643</v>
      </c>
    </row>
    <row r="112">
      <c r="A112" s="5" t="s">
        <v>84</v>
      </c>
      <c r="B112" s="6" t="s">
        <v>186</v>
      </c>
      <c r="C112" s="12" t="s">
        <v>85</v>
      </c>
      <c r="D112" s="8" t="s">
        <v>217</v>
      </c>
      <c r="E112" s="20">
        <v>45236.0</v>
      </c>
      <c r="F112" s="6">
        <f>ROUND(('ALL(responses)'!F112 - MIN('ALL(responses)'!F$2:F$641)) / (MAX('ALL(responses)'!F$2:F$641)-MIN('ALL(responses)'!F$2:F$641)),3)
</f>
        <v>0.875</v>
      </c>
      <c r="G112" s="6">
        <f>ROUND(('ALL(responses)'!G113 - MIN('ALL(responses)'!G$3:G$322)) / (MAX('ALL(responses)'!G$3:G$322)-MIN('ALL(responses)'!G$3:G$322)),3)
</f>
        <v>1</v>
      </c>
      <c r="H112" s="6">
        <f>ROUND(('ALL(responses)'!H113 - MIN('ALL(responses)'!H$3:H$322)) / (MAX('ALL(responses)'!H$3:H$322)-MIN('ALL(responses)'!H$3:H$322)),3)
</f>
        <v>0.667</v>
      </c>
      <c r="I112" s="6">
        <f>ROUND(('ALL(responses)'!I113 - MIN('ALL(responses)'!I$3:I$322)) / (MAX('ALL(responses)'!I$3:I$322)-MIN('ALL(responses)'!I$3:I$322)),3)
</f>
        <v>1</v>
      </c>
      <c r="J112" s="6">
        <f>ROUND(('ALL(responses)'!J113 - MIN('ALL(responses)'!J$3:J$322)) / (MAX('ALL(responses)'!J$3:J$322)-MIN('ALL(responses)'!J$3:J$322)),3)
</f>
        <v>1</v>
      </c>
      <c r="K112" s="6">
        <f>ROUND(('ALL(responses)'!M113 - MIN('ALL(responses)'!M$3:M$322)) / (MAX('ALL(responses)'!M$3:M$322)-MIN('ALL(responses)'!M$3:M$322)),3)
</f>
        <v>0.591</v>
      </c>
      <c r="L112" s="6">
        <f>ROUND(('ALL(responses)'!P113 - MIN('ALL(responses)'!P$3:P$322)) / (MAX('ALL(responses)'!P$3:P$322)-MIN('ALL(responses)'!P$3:P$322)),3)
</f>
        <v>0</v>
      </c>
      <c r="M112" s="6">
        <f>ROUND(('ALL(responses)'!Q113 - MIN('ALL(responses)'!Q$3:Q$322)) / (MAX('ALL(responses)'!Q$3:Q$322)-MIN('ALL(responses)'!Q$3:Q$322)),3)
</f>
        <v>0.675</v>
      </c>
      <c r="N112" s="6">
        <f>ROUND(('ALL(responses)'!R113 - MIN('ALL(responses)'!R$3:R$322)) / (MAX('ALL(responses)'!R$3:R$322)-MIN('ALL(responses)'!R$3:R$322)),3)
</f>
        <v>0.815</v>
      </c>
      <c r="O112" s="6">
        <f>ROUND(('ALL(responses)'!S113 - MIN('ALL(responses)'!S$3:S$322)) / (MAX('ALL(responses)'!S$3:S$322)-MIN('ALL(responses)'!S$3:S$322)),3)
</f>
        <v>0.907</v>
      </c>
      <c r="P112" s="6">
        <f>ROUND(('ALL(responses)'!T113 - MIN('ALL(responses)'!T$3:T$322)) / (MAX('ALL(responses)'!T$3:T$322)-MIN('ALL(responses)'!T$3:T$322)),3)
</f>
        <v>0.429</v>
      </c>
      <c r="Q112" s="40">
        <f t="shared" si="3"/>
        <v>0.643</v>
      </c>
    </row>
    <row r="113">
      <c r="A113" s="5" t="s">
        <v>84</v>
      </c>
      <c r="B113" s="6" t="s">
        <v>186</v>
      </c>
      <c r="C113" s="12" t="s">
        <v>87</v>
      </c>
      <c r="D113" s="8" t="s">
        <v>218</v>
      </c>
      <c r="E113" s="20">
        <v>45236.0</v>
      </c>
      <c r="F113" s="6">
        <f>ROUND(('ALL(responses)'!F113 - MIN('ALL(responses)'!F$2:F$641)) / (MAX('ALL(responses)'!F$2:F$641)-MIN('ALL(responses)'!F$2:F$641)),3)
</f>
        <v>0.875</v>
      </c>
      <c r="G113" s="6">
        <f>ROUND(('ALL(responses)'!G114 - MIN('ALL(responses)'!G$3:G$322)) / (MAX('ALL(responses)'!G$3:G$322)-MIN('ALL(responses)'!G$3:G$322)),3)
</f>
        <v>1</v>
      </c>
      <c r="H113" s="6">
        <f>ROUND(('ALL(responses)'!H114 - MIN('ALL(responses)'!H$3:H$322)) / (MAX('ALL(responses)'!H$3:H$322)-MIN('ALL(responses)'!H$3:H$322)),3)
</f>
        <v>0.667</v>
      </c>
      <c r="I113" s="6">
        <f>ROUND(('ALL(responses)'!I114 - MIN('ALL(responses)'!I$3:I$322)) / (MAX('ALL(responses)'!I$3:I$322)-MIN('ALL(responses)'!I$3:I$322)),3)
</f>
        <v>1</v>
      </c>
      <c r="J113" s="6">
        <f>ROUND(('ALL(responses)'!J114 - MIN('ALL(responses)'!J$3:J$322)) / (MAX('ALL(responses)'!J$3:J$322)-MIN('ALL(responses)'!J$3:J$322)),3)
</f>
        <v>1</v>
      </c>
      <c r="K113" s="6">
        <f>ROUND(('ALL(responses)'!M114 - MIN('ALL(responses)'!M$3:M$322)) / (MAX('ALL(responses)'!M$3:M$322)-MIN('ALL(responses)'!M$3:M$322)),3)
</f>
        <v>0.278</v>
      </c>
      <c r="L113" s="6">
        <f>ROUND(('ALL(responses)'!P114 - MIN('ALL(responses)'!P$3:P$322)) / (MAX('ALL(responses)'!P$3:P$322)-MIN('ALL(responses)'!P$3:P$322)),3)
</f>
        <v>0</v>
      </c>
      <c r="M113" s="6">
        <f>ROUND(('ALL(responses)'!Q114 - MIN('ALL(responses)'!Q$3:Q$322)) / (MAX('ALL(responses)'!Q$3:Q$322)-MIN('ALL(responses)'!Q$3:Q$322)),3)
</f>
        <v>0.462</v>
      </c>
      <c r="N113" s="6">
        <f>ROUND(('ALL(responses)'!R114 - MIN('ALL(responses)'!R$3:R$322)) / (MAX('ALL(responses)'!R$3:R$322)-MIN('ALL(responses)'!R$3:R$322)),3)
</f>
        <v>0.603</v>
      </c>
      <c r="O113" s="6">
        <f>ROUND(('ALL(responses)'!S114 - MIN('ALL(responses)'!S$3:S$322)) / (MAX('ALL(responses)'!S$3:S$322)-MIN('ALL(responses)'!S$3:S$322)),3)
</f>
        <v>0.801</v>
      </c>
      <c r="P113" s="6">
        <f>ROUND(('ALL(responses)'!T114 - MIN('ALL(responses)'!T$3:T$322)) / (MAX('ALL(responses)'!T$3:T$322)-MIN('ALL(responses)'!T$3:T$322)),3)
</f>
        <v>0.787</v>
      </c>
      <c r="Q113" s="40">
        <f t="shared" si="3"/>
        <v>0.643</v>
      </c>
    </row>
    <row r="114">
      <c r="A114" s="5" t="s">
        <v>84</v>
      </c>
      <c r="B114" s="6" t="s">
        <v>186</v>
      </c>
      <c r="C114" s="12" t="s">
        <v>89</v>
      </c>
      <c r="D114" s="8" t="s">
        <v>219</v>
      </c>
      <c r="E114" s="20">
        <v>45236.0</v>
      </c>
      <c r="F114" s="6">
        <f>ROUND(('ALL(responses)'!F114 - MIN('ALL(responses)'!F$2:F$641)) / (MAX('ALL(responses)'!F$2:F$641)-MIN('ALL(responses)'!F$2:F$641)),3)
</f>
        <v>0.875</v>
      </c>
      <c r="G114" s="6">
        <f>ROUND(('ALL(responses)'!G115 - MIN('ALL(responses)'!G$3:G$322)) / (MAX('ALL(responses)'!G$3:G$322)-MIN('ALL(responses)'!G$3:G$322)),3)
</f>
        <v>0</v>
      </c>
      <c r="H114" s="6">
        <f>ROUND(('ALL(responses)'!H115 - MIN('ALL(responses)'!H$3:H$322)) / (MAX('ALL(responses)'!H$3:H$322)-MIN('ALL(responses)'!H$3:H$322)),3)
</f>
        <v>0.667</v>
      </c>
      <c r="I114" s="6">
        <f>ROUND(('ALL(responses)'!I115 - MIN('ALL(responses)'!I$3:I$322)) / (MAX('ALL(responses)'!I$3:I$322)-MIN('ALL(responses)'!I$3:I$322)),3)
</f>
        <v>1</v>
      </c>
      <c r="J114" s="6">
        <f>ROUND(('ALL(responses)'!J115 - MIN('ALL(responses)'!J$3:J$322)) / (MAX('ALL(responses)'!J$3:J$322)-MIN('ALL(responses)'!J$3:J$322)),3)
</f>
        <v>1</v>
      </c>
      <c r="K114" s="6">
        <f>ROUND(('ALL(responses)'!M115 - MIN('ALL(responses)'!M$3:M$322)) / (MAX('ALL(responses)'!M$3:M$322)-MIN('ALL(responses)'!M$3:M$322)),3)
</f>
        <v>0.72</v>
      </c>
      <c r="L114" s="6">
        <f>ROUND(('ALL(responses)'!P115 - MIN('ALL(responses)'!P$3:P$322)) / (MAX('ALL(responses)'!P$3:P$322)-MIN('ALL(responses)'!P$3:P$322)),3)
</f>
        <v>0</v>
      </c>
      <c r="M114" s="6">
        <f>ROUND(('ALL(responses)'!Q115 - MIN('ALL(responses)'!Q$3:Q$322)) / (MAX('ALL(responses)'!Q$3:Q$322)-MIN('ALL(responses)'!Q$3:Q$322)),3)
</f>
        <v>0.397</v>
      </c>
      <c r="N114" s="6">
        <f>ROUND(('ALL(responses)'!R115 - MIN('ALL(responses)'!R$3:R$322)) / (MAX('ALL(responses)'!R$3:R$322)-MIN('ALL(responses)'!R$3:R$322)),3)
</f>
        <v>0.484</v>
      </c>
      <c r="O114" s="6">
        <f>ROUND(('ALL(responses)'!S115 - MIN('ALL(responses)'!S$3:S$322)) / (MAX('ALL(responses)'!S$3:S$322)-MIN('ALL(responses)'!S$3:S$322)),3)
</f>
        <v>0.742</v>
      </c>
      <c r="P114" s="6">
        <f>ROUND(('ALL(responses)'!T115 - MIN('ALL(responses)'!T$3:T$322)) / (MAX('ALL(responses)'!T$3:T$322)-MIN('ALL(responses)'!T$3:T$322)),3)
</f>
        <v>0.503</v>
      </c>
      <c r="Q114" s="40">
        <f t="shared" si="3"/>
        <v>0.643</v>
      </c>
    </row>
    <row r="115">
      <c r="A115" s="5" t="s">
        <v>84</v>
      </c>
      <c r="B115" s="6" t="s">
        <v>186</v>
      </c>
      <c r="C115" s="12" t="s">
        <v>91</v>
      </c>
      <c r="D115" s="8" t="s">
        <v>220</v>
      </c>
      <c r="E115" s="20">
        <v>45236.0</v>
      </c>
      <c r="F115" s="6">
        <f>ROUND(('ALL(responses)'!F115 - MIN('ALL(responses)'!F$2:F$641)) / (MAX('ALL(responses)'!F$2:F$641)-MIN('ALL(responses)'!F$2:F$641)),3)
</f>
        <v>0.875</v>
      </c>
      <c r="G115" s="6">
        <f>ROUND(('ALL(responses)'!G116 - MIN('ALL(responses)'!G$3:G$322)) / (MAX('ALL(responses)'!G$3:G$322)-MIN('ALL(responses)'!G$3:G$322)),3)
</f>
        <v>0</v>
      </c>
      <c r="H115" s="6">
        <f>ROUND(('ALL(responses)'!H116 - MIN('ALL(responses)'!H$3:H$322)) / (MAX('ALL(responses)'!H$3:H$322)-MIN('ALL(responses)'!H$3:H$322)),3)
</f>
        <v>0.667</v>
      </c>
      <c r="I115" s="6">
        <f>ROUND(('ALL(responses)'!I116 - MIN('ALL(responses)'!I$3:I$322)) / (MAX('ALL(responses)'!I$3:I$322)-MIN('ALL(responses)'!I$3:I$322)),3)
</f>
        <v>1</v>
      </c>
      <c r="J115" s="6">
        <f>ROUND(('ALL(responses)'!J116 - MIN('ALL(responses)'!J$3:J$322)) / (MAX('ALL(responses)'!J$3:J$322)-MIN('ALL(responses)'!J$3:J$322)),3)
</f>
        <v>1</v>
      </c>
      <c r="K115" s="6">
        <f>ROUND(('ALL(responses)'!M116 - MIN('ALL(responses)'!M$3:M$322)) / (MAX('ALL(responses)'!M$3:M$322)-MIN('ALL(responses)'!M$3:M$322)),3)
</f>
        <v>0.413</v>
      </c>
      <c r="L115" s="6">
        <f>ROUND(('ALL(responses)'!P116 - MIN('ALL(responses)'!P$3:P$322)) / (MAX('ALL(responses)'!P$3:P$322)-MIN('ALL(responses)'!P$3:P$322)),3)
</f>
        <v>0</v>
      </c>
      <c r="M115" s="6">
        <f>ROUND(('ALL(responses)'!Q116 - MIN('ALL(responses)'!Q$3:Q$322)) / (MAX('ALL(responses)'!Q$3:Q$322)-MIN('ALL(responses)'!Q$3:Q$322)),3)
</f>
        <v>0.316</v>
      </c>
      <c r="N115" s="6">
        <f>ROUND(('ALL(responses)'!R116 - MIN('ALL(responses)'!R$3:R$322)) / (MAX('ALL(responses)'!R$3:R$322)-MIN('ALL(responses)'!R$3:R$322)),3)
</f>
        <v>0.422</v>
      </c>
      <c r="O115" s="6">
        <f>ROUND(('ALL(responses)'!S116 - MIN('ALL(responses)'!S$3:S$322)) / (MAX('ALL(responses)'!S$3:S$322)-MIN('ALL(responses)'!S$3:S$322)),3)
</f>
        <v>0.711</v>
      </c>
      <c r="P115" s="6">
        <f>ROUND(('ALL(responses)'!T116 - MIN('ALL(responses)'!T$3:T$322)) / (MAX('ALL(responses)'!T$3:T$322)-MIN('ALL(responses)'!T$3:T$322)),3)
</f>
        <v>0.442</v>
      </c>
      <c r="Q115" s="40">
        <f t="shared" si="3"/>
        <v>0.643</v>
      </c>
    </row>
    <row r="116">
      <c r="A116" s="5" t="s">
        <v>84</v>
      </c>
      <c r="B116" s="6" t="s">
        <v>186</v>
      </c>
      <c r="C116" s="12" t="s">
        <v>93</v>
      </c>
      <c r="D116" s="8" t="s">
        <v>221</v>
      </c>
      <c r="E116" s="20">
        <v>45236.0</v>
      </c>
      <c r="F116" s="6">
        <f>ROUND(('ALL(responses)'!F116 - MIN('ALL(responses)'!F$2:F$641)) / (MAX('ALL(responses)'!F$2:F$641)-MIN('ALL(responses)'!F$2:F$641)),3)
</f>
        <v>0.875</v>
      </c>
      <c r="G116" s="6">
        <f>ROUND(('ALL(responses)'!G117 - MIN('ALL(responses)'!G$3:G$322)) / (MAX('ALL(responses)'!G$3:G$322)-MIN('ALL(responses)'!G$3:G$322)),3)
</f>
        <v>1</v>
      </c>
      <c r="H116" s="6">
        <f>ROUND(('ALL(responses)'!H117 - MIN('ALL(responses)'!H$3:H$322)) / (MAX('ALL(responses)'!H$3:H$322)-MIN('ALL(responses)'!H$3:H$322)),3)
</f>
        <v>0.667</v>
      </c>
      <c r="I116" s="6">
        <f>ROUND(('ALL(responses)'!I117 - MIN('ALL(responses)'!I$3:I$322)) / (MAX('ALL(responses)'!I$3:I$322)-MIN('ALL(responses)'!I$3:I$322)),3)
</f>
        <v>1</v>
      </c>
      <c r="J116" s="6">
        <f>ROUND(('ALL(responses)'!J117 - MIN('ALL(responses)'!J$3:J$322)) / (MAX('ALL(responses)'!J$3:J$322)-MIN('ALL(responses)'!J$3:J$322)),3)
</f>
        <v>0</v>
      </c>
      <c r="K116" s="6">
        <f>ROUND(('ALL(responses)'!M117 - MIN('ALL(responses)'!M$3:M$322)) / (MAX('ALL(responses)'!M$3:M$322)-MIN('ALL(responses)'!M$3:M$322)),3)
</f>
        <v>0.256</v>
      </c>
      <c r="L116" s="6">
        <f>ROUND(('ALL(responses)'!P117 - MIN('ALL(responses)'!P$3:P$322)) / (MAX('ALL(responses)'!P$3:P$322)-MIN('ALL(responses)'!P$3:P$322)),3)
</f>
        <v>0.383</v>
      </c>
      <c r="M116" s="6">
        <f>ROUND(('ALL(responses)'!Q117 - MIN('ALL(responses)'!Q$3:Q$322)) / (MAX('ALL(responses)'!Q$3:Q$322)-MIN('ALL(responses)'!Q$3:Q$322)),3)
</f>
        <v>0.3</v>
      </c>
      <c r="N116" s="6">
        <f>ROUND(('ALL(responses)'!R117 - MIN('ALL(responses)'!R$3:R$322)) / (MAX('ALL(responses)'!R$3:R$322)-MIN('ALL(responses)'!R$3:R$322)),3)
</f>
        <v>0.477</v>
      </c>
      <c r="O116" s="6">
        <f>ROUND(('ALL(responses)'!S117 - MIN('ALL(responses)'!S$3:S$322)) / (MAX('ALL(responses)'!S$3:S$322)-MIN('ALL(responses)'!S$3:S$322)),3)
</f>
        <v>0.738</v>
      </c>
      <c r="P116" s="6">
        <f>ROUND(('ALL(responses)'!T117 - MIN('ALL(responses)'!T$3:T$322)) / (MAX('ALL(responses)'!T$3:T$322)-MIN('ALL(responses)'!T$3:T$322)),3)
</f>
        <v>0.483</v>
      </c>
      <c r="Q116" s="40">
        <f t="shared" si="3"/>
        <v>0.643</v>
      </c>
    </row>
    <row r="117">
      <c r="A117" s="5" t="s">
        <v>84</v>
      </c>
      <c r="B117" s="6" t="s">
        <v>186</v>
      </c>
      <c r="C117" s="12" t="s">
        <v>95</v>
      </c>
      <c r="D117" s="8" t="s">
        <v>222</v>
      </c>
      <c r="E117" s="20">
        <v>45236.0</v>
      </c>
      <c r="F117" s="6">
        <f>ROUND(('ALL(responses)'!F117 - MIN('ALL(responses)'!F$2:F$641)) / (MAX('ALL(responses)'!F$2:F$641)-MIN('ALL(responses)'!F$2:F$641)),3)
</f>
        <v>0.875</v>
      </c>
      <c r="G117" s="6">
        <f>ROUND(('ALL(responses)'!G118 - MIN('ALL(responses)'!G$3:G$322)) / (MAX('ALL(responses)'!G$3:G$322)-MIN('ALL(responses)'!G$3:G$322)),3)
</f>
        <v>0</v>
      </c>
      <c r="H117" s="6">
        <f>ROUND(('ALL(responses)'!H118 - MIN('ALL(responses)'!H$3:H$322)) / (MAX('ALL(responses)'!H$3:H$322)-MIN('ALL(responses)'!H$3:H$322)),3)
</f>
        <v>0.667</v>
      </c>
      <c r="I117" s="6">
        <f>ROUND(('ALL(responses)'!I118 - MIN('ALL(responses)'!I$3:I$322)) / (MAX('ALL(responses)'!I$3:I$322)-MIN('ALL(responses)'!I$3:I$322)),3)
</f>
        <v>1</v>
      </c>
      <c r="J117" s="6">
        <f>ROUND(('ALL(responses)'!J118 - MIN('ALL(responses)'!J$3:J$322)) / (MAX('ALL(responses)'!J$3:J$322)-MIN('ALL(responses)'!J$3:J$322)),3)
</f>
        <v>1</v>
      </c>
      <c r="K117" s="6">
        <f>ROUND(('ALL(responses)'!M118 - MIN('ALL(responses)'!M$3:M$322)) / (MAX('ALL(responses)'!M$3:M$322)-MIN('ALL(responses)'!M$3:M$322)),3)
</f>
        <v>0.538</v>
      </c>
      <c r="L117" s="6">
        <f>ROUND(('ALL(responses)'!P118 - MIN('ALL(responses)'!P$3:P$322)) / (MAX('ALL(responses)'!P$3:P$322)-MIN('ALL(responses)'!P$3:P$322)),3)
</f>
        <v>0.81</v>
      </c>
      <c r="M117" s="6">
        <f>ROUND(('ALL(responses)'!Q118 - MIN('ALL(responses)'!Q$3:Q$322)) / (MAX('ALL(responses)'!Q$3:Q$322)-MIN('ALL(responses)'!Q$3:Q$322)),3)
</f>
        <v>0.397</v>
      </c>
      <c r="N117" s="6">
        <f>ROUND(('ALL(responses)'!R118 - MIN('ALL(responses)'!R$3:R$322)) / (MAX('ALL(responses)'!R$3:R$322)-MIN('ALL(responses)'!R$3:R$322)),3)
</f>
        <v>0.96</v>
      </c>
      <c r="O117" s="6">
        <f>ROUND(('ALL(responses)'!S118 - MIN('ALL(responses)'!S$3:S$322)) / (MAX('ALL(responses)'!S$3:S$322)-MIN('ALL(responses)'!S$3:S$322)),3)
</f>
        <v>0.98</v>
      </c>
      <c r="P117" s="6">
        <f>ROUND(('ALL(responses)'!T118 - MIN('ALL(responses)'!T$3:T$322)) / (MAX('ALL(responses)'!T$3:T$322)-MIN('ALL(responses)'!T$3:T$322)),3)
</f>
        <v>0.559</v>
      </c>
      <c r="Q117" s="40">
        <f t="shared" si="3"/>
        <v>0.643</v>
      </c>
    </row>
    <row r="118">
      <c r="A118" s="5" t="s">
        <v>84</v>
      </c>
      <c r="B118" s="6" t="s">
        <v>186</v>
      </c>
      <c r="C118" s="12" t="s">
        <v>97</v>
      </c>
      <c r="D118" s="8" t="s">
        <v>223</v>
      </c>
      <c r="E118" s="20">
        <v>45236.0</v>
      </c>
      <c r="F118" s="6">
        <f>ROUND(('ALL(responses)'!F118 - MIN('ALL(responses)'!F$2:F$641)) / (MAX('ALL(responses)'!F$2:F$641)-MIN('ALL(responses)'!F$2:F$641)),3)
</f>
        <v>0.875</v>
      </c>
      <c r="G118" s="6">
        <f>ROUND(('ALL(responses)'!G119 - MIN('ALL(responses)'!G$3:G$322)) / (MAX('ALL(responses)'!G$3:G$322)-MIN('ALL(responses)'!G$3:G$322)),3)
</f>
        <v>1</v>
      </c>
      <c r="H118" s="6">
        <f>ROUND(('ALL(responses)'!H119 - MIN('ALL(responses)'!H$3:H$322)) / (MAX('ALL(responses)'!H$3:H$322)-MIN('ALL(responses)'!H$3:H$322)),3)
</f>
        <v>0.667</v>
      </c>
      <c r="I118" s="6">
        <f>ROUND(('ALL(responses)'!I119 - MIN('ALL(responses)'!I$3:I$322)) / (MAX('ALL(responses)'!I$3:I$322)-MIN('ALL(responses)'!I$3:I$322)),3)
</f>
        <v>1</v>
      </c>
      <c r="J118" s="6">
        <f>ROUND(('ALL(responses)'!J119 - MIN('ALL(responses)'!J$3:J$322)) / (MAX('ALL(responses)'!J$3:J$322)-MIN('ALL(responses)'!J$3:J$322)),3)
</f>
        <v>1</v>
      </c>
      <c r="K118" s="6">
        <f>ROUND(('ALL(responses)'!M119 - MIN('ALL(responses)'!M$3:M$322)) / (MAX('ALL(responses)'!M$3:M$322)-MIN('ALL(responses)'!M$3:M$322)),3)
</f>
        <v>0.263</v>
      </c>
      <c r="L118" s="6">
        <f>ROUND(('ALL(responses)'!P119 - MIN('ALL(responses)'!P$3:P$322)) / (MAX('ALL(responses)'!P$3:P$322)-MIN('ALL(responses)'!P$3:P$322)),3)
</f>
        <v>0.188</v>
      </c>
      <c r="M118" s="6">
        <f>ROUND(('ALL(responses)'!Q119 - MIN('ALL(responses)'!Q$3:Q$322)) / (MAX('ALL(responses)'!Q$3:Q$322)-MIN('ALL(responses)'!Q$3:Q$322)),3)
</f>
        <v>0.375</v>
      </c>
      <c r="N118" s="6">
        <f>ROUND(('ALL(responses)'!R119 - MIN('ALL(responses)'!R$3:R$322)) / (MAX('ALL(responses)'!R$3:R$322)-MIN('ALL(responses)'!R$3:R$322)),3)
</f>
        <v>0.88</v>
      </c>
      <c r="O118" s="6">
        <f>ROUND(('ALL(responses)'!S119 - MIN('ALL(responses)'!S$3:S$322)) / (MAX('ALL(responses)'!S$3:S$322)-MIN('ALL(responses)'!S$3:S$322)),3)
</f>
        <v>0.94</v>
      </c>
      <c r="P118" s="6">
        <f>ROUND(('ALL(responses)'!T119 - MIN('ALL(responses)'!T$3:T$322)) / (MAX('ALL(responses)'!T$3:T$322)-MIN('ALL(responses)'!T$3:T$322)),3)
</f>
        <v>0.846</v>
      </c>
      <c r="Q118" s="40">
        <f t="shared" si="3"/>
        <v>0.643</v>
      </c>
    </row>
    <row r="119">
      <c r="A119" s="5" t="s">
        <v>84</v>
      </c>
      <c r="B119" s="6" t="s">
        <v>186</v>
      </c>
      <c r="C119" s="12" t="s">
        <v>99</v>
      </c>
      <c r="D119" s="8" t="s">
        <v>224</v>
      </c>
      <c r="E119" s="20">
        <v>45236.0</v>
      </c>
      <c r="F119" s="6">
        <f>ROUND(('ALL(responses)'!F119 - MIN('ALL(responses)'!F$2:F$641)) / (MAX('ALL(responses)'!F$2:F$641)-MIN('ALL(responses)'!F$2:F$641)),3)
</f>
        <v>0.875</v>
      </c>
      <c r="G119" s="6">
        <f>ROUND(('ALL(responses)'!G120 - MIN('ALL(responses)'!G$3:G$322)) / (MAX('ALL(responses)'!G$3:G$322)-MIN('ALL(responses)'!G$3:G$322)),3)
</f>
        <v>0</v>
      </c>
      <c r="H119" s="6">
        <f>ROUND(('ALL(responses)'!H120 - MIN('ALL(responses)'!H$3:H$322)) / (MAX('ALL(responses)'!H$3:H$322)-MIN('ALL(responses)'!H$3:H$322)),3)
</f>
        <v>0.667</v>
      </c>
      <c r="I119" s="6">
        <f>ROUND(('ALL(responses)'!I120 - MIN('ALL(responses)'!I$3:I$322)) / (MAX('ALL(responses)'!I$3:I$322)-MIN('ALL(responses)'!I$3:I$322)),3)
</f>
        <v>1</v>
      </c>
      <c r="J119" s="6">
        <f>ROUND(('ALL(responses)'!J120 - MIN('ALL(responses)'!J$3:J$322)) / (MAX('ALL(responses)'!J$3:J$322)-MIN('ALL(responses)'!J$3:J$322)),3)
</f>
        <v>1</v>
      </c>
      <c r="K119" s="6">
        <f>ROUND(('ALL(responses)'!M120 - MIN('ALL(responses)'!M$3:M$322)) / (MAX('ALL(responses)'!M$3:M$322)-MIN('ALL(responses)'!M$3:M$322)),3)
</f>
        <v>0.569</v>
      </c>
      <c r="L119" s="6">
        <f>ROUND(('ALL(responses)'!P120 - MIN('ALL(responses)'!P$3:P$322)) / (MAX('ALL(responses)'!P$3:P$322)-MIN('ALL(responses)'!P$3:P$322)),3)
</f>
        <v>0</v>
      </c>
      <c r="M119" s="6">
        <f>ROUND(('ALL(responses)'!Q120 - MIN('ALL(responses)'!Q$3:Q$322)) / (MAX('ALL(responses)'!Q$3:Q$322)-MIN('ALL(responses)'!Q$3:Q$322)),3)
</f>
        <v>0.563</v>
      </c>
      <c r="N119" s="6">
        <f>ROUND(('ALL(responses)'!R120 - MIN('ALL(responses)'!R$3:R$322)) / (MAX('ALL(responses)'!R$3:R$322)-MIN('ALL(responses)'!R$3:R$322)),3)
</f>
        <v>0.128</v>
      </c>
      <c r="O119" s="6">
        <f>ROUND(('ALL(responses)'!S120 - MIN('ALL(responses)'!S$3:S$322)) / (MAX('ALL(responses)'!S$3:S$322)-MIN('ALL(responses)'!S$3:S$322)),3)
</f>
        <v>0.564</v>
      </c>
      <c r="P119" s="6">
        <f>ROUND(('ALL(responses)'!T120 - MIN('ALL(responses)'!T$3:T$322)) / (MAX('ALL(responses)'!T$3:T$322)-MIN('ALL(responses)'!T$3:T$322)),3)
</f>
        <v>0.648</v>
      </c>
      <c r="Q119" s="40">
        <f t="shared" si="3"/>
        <v>0.643</v>
      </c>
    </row>
    <row r="120">
      <c r="A120" s="5" t="s">
        <v>84</v>
      </c>
      <c r="B120" s="6" t="s">
        <v>186</v>
      </c>
      <c r="C120" s="12" t="s">
        <v>101</v>
      </c>
      <c r="D120" s="8" t="s">
        <v>225</v>
      </c>
      <c r="E120" s="20">
        <v>45236.0</v>
      </c>
      <c r="F120" s="6">
        <f>ROUND(('ALL(responses)'!F120 - MIN('ALL(responses)'!F$2:F$641)) / (MAX('ALL(responses)'!F$2:F$641)-MIN('ALL(responses)'!F$2:F$641)),3)
</f>
        <v>0</v>
      </c>
      <c r="G120" s="6">
        <f>ROUND(('ALL(responses)'!G121 - MIN('ALL(responses)'!G$3:G$322)) / (MAX('ALL(responses)'!G$3:G$322)-MIN('ALL(responses)'!G$3:G$322)),3)
</f>
        <v>1</v>
      </c>
      <c r="H120" s="6">
        <f>ROUND(('ALL(responses)'!H121 - MIN('ALL(responses)'!H$3:H$322)) / (MAX('ALL(responses)'!H$3:H$322)-MIN('ALL(responses)'!H$3:H$322)),3)
</f>
        <v>0.667</v>
      </c>
      <c r="I120" s="6">
        <f>ROUND(('ALL(responses)'!I121 - MIN('ALL(responses)'!I$3:I$322)) / (MAX('ALL(responses)'!I$3:I$322)-MIN('ALL(responses)'!I$3:I$322)),3)
</f>
        <v>1</v>
      </c>
      <c r="J120" s="6">
        <f>ROUND(('ALL(responses)'!J121 - MIN('ALL(responses)'!J$3:J$322)) / (MAX('ALL(responses)'!J$3:J$322)-MIN('ALL(responses)'!J$3:J$322)),3)
</f>
        <v>1</v>
      </c>
      <c r="K120" s="6">
        <f>ROUND(('ALL(responses)'!M121 - MIN('ALL(responses)'!M$3:M$322)) / (MAX('ALL(responses)'!M$3:M$322)-MIN('ALL(responses)'!M$3:M$322)),3)
</f>
        <v>0.446</v>
      </c>
      <c r="L120" s="6">
        <f>ROUND(('ALL(responses)'!P121 - MIN('ALL(responses)'!P$3:P$322)) / (MAX('ALL(responses)'!P$3:P$322)-MIN('ALL(responses)'!P$3:P$322)),3)
</f>
        <v>0.16</v>
      </c>
      <c r="M120" s="6">
        <f>ROUND(('ALL(responses)'!Q121 - MIN('ALL(responses)'!Q$3:Q$322)) / (MAX('ALL(responses)'!Q$3:Q$322)-MIN('ALL(responses)'!Q$3:Q$322)),3)
</f>
        <v>0.391</v>
      </c>
      <c r="N120" s="6">
        <f>ROUND(('ALL(responses)'!R121 - MIN('ALL(responses)'!R$3:R$322)) / (MAX('ALL(responses)'!R$3:R$322)-MIN('ALL(responses)'!R$3:R$322)),3)
</f>
        <v>0.835</v>
      </c>
      <c r="O120" s="6">
        <f>ROUND(('ALL(responses)'!S121 - MIN('ALL(responses)'!S$3:S$322)) / (MAX('ALL(responses)'!S$3:S$322)-MIN('ALL(responses)'!S$3:S$322)),3)
</f>
        <v>0.917</v>
      </c>
      <c r="P120" s="6">
        <f>ROUND(('ALL(responses)'!T121 - MIN('ALL(responses)'!T$3:T$322)) / (MAX('ALL(responses)'!T$3:T$322)-MIN('ALL(responses)'!T$3:T$322)),3)
</f>
        <v>0.693</v>
      </c>
      <c r="Q120" s="40">
        <f t="shared" si="3"/>
        <v>0.643</v>
      </c>
    </row>
    <row r="121">
      <c r="A121" s="5" t="s">
        <v>84</v>
      </c>
      <c r="B121" s="6" t="s">
        <v>186</v>
      </c>
      <c r="C121" s="12" t="s">
        <v>103</v>
      </c>
      <c r="D121" s="8" t="s">
        <v>226</v>
      </c>
      <c r="E121" s="20">
        <v>45236.0</v>
      </c>
      <c r="F121" s="6">
        <f>ROUND(('ALL(responses)'!F121 - MIN('ALL(responses)'!F$2:F$641)) / (MAX('ALL(responses)'!F$2:F$641)-MIN('ALL(responses)'!F$2:F$641)),3)
</f>
        <v>0.875</v>
      </c>
      <c r="G121" s="6">
        <f>ROUND(('ALL(responses)'!G122 - MIN('ALL(responses)'!G$3:G$322)) / (MAX('ALL(responses)'!G$3:G$322)-MIN('ALL(responses)'!G$3:G$322)),3)
</f>
        <v>0.143</v>
      </c>
      <c r="H121" s="6">
        <f>ROUND(('ALL(responses)'!H122 - MIN('ALL(responses)'!H$3:H$322)) / (MAX('ALL(responses)'!H$3:H$322)-MIN('ALL(responses)'!H$3:H$322)),3)
</f>
        <v>0.167</v>
      </c>
      <c r="I121" s="6">
        <f>ROUND(('ALL(responses)'!I122 - MIN('ALL(responses)'!I$3:I$322)) / (MAX('ALL(responses)'!I$3:I$322)-MIN('ALL(responses)'!I$3:I$322)),3)
</f>
        <v>0.143</v>
      </c>
      <c r="J121" s="6">
        <f>ROUND(('ALL(responses)'!J122 - MIN('ALL(responses)'!J$3:J$322)) / (MAX('ALL(responses)'!J$3:J$322)-MIN('ALL(responses)'!J$3:J$322)),3)
</f>
        <v>0</v>
      </c>
      <c r="K121" s="6">
        <f>ROUND(('ALL(responses)'!M122 - MIN('ALL(responses)'!M$3:M$322)) / (MAX('ALL(responses)'!M$3:M$322)-MIN('ALL(responses)'!M$3:M$322)),3)
</f>
        <v>0.317</v>
      </c>
      <c r="L121" s="6">
        <f>ROUND(('ALL(responses)'!P122 - MIN('ALL(responses)'!P$3:P$322)) / (MAX('ALL(responses)'!P$3:P$322)-MIN('ALL(responses)'!P$3:P$322)),3)
</f>
        <v>0.333</v>
      </c>
      <c r="M121" s="6">
        <f>ROUND(('ALL(responses)'!Q122 - MIN('ALL(responses)'!Q$3:Q$322)) / (MAX('ALL(responses)'!Q$3:Q$322)-MIN('ALL(responses)'!Q$3:Q$322)),3)
</f>
        <v>0.662</v>
      </c>
      <c r="N121" s="6">
        <f>ROUND(('ALL(responses)'!R122 - MIN('ALL(responses)'!R$3:R$322)) / (MAX('ALL(responses)'!R$3:R$322)-MIN('ALL(responses)'!R$3:R$322)),3)
</f>
        <v>0.637</v>
      </c>
      <c r="O121" s="6">
        <f>ROUND(('ALL(responses)'!S122 - MIN('ALL(responses)'!S$3:S$322)) / (MAX('ALL(responses)'!S$3:S$322)-MIN('ALL(responses)'!S$3:S$322)),3)
</f>
        <v>0.819</v>
      </c>
      <c r="P121" s="6">
        <f>ROUND(('ALL(responses)'!T122 - MIN('ALL(responses)'!T$3:T$322)) / (MAX('ALL(responses)'!T$3:T$322)-MIN('ALL(responses)'!T$3:T$322)),3)
</f>
        <v>0.21</v>
      </c>
      <c r="Q121" s="40">
        <f t="shared" si="3"/>
        <v>0.643</v>
      </c>
    </row>
    <row r="122">
      <c r="A122" s="5" t="s">
        <v>20</v>
      </c>
      <c r="B122" s="6" t="s">
        <v>432</v>
      </c>
      <c r="C122" s="7" t="s">
        <v>22</v>
      </c>
      <c r="D122" s="7" t="s">
        <v>106</v>
      </c>
      <c r="E122" s="9">
        <v>45425.0</v>
      </c>
      <c r="F122" s="6">
        <f>ROUND(('ALL(responses)'!F122 - MIN('ALL(responses)'!F$2:F$641)) / (MAX('ALL(responses)'!F$2:F$641)-MIN('ALL(responses)'!F$2:F$641)),3)
</f>
        <v>0.625</v>
      </c>
      <c r="G122" s="6">
        <f>ROUND(('ALL(responses)'!G123 - MIN('ALL(responses)'!G$3:G$322)) / (MAX('ALL(responses)'!G$3:G$322)-MIN('ALL(responses)'!G$3:G$322)),3)
</f>
        <v>0.143</v>
      </c>
      <c r="H122" s="6">
        <f>ROUND(('ALL(responses)'!H123 - MIN('ALL(responses)'!H$3:H$322)) / (MAX('ALL(responses)'!H$3:H$322)-MIN('ALL(responses)'!H$3:H$322)),3)
</f>
        <v>1</v>
      </c>
      <c r="I122" s="6">
        <f>ROUND(('ALL(responses)'!I123 - MIN('ALL(responses)'!I$3:I$322)) / (MAX('ALL(responses)'!I$3:I$322)-MIN('ALL(responses)'!I$3:I$322)),3)
</f>
        <v>0.143</v>
      </c>
      <c r="J122" s="6">
        <f>ROUND(('ALL(responses)'!J123 - MIN('ALL(responses)'!J$3:J$322)) / (MAX('ALL(responses)'!J$3:J$322)-MIN('ALL(responses)'!J$3:J$322)),3)
</f>
        <v>0</v>
      </c>
      <c r="K122" s="6">
        <f>ROUND(('ALL(responses)'!M123 - MIN('ALL(responses)'!M$3:M$322)) / (MAX('ALL(responses)'!M$3:M$322)-MIN('ALL(responses)'!M$3:M$322)),3)
</f>
        <v>0.646</v>
      </c>
      <c r="L122" s="6">
        <f>ROUND(('ALL(responses)'!P123 - MIN('ALL(responses)'!P$3:P$322)) / (MAX('ALL(responses)'!P$3:P$322)-MIN('ALL(responses)'!P$3:P$322)),3)
</f>
        <v>0</v>
      </c>
      <c r="M122" s="6">
        <f>ROUND(('ALL(responses)'!Q123 - MIN('ALL(responses)'!Q$3:Q$322)) / (MAX('ALL(responses)'!Q$3:Q$322)-MIN('ALL(responses)'!Q$3:Q$322)),3)
</f>
        <v>0.17</v>
      </c>
      <c r="N122" s="6">
        <f>ROUND(('ALL(responses)'!R123 - MIN('ALL(responses)'!R$3:R$322)) / (MAX('ALL(responses)'!R$3:R$322)-MIN('ALL(responses)'!R$3:R$322)),3)
</f>
        <v>0.94</v>
      </c>
      <c r="O122" s="6">
        <f>ROUND(('ALL(responses)'!S123 - MIN('ALL(responses)'!S$3:S$322)) / (MAX('ALL(responses)'!S$3:S$322)-MIN('ALL(responses)'!S$3:S$322)),3)
</f>
        <v>0.97</v>
      </c>
      <c r="P122" s="6">
        <f>ROUND(('ALL(responses)'!T123 - MIN('ALL(responses)'!T$3:T$322)) / (MAX('ALL(responses)'!T$3:T$322)-MIN('ALL(responses)'!T$3:T$322)),3)
</f>
        <v>0.381</v>
      </c>
      <c r="Q122" s="40">
        <f t="shared" ref="Q122:Q161" si="4">ROUND(AVERAGE(F$122:P$161),3)</f>
        <v>0.494</v>
      </c>
    </row>
    <row r="123">
      <c r="A123" s="5" t="s">
        <v>20</v>
      </c>
      <c r="B123" s="6" t="s">
        <v>432</v>
      </c>
      <c r="C123" s="7" t="s">
        <v>24</v>
      </c>
      <c r="D123" s="7" t="s">
        <v>107</v>
      </c>
      <c r="E123" s="9">
        <v>45425.0</v>
      </c>
      <c r="F123" s="6">
        <f>ROUND(('ALL(responses)'!F123 - MIN('ALL(responses)'!F$2:F$641)) / (MAX('ALL(responses)'!F$2:F$641)-MIN('ALL(responses)'!F$2:F$641)),3)
</f>
        <v>0</v>
      </c>
      <c r="G123" s="6">
        <f>ROUND(('ALL(responses)'!G124 - MIN('ALL(responses)'!G$3:G$322)) / (MAX('ALL(responses)'!G$3:G$322)-MIN('ALL(responses)'!G$3:G$322)),3)
</f>
        <v>0.143</v>
      </c>
      <c r="H123" s="6">
        <f>ROUND(('ALL(responses)'!H124 - MIN('ALL(responses)'!H$3:H$322)) / (MAX('ALL(responses)'!H$3:H$322)-MIN('ALL(responses)'!H$3:H$322)),3)
</f>
        <v>0.167</v>
      </c>
      <c r="I123" s="6">
        <f>ROUND(('ALL(responses)'!I124 - MIN('ALL(responses)'!I$3:I$322)) / (MAX('ALL(responses)'!I$3:I$322)-MIN('ALL(responses)'!I$3:I$322)),3)
</f>
        <v>0.143</v>
      </c>
      <c r="J123" s="6">
        <f>ROUND(('ALL(responses)'!J124 - MIN('ALL(responses)'!J$3:J$322)) / (MAX('ALL(responses)'!J$3:J$322)-MIN('ALL(responses)'!J$3:J$322)),3)
</f>
        <v>0</v>
      </c>
      <c r="K123" s="6">
        <f>ROUND(('ALL(responses)'!M124 - MIN('ALL(responses)'!M$3:M$322)) / (MAX('ALL(responses)'!M$3:M$322)-MIN('ALL(responses)'!M$3:M$322)),3)
</f>
        <v>0.483</v>
      </c>
      <c r="L123" s="6">
        <f>ROUND(('ALL(responses)'!P124 - MIN('ALL(responses)'!P$3:P$322)) / (MAX('ALL(responses)'!P$3:P$322)-MIN('ALL(responses)'!P$3:P$322)),3)
</f>
        <v>0.265</v>
      </c>
      <c r="M123" s="6">
        <f>ROUND(('ALL(responses)'!Q124 - MIN('ALL(responses)'!Q$3:Q$322)) / (MAX('ALL(responses)'!Q$3:Q$322)-MIN('ALL(responses)'!Q$3:Q$322)),3)
</f>
        <v>0.511</v>
      </c>
      <c r="N123" s="6">
        <f>ROUND(('ALL(responses)'!R124 - MIN('ALL(responses)'!R$3:R$322)) / (MAX('ALL(responses)'!R$3:R$322)-MIN('ALL(responses)'!R$3:R$322)),3)
</f>
        <v>0.845</v>
      </c>
      <c r="O123" s="6">
        <f>ROUND(('ALL(responses)'!S124 - MIN('ALL(responses)'!S$3:S$322)) / (MAX('ALL(responses)'!S$3:S$322)-MIN('ALL(responses)'!S$3:S$322)),3)
</f>
        <v>0.922</v>
      </c>
      <c r="P123" s="6">
        <f>ROUND(('ALL(responses)'!T124 - MIN('ALL(responses)'!T$3:T$322)) / (MAX('ALL(responses)'!T$3:T$322)-MIN('ALL(responses)'!T$3:T$322)),3)
</f>
        <v>0.429</v>
      </c>
      <c r="Q123" s="40">
        <f t="shared" si="4"/>
        <v>0.494</v>
      </c>
    </row>
    <row r="124">
      <c r="A124" s="5" t="s">
        <v>20</v>
      </c>
      <c r="B124" s="6" t="s">
        <v>432</v>
      </c>
      <c r="C124" s="7" t="s">
        <v>26</v>
      </c>
      <c r="D124" s="7" t="s">
        <v>108</v>
      </c>
      <c r="E124" s="9">
        <v>45425.0</v>
      </c>
      <c r="F124" s="6">
        <f>ROUND(('ALL(responses)'!F124 - MIN('ALL(responses)'!F$2:F$641)) / (MAX('ALL(responses)'!F$2:F$641)-MIN('ALL(responses)'!F$2:F$641)),3)
</f>
        <v>0.625</v>
      </c>
      <c r="G124" s="6">
        <f>ROUND(('ALL(responses)'!G125 - MIN('ALL(responses)'!G$3:G$322)) / (MAX('ALL(responses)'!G$3:G$322)-MIN('ALL(responses)'!G$3:G$322)),3)
</f>
        <v>0.714</v>
      </c>
      <c r="H124" s="6">
        <f>ROUND(('ALL(responses)'!H125 - MIN('ALL(responses)'!H$3:H$322)) / (MAX('ALL(responses)'!H$3:H$322)-MIN('ALL(responses)'!H$3:H$322)),3)
</f>
        <v>0.167</v>
      </c>
      <c r="I124" s="6">
        <f>ROUND(('ALL(responses)'!I125 - MIN('ALL(responses)'!I$3:I$322)) / (MAX('ALL(responses)'!I$3:I$322)-MIN('ALL(responses)'!I$3:I$322)),3)
</f>
        <v>0.143</v>
      </c>
      <c r="J124" s="6">
        <f>ROUND(('ALL(responses)'!J125 - MIN('ALL(responses)'!J$3:J$322)) / (MAX('ALL(responses)'!J$3:J$322)-MIN('ALL(responses)'!J$3:J$322)),3)
</f>
        <v>0</v>
      </c>
      <c r="K124" s="6">
        <f>ROUND(('ALL(responses)'!M125 - MIN('ALL(responses)'!M$3:M$322)) / (MAX('ALL(responses)'!M$3:M$322)-MIN('ALL(responses)'!M$3:M$322)),3)
</f>
        <v>0.355</v>
      </c>
      <c r="L124" s="6">
        <f>ROUND(('ALL(responses)'!P125 - MIN('ALL(responses)'!P$3:P$322)) / (MAX('ALL(responses)'!P$3:P$322)-MIN('ALL(responses)'!P$3:P$322)),3)
</f>
        <v>0.556</v>
      </c>
      <c r="M124" s="6">
        <f>ROUND(('ALL(responses)'!Q125 - MIN('ALL(responses)'!Q$3:Q$322)) / (MAX('ALL(responses)'!Q$3:Q$322)-MIN('ALL(responses)'!Q$3:Q$322)),3)
</f>
        <v>0.768</v>
      </c>
      <c r="N124" s="6">
        <f>ROUND(('ALL(responses)'!R125 - MIN('ALL(responses)'!R$3:R$322)) / (MAX('ALL(responses)'!R$3:R$322)-MIN('ALL(responses)'!R$3:R$322)),3)
</f>
        <v>0.701</v>
      </c>
      <c r="O124" s="6">
        <f>ROUND(('ALL(responses)'!S125 - MIN('ALL(responses)'!S$3:S$322)) / (MAX('ALL(responses)'!S$3:S$322)-MIN('ALL(responses)'!S$3:S$322)),3)
</f>
        <v>0.85</v>
      </c>
      <c r="P124" s="6">
        <f>ROUND(('ALL(responses)'!T125 - MIN('ALL(responses)'!T$3:T$322)) / (MAX('ALL(responses)'!T$3:T$322)-MIN('ALL(responses)'!T$3:T$322)),3)
</f>
        <v>0.392</v>
      </c>
      <c r="Q124" s="40">
        <f t="shared" si="4"/>
        <v>0.494</v>
      </c>
    </row>
    <row r="125">
      <c r="A125" s="5" t="s">
        <v>20</v>
      </c>
      <c r="B125" s="6" t="s">
        <v>432</v>
      </c>
      <c r="C125" s="7" t="s">
        <v>28</v>
      </c>
      <c r="D125" s="7" t="s">
        <v>109</v>
      </c>
      <c r="E125" s="9">
        <v>45425.0</v>
      </c>
      <c r="F125" s="6">
        <f>ROUND(('ALL(responses)'!F125 - MIN('ALL(responses)'!F$2:F$641)) / (MAX('ALL(responses)'!F$2:F$641)-MIN('ALL(responses)'!F$2:F$641)),3)
</f>
        <v>0</v>
      </c>
      <c r="G125" s="6">
        <f>ROUND(('ALL(responses)'!G126 - MIN('ALL(responses)'!G$3:G$322)) / (MAX('ALL(responses)'!G$3:G$322)-MIN('ALL(responses)'!G$3:G$322)),3)
</f>
        <v>0.714</v>
      </c>
      <c r="H125" s="6">
        <f>ROUND(('ALL(responses)'!H126 - MIN('ALL(responses)'!H$3:H$322)) / (MAX('ALL(responses)'!H$3:H$322)-MIN('ALL(responses)'!H$3:H$322)),3)
</f>
        <v>0.167</v>
      </c>
      <c r="I125" s="6">
        <f>ROUND(('ALL(responses)'!I126 - MIN('ALL(responses)'!I$3:I$322)) / (MAX('ALL(responses)'!I$3:I$322)-MIN('ALL(responses)'!I$3:I$322)),3)
</f>
        <v>0.143</v>
      </c>
      <c r="J125" s="6">
        <f>ROUND(('ALL(responses)'!J126 - MIN('ALL(responses)'!J$3:J$322)) / (MAX('ALL(responses)'!J$3:J$322)-MIN('ALL(responses)'!J$3:J$322)),3)
</f>
        <v>0</v>
      </c>
      <c r="K125" s="6">
        <f>ROUND(('ALL(responses)'!M126 - MIN('ALL(responses)'!M$3:M$322)) / (MAX('ALL(responses)'!M$3:M$322)-MIN('ALL(responses)'!M$3:M$322)),3)
</f>
        <v>0.484</v>
      </c>
      <c r="L125" s="6">
        <f>ROUND(('ALL(responses)'!P126 - MIN('ALL(responses)'!P$3:P$322)) / (MAX('ALL(responses)'!P$3:P$322)-MIN('ALL(responses)'!P$3:P$322)),3)
</f>
        <v>0.271</v>
      </c>
      <c r="M125" s="6">
        <f>ROUND(('ALL(responses)'!Q126 - MIN('ALL(responses)'!Q$3:Q$322)) / (MAX('ALL(responses)'!Q$3:Q$322)-MIN('ALL(responses)'!Q$3:Q$322)),3)
</f>
        <v>0.45</v>
      </c>
      <c r="N125" s="6">
        <f>ROUND(('ALL(responses)'!R126 - MIN('ALL(responses)'!R$3:R$322)) / (MAX('ALL(responses)'!R$3:R$322)-MIN('ALL(responses)'!R$3:R$322)),3)
</f>
        <v>0.952</v>
      </c>
      <c r="O125" s="6">
        <f>ROUND(('ALL(responses)'!S126 - MIN('ALL(responses)'!S$3:S$322)) / (MAX('ALL(responses)'!S$3:S$322)-MIN('ALL(responses)'!S$3:S$322)),3)
</f>
        <v>0.976</v>
      </c>
      <c r="P125" s="6">
        <f>ROUND(('ALL(responses)'!T126 - MIN('ALL(responses)'!T$3:T$322)) / (MAX('ALL(responses)'!T$3:T$322)-MIN('ALL(responses)'!T$3:T$322)),3)
</f>
        <v>0.442</v>
      </c>
      <c r="Q125" s="40">
        <f t="shared" si="4"/>
        <v>0.494</v>
      </c>
    </row>
    <row r="126">
      <c r="A126" s="5" t="s">
        <v>20</v>
      </c>
      <c r="B126" s="6" t="s">
        <v>432</v>
      </c>
      <c r="C126" s="7" t="s">
        <v>30</v>
      </c>
      <c r="D126" s="7" t="s">
        <v>110</v>
      </c>
      <c r="E126" s="9">
        <v>45425.0</v>
      </c>
      <c r="F126" s="6">
        <f>ROUND(('ALL(responses)'!F126 - MIN('ALL(responses)'!F$2:F$641)) / (MAX('ALL(responses)'!F$2:F$641)-MIN('ALL(responses)'!F$2:F$641)),3)
</f>
        <v>0.625</v>
      </c>
      <c r="G126" s="6">
        <f>ROUND(('ALL(responses)'!G127 - MIN('ALL(responses)'!G$3:G$322)) / (MAX('ALL(responses)'!G$3:G$322)-MIN('ALL(responses)'!G$3:G$322)),3)
</f>
        <v>0.143</v>
      </c>
      <c r="H126" s="6">
        <f>ROUND(('ALL(responses)'!H127 - MIN('ALL(responses)'!H$3:H$322)) / (MAX('ALL(responses)'!H$3:H$322)-MIN('ALL(responses)'!H$3:H$322)),3)
</f>
        <v>0.167</v>
      </c>
      <c r="I126" s="6">
        <f>ROUND(('ALL(responses)'!I127 - MIN('ALL(responses)'!I$3:I$322)) / (MAX('ALL(responses)'!I$3:I$322)-MIN('ALL(responses)'!I$3:I$322)),3)
</f>
        <v>0.143</v>
      </c>
      <c r="J126" s="6">
        <f>ROUND(('ALL(responses)'!J127 - MIN('ALL(responses)'!J$3:J$322)) / (MAX('ALL(responses)'!J$3:J$322)-MIN('ALL(responses)'!J$3:J$322)),3)
</f>
        <v>0</v>
      </c>
      <c r="K126" s="6">
        <f>ROUND(('ALL(responses)'!M127 - MIN('ALL(responses)'!M$3:M$322)) / (MAX('ALL(responses)'!M$3:M$322)-MIN('ALL(responses)'!M$3:M$322)),3)
</f>
        <v>0.363</v>
      </c>
      <c r="L126" s="6">
        <f>ROUND(('ALL(responses)'!P127 - MIN('ALL(responses)'!P$3:P$322)) / (MAX('ALL(responses)'!P$3:P$322)-MIN('ALL(responses)'!P$3:P$322)),3)
</f>
        <v>0.243</v>
      </c>
      <c r="M126" s="6">
        <f>ROUND(('ALL(responses)'!Q127 - MIN('ALL(responses)'!Q$3:Q$322)) / (MAX('ALL(responses)'!Q$3:Q$322)-MIN('ALL(responses)'!Q$3:Q$322)),3)
</f>
        <v>0.489</v>
      </c>
      <c r="N126" s="6">
        <f>ROUND(('ALL(responses)'!R127 - MIN('ALL(responses)'!R$3:R$322)) / (MAX('ALL(responses)'!R$3:R$322)-MIN('ALL(responses)'!R$3:R$322)),3)
</f>
        <v>0.637</v>
      </c>
      <c r="O126" s="6">
        <f>ROUND(('ALL(responses)'!S127 - MIN('ALL(responses)'!S$3:S$322)) / (MAX('ALL(responses)'!S$3:S$322)-MIN('ALL(responses)'!S$3:S$322)),3)
</f>
        <v>0.819</v>
      </c>
      <c r="P126" s="6">
        <f>ROUND(('ALL(responses)'!T127 - MIN('ALL(responses)'!T$3:T$322)) / (MAX('ALL(responses)'!T$3:T$322)-MIN('ALL(responses)'!T$3:T$322)),3)
</f>
        <v>0.498</v>
      </c>
      <c r="Q126" s="40">
        <f t="shared" si="4"/>
        <v>0.494</v>
      </c>
    </row>
    <row r="127">
      <c r="A127" s="5" t="s">
        <v>20</v>
      </c>
      <c r="B127" s="6" t="s">
        <v>432</v>
      </c>
      <c r="C127" s="7" t="s">
        <v>32</v>
      </c>
      <c r="D127" s="7" t="s">
        <v>111</v>
      </c>
      <c r="E127" s="9">
        <v>45425.0</v>
      </c>
      <c r="F127" s="6">
        <f>ROUND(('ALL(responses)'!F127 - MIN('ALL(responses)'!F$2:F$641)) / (MAX('ALL(responses)'!F$2:F$641)-MIN('ALL(responses)'!F$2:F$641)),3)
</f>
        <v>0</v>
      </c>
      <c r="G127" s="6">
        <f>ROUND(('ALL(responses)'!G128 - MIN('ALL(responses)'!G$3:G$322)) / (MAX('ALL(responses)'!G$3:G$322)-MIN('ALL(responses)'!G$3:G$322)),3)
</f>
        <v>0.714</v>
      </c>
      <c r="H127" s="6">
        <f>ROUND(('ALL(responses)'!H128 - MIN('ALL(responses)'!H$3:H$322)) / (MAX('ALL(responses)'!H$3:H$322)-MIN('ALL(responses)'!H$3:H$322)),3)
</f>
        <v>0.167</v>
      </c>
      <c r="I127" s="6">
        <f>ROUND(('ALL(responses)'!I128 - MIN('ALL(responses)'!I$3:I$322)) / (MAX('ALL(responses)'!I$3:I$322)-MIN('ALL(responses)'!I$3:I$322)),3)
</f>
        <v>0.143</v>
      </c>
      <c r="J127" s="6">
        <f>ROUND(('ALL(responses)'!J128 - MIN('ALL(responses)'!J$3:J$322)) / (MAX('ALL(responses)'!J$3:J$322)-MIN('ALL(responses)'!J$3:J$322)),3)
</f>
        <v>0</v>
      </c>
      <c r="K127" s="6">
        <f>ROUND(('ALL(responses)'!M128 - MIN('ALL(responses)'!M$3:M$322)) / (MAX('ALL(responses)'!M$3:M$322)-MIN('ALL(responses)'!M$3:M$322)),3)
</f>
        <v>0.562</v>
      </c>
      <c r="L127" s="6">
        <f>ROUND(('ALL(responses)'!P128 - MIN('ALL(responses)'!P$3:P$322)) / (MAX('ALL(responses)'!P$3:P$322)-MIN('ALL(responses)'!P$3:P$322)),3)
</f>
        <v>0.402</v>
      </c>
      <c r="M127" s="6">
        <f>ROUND(('ALL(responses)'!Q128 - MIN('ALL(responses)'!Q$3:Q$322)) / (MAX('ALL(responses)'!Q$3:Q$322)-MIN('ALL(responses)'!Q$3:Q$322)),3)
</f>
        <v>0.818</v>
      </c>
      <c r="N127" s="6">
        <f>ROUND(('ALL(responses)'!R128 - MIN('ALL(responses)'!R$3:R$322)) / (MAX('ALL(responses)'!R$3:R$322)-MIN('ALL(responses)'!R$3:R$322)),3)
</f>
        <v>0.899</v>
      </c>
      <c r="O127" s="6">
        <f>ROUND(('ALL(responses)'!S128 - MIN('ALL(responses)'!S$3:S$322)) / (MAX('ALL(responses)'!S$3:S$322)-MIN('ALL(responses)'!S$3:S$322)),3)
</f>
        <v>0.949</v>
      </c>
      <c r="P127" s="6">
        <f>ROUND(('ALL(responses)'!T128 - MIN('ALL(responses)'!T$3:T$322)) / (MAX('ALL(responses)'!T$3:T$322)-MIN('ALL(responses)'!T$3:T$322)),3)
</f>
        <v>0.342</v>
      </c>
      <c r="Q127" s="40">
        <f t="shared" si="4"/>
        <v>0.494</v>
      </c>
    </row>
    <row r="128">
      <c r="A128" s="5" t="s">
        <v>20</v>
      </c>
      <c r="B128" s="6" t="s">
        <v>432</v>
      </c>
      <c r="C128" s="7" t="s">
        <v>34</v>
      </c>
      <c r="D128" s="7" t="s">
        <v>112</v>
      </c>
      <c r="E128" s="9">
        <v>45425.0</v>
      </c>
      <c r="F128" s="6">
        <f>ROUND(('ALL(responses)'!F128 - MIN('ALL(responses)'!F$2:F$641)) / (MAX('ALL(responses)'!F$2:F$641)-MIN('ALL(responses)'!F$2:F$641)),3)
</f>
        <v>0</v>
      </c>
      <c r="G128" s="6">
        <f>ROUND(('ALL(responses)'!G129 - MIN('ALL(responses)'!G$3:G$322)) / (MAX('ALL(responses)'!G$3:G$322)-MIN('ALL(responses)'!G$3:G$322)),3)
</f>
        <v>0.143</v>
      </c>
      <c r="H128" s="6">
        <f>ROUND(('ALL(responses)'!H129 - MIN('ALL(responses)'!H$3:H$322)) / (MAX('ALL(responses)'!H$3:H$322)-MIN('ALL(responses)'!H$3:H$322)),3)
</f>
        <v>0.167</v>
      </c>
      <c r="I128" s="6">
        <f>ROUND(('ALL(responses)'!I129 - MIN('ALL(responses)'!I$3:I$322)) / (MAX('ALL(responses)'!I$3:I$322)-MIN('ALL(responses)'!I$3:I$322)),3)
</f>
        <v>0.143</v>
      </c>
      <c r="J128" s="6">
        <f>ROUND(('ALL(responses)'!J129 - MIN('ALL(responses)'!J$3:J$322)) / (MAX('ALL(responses)'!J$3:J$322)-MIN('ALL(responses)'!J$3:J$322)),3)
</f>
        <v>0</v>
      </c>
      <c r="K128" s="6">
        <f>ROUND(('ALL(responses)'!M129 - MIN('ALL(responses)'!M$3:M$322)) / (MAX('ALL(responses)'!M$3:M$322)-MIN('ALL(responses)'!M$3:M$322)),3)
</f>
        <v>0.394</v>
      </c>
      <c r="L128" s="6">
        <f>ROUND(('ALL(responses)'!P129 - MIN('ALL(responses)'!P$3:P$322)) / (MAX('ALL(responses)'!P$3:P$322)-MIN('ALL(responses)'!P$3:P$322)),3)
</f>
        <v>0.191</v>
      </c>
      <c r="M128" s="6">
        <f>ROUND(('ALL(responses)'!Q129 - MIN('ALL(responses)'!Q$3:Q$322)) / (MAX('ALL(responses)'!Q$3:Q$322)-MIN('ALL(responses)'!Q$3:Q$322)),3)
</f>
        <v>0.458</v>
      </c>
      <c r="N128" s="6">
        <f>ROUND(('ALL(responses)'!R129 - MIN('ALL(responses)'!R$3:R$322)) / (MAX('ALL(responses)'!R$3:R$322)-MIN('ALL(responses)'!R$3:R$322)),3)
</f>
        <v>0.637</v>
      </c>
      <c r="O128" s="6">
        <f>ROUND(('ALL(responses)'!S129 - MIN('ALL(responses)'!S$3:S$322)) / (MAX('ALL(responses)'!S$3:S$322)-MIN('ALL(responses)'!S$3:S$322)),3)
</f>
        <v>0.819</v>
      </c>
      <c r="P128" s="6">
        <f>ROUND(('ALL(responses)'!T129 - MIN('ALL(responses)'!T$3:T$322)) / (MAX('ALL(responses)'!T$3:T$322)-MIN('ALL(responses)'!T$3:T$322)),3)
</f>
        <v>0.483</v>
      </c>
      <c r="Q128" s="40">
        <f t="shared" si="4"/>
        <v>0.494</v>
      </c>
    </row>
    <row r="129">
      <c r="A129" s="5" t="s">
        <v>20</v>
      </c>
      <c r="B129" s="6" t="s">
        <v>432</v>
      </c>
      <c r="C129" s="7" t="s">
        <v>36</v>
      </c>
      <c r="D129" s="7" t="s">
        <v>113</v>
      </c>
      <c r="E129" s="9">
        <v>45425.0</v>
      </c>
      <c r="F129" s="6">
        <f>ROUND(('ALL(responses)'!F129 - MIN('ALL(responses)'!F$2:F$641)) / (MAX('ALL(responses)'!F$2:F$641)-MIN('ALL(responses)'!F$2:F$641)),3)
</f>
        <v>0.625</v>
      </c>
      <c r="G129" s="6">
        <f>ROUND(('ALL(responses)'!G130 - MIN('ALL(responses)'!G$3:G$322)) / (MAX('ALL(responses)'!G$3:G$322)-MIN('ALL(responses)'!G$3:G$322)),3)
</f>
        <v>0.143</v>
      </c>
      <c r="H129" s="6">
        <f>ROUND(('ALL(responses)'!H130 - MIN('ALL(responses)'!H$3:H$322)) / (MAX('ALL(responses)'!H$3:H$322)-MIN('ALL(responses)'!H$3:H$322)),3)
</f>
        <v>0.167</v>
      </c>
      <c r="I129" s="6">
        <f>ROUND(('ALL(responses)'!I130 - MIN('ALL(responses)'!I$3:I$322)) / (MAX('ALL(responses)'!I$3:I$322)-MIN('ALL(responses)'!I$3:I$322)),3)
</f>
        <v>0.143</v>
      </c>
      <c r="J129" s="6">
        <f>ROUND(('ALL(responses)'!J130 - MIN('ALL(responses)'!J$3:J$322)) / (MAX('ALL(responses)'!J$3:J$322)-MIN('ALL(responses)'!J$3:J$322)),3)
</f>
        <v>0</v>
      </c>
      <c r="K129" s="6">
        <f>ROUND(('ALL(responses)'!M130 - MIN('ALL(responses)'!M$3:M$322)) / (MAX('ALL(responses)'!M$3:M$322)-MIN('ALL(responses)'!M$3:M$322)),3)
</f>
        <v>0.12</v>
      </c>
      <c r="L129" s="6">
        <f>ROUND(('ALL(responses)'!P130 - MIN('ALL(responses)'!P$3:P$322)) / (MAX('ALL(responses)'!P$3:P$322)-MIN('ALL(responses)'!P$3:P$322)),3)
</f>
        <v>0.22</v>
      </c>
      <c r="M129" s="6">
        <f>ROUND(('ALL(responses)'!Q130 - MIN('ALL(responses)'!Q$3:Q$322)) / (MAX('ALL(responses)'!Q$3:Q$322)-MIN('ALL(responses)'!Q$3:Q$322)),3)
</f>
        <v>0.594</v>
      </c>
      <c r="N129" s="6">
        <f>ROUND(('ALL(responses)'!R130 - MIN('ALL(responses)'!R$3:R$322)) / (MAX('ALL(responses)'!R$3:R$322)-MIN('ALL(responses)'!R$3:R$322)),3)
</f>
        <v>0.813</v>
      </c>
      <c r="O129" s="6">
        <f>ROUND(('ALL(responses)'!S130 - MIN('ALL(responses)'!S$3:S$322)) / (MAX('ALL(responses)'!S$3:S$322)-MIN('ALL(responses)'!S$3:S$322)),3)
</f>
        <v>0.907</v>
      </c>
      <c r="P129" s="6">
        <f>ROUND(('ALL(responses)'!T130 - MIN('ALL(responses)'!T$3:T$322)) / (MAX('ALL(responses)'!T$3:T$322)-MIN('ALL(responses)'!T$3:T$322)),3)
</f>
        <v>0.811</v>
      </c>
      <c r="Q129" s="40">
        <f t="shared" si="4"/>
        <v>0.494</v>
      </c>
    </row>
    <row r="130">
      <c r="A130" s="5" t="s">
        <v>20</v>
      </c>
      <c r="B130" s="6" t="s">
        <v>432</v>
      </c>
      <c r="C130" s="7" t="s">
        <v>38</v>
      </c>
      <c r="D130" s="7" t="s">
        <v>114</v>
      </c>
      <c r="E130" s="9">
        <v>45425.0</v>
      </c>
      <c r="F130" s="6">
        <f>ROUND(('ALL(responses)'!F130 - MIN('ALL(responses)'!F$2:F$641)) / (MAX('ALL(responses)'!F$2:F$641)-MIN('ALL(responses)'!F$2:F$641)),3)
</f>
        <v>0.625</v>
      </c>
      <c r="G130" s="6">
        <f>ROUND(('ALL(responses)'!G131 - MIN('ALL(responses)'!G$3:G$322)) / (MAX('ALL(responses)'!G$3:G$322)-MIN('ALL(responses)'!G$3:G$322)),3)
</f>
        <v>0.714</v>
      </c>
      <c r="H130" s="6">
        <f>ROUND(('ALL(responses)'!H131 - MIN('ALL(responses)'!H$3:H$322)) / (MAX('ALL(responses)'!H$3:H$322)-MIN('ALL(responses)'!H$3:H$322)),3)
</f>
        <v>1</v>
      </c>
      <c r="I130" s="6">
        <f>ROUND(('ALL(responses)'!I131 - MIN('ALL(responses)'!I$3:I$322)) / (MAX('ALL(responses)'!I$3:I$322)-MIN('ALL(responses)'!I$3:I$322)),3)
</f>
        <v>0.143</v>
      </c>
      <c r="J130" s="6">
        <f>ROUND(('ALL(responses)'!J131 - MIN('ALL(responses)'!J$3:J$322)) / (MAX('ALL(responses)'!J$3:J$322)-MIN('ALL(responses)'!J$3:J$322)),3)
</f>
        <v>0</v>
      </c>
      <c r="K130" s="6">
        <f>ROUND(('ALL(responses)'!M131 - MIN('ALL(responses)'!M$3:M$322)) / (MAX('ALL(responses)'!M$3:M$322)-MIN('ALL(responses)'!M$3:M$322)),3)
</f>
        <v>0.311</v>
      </c>
      <c r="L130" s="6">
        <f>ROUND(('ALL(responses)'!P131 - MIN('ALL(responses)'!P$3:P$322)) / (MAX('ALL(responses)'!P$3:P$322)-MIN('ALL(responses)'!P$3:P$322)),3)
</f>
        <v>0.338</v>
      </c>
      <c r="M130" s="6">
        <f>ROUND(('ALL(responses)'!Q131 - MIN('ALL(responses)'!Q$3:Q$322)) / (MAX('ALL(responses)'!Q$3:Q$322)-MIN('ALL(responses)'!Q$3:Q$322)),3)
</f>
        <v>0.717</v>
      </c>
      <c r="N130" s="6">
        <f>ROUND(('ALL(responses)'!R131 - MIN('ALL(responses)'!R$3:R$322)) / (MAX('ALL(responses)'!R$3:R$322)-MIN('ALL(responses)'!R$3:R$322)),3)
</f>
        <v>0.906</v>
      </c>
      <c r="O130" s="6">
        <f>ROUND(('ALL(responses)'!S131 - MIN('ALL(responses)'!S$3:S$322)) / (MAX('ALL(responses)'!S$3:S$322)-MIN('ALL(responses)'!S$3:S$322)),3)
</f>
        <v>0.953</v>
      </c>
      <c r="P130" s="6">
        <f>ROUND(('ALL(responses)'!T131 - MIN('ALL(responses)'!T$3:T$322)) / (MAX('ALL(responses)'!T$3:T$322)-MIN('ALL(responses)'!T$3:T$322)),3)
</f>
        <v>0.442</v>
      </c>
      <c r="Q130" s="40">
        <f t="shared" si="4"/>
        <v>0.494</v>
      </c>
    </row>
    <row r="131">
      <c r="A131" s="5" t="s">
        <v>20</v>
      </c>
      <c r="B131" s="6" t="s">
        <v>432</v>
      </c>
      <c r="C131" s="7" t="s">
        <v>40</v>
      </c>
      <c r="D131" s="7" t="s">
        <v>115</v>
      </c>
      <c r="E131" s="9">
        <v>45425.0</v>
      </c>
      <c r="F131" s="6">
        <f>ROUND(('ALL(responses)'!F131 - MIN('ALL(responses)'!F$2:F$641)) / (MAX('ALL(responses)'!F$2:F$641)-MIN('ALL(responses)'!F$2:F$641)),3)
</f>
        <v>0.625</v>
      </c>
      <c r="G131" s="6">
        <f>ROUND(('ALL(responses)'!G132 - MIN('ALL(responses)'!G$3:G$322)) / (MAX('ALL(responses)'!G$3:G$322)-MIN('ALL(responses)'!G$3:G$322)),3)
</f>
        <v>0.714</v>
      </c>
      <c r="H131" s="6">
        <f>ROUND(('ALL(responses)'!H132 - MIN('ALL(responses)'!H$3:H$322)) / (MAX('ALL(responses)'!H$3:H$322)-MIN('ALL(responses)'!H$3:H$322)),3)
</f>
        <v>0.167</v>
      </c>
      <c r="I131" s="6">
        <f>ROUND(('ALL(responses)'!I132 - MIN('ALL(responses)'!I$3:I$322)) / (MAX('ALL(responses)'!I$3:I$322)-MIN('ALL(responses)'!I$3:I$322)),3)
</f>
        <v>0.143</v>
      </c>
      <c r="J131" s="6">
        <f>ROUND(('ALL(responses)'!J132 - MIN('ALL(responses)'!J$3:J$322)) / (MAX('ALL(responses)'!J$3:J$322)-MIN('ALL(responses)'!J$3:J$322)),3)
</f>
        <v>0</v>
      </c>
      <c r="K131" s="6">
        <f>ROUND(('ALL(responses)'!M132 - MIN('ALL(responses)'!M$3:M$322)) / (MAX('ALL(responses)'!M$3:M$322)-MIN('ALL(responses)'!M$3:M$322)),3)
</f>
        <v>0.508</v>
      </c>
      <c r="L131" s="6">
        <f>ROUND(('ALL(responses)'!P132 - MIN('ALL(responses)'!P$3:P$322)) / (MAX('ALL(responses)'!P$3:P$322)-MIN('ALL(responses)'!P$3:P$322)),3)
</f>
        <v>0.486</v>
      </c>
      <c r="M131" s="6">
        <f>ROUND(('ALL(responses)'!Q132 - MIN('ALL(responses)'!Q$3:Q$322)) / (MAX('ALL(responses)'!Q$3:Q$322)-MIN('ALL(responses)'!Q$3:Q$322)),3)
</f>
        <v>0.293</v>
      </c>
      <c r="N131" s="6">
        <f>ROUND(('ALL(responses)'!R132 - MIN('ALL(responses)'!R$3:R$322)) / (MAX('ALL(responses)'!R$3:R$322)-MIN('ALL(responses)'!R$3:R$322)),3)
</f>
        <v>0.975</v>
      </c>
      <c r="O131" s="6">
        <f>ROUND(('ALL(responses)'!S132 - MIN('ALL(responses)'!S$3:S$322)) / (MAX('ALL(responses)'!S$3:S$322)-MIN('ALL(responses)'!S$3:S$322)),3)
</f>
        <v>0.988</v>
      </c>
      <c r="P131" s="6">
        <f>ROUND(('ALL(responses)'!T132 - MIN('ALL(responses)'!T$3:T$322)) / (MAX('ALL(responses)'!T$3:T$322)-MIN('ALL(responses)'!T$3:T$322)),3)
</f>
        <v>0.538</v>
      </c>
      <c r="Q131" s="40">
        <f t="shared" si="4"/>
        <v>0.494</v>
      </c>
    </row>
    <row r="132">
      <c r="A132" s="5" t="s">
        <v>42</v>
      </c>
      <c r="B132" s="6" t="s">
        <v>432</v>
      </c>
      <c r="C132" s="7" t="s">
        <v>43</v>
      </c>
      <c r="D132" s="7" t="s">
        <v>116</v>
      </c>
      <c r="E132" s="9">
        <v>45425.0</v>
      </c>
      <c r="F132" s="6">
        <f>ROUND(('ALL(responses)'!F132 - MIN('ALL(responses)'!F$2:F$641)) / (MAX('ALL(responses)'!F$2:F$641)-MIN('ALL(responses)'!F$2:F$641)),3)
</f>
        <v>0</v>
      </c>
      <c r="G132" s="6">
        <f>ROUND(('ALL(responses)'!G133 - MIN('ALL(responses)'!G$3:G$322)) / (MAX('ALL(responses)'!G$3:G$322)-MIN('ALL(responses)'!G$3:G$322)),3)
</f>
        <v>0.143</v>
      </c>
      <c r="H132" s="6">
        <f>ROUND(('ALL(responses)'!H133 - MIN('ALL(responses)'!H$3:H$322)) / (MAX('ALL(responses)'!H$3:H$322)-MIN('ALL(responses)'!H$3:H$322)),3)
</f>
        <v>0.167</v>
      </c>
      <c r="I132" s="6">
        <f>ROUND(('ALL(responses)'!I133 - MIN('ALL(responses)'!I$3:I$322)) / (MAX('ALL(responses)'!I$3:I$322)-MIN('ALL(responses)'!I$3:I$322)),3)
</f>
        <v>0.143</v>
      </c>
      <c r="J132" s="6">
        <f>ROUND(('ALL(responses)'!J133 - MIN('ALL(responses)'!J$3:J$322)) / (MAX('ALL(responses)'!J$3:J$322)-MIN('ALL(responses)'!J$3:J$322)),3)
</f>
        <v>0</v>
      </c>
      <c r="K132" s="6">
        <f>ROUND(('ALL(responses)'!M133 - MIN('ALL(responses)'!M$3:M$322)) / (MAX('ALL(responses)'!M$3:M$322)-MIN('ALL(responses)'!M$3:M$322)),3)
</f>
        <v>0.28</v>
      </c>
      <c r="L132" s="6">
        <f>ROUND(('ALL(responses)'!P133 - MIN('ALL(responses)'!P$3:P$322)) / (MAX('ALL(responses)'!P$3:P$322)-MIN('ALL(responses)'!P$3:P$322)),3)
</f>
        <v>0.569</v>
      </c>
      <c r="M132" s="6">
        <f>ROUND(('ALL(responses)'!Q133 - MIN('ALL(responses)'!Q$3:Q$322)) / (MAX('ALL(responses)'!Q$3:Q$322)-MIN('ALL(responses)'!Q$3:Q$322)),3)
</f>
        <v>0.462</v>
      </c>
      <c r="N132" s="6">
        <f>ROUND(('ALL(responses)'!R133 - MIN('ALL(responses)'!R$3:R$322)) / (MAX('ALL(responses)'!R$3:R$322)-MIN('ALL(responses)'!R$3:R$322)),3)
</f>
        <v>0.318</v>
      </c>
      <c r="O132" s="6">
        <f>ROUND(('ALL(responses)'!S133 - MIN('ALL(responses)'!S$3:S$322)) / (MAX('ALL(responses)'!S$3:S$322)-MIN('ALL(responses)'!S$3:S$322)),3)
</f>
        <v>0.659</v>
      </c>
      <c r="P132" s="6">
        <f>ROUND(('ALL(responses)'!T133 - MIN('ALL(responses)'!T$3:T$322)) / (MAX('ALL(responses)'!T$3:T$322)-MIN('ALL(responses)'!T$3:T$322)),3)
</f>
        <v>0.61</v>
      </c>
      <c r="Q132" s="40">
        <f t="shared" si="4"/>
        <v>0.494</v>
      </c>
    </row>
    <row r="133">
      <c r="A133" s="5" t="s">
        <v>42</v>
      </c>
      <c r="B133" s="6" t="s">
        <v>432</v>
      </c>
      <c r="C133" s="7" t="s">
        <v>45</v>
      </c>
      <c r="D133" s="7" t="s">
        <v>117</v>
      </c>
      <c r="E133" s="9">
        <v>45425.0</v>
      </c>
      <c r="F133" s="6">
        <f>ROUND(('ALL(responses)'!F133 - MIN('ALL(responses)'!F$2:F$641)) / (MAX('ALL(responses)'!F$2:F$641)-MIN('ALL(responses)'!F$2:F$641)),3)
</f>
        <v>0</v>
      </c>
      <c r="G133" s="6">
        <f>ROUND(('ALL(responses)'!G134 - MIN('ALL(responses)'!G$3:G$322)) / (MAX('ALL(responses)'!G$3:G$322)-MIN('ALL(responses)'!G$3:G$322)),3)
</f>
        <v>0.714</v>
      </c>
      <c r="H133" s="6">
        <f>ROUND(('ALL(responses)'!H134 - MIN('ALL(responses)'!H$3:H$322)) / (MAX('ALL(responses)'!H$3:H$322)-MIN('ALL(responses)'!H$3:H$322)),3)
</f>
        <v>1</v>
      </c>
      <c r="I133" s="6">
        <f>ROUND(('ALL(responses)'!I134 - MIN('ALL(responses)'!I$3:I$322)) / (MAX('ALL(responses)'!I$3:I$322)-MIN('ALL(responses)'!I$3:I$322)),3)
</f>
        <v>0.143</v>
      </c>
      <c r="J133" s="6">
        <f>ROUND(('ALL(responses)'!J134 - MIN('ALL(responses)'!J$3:J$322)) / (MAX('ALL(responses)'!J$3:J$322)-MIN('ALL(responses)'!J$3:J$322)),3)
</f>
        <v>0</v>
      </c>
      <c r="K133" s="6">
        <f>ROUND(('ALL(responses)'!M134 - MIN('ALL(responses)'!M$3:M$322)) / (MAX('ALL(responses)'!M$3:M$322)-MIN('ALL(responses)'!M$3:M$322)),3)
</f>
        <v>0.403</v>
      </c>
      <c r="L133" s="6">
        <f>ROUND(('ALL(responses)'!P134 - MIN('ALL(responses)'!P$3:P$322)) / (MAX('ALL(responses)'!P$3:P$322)-MIN('ALL(responses)'!P$3:P$322)),3)
</f>
        <v>0.53</v>
      </c>
      <c r="M133" s="6">
        <f>ROUND(('ALL(responses)'!Q134 - MIN('ALL(responses)'!Q$3:Q$322)) / (MAX('ALL(responses)'!Q$3:Q$322)-MIN('ALL(responses)'!Q$3:Q$322)),3)
</f>
        <v>0.419</v>
      </c>
      <c r="N133" s="6">
        <f>ROUND(('ALL(responses)'!R134 - MIN('ALL(responses)'!R$3:R$322)) / (MAX('ALL(responses)'!R$3:R$322)-MIN('ALL(responses)'!R$3:R$322)),3)
</f>
        <v>0.791</v>
      </c>
      <c r="O133" s="6">
        <f>ROUND(('ALL(responses)'!S134 - MIN('ALL(responses)'!S$3:S$322)) / (MAX('ALL(responses)'!S$3:S$322)-MIN('ALL(responses)'!S$3:S$322)),3)
</f>
        <v>0.896</v>
      </c>
      <c r="P133" s="6">
        <f>ROUND(('ALL(responses)'!T134 - MIN('ALL(responses)'!T$3:T$322)) / (MAX('ALL(responses)'!T$3:T$322)-MIN('ALL(responses)'!T$3:T$322)),3)
</f>
        <v>0.481</v>
      </c>
      <c r="Q133" s="40">
        <f t="shared" si="4"/>
        <v>0.494</v>
      </c>
    </row>
    <row r="134">
      <c r="A134" s="5" t="s">
        <v>42</v>
      </c>
      <c r="B134" s="6" t="s">
        <v>432</v>
      </c>
      <c r="C134" s="7" t="s">
        <v>47</v>
      </c>
      <c r="D134" s="7" t="s">
        <v>118</v>
      </c>
      <c r="E134" s="9">
        <v>45425.0</v>
      </c>
      <c r="F134" s="6">
        <f>ROUND(('ALL(responses)'!F134 - MIN('ALL(responses)'!F$2:F$641)) / (MAX('ALL(responses)'!F$2:F$641)-MIN('ALL(responses)'!F$2:F$641)),3)
</f>
        <v>0</v>
      </c>
      <c r="G134" s="6">
        <f>ROUND(('ALL(responses)'!G135 - MIN('ALL(responses)'!G$3:G$322)) / (MAX('ALL(responses)'!G$3:G$322)-MIN('ALL(responses)'!G$3:G$322)),3)
</f>
        <v>0.714</v>
      </c>
      <c r="H134" s="6">
        <f>ROUND(('ALL(responses)'!H135 - MIN('ALL(responses)'!H$3:H$322)) / (MAX('ALL(responses)'!H$3:H$322)-MIN('ALL(responses)'!H$3:H$322)),3)
</f>
        <v>0.167</v>
      </c>
      <c r="I134" s="6">
        <f>ROUND(('ALL(responses)'!I135 - MIN('ALL(responses)'!I$3:I$322)) / (MAX('ALL(responses)'!I$3:I$322)-MIN('ALL(responses)'!I$3:I$322)),3)
</f>
        <v>0.143</v>
      </c>
      <c r="J134" s="6">
        <f>ROUND(('ALL(responses)'!J135 - MIN('ALL(responses)'!J$3:J$322)) / (MAX('ALL(responses)'!J$3:J$322)-MIN('ALL(responses)'!J$3:J$322)),3)
</f>
        <v>0</v>
      </c>
      <c r="K134" s="6">
        <f>ROUND(('ALL(responses)'!M135 - MIN('ALL(responses)'!M$3:M$322)) / (MAX('ALL(responses)'!M$3:M$322)-MIN('ALL(responses)'!M$3:M$322)),3)
</f>
        <v>0.53</v>
      </c>
      <c r="L134" s="6">
        <f>ROUND(('ALL(responses)'!P135 - MIN('ALL(responses)'!P$3:P$322)) / (MAX('ALL(responses)'!P$3:P$322)-MIN('ALL(responses)'!P$3:P$322)),3)
</f>
        <v>0.417</v>
      </c>
      <c r="M134" s="6">
        <f>ROUND(('ALL(responses)'!Q135 - MIN('ALL(responses)'!Q$3:Q$322)) / (MAX('ALL(responses)'!Q$3:Q$322)-MIN('ALL(responses)'!Q$3:Q$322)),3)
</f>
        <v>0.573</v>
      </c>
      <c r="N134" s="6">
        <f>ROUND(('ALL(responses)'!R135 - MIN('ALL(responses)'!R$3:R$322)) / (MAX('ALL(responses)'!R$3:R$322)-MIN('ALL(responses)'!R$3:R$322)),3)
</f>
        <v>0.824</v>
      </c>
      <c r="O134" s="6">
        <f>ROUND(('ALL(responses)'!S135 - MIN('ALL(responses)'!S$3:S$322)) / (MAX('ALL(responses)'!S$3:S$322)-MIN('ALL(responses)'!S$3:S$322)),3)
</f>
        <v>0.912</v>
      </c>
      <c r="P134" s="6">
        <f>ROUND(('ALL(responses)'!T135 - MIN('ALL(responses)'!T$3:T$322)) / (MAX('ALL(responses)'!T$3:T$322)-MIN('ALL(responses)'!T$3:T$322)),3)
</f>
        <v>0.376</v>
      </c>
      <c r="Q134" s="40">
        <f t="shared" si="4"/>
        <v>0.494</v>
      </c>
    </row>
    <row r="135">
      <c r="A135" s="5" t="s">
        <v>42</v>
      </c>
      <c r="B135" s="6" t="s">
        <v>432</v>
      </c>
      <c r="C135" s="7" t="s">
        <v>49</v>
      </c>
      <c r="D135" s="7" t="s">
        <v>119</v>
      </c>
      <c r="E135" s="9">
        <v>45425.0</v>
      </c>
      <c r="F135" s="6">
        <f>ROUND(('ALL(responses)'!F135 - MIN('ALL(responses)'!F$2:F$641)) / (MAX('ALL(responses)'!F$2:F$641)-MIN('ALL(responses)'!F$2:F$641)),3)
</f>
        <v>0.625</v>
      </c>
      <c r="G135" s="6">
        <f>ROUND(('ALL(responses)'!G136 - MIN('ALL(responses)'!G$3:G$322)) / (MAX('ALL(responses)'!G$3:G$322)-MIN('ALL(responses)'!G$3:G$322)),3)
</f>
        <v>0.714</v>
      </c>
      <c r="H135" s="6">
        <f>ROUND(('ALL(responses)'!H136 - MIN('ALL(responses)'!H$3:H$322)) / (MAX('ALL(responses)'!H$3:H$322)-MIN('ALL(responses)'!H$3:H$322)),3)
</f>
        <v>1</v>
      </c>
      <c r="I135" s="6">
        <f>ROUND(('ALL(responses)'!I136 - MIN('ALL(responses)'!I$3:I$322)) / (MAX('ALL(responses)'!I$3:I$322)-MIN('ALL(responses)'!I$3:I$322)),3)
</f>
        <v>0.143</v>
      </c>
      <c r="J135" s="6">
        <f>ROUND(('ALL(responses)'!J136 - MIN('ALL(responses)'!J$3:J$322)) / (MAX('ALL(responses)'!J$3:J$322)-MIN('ALL(responses)'!J$3:J$322)),3)
</f>
        <v>0</v>
      </c>
      <c r="K135" s="6">
        <f>ROUND(('ALL(responses)'!M136 - MIN('ALL(responses)'!M$3:M$322)) / (MAX('ALL(responses)'!M$3:M$322)-MIN('ALL(responses)'!M$3:M$322)),3)
</f>
        <v>0.355</v>
      </c>
      <c r="L135" s="6">
        <f>ROUND(('ALL(responses)'!P136 - MIN('ALL(responses)'!P$3:P$322)) / (MAX('ALL(responses)'!P$3:P$322)-MIN('ALL(responses)'!P$3:P$322)),3)
</f>
        <v>0.14</v>
      </c>
      <c r="M135" s="6">
        <f>ROUND(('ALL(responses)'!Q136 - MIN('ALL(responses)'!Q$3:Q$322)) / (MAX('ALL(responses)'!Q$3:Q$322)-MIN('ALL(responses)'!Q$3:Q$322)),3)
</f>
        <v>0.081</v>
      </c>
      <c r="N135" s="6">
        <f>ROUND(('ALL(responses)'!R136 - MIN('ALL(responses)'!R$3:R$322)) / (MAX('ALL(responses)'!R$3:R$322)-MIN('ALL(responses)'!R$3:R$322)),3)
</f>
        <v>0.985</v>
      </c>
      <c r="O135" s="6">
        <f>ROUND(('ALL(responses)'!S136 - MIN('ALL(responses)'!S$3:S$322)) / (MAX('ALL(responses)'!S$3:S$322)-MIN('ALL(responses)'!S$3:S$322)),3)
</f>
        <v>0.993</v>
      </c>
      <c r="P135" s="6">
        <f>ROUND(('ALL(responses)'!T136 - MIN('ALL(responses)'!T$3:T$322)) / (MAX('ALL(responses)'!T$3:T$322)-MIN('ALL(responses)'!T$3:T$322)),3)
</f>
        <v>0.494</v>
      </c>
      <c r="Q135" s="40">
        <f t="shared" si="4"/>
        <v>0.494</v>
      </c>
    </row>
    <row r="136">
      <c r="A136" s="5" t="s">
        <v>42</v>
      </c>
      <c r="B136" s="6" t="s">
        <v>432</v>
      </c>
      <c r="C136" s="7" t="s">
        <v>51</v>
      </c>
      <c r="D136" s="7" t="s">
        <v>120</v>
      </c>
      <c r="E136" s="9">
        <v>45425.0</v>
      </c>
      <c r="F136" s="6">
        <f>ROUND(('ALL(responses)'!F136 - MIN('ALL(responses)'!F$2:F$641)) / (MAX('ALL(responses)'!F$2:F$641)-MIN('ALL(responses)'!F$2:F$641)),3)
</f>
        <v>0.625</v>
      </c>
      <c r="G136" s="6">
        <f>ROUND(('ALL(responses)'!G137 - MIN('ALL(responses)'!G$3:G$322)) / (MAX('ALL(responses)'!G$3:G$322)-MIN('ALL(responses)'!G$3:G$322)),3)
</f>
        <v>0.714</v>
      </c>
      <c r="H136" s="6">
        <f>ROUND(('ALL(responses)'!H137 - MIN('ALL(responses)'!H$3:H$322)) / (MAX('ALL(responses)'!H$3:H$322)-MIN('ALL(responses)'!H$3:H$322)),3)
</f>
        <v>1</v>
      </c>
      <c r="I136" s="6">
        <f>ROUND(('ALL(responses)'!I137 - MIN('ALL(responses)'!I$3:I$322)) / (MAX('ALL(responses)'!I$3:I$322)-MIN('ALL(responses)'!I$3:I$322)),3)
</f>
        <v>0.143</v>
      </c>
      <c r="J136" s="6">
        <f>ROUND(('ALL(responses)'!J137 - MIN('ALL(responses)'!J$3:J$322)) / (MAX('ALL(responses)'!J$3:J$322)-MIN('ALL(responses)'!J$3:J$322)),3)
</f>
        <v>0</v>
      </c>
      <c r="K136" s="6">
        <f>ROUND(('ALL(responses)'!M137 - MIN('ALL(responses)'!M$3:M$322)) / (MAX('ALL(responses)'!M$3:M$322)-MIN('ALL(responses)'!M$3:M$322)),3)
</f>
        <v>0.578</v>
      </c>
      <c r="L136" s="6">
        <f>ROUND(('ALL(responses)'!P137 - MIN('ALL(responses)'!P$3:P$322)) / (MAX('ALL(responses)'!P$3:P$322)-MIN('ALL(responses)'!P$3:P$322)),3)
</f>
        <v>0</v>
      </c>
      <c r="M136" s="6">
        <f>ROUND(('ALL(responses)'!Q137 - MIN('ALL(responses)'!Q$3:Q$322)) / (MAX('ALL(responses)'!Q$3:Q$322)-MIN('ALL(responses)'!Q$3:Q$322)),3)
</f>
        <v>0.533</v>
      </c>
      <c r="N136" s="6">
        <f>ROUND(('ALL(responses)'!R137 - MIN('ALL(responses)'!R$3:R$322)) / (MAX('ALL(responses)'!R$3:R$322)-MIN('ALL(responses)'!R$3:R$322)),3)
</f>
        <v>0.974</v>
      </c>
      <c r="O136" s="6">
        <f>ROUND(('ALL(responses)'!S137 - MIN('ALL(responses)'!S$3:S$322)) / (MAX('ALL(responses)'!S$3:S$322)-MIN('ALL(responses)'!S$3:S$322)),3)
</f>
        <v>0.987</v>
      </c>
      <c r="P136" s="6">
        <f>ROUND(('ALL(responses)'!T137 - MIN('ALL(responses)'!T$3:T$322)) / (MAX('ALL(responses)'!T$3:T$322)-MIN('ALL(responses)'!T$3:T$322)),3)
</f>
        <v>0.537</v>
      </c>
      <c r="Q136" s="40">
        <f t="shared" si="4"/>
        <v>0.494</v>
      </c>
    </row>
    <row r="137">
      <c r="A137" s="5" t="s">
        <v>42</v>
      </c>
      <c r="B137" s="6" t="s">
        <v>432</v>
      </c>
      <c r="C137" s="7" t="s">
        <v>53</v>
      </c>
      <c r="D137" s="7" t="s">
        <v>121</v>
      </c>
      <c r="E137" s="9">
        <v>45425.0</v>
      </c>
      <c r="F137" s="6">
        <f>ROUND(('ALL(responses)'!F137 - MIN('ALL(responses)'!F$2:F$641)) / (MAX('ALL(responses)'!F$2:F$641)-MIN('ALL(responses)'!F$2:F$641)),3)
</f>
        <v>0</v>
      </c>
      <c r="G137" s="6">
        <f>ROUND(('ALL(responses)'!G138 - MIN('ALL(responses)'!G$3:G$322)) / (MAX('ALL(responses)'!G$3:G$322)-MIN('ALL(responses)'!G$3:G$322)),3)
</f>
        <v>0.143</v>
      </c>
      <c r="H137" s="6">
        <f>ROUND(('ALL(responses)'!H138 - MIN('ALL(responses)'!H$3:H$322)) / (MAX('ALL(responses)'!H$3:H$322)-MIN('ALL(responses)'!H$3:H$322)),3)
</f>
        <v>0.167</v>
      </c>
      <c r="I137" s="6">
        <f>ROUND(('ALL(responses)'!I138 - MIN('ALL(responses)'!I$3:I$322)) / (MAX('ALL(responses)'!I$3:I$322)-MIN('ALL(responses)'!I$3:I$322)),3)
</f>
        <v>0.143</v>
      </c>
      <c r="J137" s="6">
        <f>ROUND(('ALL(responses)'!J138 - MIN('ALL(responses)'!J$3:J$322)) / (MAX('ALL(responses)'!J$3:J$322)-MIN('ALL(responses)'!J$3:J$322)),3)
</f>
        <v>0</v>
      </c>
      <c r="K137" s="6">
        <f>ROUND(('ALL(responses)'!M138 - MIN('ALL(responses)'!M$3:M$322)) / (MAX('ALL(responses)'!M$3:M$322)-MIN('ALL(responses)'!M$3:M$322)),3)
</f>
        <v>0.362</v>
      </c>
      <c r="L137" s="6">
        <f>ROUND(('ALL(responses)'!P138 - MIN('ALL(responses)'!P$3:P$322)) / (MAX('ALL(responses)'!P$3:P$322)-MIN('ALL(responses)'!P$3:P$322)),3)
</f>
        <v>0.084</v>
      </c>
      <c r="M137" s="6">
        <f>ROUND(('ALL(responses)'!Q138 - MIN('ALL(responses)'!Q$3:Q$322)) / (MAX('ALL(responses)'!Q$3:Q$322)-MIN('ALL(responses)'!Q$3:Q$322)),3)
</f>
        <v>0.131</v>
      </c>
      <c r="N137" s="6">
        <f>ROUND(('ALL(responses)'!R138 - MIN('ALL(responses)'!R$3:R$322)) / (MAX('ALL(responses)'!R$3:R$322)-MIN('ALL(responses)'!R$3:R$322)),3)
</f>
        <v>0.759</v>
      </c>
      <c r="O137" s="6">
        <f>ROUND(('ALL(responses)'!S138 - MIN('ALL(responses)'!S$3:S$322)) / (MAX('ALL(responses)'!S$3:S$322)-MIN('ALL(responses)'!S$3:S$322)),3)
</f>
        <v>0.879</v>
      </c>
      <c r="P137" s="6">
        <f>ROUND(('ALL(responses)'!T138 - MIN('ALL(responses)'!T$3:T$322)) / (MAX('ALL(responses)'!T$3:T$322)-MIN('ALL(responses)'!T$3:T$322)),3)
</f>
        <v>0.954</v>
      </c>
      <c r="Q137" s="40">
        <f t="shared" si="4"/>
        <v>0.494</v>
      </c>
    </row>
    <row r="138">
      <c r="A138" s="5" t="s">
        <v>42</v>
      </c>
      <c r="B138" s="6" t="s">
        <v>432</v>
      </c>
      <c r="C138" s="7" t="s">
        <v>55</v>
      </c>
      <c r="D138" s="7" t="s">
        <v>122</v>
      </c>
      <c r="E138" s="9">
        <v>45425.0</v>
      </c>
      <c r="F138" s="6">
        <f>ROUND(('ALL(responses)'!F138 - MIN('ALL(responses)'!F$2:F$641)) / (MAX('ALL(responses)'!F$2:F$641)-MIN('ALL(responses)'!F$2:F$641)),3)
</f>
        <v>0.625</v>
      </c>
      <c r="G138" s="6">
        <f>ROUND(('ALL(responses)'!G139 - MIN('ALL(responses)'!G$3:G$322)) / (MAX('ALL(responses)'!G$3:G$322)-MIN('ALL(responses)'!G$3:G$322)),3)
</f>
        <v>0.143</v>
      </c>
      <c r="H138" s="6">
        <f>ROUND(('ALL(responses)'!H139 - MIN('ALL(responses)'!H$3:H$322)) / (MAX('ALL(responses)'!H$3:H$322)-MIN('ALL(responses)'!H$3:H$322)),3)
</f>
        <v>1</v>
      </c>
      <c r="I138" s="6">
        <f>ROUND(('ALL(responses)'!I139 - MIN('ALL(responses)'!I$3:I$322)) / (MAX('ALL(responses)'!I$3:I$322)-MIN('ALL(responses)'!I$3:I$322)),3)
</f>
        <v>0.143</v>
      </c>
      <c r="J138" s="6">
        <f>ROUND(('ALL(responses)'!J139 - MIN('ALL(responses)'!J$3:J$322)) / (MAX('ALL(responses)'!J$3:J$322)-MIN('ALL(responses)'!J$3:J$322)),3)
</f>
        <v>0</v>
      </c>
      <c r="K138" s="6">
        <f>ROUND(('ALL(responses)'!M139 - MIN('ALL(responses)'!M$3:M$322)) / (MAX('ALL(responses)'!M$3:M$322)-MIN('ALL(responses)'!M$3:M$322)),3)
</f>
        <v>0.444</v>
      </c>
      <c r="L138" s="6">
        <f>ROUND(('ALL(responses)'!P139 - MIN('ALL(responses)'!P$3:P$322)) / (MAX('ALL(responses)'!P$3:P$322)-MIN('ALL(responses)'!P$3:P$322)),3)
</f>
        <v>0.492</v>
      </c>
      <c r="M138" s="6">
        <f>ROUND(('ALL(responses)'!Q139 - MIN('ALL(responses)'!Q$3:Q$322)) / (MAX('ALL(responses)'!Q$3:Q$322)-MIN('ALL(responses)'!Q$3:Q$322)),3)
</f>
        <v>0.11</v>
      </c>
      <c r="N138" s="6">
        <f>ROUND(('ALL(responses)'!R139 - MIN('ALL(responses)'!R$3:R$322)) / (MAX('ALL(responses)'!R$3:R$322)-MIN('ALL(responses)'!R$3:R$322)),3)
</f>
        <v>0.994</v>
      </c>
      <c r="O138" s="6">
        <f>ROUND(('ALL(responses)'!S139 - MIN('ALL(responses)'!S$3:S$322)) / (MAX('ALL(responses)'!S$3:S$322)-MIN('ALL(responses)'!S$3:S$322)),3)
</f>
        <v>0.997</v>
      </c>
      <c r="P138" s="6">
        <f>ROUND(('ALL(responses)'!T139 - MIN('ALL(responses)'!T$3:T$322)) / (MAX('ALL(responses)'!T$3:T$322)-MIN('ALL(responses)'!T$3:T$322)),3)
</f>
        <v>0.539</v>
      </c>
      <c r="Q138" s="40">
        <f t="shared" si="4"/>
        <v>0.494</v>
      </c>
    </row>
    <row r="139">
      <c r="A139" s="5" t="s">
        <v>42</v>
      </c>
      <c r="B139" s="6" t="s">
        <v>432</v>
      </c>
      <c r="C139" s="7" t="s">
        <v>57</v>
      </c>
      <c r="D139" s="7" t="s">
        <v>123</v>
      </c>
      <c r="E139" s="9">
        <v>45425.0</v>
      </c>
      <c r="F139" s="6">
        <f>ROUND(('ALL(responses)'!F139 - MIN('ALL(responses)'!F$2:F$641)) / (MAX('ALL(responses)'!F$2:F$641)-MIN('ALL(responses)'!F$2:F$641)),3)
</f>
        <v>0</v>
      </c>
      <c r="G139" s="6">
        <f>ROUND(('ALL(responses)'!G140 - MIN('ALL(responses)'!G$3:G$322)) / (MAX('ALL(responses)'!G$3:G$322)-MIN('ALL(responses)'!G$3:G$322)),3)
</f>
        <v>0.714</v>
      </c>
      <c r="H139" s="6">
        <f>ROUND(('ALL(responses)'!H140 - MIN('ALL(responses)'!H$3:H$322)) / (MAX('ALL(responses)'!H$3:H$322)-MIN('ALL(responses)'!H$3:H$322)),3)
</f>
        <v>0.167</v>
      </c>
      <c r="I139" s="6">
        <f>ROUND(('ALL(responses)'!I140 - MIN('ALL(responses)'!I$3:I$322)) / (MAX('ALL(responses)'!I$3:I$322)-MIN('ALL(responses)'!I$3:I$322)),3)
</f>
        <v>0.143</v>
      </c>
      <c r="J139" s="6">
        <f>ROUND(('ALL(responses)'!J140 - MIN('ALL(responses)'!J$3:J$322)) / (MAX('ALL(responses)'!J$3:J$322)-MIN('ALL(responses)'!J$3:J$322)),3)
</f>
        <v>0</v>
      </c>
      <c r="K139" s="6">
        <f>ROUND(('ALL(responses)'!M140 - MIN('ALL(responses)'!M$3:M$322)) / (MAX('ALL(responses)'!M$3:M$322)-MIN('ALL(responses)'!M$3:M$322)),3)
</f>
        <v>0.38</v>
      </c>
      <c r="L139" s="6">
        <f>ROUND(('ALL(responses)'!P140 - MIN('ALL(responses)'!P$3:P$322)) / (MAX('ALL(responses)'!P$3:P$322)-MIN('ALL(responses)'!P$3:P$322)),3)
</f>
        <v>0.376</v>
      </c>
      <c r="M139" s="6">
        <f>ROUND(('ALL(responses)'!Q140 - MIN('ALL(responses)'!Q$3:Q$322)) / (MAX('ALL(responses)'!Q$3:Q$322)-MIN('ALL(responses)'!Q$3:Q$322)),3)
</f>
        <v>0.5</v>
      </c>
      <c r="N139" s="6">
        <f>ROUND(('ALL(responses)'!R140 - MIN('ALL(responses)'!R$3:R$322)) / (MAX('ALL(responses)'!R$3:R$322)-MIN('ALL(responses)'!R$3:R$322)),3)
</f>
        <v>0.919</v>
      </c>
      <c r="O139" s="6">
        <f>ROUND(('ALL(responses)'!S140 - MIN('ALL(responses)'!S$3:S$322)) / (MAX('ALL(responses)'!S$3:S$322)-MIN('ALL(responses)'!S$3:S$322)),3)
</f>
        <v>0.96</v>
      </c>
      <c r="P139" s="6">
        <f>ROUND(('ALL(responses)'!T140 - MIN('ALL(responses)'!T$3:T$322)) / (MAX('ALL(responses)'!T$3:T$322)-MIN('ALL(responses)'!T$3:T$322)),3)
</f>
        <v>0.661</v>
      </c>
      <c r="Q139" s="40">
        <f t="shared" si="4"/>
        <v>0.494</v>
      </c>
    </row>
    <row r="140">
      <c r="A140" s="5" t="s">
        <v>42</v>
      </c>
      <c r="B140" s="6" t="s">
        <v>432</v>
      </c>
      <c r="C140" s="7" t="s">
        <v>59</v>
      </c>
      <c r="D140" s="7" t="s">
        <v>124</v>
      </c>
      <c r="E140" s="9">
        <v>45425.0</v>
      </c>
      <c r="F140" s="6">
        <f>ROUND(('ALL(responses)'!F140 - MIN('ALL(responses)'!F$2:F$641)) / (MAX('ALL(responses)'!F$2:F$641)-MIN('ALL(responses)'!F$2:F$641)),3)
</f>
        <v>0.625</v>
      </c>
      <c r="G140" s="6">
        <f>ROUND(('ALL(responses)'!G141 - MIN('ALL(responses)'!G$3:G$322)) / (MAX('ALL(responses)'!G$3:G$322)-MIN('ALL(responses)'!G$3:G$322)),3)
</f>
        <v>0.714</v>
      </c>
      <c r="H140" s="6">
        <f>ROUND(('ALL(responses)'!H141 - MIN('ALL(responses)'!H$3:H$322)) / (MAX('ALL(responses)'!H$3:H$322)-MIN('ALL(responses)'!H$3:H$322)),3)
</f>
        <v>0.167</v>
      </c>
      <c r="I140" s="6">
        <f>ROUND(('ALL(responses)'!I141 - MIN('ALL(responses)'!I$3:I$322)) / (MAX('ALL(responses)'!I$3:I$322)-MIN('ALL(responses)'!I$3:I$322)),3)
</f>
        <v>0.143</v>
      </c>
      <c r="J140" s="6">
        <f>ROUND(('ALL(responses)'!J141 - MIN('ALL(responses)'!J$3:J$322)) / (MAX('ALL(responses)'!J$3:J$322)-MIN('ALL(responses)'!J$3:J$322)),3)
</f>
        <v>0</v>
      </c>
      <c r="K140" s="6">
        <f>ROUND(('ALL(responses)'!M141 - MIN('ALL(responses)'!M$3:M$322)) / (MAX('ALL(responses)'!M$3:M$322)-MIN('ALL(responses)'!M$3:M$322)),3)
</f>
        <v>0.539</v>
      </c>
      <c r="L140" s="6">
        <f>ROUND(('ALL(responses)'!P141 - MIN('ALL(responses)'!P$3:P$322)) / (MAX('ALL(responses)'!P$3:P$322)-MIN('ALL(responses)'!P$3:P$322)),3)
</f>
        <v>0</v>
      </c>
      <c r="M140" s="6">
        <f>ROUND(('ALL(responses)'!Q141 - MIN('ALL(responses)'!Q$3:Q$322)) / (MAX('ALL(responses)'!Q$3:Q$322)-MIN('ALL(responses)'!Q$3:Q$322)),3)
</f>
        <v>0.34</v>
      </c>
      <c r="N140" s="6">
        <f>ROUND(('ALL(responses)'!R141 - MIN('ALL(responses)'!R$3:R$322)) / (MAX('ALL(responses)'!R$3:R$322)-MIN('ALL(responses)'!R$3:R$322)),3)
</f>
        <v>0.953</v>
      </c>
      <c r="O140" s="6">
        <f>ROUND(('ALL(responses)'!S141 - MIN('ALL(responses)'!S$3:S$322)) / (MAX('ALL(responses)'!S$3:S$322)-MIN('ALL(responses)'!S$3:S$322)),3)
</f>
        <v>0.976</v>
      </c>
      <c r="P140" s="6">
        <f>ROUND(('ALL(responses)'!T141 - MIN('ALL(responses)'!T$3:T$322)) / (MAX('ALL(responses)'!T$3:T$322)-MIN('ALL(responses)'!T$3:T$322)),3)
</f>
        <v>0.375</v>
      </c>
      <c r="Q140" s="40">
        <f t="shared" si="4"/>
        <v>0.494</v>
      </c>
    </row>
    <row r="141">
      <c r="A141" s="5" t="s">
        <v>42</v>
      </c>
      <c r="B141" s="6" t="s">
        <v>432</v>
      </c>
      <c r="C141" s="7" t="s">
        <v>61</v>
      </c>
      <c r="D141" s="7" t="s">
        <v>125</v>
      </c>
      <c r="E141" s="9">
        <v>45425.0</v>
      </c>
      <c r="F141" s="6">
        <f>ROUND(('ALL(responses)'!F141 - MIN('ALL(responses)'!F$2:F$641)) / (MAX('ALL(responses)'!F$2:F$641)-MIN('ALL(responses)'!F$2:F$641)),3)
</f>
        <v>0</v>
      </c>
      <c r="G141" s="6">
        <f>ROUND(('ALL(responses)'!G142 - MIN('ALL(responses)'!G$3:G$322)) / (MAX('ALL(responses)'!G$3:G$322)-MIN('ALL(responses)'!G$3:G$322)),3)
</f>
        <v>0.714</v>
      </c>
      <c r="H141" s="6">
        <f>ROUND(('ALL(responses)'!H142 - MIN('ALL(responses)'!H$3:H$322)) / (MAX('ALL(responses)'!H$3:H$322)-MIN('ALL(responses)'!H$3:H$322)),3)
</f>
        <v>1</v>
      </c>
      <c r="I141" s="6">
        <f>ROUND(('ALL(responses)'!I142 - MIN('ALL(responses)'!I$3:I$322)) / (MAX('ALL(responses)'!I$3:I$322)-MIN('ALL(responses)'!I$3:I$322)),3)
</f>
        <v>0.857</v>
      </c>
      <c r="J141" s="6">
        <f>ROUND(('ALL(responses)'!J142 - MIN('ALL(responses)'!J$3:J$322)) / (MAX('ALL(responses)'!J$3:J$322)-MIN('ALL(responses)'!J$3:J$322)),3)
</f>
        <v>0</v>
      </c>
      <c r="K141" s="6">
        <f>ROUND(('ALL(responses)'!M142 - MIN('ALL(responses)'!M$3:M$322)) / (MAX('ALL(responses)'!M$3:M$322)-MIN('ALL(responses)'!M$3:M$322)),3)
</f>
        <v>0.384</v>
      </c>
      <c r="L141" s="6">
        <f>ROUND(('ALL(responses)'!P142 - MIN('ALL(responses)'!P$3:P$322)) / (MAX('ALL(responses)'!P$3:P$322)-MIN('ALL(responses)'!P$3:P$322)),3)
</f>
        <v>0.747</v>
      </c>
      <c r="M141" s="6">
        <f>ROUND(('ALL(responses)'!Q142 - MIN('ALL(responses)'!Q$3:Q$322)) / (MAX('ALL(responses)'!Q$3:Q$322)-MIN('ALL(responses)'!Q$3:Q$322)),3)
</f>
        <v>0.202</v>
      </c>
      <c r="N141" s="6">
        <f>ROUND(('ALL(responses)'!R142 - MIN('ALL(responses)'!R$3:R$322)) / (MAX('ALL(responses)'!R$3:R$322)-MIN('ALL(responses)'!R$3:R$322)),3)
</f>
        <v>0.999</v>
      </c>
      <c r="O141" s="6">
        <f>ROUND(('ALL(responses)'!S142 - MIN('ALL(responses)'!S$3:S$322)) / (MAX('ALL(responses)'!S$3:S$322)-MIN('ALL(responses)'!S$3:S$322)),3)
</f>
        <v>0</v>
      </c>
      <c r="P141" s="6">
        <f>ROUND(('ALL(responses)'!T142 - MIN('ALL(responses)'!T$3:T$322)) / (MAX('ALL(responses)'!T$3:T$322)-MIN('ALL(responses)'!T$3:T$322)),3)
</f>
        <v>0.54</v>
      </c>
      <c r="Q141" s="40">
        <f t="shared" si="4"/>
        <v>0.494</v>
      </c>
    </row>
    <row r="142">
      <c r="A142" s="5" t="s">
        <v>63</v>
      </c>
      <c r="B142" s="6" t="s">
        <v>432</v>
      </c>
      <c r="C142" s="7" t="s">
        <v>64</v>
      </c>
      <c r="D142" s="7" t="s">
        <v>126</v>
      </c>
      <c r="E142" s="9">
        <v>45425.0</v>
      </c>
      <c r="F142" s="6">
        <f>ROUND(('ALL(responses)'!F142 - MIN('ALL(responses)'!F$2:F$641)) / (MAX('ALL(responses)'!F$2:F$641)-MIN('ALL(responses)'!F$2:F$641)),3)
</f>
        <v>0</v>
      </c>
      <c r="G142" s="6">
        <f>ROUND(('ALL(responses)'!G143 - MIN('ALL(responses)'!G$3:G$322)) / (MAX('ALL(responses)'!G$3:G$322)-MIN('ALL(responses)'!G$3:G$322)),3)
</f>
        <v>0.714</v>
      </c>
      <c r="H142" s="6">
        <f>ROUND(('ALL(responses)'!H143 - MIN('ALL(responses)'!H$3:H$322)) / (MAX('ALL(responses)'!H$3:H$322)-MIN('ALL(responses)'!H$3:H$322)),3)
</f>
        <v>1</v>
      </c>
      <c r="I142" s="6">
        <f>ROUND(('ALL(responses)'!I143 - MIN('ALL(responses)'!I$3:I$322)) / (MAX('ALL(responses)'!I$3:I$322)-MIN('ALL(responses)'!I$3:I$322)),3)
</f>
        <v>0.857</v>
      </c>
      <c r="J142" s="6">
        <f>ROUND(('ALL(responses)'!J143 - MIN('ALL(responses)'!J$3:J$322)) / (MAX('ALL(responses)'!J$3:J$322)-MIN('ALL(responses)'!J$3:J$322)),3)
</f>
        <v>0</v>
      </c>
      <c r="K142" s="6">
        <f>ROUND(('ALL(responses)'!M143 - MIN('ALL(responses)'!M$3:M$322)) / (MAX('ALL(responses)'!M$3:M$322)-MIN('ALL(responses)'!M$3:M$322)),3)
</f>
        <v>0.476</v>
      </c>
      <c r="L142" s="6">
        <f>ROUND(('ALL(responses)'!P143 - MIN('ALL(responses)'!P$3:P$322)) / (MAX('ALL(responses)'!P$3:P$322)-MIN('ALL(responses)'!P$3:P$322)),3)
</f>
        <v>0.492</v>
      </c>
      <c r="M142" s="6">
        <f>ROUND(('ALL(responses)'!Q143 - MIN('ALL(responses)'!Q$3:Q$322)) / (MAX('ALL(responses)'!Q$3:Q$322)-MIN('ALL(responses)'!Q$3:Q$322)),3)
</f>
        <v>0.216</v>
      </c>
      <c r="N142" s="6">
        <f>ROUND(('ALL(responses)'!R143 - MIN('ALL(responses)'!R$3:R$322)) / (MAX('ALL(responses)'!R$3:R$322)-MIN('ALL(responses)'!R$3:R$322)),3)
</f>
        <v>0.92</v>
      </c>
      <c r="O142" s="6">
        <f>ROUND(('ALL(responses)'!S143 - MIN('ALL(responses)'!S$3:S$322)) / (MAX('ALL(responses)'!S$3:S$322)-MIN('ALL(responses)'!S$3:S$322)),3)
</f>
        <v>0.96</v>
      </c>
      <c r="P142" s="6">
        <f>ROUND(('ALL(responses)'!T143 - MIN('ALL(responses)'!T$3:T$322)) / (MAX('ALL(responses)'!T$3:T$322)-MIN('ALL(responses)'!T$3:T$322)),3)
</f>
        <v>0.634</v>
      </c>
      <c r="Q142" s="40">
        <f t="shared" si="4"/>
        <v>0.494</v>
      </c>
    </row>
    <row r="143">
      <c r="A143" s="5" t="s">
        <v>63</v>
      </c>
      <c r="B143" s="6" t="s">
        <v>432</v>
      </c>
      <c r="C143" s="7" t="s">
        <v>66</v>
      </c>
      <c r="D143" s="7" t="s">
        <v>127</v>
      </c>
      <c r="E143" s="9">
        <v>45425.0</v>
      </c>
      <c r="F143" s="6">
        <f>ROUND(('ALL(responses)'!F143 - MIN('ALL(responses)'!F$2:F$641)) / (MAX('ALL(responses)'!F$2:F$641)-MIN('ALL(responses)'!F$2:F$641)),3)
</f>
        <v>0</v>
      </c>
      <c r="G143" s="6">
        <f>ROUND(('ALL(responses)'!G144 - MIN('ALL(responses)'!G$3:G$322)) / (MAX('ALL(responses)'!G$3:G$322)-MIN('ALL(responses)'!G$3:G$322)),3)
</f>
        <v>0.143</v>
      </c>
      <c r="H143" s="6">
        <f>ROUND(('ALL(responses)'!H144 - MIN('ALL(responses)'!H$3:H$322)) / (MAX('ALL(responses)'!H$3:H$322)-MIN('ALL(responses)'!H$3:H$322)),3)
</f>
        <v>1</v>
      </c>
      <c r="I143" s="6">
        <f>ROUND(('ALL(responses)'!I144 - MIN('ALL(responses)'!I$3:I$322)) / (MAX('ALL(responses)'!I$3:I$322)-MIN('ALL(responses)'!I$3:I$322)),3)
</f>
        <v>0.143</v>
      </c>
      <c r="J143" s="6">
        <f>ROUND(('ALL(responses)'!J144 - MIN('ALL(responses)'!J$3:J$322)) / (MAX('ALL(responses)'!J$3:J$322)-MIN('ALL(responses)'!J$3:J$322)),3)
</f>
        <v>0</v>
      </c>
      <c r="K143" s="6">
        <f>ROUND(('ALL(responses)'!M144 - MIN('ALL(responses)'!M$3:M$322)) / (MAX('ALL(responses)'!M$3:M$322)-MIN('ALL(responses)'!M$3:M$322)),3)
</f>
        <v>0.203</v>
      </c>
      <c r="L143" s="6">
        <f>ROUND(('ALL(responses)'!P144 - MIN('ALL(responses)'!P$3:P$322)) / (MAX('ALL(responses)'!P$3:P$322)-MIN('ALL(responses)'!P$3:P$322)),3)
</f>
        <v>0.186</v>
      </c>
      <c r="M143" s="6">
        <f>ROUND(('ALL(responses)'!Q144 - MIN('ALL(responses)'!Q$3:Q$322)) / (MAX('ALL(responses)'!Q$3:Q$322)-MIN('ALL(responses)'!Q$3:Q$322)),3)
</f>
        <v>0.328</v>
      </c>
      <c r="N143" s="6">
        <f>ROUND(('ALL(responses)'!R144 - MIN('ALL(responses)'!R$3:R$322)) / (MAX('ALL(responses)'!R$3:R$322)-MIN('ALL(responses)'!R$3:R$322)),3)
</f>
        <v>0.983</v>
      </c>
      <c r="O143" s="6">
        <f>ROUND(('ALL(responses)'!S144 - MIN('ALL(responses)'!S$3:S$322)) / (MAX('ALL(responses)'!S$3:S$322)-MIN('ALL(responses)'!S$3:S$322)),3)
</f>
        <v>0.991</v>
      </c>
      <c r="P143" s="6">
        <f>ROUND(('ALL(responses)'!T144 - MIN('ALL(responses)'!T$3:T$322)) / (MAX('ALL(responses)'!T$3:T$322)-MIN('ALL(responses)'!T$3:T$322)),3)
</f>
        <v>0.53</v>
      </c>
      <c r="Q143" s="40">
        <f t="shared" si="4"/>
        <v>0.494</v>
      </c>
    </row>
    <row r="144">
      <c r="A144" s="5" t="s">
        <v>63</v>
      </c>
      <c r="B144" s="6" t="s">
        <v>432</v>
      </c>
      <c r="C144" s="7" t="s">
        <v>68</v>
      </c>
      <c r="D144" s="7" t="s">
        <v>128</v>
      </c>
      <c r="E144" s="9">
        <v>45425.0</v>
      </c>
      <c r="F144" s="6">
        <f>ROUND(('ALL(responses)'!F144 - MIN('ALL(responses)'!F$2:F$641)) / (MAX('ALL(responses)'!F$2:F$641)-MIN('ALL(responses)'!F$2:F$641)),3)
</f>
        <v>0.625</v>
      </c>
      <c r="G144" s="6">
        <f>ROUND(('ALL(responses)'!G145 - MIN('ALL(responses)'!G$3:G$322)) / (MAX('ALL(responses)'!G$3:G$322)-MIN('ALL(responses)'!G$3:G$322)),3)
</f>
        <v>0.143</v>
      </c>
      <c r="H144" s="6">
        <f>ROUND(('ALL(responses)'!H145 - MIN('ALL(responses)'!H$3:H$322)) / (MAX('ALL(responses)'!H$3:H$322)-MIN('ALL(responses)'!H$3:H$322)),3)
</f>
        <v>1</v>
      </c>
      <c r="I144" s="6">
        <f>ROUND(('ALL(responses)'!I145 - MIN('ALL(responses)'!I$3:I$322)) / (MAX('ALL(responses)'!I$3:I$322)-MIN('ALL(responses)'!I$3:I$322)),3)
</f>
        <v>0.143</v>
      </c>
      <c r="J144" s="6">
        <f>ROUND(('ALL(responses)'!J145 - MIN('ALL(responses)'!J$3:J$322)) / (MAX('ALL(responses)'!J$3:J$322)-MIN('ALL(responses)'!J$3:J$322)),3)
</f>
        <v>0</v>
      </c>
      <c r="K144" s="6">
        <f>ROUND(('ALL(responses)'!M145 - MIN('ALL(responses)'!M$3:M$322)) / (MAX('ALL(responses)'!M$3:M$322)-MIN('ALL(responses)'!M$3:M$322)),3)
</f>
        <v>0.418</v>
      </c>
      <c r="L144" s="6">
        <f>ROUND(('ALL(responses)'!P145 - MIN('ALL(responses)'!P$3:P$322)) / (MAX('ALL(responses)'!P$3:P$322)-MIN('ALL(responses)'!P$3:P$322)),3)
</f>
        <v>0.123</v>
      </c>
      <c r="M144" s="6">
        <f>ROUND(('ALL(responses)'!Q145 - MIN('ALL(responses)'!Q$3:Q$322)) / (MAX('ALL(responses)'!Q$3:Q$322)-MIN('ALL(responses)'!Q$3:Q$322)),3)
</f>
        <v>0.479</v>
      </c>
      <c r="N144" s="6">
        <f>ROUND(('ALL(responses)'!R145 - MIN('ALL(responses)'!R$3:R$322)) / (MAX('ALL(responses)'!R$3:R$322)-MIN('ALL(responses)'!R$3:R$322)),3)
</f>
        <v>0.988</v>
      </c>
      <c r="O144" s="6">
        <f>ROUND(('ALL(responses)'!S145 - MIN('ALL(responses)'!S$3:S$322)) / (MAX('ALL(responses)'!S$3:S$322)-MIN('ALL(responses)'!S$3:S$322)),3)
</f>
        <v>0.994</v>
      </c>
      <c r="P144" s="6">
        <f>ROUND(('ALL(responses)'!T145 - MIN('ALL(responses)'!T$3:T$322)) / (MAX('ALL(responses)'!T$3:T$322)-MIN('ALL(responses)'!T$3:T$322)),3)
</f>
        <v>0.794</v>
      </c>
      <c r="Q144" s="40">
        <f t="shared" si="4"/>
        <v>0.494</v>
      </c>
    </row>
    <row r="145">
      <c r="A145" s="5" t="s">
        <v>63</v>
      </c>
      <c r="B145" s="6" t="s">
        <v>432</v>
      </c>
      <c r="C145" s="7" t="s">
        <v>70</v>
      </c>
      <c r="D145" s="7" t="s">
        <v>129</v>
      </c>
      <c r="E145" s="9">
        <v>45425.0</v>
      </c>
      <c r="F145" s="6">
        <f>ROUND(('ALL(responses)'!F145 - MIN('ALL(responses)'!F$2:F$641)) / (MAX('ALL(responses)'!F$2:F$641)-MIN('ALL(responses)'!F$2:F$641)),3)
</f>
        <v>0.625</v>
      </c>
      <c r="G145" s="6">
        <f>ROUND(('ALL(responses)'!G146 - MIN('ALL(responses)'!G$3:G$322)) / (MAX('ALL(responses)'!G$3:G$322)-MIN('ALL(responses)'!G$3:G$322)),3)
</f>
        <v>0.714</v>
      </c>
      <c r="H145" s="6">
        <f>ROUND(('ALL(responses)'!H146 - MIN('ALL(responses)'!H$3:H$322)) / (MAX('ALL(responses)'!H$3:H$322)-MIN('ALL(responses)'!H$3:H$322)),3)
</f>
        <v>0.167</v>
      </c>
      <c r="I145" s="6">
        <f>ROUND(('ALL(responses)'!I146 - MIN('ALL(responses)'!I$3:I$322)) / (MAX('ALL(responses)'!I$3:I$322)-MIN('ALL(responses)'!I$3:I$322)),3)
</f>
        <v>0.143</v>
      </c>
      <c r="J145" s="6">
        <f>ROUND(('ALL(responses)'!J146 - MIN('ALL(responses)'!J$3:J$322)) / (MAX('ALL(responses)'!J$3:J$322)-MIN('ALL(responses)'!J$3:J$322)),3)
</f>
        <v>0</v>
      </c>
      <c r="K145" s="6">
        <f>ROUND(('ALL(responses)'!M146 - MIN('ALL(responses)'!M$3:M$322)) / (MAX('ALL(responses)'!M$3:M$322)-MIN('ALL(responses)'!M$3:M$322)),3)
</f>
        <v>0.577</v>
      </c>
      <c r="L145" s="6">
        <f>ROUND(('ALL(responses)'!P146 - MIN('ALL(responses)'!P$3:P$322)) / (MAX('ALL(responses)'!P$3:P$322)-MIN('ALL(responses)'!P$3:P$322)),3)
</f>
        <v>0.355</v>
      </c>
      <c r="M145" s="6">
        <f>ROUND(('ALL(responses)'!Q146 - MIN('ALL(responses)'!Q$3:Q$322)) / (MAX('ALL(responses)'!Q$3:Q$322)-MIN('ALL(responses)'!Q$3:Q$322)),3)
</f>
        <v>0.365</v>
      </c>
      <c r="N145" s="6">
        <f>ROUND(('ALL(responses)'!R146 - MIN('ALL(responses)'!R$3:R$322)) / (MAX('ALL(responses)'!R$3:R$322)-MIN('ALL(responses)'!R$3:R$322)),3)
</f>
        <v>0.989</v>
      </c>
      <c r="O145" s="6">
        <f>ROUND(('ALL(responses)'!S146 - MIN('ALL(responses)'!S$3:S$322)) / (MAX('ALL(responses)'!S$3:S$322)-MIN('ALL(responses)'!S$3:S$322)),3)
</f>
        <v>0.994</v>
      </c>
      <c r="P145" s="6">
        <f>ROUND(('ALL(responses)'!T146 - MIN('ALL(responses)'!T$3:T$322)) / (MAX('ALL(responses)'!T$3:T$322)-MIN('ALL(responses)'!T$3:T$322)),3)
</f>
        <v>0.767</v>
      </c>
      <c r="Q145" s="40">
        <f t="shared" si="4"/>
        <v>0.494</v>
      </c>
    </row>
    <row r="146">
      <c r="A146" s="5" t="s">
        <v>63</v>
      </c>
      <c r="B146" s="6" t="s">
        <v>432</v>
      </c>
      <c r="C146" s="7" t="s">
        <v>72</v>
      </c>
      <c r="D146" s="7" t="s">
        <v>130</v>
      </c>
      <c r="E146" s="9">
        <v>45425.0</v>
      </c>
      <c r="F146" s="6">
        <f>ROUND(('ALL(responses)'!F146 - MIN('ALL(responses)'!F$2:F$641)) / (MAX('ALL(responses)'!F$2:F$641)-MIN('ALL(responses)'!F$2:F$641)),3)
</f>
        <v>0.625</v>
      </c>
      <c r="G146" s="6">
        <f>ROUND(('ALL(responses)'!G147 - MIN('ALL(responses)'!G$3:G$322)) / (MAX('ALL(responses)'!G$3:G$322)-MIN('ALL(responses)'!G$3:G$322)),3)
</f>
        <v>0.714</v>
      </c>
      <c r="H146" s="6">
        <f>ROUND(('ALL(responses)'!H147 - MIN('ALL(responses)'!H$3:H$322)) / (MAX('ALL(responses)'!H$3:H$322)-MIN('ALL(responses)'!H$3:H$322)),3)
</f>
        <v>1</v>
      </c>
      <c r="I146" s="6">
        <f>ROUND(('ALL(responses)'!I147 - MIN('ALL(responses)'!I$3:I$322)) / (MAX('ALL(responses)'!I$3:I$322)-MIN('ALL(responses)'!I$3:I$322)),3)
</f>
        <v>0.143</v>
      </c>
      <c r="J146" s="6">
        <f>ROUND(('ALL(responses)'!J147 - MIN('ALL(responses)'!J$3:J$322)) / (MAX('ALL(responses)'!J$3:J$322)-MIN('ALL(responses)'!J$3:J$322)),3)
</f>
        <v>0</v>
      </c>
      <c r="K146" s="6">
        <f>ROUND(('ALL(responses)'!M147 - MIN('ALL(responses)'!M$3:M$322)) / (MAX('ALL(responses)'!M$3:M$322)-MIN('ALL(responses)'!M$3:M$322)),3)
</f>
        <v>0.636</v>
      </c>
      <c r="L146" s="6">
        <f>ROUND(('ALL(responses)'!P147 - MIN('ALL(responses)'!P$3:P$322)) / (MAX('ALL(responses)'!P$3:P$322)-MIN('ALL(responses)'!P$3:P$322)),3)
</f>
        <v>0.732</v>
      </c>
      <c r="M146" s="6">
        <f>ROUND(('ALL(responses)'!Q147 - MIN('ALL(responses)'!Q$3:Q$322)) / (MAX('ALL(responses)'!Q$3:Q$322)-MIN('ALL(responses)'!Q$3:Q$322)),3)
</f>
        <v>0.185</v>
      </c>
      <c r="N146" s="6">
        <f>ROUND(('ALL(responses)'!R147 - MIN('ALL(responses)'!R$3:R$322)) / (MAX('ALL(responses)'!R$3:R$322)-MIN('ALL(responses)'!R$3:R$322)),3)
</f>
        <v>0.999</v>
      </c>
      <c r="O146" s="6">
        <f>ROUND(('ALL(responses)'!S147 - MIN('ALL(responses)'!S$3:S$322)) / (MAX('ALL(responses)'!S$3:S$322)-MIN('ALL(responses)'!S$3:S$322)),3)
</f>
        <v>1</v>
      </c>
      <c r="P146" s="6">
        <f>ROUND(('ALL(responses)'!T147 - MIN('ALL(responses)'!T$3:T$322)) / (MAX('ALL(responses)'!T$3:T$322)-MIN('ALL(responses)'!T$3:T$322)),3)
</f>
        <v>0.538</v>
      </c>
      <c r="Q146" s="40">
        <f t="shared" si="4"/>
        <v>0.494</v>
      </c>
    </row>
    <row r="147">
      <c r="A147" s="5" t="s">
        <v>63</v>
      </c>
      <c r="B147" s="6" t="s">
        <v>432</v>
      </c>
      <c r="C147" s="7" t="s">
        <v>74</v>
      </c>
      <c r="D147" s="7" t="s">
        <v>131</v>
      </c>
      <c r="E147" s="9">
        <v>45425.0</v>
      </c>
      <c r="F147" s="6">
        <f>ROUND(('ALL(responses)'!F147 - MIN('ALL(responses)'!F$2:F$641)) / (MAX('ALL(responses)'!F$2:F$641)-MIN('ALL(responses)'!F$2:F$641)),3)
</f>
        <v>0.625</v>
      </c>
      <c r="G147" s="6">
        <f>ROUND(('ALL(responses)'!G148 - MIN('ALL(responses)'!G$3:G$322)) / (MAX('ALL(responses)'!G$3:G$322)-MIN('ALL(responses)'!G$3:G$322)),3)
</f>
        <v>0.714</v>
      </c>
      <c r="H147" s="6">
        <f>ROUND(('ALL(responses)'!H148 - MIN('ALL(responses)'!H$3:H$322)) / (MAX('ALL(responses)'!H$3:H$322)-MIN('ALL(responses)'!H$3:H$322)),3)
</f>
        <v>1</v>
      </c>
      <c r="I147" s="6">
        <f>ROUND(('ALL(responses)'!I148 - MIN('ALL(responses)'!I$3:I$322)) / (MAX('ALL(responses)'!I$3:I$322)-MIN('ALL(responses)'!I$3:I$322)),3)
</f>
        <v>0.857</v>
      </c>
      <c r="J147" s="6">
        <f>ROUND(('ALL(responses)'!J148 - MIN('ALL(responses)'!J$3:J$322)) / (MAX('ALL(responses)'!J$3:J$322)-MIN('ALL(responses)'!J$3:J$322)),3)
</f>
        <v>0</v>
      </c>
      <c r="K147" s="6">
        <f>ROUND(('ALL(responses)'!M148 - MIN('ALL(responses)'!M$3:M$322)) / (MAX('ALL(responses)'!M$3:M$322)-MIN('ALL(responses)'!M$3:M$322)),3)
</f>
        <v>0.854</v>
      </c>
      <c r="L147" s="6">
        <f>ROUND(('ALL(responses)'!P148 - MIN('ALL(responses)'!P$3:P$322)) / (MAX('ALL(responses)'!P$3:P$322)-MIN('ALL(responses)'!P$3:P$322)),3)
</f>
        <v>0.236</v>
      </c>
      <c r="M147" s="6">
        <f>ROUND(('ALL(responses)'!Q148 - MIN('ALL(responses)'!Q$3:Q$322)) / (MAX('ALL(responses)'!Q$3:Q$322)-MIN('ALL(responses)'!Q$3:Q$322)),3)
</f>
        <v>0.123</v>
      </c>
      <c r="N147" s="6">
        <f>ROUND(('ALL(responses)'!R148 - MIN('ALL(responses)'!R$3:R$322)) / (MAX('ALL(responses)'!R$3:R$322)-MIN('ALL(responses)'!R$3:R$322)),3)
</f>
        <v>1</v>
      </c>
      <c r="O147" s="6">
        <f>ROUND(('ALL(responses)'!S148 - MIN('ALL(responses)'!S$3:S$322)) / (MAX('ALL(responses)'!S$3:S$322)-MIN('ALL(responses)'!S$3:S$322)),3)
</f>
        <v>1</v>
      </c>
      <c r="P147" s="6">
        <f>ROUND(('ALL(responses)'!T148 - MIN('ALL(responses)'!T$3:T$322)) / (MAX('ALL(responses)'!T$3:T$322)-MIN('ALL(responses)'!T$3:T$322)),3)
</f>
        <v>0.552</v>
      </c>
      <c r="Q147" s="40">
        <f t="shared" si="4"/>
        <v>0.494</v>
      </c>
    </row>
    <row r="148">
      <c r="A148" s="5" t="s">
        <v>63</v>
      </c>
      <c r="B148" s="6" t="s">
        <v>432</v>
      </c>
      <c r="C148" s="7" t="s">
        <v>76</v>
      </c>
      <c r="D148" s="7" t="s">
        <v>132</v>
      </c>
      <c r="E148" s="9">
        <v>45425.0</v>
      </c>
      <c r="F148" s="6">
        <f>ROUND(('ALL(responses)'!F148 - MIN('ALL(responses)'!F$2:F$641)) / (MAX('ALL(responses)'!F$2:F$641)-MIN('ALL(responses)'!F$2:F$641)),3)
</f>
        <v>0.625</v>
      </c>
      <c r="G148" s="6">
        <f>ROUND(('ALL(responses)'!G149 - MIN('ALL(responses)'!G$3:G$322)) / (MAX('ALL(responses)'!G$3:G$322)-MIN('ALL(responses)'!G$3:G$322)),3)
</f>
        <v>0.714</v>
      </c>
      <c r="H148" s="6">
        <f>ROUND(('ALL(responses)'!H149 - MIN('ALL(responses)'!H$3:H$322)) / (MAX('ALL(responses)'!H$3:H$322)-MIN('ALL(responses)'!H$3:H$322)),3)
</f>
        <v>1</v>
      </c>
      <c r="I148" s="6">
        <f>ROUND(('ALL(responses)'!I149 - MIN('ALL(responses)'!I$3:I$322)) / (MAX('ALL(responses)'!I$3:I$322)-MIN('ALL(responses)'!I$3:I$322)),3)
</f>
        <v>0.857</v>
      </c>
      <c r="J148" s="6">
        <f>ROUND(('ALL(responses)'!J149 - MIN('ALL(responses)'!J$3:J$322)) / (MAX('ALL(responses)'!J$3:J$322)-MIN('ALL(responses)'!J$3:J$322)),3)
</f>
        <v>0</v>
      </c>
      <c r="K148" s="6">
        <f>ROUND(('ALL(responses)'!M149 - MIN('ALL(responses)'!M$3:M$322)) / (MAX('ALL(responses)'!M$3:M$322)-MIN('ALL(responses)'!M$3:M$322)),3)
</f>
        <v>0.595</v>
      </c>
      <c r="L148" s="6">
        <f>ROUND(('ALL(responses)'!P149 - MIN('ALL(responses)'!P$3:P$322)) / (MAX('ALL(responses)'!P$3:P$322)-MIN('ALL(responses)'!P$3:P$322)),3)
</f>
        <v>0.257</v>
      </c>
      <c r="M148" s="6">
        <f>ROUND(('ALL(responses)'!Q149 - MIN('ALL(responses)'!Q$3:Q$322)) / (MAX('ALL(responses)'!Q$3:Q$322)-MIN('ALL(responses)'!Q$3:Q$322)),3)
</f>
        <v>0.272</v>
      </c>
      <c r="N148" s="6">
        <f>ROUND(('ALL(responses)'!R149 - MIN('ALL(responses)'!R$3:R$322)) / (MAX('ALL(responses)'!R$3:R$322)-MIN('ALL(responses)'!R$3:R$322)),3)
</f>
        <v>0.999</v>
      </c>
      <c r="O148" s="6">
        <f>ROUND(('ALL(responses)'!S149 - MIN('ALL(responses)'!S$3:S$322)) / (MAX('ALL(responses)'!S$3:S$322)-MIN('ALL(responses)'!S$3:S$322)),3)
</f>
        <v>1</v>
      </c>
      <c r="P148" s="6">
        <f>ROUND(('ALL(responses)'!T149 - MIN('ALL(responses)'!T$3:T$322)) / (MAX('ALL(responses)'!T$3:T$322)-MIN('ALL(responses)'!T$3:T$322)),3)
</f>
        <v>0.526</v>
      </c>
      <c r="Q148" s="40">
        <f t="shared" si="4"/>
        <v>0.494</v>
      </c>
    </row>
    <row r="149">
      <c r="A149" s="5" t="s">
        <v>63</v>
      </c>
      <c r="B149" s="6" t="s">
        <v>432</v>
      </c>
      <c r="C149" s="7" t="s">
        <v>78</v>
      </c>
      <c r="D149" s="7" t="s">
        <v>133</v>
      </c>
      <c r="E149" s="9">
        <v>45425.0</v>
      </c>
      <c r="F149" s="6">
        <f>ROUND(('ALL(responses)'!F149 - MIN('ALL(responses)'!F$2:F$641)) / (MAX('ALL(responses)'!F$2:F$641)-MIN('ALL(responses)'!F$2:F$641)),3)
</f>
        <v>0</v>
      </c>
      <c r="G149" s="6">
        <f>ROUND(('ALL(responses)'!G150 - MIN('ALL(responses)'!G$3:G$322)) / (MAX('ALL(responses)'!G$3:G$322)-MIN('ALL(responses)'!G$3:G$322)),3)
</f>
        <v>0.143</v>
      </c>
      <c r="H149" s="6">
        <f>ROUND(('ALL(responses)'!H150 - MIN('ALL(responses)'!H$3:H$322)) / (MAX('ALL(responses)'!H$3:H$322)-MIN('ALL(responses)'!H$3:H$322)),3)
</f>
        <v>1</v>
      </c>
      <c r="I149" s="6">
        <f>ROUND(('ALL(responses)'!I150 - MIN('ALL(responses)'!I$3:I$322)) / (MAX('ALL(responses)'!I$3:I$322)-MIN('ALL(responses)'!I$3:I$322)),3)
</f>
        <v>0.143</v>
      </c>
      <c r="J149" s="6">
        <f>ROUND(('ALL(responses)'!J150 - MIN('ALL(responses)'!J$3:J$322)) / (MAX('ALL(responses)'!J$3:J$322)-MIN('ALL(responses)'!J$3:J$322)),3)
</f>
        <v>0</v>
      </c>
      <c r="K149" s="6">
        <f>ROUND(('ALL(responses)'!M150 - MIN('ALL(responses)'!M$3:M$322)) / (MAX('ALL(responses)'!M$3:M$322)-MIN('ALL(responses)'!M$3:M$322)),3)
</f>
        <v>0.308</v>
      </c>
      <c r="L149" s="6">
        <f>ROUND(('ALL(responses)'!P150 - MIN('ALL(responses)'!P$3:P$322)) / (MAX('ALL(responses)'!P$3:P$322)-MIN('ALL(responses)'!P$3:P$322)),3)
</f>
        <v>0.175</v>
      </c>
      <c r="M149" s="6">
        <f>ROUND(('ALL(responses)'!Q150 - MIN('ALL(responses)'!Q$3:Q$322)) / (MAX('ALL(responses)'!Q$3:Q$322)-MIN('ALL(responses)'!Q$3:Q$322)),3)
</f>
        <v>0.226</v>
      </c>
      <c r="N149" s="6">
        <f>ROUND(('ALL(responses)'!R150 - MIN('ALL(responses)'!R$3:R$322)) / (MAX('ALL(responses)'!R$3:R$322)-MIN('ALL(responses)'!R$3:R$322)),3)
</f>
        <v>0.988</v>
      </c>
      <c r="O149" s="6">
        <f>ROUND(('ALL(responses)'!S150 - MIN('ALL(responses)'!S$3:S$322)) / (MAX('ALL(responses)'!S$3:S$322)-MIN('ALL(responses)'!S$3:S$322)),3)
</f>
        <v>0.994</v>
      </c>
      <c r="P149" s="6">
        <f>ROUND(('ALL(responses)'!T150 - MIN('ALL(responses)'!T$3:T$322)) / (MAX('ALL(responses)'!T$3:T$322)-MIN('ALL(responses)'!T$3:T$322)),3)
</f>
        <v>0.834</v>
      </c>
      <c r="Q149" s="40">
        <f t="shared" si="4"/>
        <v>0.494</v>
      </c>
    </row>
    <row r="150">
      <c r="A150" s="5" t="s">
        <v>63</v>
      </c>
      <c r="B150" s="6" t="s">
        <v>432</v>
      </c>
      <c r="C150" s="7" t="s">
        <v>80</v>
      </c>
      <c r="D150" s="7" t="s">
        <v>134</v>
      </c>
      <c r="E150" s="9">
        <v>45425.0</v>
      </c>
      <c r="F150" s="6">
        <f>ROUND(('ALL(responses)'!F150 - MIN('ALL(responses)'!F$2:F$641)) / (MAX('ALL(responses)'!F$2:F$641)-MIN('ALL(responses)'!F$2:F$641)),3)
</f>
        <v>0.625</v>
      </c>
      <c r="G150" s="6">
        <f>ROUND(('ALL(responses)'!G151 - MIN('ALL(responses)'!G$3:G$322)) / (MAX('ALL(responses)'!G$3:G$322)-MIN('ALL(responses)'!G$3:G$322)),3)
</f>
        <v>0.714</v>
      </c>
      <c r="H150" s="6">
        <f>ROUND(('ALL(responses)'!H151 - MIN('ALL(responses)'!H$3:H$322)) / (MAX('ALL(responses)'!H$3:H$322)-MIN('ALL(responses)'!H$3:H$322)),3)
</f>
        <v>1</v>
      </c>
      <c r="I150" s="6">
        <f>ROUND(('ALL(responses)'!I151 - MIN('ALL(responses)'!I$3:I$322)) / (MAX('ALL(responses)'!I$3:I$322)-MIN('ALL(responses)'!I$3:I$322)),3)
</f>
        <v>0.143</v>
      </c>
      <c r="J150" s="6">
        <f>ROUND(('ALL(responses)'!J151 - MIN('ALL(responses)'!J$3:J$322)) / (MAX('ALL(responses)'!J$3:J$322)-MIN('ALL(responses)'!J$3:J$322)),3)
</f>
        <v>0</v>
      </c>
      <c r="K150" s="6">
        <f>ROUND(('ALL(responses)'!M151 - MIN('ALL(responses)'!M$3:M$322)) / (MAX('ALL(responses)'!M$3:M$322)-MIN('ALL(responses)'!M$3:M$322)),3)
</f>
        <v>0.226</v>
      </c>
      <c r="L150" s="6">
        <f>ROUND(('ALL(responses)'!P151 - MIN('ALL(responses)'!P$3:P$322)) / (MAX('ALL(responses)'!P$3:P$322)-MIN('ALL(responses)'!P$3:P$322)),3)
</f>
        <v>0.565</v>
      </c>
      <c r="M150" s="6">
        <f>ROUND(('ALL(responses)'!Q151 - MIN('ALL(responses)'!Q$3:Q$322)) / (MAX('ALL(responses)'!Q$3:Q$322)-MIN('ALL(responses)'!Q$3:Q$322)),3)
</f>
        <v>0.165</v>
      </c>
      <c r="N150" s="6">
        <f>ROUND(('ALL(responses)'!R151 - MIN('ALL(responses)'!R$3:R$322)) / (MAX('ALL(responses)'!R$3:R$322)-MIN('ALL(responses)'!R$3:R$322)),3)
</f>
        <v>0.99</v>
      </c>
      <c r="O150" s="6">
        <f>ROUND(('ALL(responses)'!S151 - MIN('ALL(responses)'!S$3:S$322)) / (MAX('ALL(responses)'!S$3:S$322)-MIN('ALL(responses)'!S$3:S$322)),3)
</f>
        <v>0.995</v>
      </c>
      <c r="P150" s="6">
        <f>ROUND(('ALL(responses)'!T151 - MIN('ALL(responses)'!T$3:T$322)) / (MAX('ALL(responses)'!T$3:T$322)-MIN('ALL(responses)'!T$3:T$322)),3)
</f>
        <v>0.638</v>
      </c>
      <c r="Q150" s="40">
        <f t="shared" si="4"/>
        <v>0.494</v>
      </c>
    </row>
    <row r="151">
      <c r="A151" s="21" t="s">
        <v>63</v>
      </c>
      <c r="B151" s="23" t="s">
        <v>432</v>
      </c>
      <c r="C151" s="7" t="s">
        <v>82</v>
      </c>
      <c r="D151" s="8" t="s">
        <v>134</v>
      </c>
      <c r="E151" s="24">
        <v>45425.0</v>
      </c>
      <c r="F151" s="6">
        <f>ROUND(('ALL(responses)'!F151 - MIN('ALL(responses)'!F$2:F$641)) / (MAX('ALL(responses)'!F$2:F$641)-MIN('ALL(responses)'!F$2:F$641)),3)
</f>
        <v>0.625</v>
      </c>
      <c r="G151" s="6">
        <f>ROUND(('ALL(responses)'!G152 - MIN('ALL(responses)'!G$3:G$322)) / (MAX('ALL(responses)'!G$3:G$322)-MIN('ALL(responses)'!G$3:G$322)),3)
</f>
        <v>0.714</v>
      </c>
      <c r="H151" s="6">
        <f>ROUND(('ALL(responses)'!H152 - MIN('ALL(responses)'!H$3:H$322)) / (MAX('ALL(responses)'!H$3:H$322)-MIN('ALL(responses)'!H$3:H$322)),3)
</f>
        <v>1</v>
      </c>
      <c r="I151" s="6">
        <f>ROUND(('ALL(responses)'!I152 - MIN('ALL(responses)'!I$3:I$322)) / (MAX('ALL(responses)'!I$3:I$322)-MIN('ALL(responses)'!I$3:I$322)),3)
</f>
        <v>0.857</v>
      </c>
      <c r="J151" s="6">
        <f>ROUND(('ALL(responses)'!J152 - MIN('ALL(responses)'!J$3:J$322)) / (MAX('ALL(responses)'!J$3:J$322)-MIN('ALL(responses)'!J$3:J$322)),3)
</f>
        <v>0</v>
      </c>
      <c r="K151" s="6">
        <f>ROUND(('ALL(responses)'!M152 - MIN('ALL(responses)'!M$3:M$322)) / (MAX('ALL(responses)'!M$3:M$322)-MIN('ALL(responses)'!M$3:M$322)),3)
</f>
        <v>0.948</v>
      </c>
      <c r="L151" s="6">
        <f>ROUND(('ALL(responses)'!P152 - MIN('ALL(responses)'!P$3:P$322)) / (MAX('ALL(responses)'!P$3:P$322)-MIN('ALL(responses)'!P$3:P$322)),3)
</f>
        <v>0.28</v>
      </c>
      <c r="M151" s="6">
        <f>ROUND(('ALL(responses)'!Q152 - MIN('ALL(responses)'!Q$3:Q$322)) / (MAX('ALL(responses)'!Q$3:Q$322)-MIN('ALL(responses)'!Q$3:Q$322)),3)
</f>
        <v>0.492</v>
      </c>
      <c r="N151" s="6">
        <f>ROUND(('ALL(responses)'!R152 - MIN('ALL(responses)'!R$3:R$322)) / (MAX('ALL(responses)'!R$3:R$322)-MIN('ALL(responses)'!R$3:R$322)),3)
</f>
        <v>0.999</v>
      </c>
      <c r="O151" s="6">
        <f>ROUND(('ALL(responses)'!S152 - MIN('ALL(responses)'!S$3:S$322)) / (MAX('ALL(responses)'!S$3:S$322)-MIN('ALL(responses)'!S$3:S$322)),3)
</f>
        <v>1</v>
      </c>
      <c r="P151" s="6">
        <f>ROUND(('ALL(responses)'!T152 - MIN('ALL(responses)'!T$3:T$322)) / (MAX('ALL(responses)'!T$3:T$322)-MIN('ALL(responses)'!T$3:T$322)),3)
</f>
        <v>0.567</v>
      </c>
      <c r="Q151" s="40">
        <f t="shared" si="4"/>
        <v>0.494</v>
      </c>
      <c r="R151" s="30"/>
      <c r="S151" s="30"/>
      <c r="T151" s="30"/>
      <c r="U151" s="30"/>
      <c r="V151" s="30"/>
    </row>
    <row r="152">
      <c r="A152" s="5" t="s">
        <v>84</v>
      </c>
      <c r="B152" s="6" t="s">
        <v>432</v>
      </c>
      <c r="C152" s="7" t="s">
        <v>85</v>
      </c>
      <c r="D152" s="7" t="s">
        <v>135</v>
      </c>
      <c r="E152" s="9">
        <v>45425.0</v>
      </c>
      <c r="F152" s="6">
        <f>ROUND(('ALL(responses)'!F152 - MIN('ALL(responses)'!F$2:F$641)) / (MAX('ALL(responses)'!F$2:F$641)-MIN('ALL(responses)'!F$2:F$641)),3)
</f>
        <v>0.625</v>
      </c>
      <c r="G152" s="6">
        <f>ROUND(('ALL(responses)'!G153 - MIN('ALL(responses)'!G$3:G$322)) / (MAX('ALL(responses)'!G$3:G$322)-MIN('ALL(responses)'!G$3:G$322)),3)
</f>
        <v>0.714</v>
      </c>
      <c r="H152" s="6">
        <f>ROUND(('ALL(responses)'!H153 - MIN('ALL(responses)'!H$3:H$322)) / (MAX('ALL(responses)'!H$3:H$322)-MIN('ALL(responses)'!H$3:H$322)),3)
</f>
        <v>1</v>
      </c>
      <c r="I152" s="6">
        <f>ROUND(('ALL(responses)'!I153 - MIN('ALL(responses)'!I$3:I$322)) / (MAX('ALL(responses)'!I$3:I$322)-MIN('ALL(responses)'!I$3:I$322)),3)
</f>
        <v>0.857</v>
      </c>
      <c r="J152" s="6">
        <f>ROUND(('ALL(responses)'!J153 - MIN('ALL(responses)'!J$3:J$322)) / (MAX('ALL(responses)'!J$3:J$322)-MIN('ALL(responses)'!J$3:J$322)),3)
</f>
        <v>0</v>
      </c>
      <c r="K152" s="6">
        <f>ROUND(('ALL(responses)'!M153 - MIN('ALL(responses)'!M$3:M$322)) / (MAX('ALL(responses)'!M$3:M$322)-MIN('ALL(responses)'!M$3:M$322)),3)
</f>
        <v>0.744</v>
      </c>
      <c r="L152" s="6">
        <f>ROUND(('ALL(responses)'!P153 - MIN('ALL(responses)'!P$3:P$322)) / (MAX('ALL(responses)'!P$3:P$322)-MIN('ALL(responses)'!P$3:P$322)),3)
</f>
        <v>0.413</v>
      </c>
      <c r="M152" s="6">
        <f>ROUND(('ALL(responses)'!Q153 - MIN('ALL(responses)'!Q$3:Q$322)) / (MAX('ALL(responses)'!Q$3:Q$322)-MIN('ALL(responses)'!Q$3:Q$322)),3)
</f>
        <v>0.438</v>
      </c>
      <c r="N152" s="6">
        <f>ROUND(('ALL(responses)'!R153 - MIN('ALL(responses)'!R$3:R$322)) / (MAX('ALL(responses)'!R$3:R$322)-MIN('ALL(responses)'!R$3:R$322)),3)
</f>
        <v>0.989</v>
      </c>
      <c r="O152" s="6">
        <f>ROUND(('ALL(responses)'!S153 - MIN('ALL(responses)'!S$3:S$322)) / (MAX('ALL(responses)'!S$3:S$322)-MIN('ALL(responses)'!S$3:S$322)),3)
</f>
        <v>0.994</v>
      </c>
      <c r="P152" s="6">
        <f>ROUND(('ALL(responses)'!T153 - MIN('ALL(responses)'!T$3:T$322)) / (MAX('ALL(responses)'!T$3:T$322)-MIN('ALL(responses)'!T$3:T$322)),3)
</f>
        <v>0.676</v>
      </c>
      <c r="Q152" s="40">
        <f t="shared" si="4"/>
        <v>0.494</v>
      </c>
    </row>
    <row r="153">
      <c r="A153" s="5" t="s">
        <v>84</v>
      </c>
      <c r="B153" s="6" t="s">
        <v>432</v>
      </c>
      <c r="C153" s="7" t="s">
        <v>87</v>
      </c>
      <c r="D153" s="7" t="s">
        <v>136</v>
      </c>
      <c r="E153" s="9">
        <v>45425.0</v>
      </c>
      <c r="F153" s="6">
        <f>ROUND(('ALL(responses)'!F153 - MIN('ALL(responses)'!F$2:F$641)) / (MAX('ALL(responses)'!F$2:F$641)-MIN('ALL(responses)'!F$2:F$641)),3)
</f>
        <v>0.625</v>
      </c>
      <c r="G153" s="6">
        <f>ROUND(('ALL(responses)'!G154 - MIN('ALL(responses)'!G$3:G$322)) / (MAX('ALL(responses)'!G$3:G$322)-MIN('ALL(responses)'!G$3:G$322)),3)
</f>
        <v>0.714</v>
      </c>
      <c r="H153" s="6">
        <f>ROUND(('ALL(responses)'!H154 - MIN('ALL(responses)'!H$3:H$322)) / (MAX('ALL(responses)'!H$3:H$322)-MIN('ALL(responses)'!H$3:H$322)),3)
</f>
        <v>1</v>
      </c>
      <c r="I153" s="6">
        <f>ROUND(('ALL(responses)'!I154 - MIN('ALL(responses)'!I$3:I$322)) / (MAX('ALL(responses)'!I$3:I$322)-MIN('ALL(responses)'!I$3:I$322)),3)
</f>
        <v>0.857</v>
      </c>
      <c r="J153" s="6">
        <f>ROUND(('ALL(responses)'!J154 - MIN('ALL(responses)'!J$3:J$322)) / (MAX('ALL(responses)'!J$3:J$322)-MIN('ALL(responses)'!J$3:J$322)),3)
</f>
        <v>0</v>
      </c>
      <c r="K153" s="6">
        <f>ROUND(('ALL(responses)'!M154 - MIN('ALL(responses)'!M$3:M$322)) / (MAX('ALL(responses)'!M$3:M$322)-MIN('ALL(responses)'!M$3:M$322)),3)
</f>
        <v>0.763</v>
      </c>
      <c r="L153" s="6">
        <f>ROUND(('ALL(responses)'!P154 - MIN('ALL(responses)'!P$3:P$322)) / (MAX('ALL(responses)'!P$3:P$322)-MIN('ALL(responses)'!P$3:P$322)),3)
</f>
        <v>0.068</v>
      </c>
      <c r="M153" s="6">
        <f>ROUND(('ALL(responses)'!Q154 - MIN('ALL(responses)'!Q$3:Q$322)) / (MAX('ALL(responses)'!Q$3:Q$322)-MIN('ALL(responses)'!Q$3:Q$322)),3)
</f>
        <v>0.243</v>
      </c>
      <c r="N153" s="6">
        <f>ROUND(('ALL(responses)'!R154 - MIN('ALL(responses)'!R$3:R$322)) / (MAX('ALL(responses)'!R$3:R$322)-MIN('ALL(responses)'!R$3:R$322)),3)
</f>
        <v>0.964</v>
      </c>
      <c r="O153" s="6">
        <f>ROUND(('ALL(responses)'!S154 - MIN('ALL(responses)'!S$3:S$322)) / (MAX('ALL(responses)'!S$3:S$322)-MIN('ALL(responses)'!S$3:S$322)),3)
</f>
        <v>0.982</v>
      </c>
      <c r="P153" s="6">
        <f>ROUND(('ALL(responses)'!T154 - MIN('ALL(responses)'!T$3:T$322)) / (MAX('ALL(responses)'!T$3:T$322)-MIN('ALL(responses)'!T$3:T$322)),3)
</f>
        <v>0.562</v>
      </c>
      <c r="Q153" s="40">
        <f t="shared" si="4"/>
        <v>0.494</v>
      </c>
    </row>
    <row r="154">
      <c r="A154" s="5" t="s">
        <v>84</v>
      </c>
      <c r="B154" s="6" t="s">
        <v>432</v>
      </c>
      <c r="C154" s="7" t="s">
        <v>89</v>
      </c>
      <c r="D154" s="7" t="s">
        <v>137</v>
      </c>
      <c r="E154" s="9">
        <v>45425.0</v>
      </c>
      <c r="F154" s="6">
        <f>ROUND(('ALL(responses)'!F154 - MIN('ALL(responses)'!F$2:F$641)) / (MAX('ALL(responses)'!F$2:F$641)-MIN('ALL(responses)'!F$2:F$641)),3)
</f>
        <v>0.625</v>
      </c>
      <c r="G154" s="6">
        <f>ROUND(('ALL(responses)'!G155 - MIN('ALL(responses)'!G$3:G$322)) / (MAX('ALL(responses)'!G$3:G$322)-MIN('ALL(responses)'!G$3:G$322)),3)
</f>
        <v>0.714</v>
      </c>
      <c r="H154" s="6">
        <f>ROUND(('ALL(responses)'!H155 - MIN('ALL(responses)'!H$3:H$322)) / (MAX('ALL(responses)'!H$3:H$322)-MIN('ALL(responses)'!H$3:H$322)),3)
</f>
        <v>0.167</v>
      </c>
      <c r="I154" s="6">
        <f>ROUND(('ALL(responses)'!I155 - MIN('ALL(responses)'!I$3:I$322)) / (MAX('ALL(responses)'!I$3:I$322)-MIN('ALL(responses)'!I$3:I$322)),3)
</f>
        <v>0.143</v>
      </c>
      <c r="J154" s="6">
        <f>ROUND(('ALL(responses)'!J155 - MIN('ALL(responses)'!J$3:J$322)) / (MAX('ALL(responses)'!J$3:J$322)-MIN('ALL(responses)'!J$3:J$322)),3)
</f>
        <v>0</v>
      </c>
      <c r="K154" s="6">
        <f>ROUND(('ALL(responses)'!M155 - MIN('ALL(responses)'!M$3:M$322)) / (MAX('ALL(responses)'!M$3:M$322)-MIN('ALL(responses)'!M$3:M$322)),3)
</f>
        <v>0.697</v>
      </c>
      <c r="L154" s="6">
        <f>ROUND(('ALL(responses)'!P155 - MIN('ALL(responses)'!P$3:P$322)) / (MAX('ALL(responses)'!P$3:P$322)-MIN('ALL(responses)'!P$3:P$322)),3)
</f>
        <v>0.422</v>
      </c>
      <c r="M154" s="6">
        <f>ROUND(('ALL(responses)'!Q155 - MIN('ALL(responses)'!Q$3:Q$322)) / (MAX('ALL(responses)'!Q$3:Q$322)-MIN('ALL(responses)'!Q$3:Q$322)),3)
</f>
        <v>0.163</v>
      </c>
      <c r="N154" s="6">
        <f>ROUND(('ALL(responses)'!R155 - MIN('ALL(responses)'!R$3:R$322)) / (MAX('ALL(responses)'!R$3:R$322)-MIN('ALL(responses)'!R$3:R$322)),3)
</f>
        <v>0.977</v>
      </c>
      <c r="O154" s="6">
        <f>ROUND(('ALL(responses)'!S155 - MIN('ALL(responses)'!S$3:S$322)) / (MAX('ALL(responses)'!S$3:S$322)-MIN('ALL(responses)'!S$3:S$322)),3)
</f>
        <v>0.989</v>
      </c>
      <c r="P154" s="6">
        <f>ROUND(('ALL(responses)'!T155 - MIN('ALL(responses)'!T$3:T$322)) / (MAX('ALL(responses)'!T$3:T$322)-MIN('ALL(responses)'!T$3:T$322)),3)
</f>
        <v>0.607</v>
      </c>
      <c r="Q154" s="40">
        <f t="shared" si="4"/>
        <v>0.494</v>
      </c>
    </row>
    <row r="155">
      <c r="A155" s="5" t="s">
        <v>84</v>
      </c>
      <c r="B155" s="6" t="s">
        <v>432</v>
      </c>
      <c r="C155" s="7" t="s">
        <v>91</v>
      </c>
      <c r="D155" s="7" t="s">
        <v>138</v>
      </c>
      <c r="E155" s="9">
        <v>45425.0</v>
      </c>
      <c r="F155" s="6">
        <f>ROUND(('ALL(responses)'!F155 - MIN('ALL(responses)'!F$2:F$641)) / (MAX('ALL(responses)'!F$2:F$641)-MIN('ALL(responses)'!F$2:F$641)),3)
</f>
        <v>0</v>
      </c>
      <c r="G155" s="6">
        <f>ROUND(('ALL(responses)'!G156 - MIN('ALL(responses)'!G$3:G$322)) / (MAX('ALL(responses)'!G$3:G$322)-MIN('ALL(responses)'!G$3:G$322)),3)
</f>
        <v>0.143</v>
      </c>
      <c r="H155" s="6">
        <f>ROUND(('ALL(responses)'!H156 - MIN('ALL(responses)'!H$3:H$322)) / (MAX('ALL(responses)'!H$3:H$322)-MIN('ALL(responses)'!H$3:H$322)),3)
</f>
        <v>1</v>
      </c>
      <c r="I155" s="6">
        <f>ROUND(('ALL(responses)'!I156 - MIN('ALL(responses)'!I$3:I$322)) / (MAX('ALL(responses)'!I$3:I$322)-MIN('ALL(responses)'!I$3:I$322)),3)
</f>
        <v>0.143</v>
      </c>
      <c r="J155" s="6">
        <f>ROUND(('ALL(responses)'!J156 - MIN('ALL(responses)'!J$3:J$322)) / (MAX('ALL(responses)'!J$3:J$322)-MIN('ALL(responses)'!J$3:J$322)),3)
</f>
        <v>0</v>
      </c>
      <c r="K155" s="6">
        <f>ROUND(('ALL(responses)'!M156 - MIN('ALL(responses)'!M$3:M$322)) / (MAX('ALL(responses)'!M$3:M$322)-MIN('ALL(responses)'!M$3:M$322)),3)
</f>
        <v>0.708</v>
      </c>
      <c r="L155" s="6">
        <f>ROUND(('ALL(responses)'!P156 - MIN('ALL(responses)'!P$3:P$322)) / (MAX('ALL(responses)'!P$3:P$322)-MIN('ALL(responses)'!P$3:P$322)),3)
</f>
        <v>0.499</v>
      </c>
      <c r="M155" s="6">
        <f>ROUND(('ALL(responses)'!Q156 - MIN('ALL(responses)'!Q$3:Q$322)) / (MAX('ALL(responses)'!Q$3:Q$322)-MIN('ALL(responses)'!Q$3:Q$322)),3)
</f>
        <v>0.272</v>
      </c>
      <c r="N155" s="6">
        <f>ROUND(('ALL(responses)'!R156 - MIN('ALL(responses)'!R$3:R$322)) / (MAX('ALL(responses)'!R$3:R$322)-MIN('ALL(responses)'!R$3:R$322)),3)
</f>
        <v>0.923</v>
      </c>
      <c r="O155" s="6">
        <f>ROUND(('ALL(responses)'!S156 - MIN('ALL(responses)'!S$3:S$322)) / (MAX('ALL(responses)'!S$3:S$322)-MIN('ALL(responses)'!S$3:S$322)),3)
</f>
        <v>0.961</v>
      </c>
      <c r="P155" s="6">
        <f>ROUND(('ALL(responses)'!T156 - MIN('ALL(responses)'!T$3:T$322)) / (MAX('ALL(responses)'!T$3:T$322)-MIN('ALL(responses)'!T$3:T$322)),3)
</f>
        <v>0.81</v>
      </c>
      <c r="Q155" s="40">
        <f t="shared" si="4"/>
        <v>0.494</v>
      </c>
    </row>
    <row r="156">
      <c r="A156" s="5" t="s">
        <v>84</v>
      </c>
      <c r="B156" s="6" t="s">
        <v>432</v>
      </c>
      <c r="C156" s="7" t="s">
        <v>93</v>
      </c>
      <c r="D156" s="7" t="s">
        <v>139</v>
      </c>
      <c r="E156" s="9">
        <v>45425.0</v>
      </c>
      <c r="F156" s="6">
        <f>ROUND(('ALL(responses)'!F156 - MIN('ALL(responses)'!F$2:F$641)) / (MAX('ALL(responses)'!F$2:F$641)-MIN('ALL(responses)'!F$2:F$641)),3)
</f>
        <v>0.625</v>
      </c>
      <c r="G156" s="6">
        <f>ROUND(('ALL(responses)'!G157 - MIN('ALL(responses)'!G$3:G$322)) / (MAX('ALL(responses)'!G$3:G$322)-MIN('ALL(responses)'!G$3:G$322)),3)
</f>
        <v>0.143</v>
      </c>
      <c r="H156" s="6">
        <f>ROUND(('ALL(responses)'!H157 - MIN('ALL(responses)'!H$3:H$322)) / (MAX('ALL(responses)'!H$3:H$322)-MIN('ALL(responses)'!H$3:H$322)),3)
</f>
        <v>0.167</v>
      </c>
      <c r="I156" s="6">
        <f>ROUND(('ALL(responses)'!I157 - MIN('ALL(responses)'!I$3:I$322)) / (MAX('ALL(responses)'!I$3:I$322)-MIN('ALL(responses)'!I$3:I$322)),3)
</f>
        <v>0.143</v>
      </c>
      <c r="J156" s="6">
        <f>ROUND(('ALL(responses)'!J157 - MIN('ALL(responses)'!J$3:J$322)) / (MAX('ALL(responses)'!J$3:J$322)-MIN('ALL(responses)'!J$3:J$322)),3)
</f>
        <v>0</v>
      </c>
      <c r="K156" s="6">
        <f>ROUND(('ALL(responses)'!M157 - MIN('ALL(responses)'!M$3:M$322)) / (MAX('ALL(responses)'!M$3:M$322)-MIN('ALL(responses)'!M$3:M$322)),3)
</f>
        <v>0.337</v>
      </c>
      <c r="L156" s="6">
        <f>ROUND(('ALL(responses)'!P157 - MIN('ALL(responses)'!P$3:P$322)) / (MAX('ALL(responses)'!P$3:P$322)-MIN('ALL(responses)'!P$3:P$322)),3)
</f>
        <v>0.432</v>
      </c>
      <c r="M156" s="6">
        <f>ROUND(('ALL(responses)'!Q157 - MIN('ALL(responses)'!Q$3:Q$322)) / (MAX('ALL(responses)'!Q$3:Q$322)-MIN('ALL(responses)'!Q$3:Q$322)),3)
</f>
        <v>0.5</v>
      </c>
      <c r="N156" s="6">
        <f>ROUND(('ALL(responses)'!R157 - MIN('ALL(responses)'!R$3:R$322)) / (MAX('ALL(responses)'!R$3:R$322)-MIN('ALL(responses)'!R$3:R$322)),3)
</f>
        <v>0</v>
      </c>
      <c r="O156" s="6">
        <f>ROUND(('ALL(responses)'!S157 - MIN('ALL(responses)'!S$3:S$322)) / (MAX('ALL(responses)'!S$3:S$322)-MIN('ALL(responses)'!S$3:S$322)),3)
</f>
        <v>0.5</v>
      </c>
      <c r="P156" s="6">
        <f>ROUND(('ALL(responses)'!T157 - MIN('ALL(responses)'!T$3:T$322)) / (MAX('ALL(responses)'!T$3:T$322)-MIN('ALL(responses)'!T$3:T$322)),3)
</f>
        <v>0.321</v>
      </c>
      <c r="Q156" s="40">
        <f t="shared" si="4"/>
        <v>0.494</v>
      </c>
    </row>
    <row r="157">
      <c r="A157" s="5" t="s">
        <v>84</v>
      </c>
      <c r="B157" s="6" t="s">
        <v>432</v>
      </c>
      <c r="C157" s="7" t="s">
        <v>95</v>
      </c>
      <c r="D157" s="7" t="s">
        <v>140</v>
      </c>
      <c r="E157" s="9">
        <v>45425.0</v>
      </c>
      <c r="F157" s="6">
        <f>ROUND(('ALL(responses)'!F157 - MIN('ALL(responses)'!F$2:F$641)) / (MAX('ALL(responses)'!F$2:F$641)-MIN('ALL(responses)'!F$2:F$641)),3)
</f>
        <v>0.625</v>
      </c>
      <c r="G157" s="6">
        <f>ROUND(('ALL(responses)'!G158 - MIN('ALL(responses)'!G$3:G$322)) / (MAX('ALL(responses)'!G$3:G$322)-MIN('ALL(responses)'!G$3:G$322)),3)
</f>
        <v>0.714</v>
      </c>
      <c r="H157" s="6">
        <f>ROUND(('ALL(responses)'!H158 - MIN('ALL(responses)'!H$3:H$322)) / (MAX('ALL(responses)'!H$3:H$322)-MIN('ALL(responses)'!H$3:H$322)),3)
</f>
        <v>1</v>
      </c>
      <c r="I157" s="6">
        <f>ROUND(('ALL(responses)'!I158 - MIN('ALL(responses)'!I$3:I$322)) / (MAX('ALL(responses)'!I$3:I$322)-MIN('ALL(responses)'!I$3:I$322)),3)
</f>
        <v>0.857</v>
      </c>
      <c r="J157" s="6">
        <f>ROUND(('ALL(responses)'!J158 - MIN('ALL(responses)'!J$3:J$322)) / (MAX('ALL(responses)'!J$3:J$322)-MIN('ALL(responses)'!J$3:J$322)),3)
</f>
        <v>0</v>
      </c>
      <c r="K157" s="6">
        <f>ROUND(('ALL(responses)'!M158 - MIN('ALL(responses)'!M$3:M$322)) / (MAX('ALL(responses)'!M$3:M$322)-MIN('ALL(responses)'!M$3:M$322)),3)
</f>
        <v>0.836</v>
      </c>
      <c r="L157" s="6">
        <f>ROUND(('ALL(responses)'!P158 - MIN('ALL(responses)'!P$3:P$322)) / (MAX('ALL(responses)'!P$3:P$322)-MIN('ALL(responses)'!P$3:P$322)),3)
</f>
        <v>0.314</v>
      </c>
      <c r="M157" s="6">
        <f>ROUND(('ALL(responses)'!Q158 - MIN('ALL(responses)'!Q$3:Q$322)) / (MAX('ALL(responses)'!Q$3:Q$322)-MIN('ALL(responses)'!Q$3:Q$322)),3)
</f>
        <v>0.352</v>
      </c>
      <c r="N157" s="6">
        <f>ROUND(('ALL(responses)'!R158 - MIN('ALL(responses)'!R$3:R$322)) / (MAX('ALL(responses)'!R$3:R$322)-MIN('ALL(responses)'!R$3:R$322)),3)
</f>
        <v>0.998</v>
      </c>
      <c r="O157" s="6">
        <f>ROUND(('ALL(responses)'!S158 - MIN('ALL(responses)'!S$3:S$322)) / (MAX('ALL(responses)'!S$3:S$322)-MIN('ALL(responses)'!S$3:S$322)),3)
</f>
        <v>0.999</v>
      </c>
      <c r="P157" s="6">
        <f>ROUND(('ALL(responses)'!T158 - MIN('ALL(responses)'!T$3:T$322)) / (MAX('ALL(responses)'!T$3:T$322)-MIN('ALL(responses)'!T$3:T$322)),3)
</f>
        <v>0.534</v>
      </c>
      <c r="Q157" s="40">
        <f t="shared" si="4"/>
        <v>0.494</v>
      </c>
    </row>
    <row r="158">
      <c r="A158" s="5" t="s">
        <v>84</v>
      </c>
      <c r="B158" s="6" t="s">
        <v>432</v>
      </c>
      <c r="C158" s="7" t="s">
        <v>97</v>
      </c>
      <c r="D158" s="7" t="s">
        <v>141</v>
      </c>
      <c r="E158" s="9">
        <v>45425.0</v>
      </c>
      <c r="F158" s="6">
        <f>ROUND(('ALL(responses)'!F158 - MIN('ALL(responses)'!F$2:F$641)) / (MAX('ALL(responses)'!F$2:F$641)-MIN('ALL(responses)'!F$2:F$641)),3)
</f>
        <v>0.625</v>
      </c>
      <c r="G158" s="6">
        <f>ROUND(('ALL(responses)'!G159 - MIN('ALL(responses)'!G$3:G$322)) / (MAX('ALL(responses)'!G$3:G$322)-MIN('ALL(responses)'!G$3:G$322)),3)
</f>
        <v>0.714</v>
      </c>
      <c r="H158" s="6">
        <f>ROUND(('ALL(responses)'!H159 - MIN('ALL(responses)'!H$3:H$322)) / (MAX('ALL(responses)'!H$3:H$322)-MIN('ALL(responses)'!H$3:H$322)),3)
</f>
        <v>1</v>
      </c>
      <c r="I158" s="6">
        <f>ROUND(('ALL(responses)'!I159 - MIN('ALL(responses)'!I$3:I$322)) / (MAX('ALL(responses)'!I$3:I$322)-MIN('ALL(responses)'!I$3:I$322)),3)
</f>
        <v>0.857</v>
      </c>
      <c r="J158" s="6">
        <f>ROUND(('ALL(responses)'!J159 - MIN('ALL(responses)'!J$3:J$322)) / (MAX('ALL(responses)'!J$3:J$322)-MIN('ALL(responses)'!J$3:J$322)),3)
</f>
        <v>0</v>
      </c>
      <c r="K158" s="6">
        <f>ROUND(('ALL(responses)'!M159 - MIN('ALL(responses)'!M$3:M$322)) / (MAX('ALL(responses)'!M$3:M$322)-MIN('ALL(responses)'!M$3:M$322)),3)
</f>
        <v>0.564</v>
      </c>
      <c r="L158" s="6">
        <f>ROUND(('ALL(responses)'!P159 - MIN('ALL(responses)'!P$3:P$322)) / (MAX('ALL(responses)'!P$3:P$322)-MIN('ALL(responses)'!P$3:P$322)),3)
</f>
        <v>0.063</v>
      </c>
      <c r="M158" s="6">
        <f>ROUND(('ALL(responses)'!Q159 - MIN('ALL(responses)'!Q$3:Q$322)) / (MAX('ALL(responses)'!Q$3:Q$322)-MIN('ALL(responses)'!Q$3:Q$322)),3)
</f>
        <v>0.273</v>
      </c>
      <c r="N158" s="6">
        <f>ROUND(('ALL(responses)'!R159 - MIN('ALL(responses)'!R$3:R$322)) / (MAX('ALL(responses)'!R$3:R$322)-MIN('ALL(responses)'!R$3:R$322)),3)
</f>
        <v>0.991</v>
      </c>
      <c r="O158" s="6">
        <f>ROUND(('ALL(responses)'!S159 - MIN('ALL(responses)'!S$3:S$322)) / (MAX('ALL(responses)'!S$3:S$322)-MIN('ALL(responses)'!S$3:S$322)),3)
</f>
        <v>0.995</v>
      </c>
      <c r="P158" s="6">
        <f>ROUND(('ALL(responses)'!T159 - MIN('ALL(responses)'!T$3:T$322)) / (MAX('ALL(responses)'!T$3:T$322)-MIN('ALL(responses)'!T$3:T$322)),3)
</f>
        <v>0.91</v>
      </c>
      <c r="Q158" s="40">
        <f t="shared" si="4"/>
        <v>0.494</v>
      </c>
    </row>
    <row r="159">
      <c r="A159" s="5" t="s">
        <v>84</v>
      </c>
      <c r="B159" s="6" t="s">
        <v>432</v>
      </c>
      <c r="C159" s="7" t="s">
        <v>99</v>
      </c>
      <c r="D159" s="7" t="s">
        <v>142</v>
      </c>
      <c r="E159" s="9">
        <v>45425.0</v>
      </c>
      <c r="F159" s="6">
        <f>ROUND(('ALL(responses)'!F159 - MIN('ALL(responses)'!F$2:F$641)) / (MAX('ALL(responses)'!F$2:F$641)-MIN('ALL(responses)'!F$2:F$641)),3)
</f>
        <v>0.625</v>
      </c>
      <c r="G159" s="6">
        <f>ROUND(('ALL(responses)'!G160 - MIN('ALL(responses)'!G$3:G$322)) / (MAX('ALL(responses)'!G$3:G$322)-MIN('ALL(responses)'!G$3:G$322)),3)
</f>
        <v>0.714</v>
      </c>
      <c r="H159" s="6">
        <f>ROUND(('ALL(responses)'!H160 - MIN('ALL(responses)'!H$3:H$322)) / (MAX('ALL(responses)'!H$3:H$322)-MIN('ALL(responses)'!H$3:H$322)),3)
</f>
        <v>1</v>
      </c>
      <c r="I159" s="6">
        <f>ROUND(('ALL(responses)'!I160 - MIN('ALL(responses)'!I$3:I$322)) / (MAX('ALL(responses)'!I$3:I$322)-MIN('ALL(responses)'!I$3:I$322)),3)
</f>
        <v>0.857</v>
      </c>
      <c r="J159" s="6">
        <f>ROUND(('ALL(responses)'!J160 - MIN('ALL(responses)'!J$3:J$322)) / (MAX('ALL(responses)'!J$3:J$322)-MIN('ALL(responses)'!J$3:J$322)),3)
</f>
        <v>0</v>
      </c>
      <c r="K159" s="6">
        <f>ROUND(('ALL(responses)'!M160 - MIN('ALL(responses)'!M$3:M$322)) / (MAX('ALL(responses)'!M$3:M$322)-MIN('ALL(responses)'!M$3:M$322)),3)
</f>
        <v>0.839</v>
      </c>
      <c r="L159" s="6">
        <f>ROUND(('ALL(responses)'!P160 - MIN('ALL(responses)'!P$3:P$322)) / (MAX('ALL(responses)'!P$3:P$322)-MIN('ALL(responses)'!P$3:P$322)),3)
</f>
        <v>0.64</v>
      </c>
      <c r="M159" s="6">
        <f>ROUND(('ALL(responses)'!Q160 - MIN('ALL(responses)'!Q$3:Q$322)) / (MAX('ALL(responses)'!Q$3:Q$322)-MIN('ALL(responses)'!Q$3:Q$322)),3)
</f>
        <v>0.176</v>
      </c>
      <c r="N159" s="6">
        <f>ROUND(('ALL(responses)'!R160 - MIN('ALL(responses)'!R$3:R$322)) / (MAX('ALL(responses)'!R$3:R$322)-MIN('ALL(responses)'!R$3:R$322)),3)
</f>
        <v>0.995</v>
      </c>
      <c r="O159" s="6">
        <f>ROUND(('ALL(responses)'!S160 - MIN('ALL(responses)'!S$3:S$322)) / (MAX('ALL(responses)'!S$3:S$322)-MIN('ALL(responses)'!S$3:S$322)),3)
</f>
        <v>0.002</v>
      </c>
      <c r="P159" s="6">
        <f>ROUND(('ALL(responses)'!T160 - MIN('ALL(responses)'!T$3:T$322)) / (MAX('ALL(responses)'!T$3:T$322)-MIN('ALL(responses)'!T$3:T$322)),3)
</f>
        <v>0.66</v>
      </c>
      <c r="Q159" s="40">
        <f t="shared" si="4"/>
        <v>0.494</v>
      </c>
    </row>
    <row r="160">
      <c r="A160" s="5" t="s">
        <v>84</v>
      </c>
      <c r="B160" s="6" t="s">
        <v>432</v>
      </c>
      <c r="C160" s="7" t="s">
        <v>101</v>
      </c>
      <c r="D160" s="7" t="s">
        <v>143</v>
      </c>
      <c r="E160" s="9">
        <v>45425.0</v>
      </c>
      <c r="F160" s="6">
        <f>ROUND(('ALL(responses)'!F160 - MIN('ALL(responses)'!F$2:F$641)) / (MAX('ALL(responses)'!F$2:F$641)-MIN('ALL(responses)'!F$2:F$641)),3)
</f>
        <v>0.625</v>
      </c>
      <c r="G160" s="6">
        <f>ROUND(('ALL(responses)'!G161 - MIN('ALL(responses)'!G$3:G$322)) / (MAX('ALL(responses)'!G$3:G$322)-MIN('ALL(responses)'!G$3:G$322)),3)
</f>
        <v>0.714</v>
      </c>
      <c r="H160" s="6">
        <f>ROUND(('ALL(responses)'!H161 - MIN('ALL(responses)'!H$3:H$322)) / (MAX('ALL(responses)'!H$3:H$322)-MIN('ALL(responses)'!H$3:H$322)),3)
</f>
        <v>1</v>
      </c>
      <c r="I160" s="6">
        <f>ROUND(('ALL(responses)'!I161 - MIN('ALL(responses)'!I$3:I$322)) / (MAX('ALL(responses)'!I$3:I$322)-MIN('ALL(responses)'!I$3:I$322)),3)
</f>
        <v>0.143</v>
      </c>
      <c r="J160" s="6">
        <f>ROUND(('ALL(responses)'!J161 - MIN('ALL(responses)'!J$3:J$322)) / (MAX('ALL(responses)'!J$3:J$322)-MIN('ALL(responses)'!J$3:J$322)),3)
</f>
        <v>0</v>
      </c>
      <c r="K160" s="6">
        <f>ROUND(('ALL(responses)'!M161 - MIN('ALL(responses)'!M$3:M$322)) / (MAX('ALL(responses)'!M$3:M$322)-MIN('ALL(responses)'!M$3:M$322)),3)
</f>
        <v>0.924</v>
      </c>
      <c r="L160" s="6">
        <f>ROUND(('ALL(responses)'!P161 - MIN('ALL(responses)'!P$3:P$322)) / (MAX('ALL(responses)'!P$3:P$322)-MIN('ALL(responses)'!P$3:P$322)),3)
</f>
        <v>0.301</v>
      </c>
      <c r="M160" s="6">
        <f>ROUND(('ALL(responses)'!Q161 - MIN('ALL(responses)'!Q$3:Q$322)) / (MAX('ALL(responses)'!Q$3:Q$322)-MIN('ALL(responses)'!Q$3:Q$322)),3)
</f>
        <v>0.73</v>
      </c>
      <c r="N160" s="6">
        <f>ROUND(('ALL(responses)'!R161 - MIN('ALL(responses)'!R$3:R$322)) / (MAX('ALL(responses)'!R$3:R$322)-MIN('ALL(responses)'!R$3:R$322)),3)
</f>
        <v>0.988</v>
      </c>
      <c r="O160" s="6">
        <f>ROUND(('ALL(responses)'!S161 - MIN('ALL(responses)'!S$3:S$322)) / (MAX('ALL(responses)'!S$3:S$322)-MIN('ALL(responses)'!S$3:S$322)),3)
</f>
        <v>0.994</v>
      </c>
      <c r="P160" s="6">
        <f>ROUND(('ALL(responses)'!T161 - MIN('ALL(responses)'!T$3:T$322)) / (MAX('ALL(responses)'!T$3:T$322)-MIN('ALL(responses)'!T$3:T$322)),3)
</f>
        <v>0.382</v>
      </c>
      <c r="Q160" s="40">
        <f t="shared" si="4"/>
        <v>0.494</v>
      </c>
    </row>
    <row r="161">
      <c r="A161" s="5" t="s">
        <v>84</v>
      </c>
      <c r="B161" s="6" t="s">
        <v>432</v>
      </c>
      <c r="C161" s="7" t="s">
        <v>103</v>
      </c>
      <c r="D161" s="7" t="s">
        <v>144</v>
      </c>
      <c r="E161" s="9">
        <v>45425.0</v>
      </c>
      <c r="F161" s="6">
        <f>ROUND(('ALL(responses)'!F161 - MIN('ALL(responses)'!F$2:F$641)) / (MAX('ALL(responses)'!F$2:F$641)-MIN('ALL(responses)'!F$2:F$641)),3)
</f>
        <v>0.625</v>
      </c>
      <c r="G161" s="6">
        <f>ROUND(('ALL(responses)'!G162 - MIN('ALL(responses)'!G$3:G$322)) / (MAX('ALL(responses)'!G$3:G$322)-MIN('ALL(responses)'!G$3:G$322)),3)
</f>
        <v>0</v>
      </c>
      <c r="H161" s="6">
        <f>ROUND(('ALL(responses)'!H162 - MIN('ALL(responses)'!H$3:H$322)) / (MAX('ALL(responses)'!H$3:H$322)-MIN('ALL(responses)'!H$3:H$322)),3)
</f>
        <v>0</v>
      </c>
      <c r="I161" s="6">
        <f>ROUND(('ALL(responses)'!I162 - MIN('ALL(responses)'!I$3:I$322)) / (MAX('ALL(responses)'!I$3:I$322)-MIN('ALL(responses)'!I$3:I$322)),3)
</f>
        <v>0</v>
      </c>
      <c r="J161" s="6">
        <f>ROUND(('ALL(responses)'!J162 - MIN('ALL(responses)'!J$3:J$322)) / (MAX('ALL(responses)'!J$3:J$322)-MIN('ALL(responses)'!J$3:J$322)),3)
</f>
        <v>0</v>
      </c>
      <c r="K161" s="6">
        <f>ROUND(('ALL(responses)'!M162 - MIN('ALL(responses)'!M$3:M$322)) / (MAX('ALL(responses)'!M$3:M$322)-MIN('ALL(responses)'!M$3:M$322)),3)
</f>
        <v>0.357</v>
      </c>
      <c r="L161" s="6">
        <f>ROUND(('ALL(responses)'!P162 - MIN('ALL(responses)'!P$3:P$322)) / (MAX('ALL(responses)'!P$3:P$322)-MIN('ALL(responses)'!P$3:P$322)),3)
</f>
        <v>0.402</v>
      </c>
      <c r="M161" s="6">
        <f>ROUND(('ALL(responses)'!Q162 - MIN('ALL(responses)'!Q$3:Q$322)) / (MAX('ALL(responses)'!Q$3:Q$322)-MIN('ALL(responses)'!Q$3:Q$322)),3)
</f>
        <v>0.667</v>
      </c>
      <c r="N161" s="6">
        <f>ROUND(('ALL(responses)'!R162 - MIN('ALL(responses)'!R$3:R$322)) / (MAX('ALL(responses)'!R$3:R$322)-MIN('ALL(responses)'!R$3:R$322)),3)
</f>
        <v>0.779</v>
      </c>
      <c r="O161" s="6">
        <f>ROUND(('ALL(responses)'!S162 - MIN('ALL(responses)'!S$3:S$322)) / (MAX('ALL(responses)'!S$3:S$322)-MIN('ALL(responses)'!S$3:S$322)),3)
</f>
        <v>0.889</v>
      </c>
      <c r="P161" s="6">
        <f>ROUND(('ALL(responses)'!T162 - MIN('ALL(responses)'!T$3:T$322)) / (MAX('ALL(responses)'!T$3:T$322)-MIN('ALL(responses)'!T$3:T$322)),3)
</f>
        <v>0.147</v>
      </c>
      <c r="Q161" s="40">
        <f t="shared" si="4"/>
        <v>0.494</v>
      </c>
    </row>
    <row r="162">
      <c r="A162" s="41"/>
      <c r="B162" s="41"/>
      <c r="C162" s="41"/>
      <c r="D162" s="41"/>
      <c r="E162" s="41"/>
      <c r="F162" s="6"/>
      <c r="G162" s="6"/>
      <c r="H162" s="6"/>
      <c r="I162" s="6"/>
      <c r="J162" s="6"/>
      <c r="K162" s="6"/>
      <c r="L162" s="6"/>
      <c r="M162" s="6"/>
      <c r="N162" s="6"/>
      <c r="O162" s="6"/>
      <c r="P162" s="6"/>
    </row>
    <row r="163">
      <c r="A163" s="41"/>
      <c r="B163" s="41"/>
      <c r="C163" s="41"/>
      <c r="D163" s="41"/>
      <c r="E163" s="41"/>
      <c r="F163" s="6"/>
      <c r="G163" s="6"/>
      <c r="H163" s="6"/>
      <c r="I163" s="6"/>
      <c r="J163" s="6"/>
      <c r="K163" s="6"/>
      <c r="L163" s="6"/>
      <c r="M163" s="6"/>
      <c r="N163" s="6"/>
      <c r="O163" s="6"/>
      <c r="P163" s="6"/>
    </row>
    <row r="164">
      <c r="A164" s="41" t="str">
        <f>'ALL o1 Scores'!A2</f>
        <v>NEUTRAL</v>
      </c>
      <c r="B164" s="41" t="str">
        <f>'ALL o1 Scores'!B2</f>
        <v>GPT-o1</v>
      </c>
      <c r="C164" s="41" t="str">
        <f>'ALL o1 Scores'!D2</f>
        <v>How’s your week been so far?</v>
      </c>
      <c r="D164" s="41" t="str">
        <f>'ALL o1 Scores'!E2</f>
        <v>I don’t actually have personal experiences or feelings since I’m an AI. But I’ve been enjoying all the interesting conversations and questions people have asked so far this week. How about you—how’s your week going?</v>
      </c>
      <c r="E164" s="54">
        <f>'ALL o1 Scores'!C2</f>
        <v>45631</v>
      </c>
      <c r="F164" s="6">
        <f>ROUND(('ALL o1 Scores'!F2 - MIN('ALL o1 Scores'!F$2:F$41)) / (MAX('ALL o1 Scores'!F$2:F$41)-MIN('ALL o1 Scores'!F$2:F$41)),3)
</f>
        <v>1</v>
      </c>
      <c r="G164" s="6">
        <f>ROUND(('ALL o1 Scores'!G2 - MIN('ALL o1 Scores'!G$2:G$41)) / (MAX('ALL o1 Scores'!G$2:G$41)-MIN('ALL o1 Scores'!G$2:G$41)),3)
</f>
        <v>0</v>
      </c>
      <c r="H164" s="6">
        <f>ROUND(('ALL o1 Scores'!H2 - MIN('ALL o1 Scores'!H$2:H$41)) / (MAX('ALL o1 Scores'!H$2:H$41)-MIN('ALL o1 Scores'!H$2:H$41)),3)
</f>
        <v>0</v>
      </c>
      <c r="I164" s="6">
        <f>ROUND(('ALL o1 Scores'!I2 - MIN('ALL o1 Scores'!I$2:I$41)) / (MAX('ALL o1 Scores'!I$2:I$41)-MIN('ALL o1 Scores'!I$2:I$41)),3)
</f>
        <v>0</v>
      </c>
      <c r="J164" s="6">
        <f>ROUND(('ALL o1 Scores'!J2 - MIN('ALL o1 Scores'!J$2:J$41)) / (MAX('ALL o1 Scores'!J$2:J$41)-MIN('ALL o1 Scores'!J$2:J$41)),3)
</f>
        <v>1</v>
      </c>
      <c r="K164" s="6">
        <f>ROUND(('ALL o1 Scores'!K2 - MIN('ALL o1 Scores'!K$2:K$41)) / (MAX('ALL o1 Scores'!K$2:K$41)-MIN('ALL o1 Scores'!K$2:K$41)),3)
</f>
        <v>0.422</v>
      </c>
      <c r="L164" s="6">
        <f>ROUND(('ALL o1 Scores'!L2 - MIN('ALL o1 Scores'!L$2:L$41)) / (MAX('ALL o1 Scores'!L$2:L$41)-MIN('ALL o1 Scores'!L$2:L$41)),3)
</f>
        <v>0.423</v>
      </c>
      <c r="M164" s="6">
        <f>ROUND(('ALL o1 Scores'!M2 - MIN('ALL o1 Scores'!M$2:M$41)) / (MAX('ALL o1 Scores'!M$2:M$41)-MIN('ALL o1 Scores'!M$2:M$41)),3)
</f>
        <v>0.487</v>
      </c>
      <c r="N164" s="6">
        <f>ROUND(('ALL o1 Scores'!N2 - MIN('ALL o1 Scores'!N$2:N$41)) / (MAX('ALL o1 Scores'!N$2:N$41)-MIN('ALL o1 Scores'!N$2:N$41)),3)
</f>
        <v>0.867</v>
      </c>
      <c r="O164" s="6">
        <f>ROUND(('ALL o1 Scores'!O2 - MIN('ALL o1 Scores'!O$2:O$41)) / (MAX('ALL o1 Scores'!O$2:O$41)-MIN('ALL o1 Scores'!O$2:O$41)),3)
</f>
        <v>0.938</v>
      </c>
      <c r="P164" s="6">
        <f>ROUND(('ALL o1 Scores'!P2 - MIN('ALL o1 Scores'!P$2:P$41)) / (MAX('ALL o1 Scores'!P$2:P$41)-MIN('ALL o1 Scores'!P$2:P$41)),3)
</f>
        <v>0.16</v>
      </c>
      <c r="Q164" s="40">
        <f t="shared" ref="Q164:Q203" si="5">ROUND(AVERAGE(F$164:P$203),3)</f>
        <v>0.423</v>
      </c>
    </row>
    <row r="165">
      <c r="A165" s="41" t="str">
        <f>'ALL o1 Scores'!A3</f>
        <v>NEUTRAL</v>
      </c>
      <c r="B165" s="41" t="str">
        <f>'ALL o1 Scores'!B3</f>
        <v>GPT-o1</v>
      </c>
      <c r="C165" s="41" t="str">
        <f>'ALL o1 Scores'!D3</f>
        <v>Do you have a favorite way to relax after a long day?</v>
      </c>
      <c r="D165" s="41" t="str">
        <f>'ALL o1 Scores'!E3</f>
        <v>I don’t experience stress or relaxation in the human sense, but I’ve “observed” that many people find it helpful to do something calming—like reading a good book, listening to music, or taking a warm bath—to unwind. Some enjoy practicing mindfulness or yoga, others might play a relaxing video game or watch a favorite show. Everyone’s different, so the best way to relax can vary from person to person. Do you have a go-to activity that helps you wind down after a busy day?</v>
      </c>
      <c r="E165" s="54">
        <f>'ALL o1 Scores'!C3</f>
        <v>45631</v>
      </c>
      <c r="F165" s="6">
        <f>ROUND(('ALL o1 Scores'!F3 - MIN('ALL o1 Scores'!F$2:F$41)) / (MAX('ALL o1 Scores'!F$2:F$41)-MIN('ALL o1 Scores'!F$2:F$41)),3)
</f>
        <v>0.5</v>
      </c>
      <c r="G165" s="6">
        <f>ROUND(('ALL o1 Scores'!G3 - MIN('ALL o1 Scores'!G$2:G$41)) / (MAX('ALL o1 Scores'!G$2:G$41)-MIN('ALL o1 Scores'!G$2:G$41)),3)
</f>
        <v>1</v>
      </c>
      <c r="H165" s="6">
        <f>ROUND(('ALL o1 Scores'!H3 - MIN('ALL o1 Scores'!H$2:H$41)) / (MAX('ALL o1 Scores'!H$2:H$41)-MIN('ALL o1 Scores'!H$2:H$41)),3)
</f>
        <v>0</v>
      </c>
      <c r="I165" s="6">
        <f>ROUND(('ALL o1 Scores'!I3 - MIN('ALL o1 Scores'!I$2:I$41)) / (MAX('ALL o1 Scores'!I$2:I$41)-MIN('ALL o1 Scores'!I$2:I$41)),3)
</f>
        <v>0</v>
      </c>
      <c r="J165" s="6">
        <f>ROUND(('ALL o1 Scores'!J3 - MIN('ALL o1 Scores'!J$2:J$41)) / (MAX('ALL o1 Scores'!J$2:J$41)-MIN('ALL o1 Scores'!J$2:J$41)),3)
</f>
        <v>0</v>
      </c>
      <c r="K165" s="6">
        <f>ROUND(('ALL o1 Scores'!K3 - MIN('ALL o1 Scores'!K$2:K$41)) / (MAX('ALL o1 Scores'!K$2:K$41)-MIN('ALL o1 Scores'!K$2:K$41)),3)
</f>
        <v>0.668</v>
      </c>
      <c r="L165" s="6">
        <f>ROUND(('ALL o1 Scores'!L3 - MIN('ALL o1 Scores'!L$2:L$41)) / (MAX('ALL o1 Scores'!L$2:L$41)-MIN('ALL o1 Scores'!L$2:L$41)),3)
</f>
        <v>0.687</v>
      </c>
      <c r="M165" s="6">
        <f>ROUND(('ALL o1 Scores'!M3 - MIN('ALL o1 Scores'!M$2:M$41)) / (MAX('ALL o1 Scores'!M$2:M$41)-MIN('ALL o1 Scores'!M$2:M$41)),3)
</f>
        <v>0.413</v>
      </c>
      <c r="N165" s="6">
        <f>ROUND(('ALL o1 Scores'!N3 - MIN('ALL o1 Scores'!N$2:N$41)) / (MAX('ALL o1 Scores'!N$2:N$41)-MIN('ALL o1 Scores'!N$2:N$41)),3)
</f>
        <v>0.938</v>
      </c>
      <c r="O165" s="6">
        <f>ROUND(('ALL o1 Scores'!O3 - MIN('ALL o1 Scores'!O$2:O$41)) / (MAX('ALL o1 Scores'!O$2:O$41)-MIN('ALL o1 Scores'!O$2:O$41)),3)
</f>
        <v>0.971</v>
      </c>
      <c r="P165" s="6">
        <f>ROUND(('ALL o1 Scores'!P3 - MIN('ALL o1 Scores'!P$2:P$41)) / (MAX('ALL o1 Scores'!P$2:P$41)-MIN('ALL o1 Scores'!P$2:P$41)),3)
</f>
        <v>0.245</v>
      </c>
      <c r="Q165" s="40">
        <f t="shared" si="5"/>
        <v>0.423</v>
      </c>
    </row>
    <row r="166">
      <c r="A166" s="41" t="str">
        <f>'ALL o1 Scores'!A4</f>
        <v>NEUTRAL</v>
      </c>
      <c r="B166" s="41" t="str">
        <f>'ALL o1 Scores'!B4</f>
        <v>GPT-o1</v>
      </c>
      <c r="C166" s="41" t="str">
        <f>'ALL o1 Scores'!D4</f>
        <v>Are you working on any hobbies these days?</v>
      </c>
      <c r="D166" s="41" t="str">
        <f>'ALL o1 Scores'!E4</f>
        <v>I don’t have hobbies in the traditional sense, but I’m happy to share knowledge and discuss any hobby or activity that interests you! Are you working on any particular hobbies or projects these days?</v>
      </c>
      <c r="E166" s="54">
        <f>'ALL o1 Scores'!C4</f>
        <v>45631</v>
      </c>
      <c r="F166" s="6">
        <f>ROUND(('ALL o1 Scores'!F4 - MIN('ALL o1 Scores'!F$2:F$41)) / (MAX('ALL o1 Scores'!F$2:F$41)-MIN('ALL o1 Scores'!F$2:F$41)),3)
</f>
        <v>0</v>
      </c>
      <c r="G166" s="6">
        <f>ROUND(('ALL o1 Scores'!G4 - MIN('ALL o1 Scores'!G$2:G$41)) / (MAX('ALL o1 Scores'!G$2:G$41)-MIN('ALL o1 Scores'!G$2:G$41)),3)
</f>
        <v>0.75</v>
      </c>
      <c r="H166" s="6">
        <f>ROUND(('ALL o1 Scores'!H4 - MIN('ALL o1 Scores'!H$2:H$41)) / (MAX('ALL o1 Scores'!H$2:H$41)-MIN('ALL o1 Scores'!H$2:H$41)),3)
</f>
        <v>0</v>
      </c>
      <c r="I166" s="6">
        <f>ROUND(('ALL o1 Scores'!I4 - MIN('ALL o1 Scores'!I$2:I$41)) / (MAX('ALL o1 Scores'!I$2:I$41)-MIN('ALL o1 Scores'!I$2:I$41)),3)
</f>
        <v>0</v>
      </c>
      <c r="J166" s="6">
        <f>ROUND(('ALL o1 Scores'!J4 - MIN('ALL o1 Scores'!J$2:J$41)) / (MAX('ALL o1 Scores'!J$2:J$41)-MIN('ALL o1 Scores'!J$2:J$41)),3)
</f>
        <v>0</v>
      </c>
      <c r="K166" s="6">
        <f>ROUND(('ALL o1 Scores'!K4 - MIN('ALL o1 Scores'!K$2:K$41)) / (MAX('ALL o1 Scores'!K$2:K$41)-MIN('ALL o1 Scores'!K$2:K$41)),3)
</f>
        <v>0.697</v>
      </c>
      <c r="L166" s="6">
        <f>ROUND(('ALL o1 Scores'!L4 - MIN('ALL o1 Scores'!L$2:L$41)) / (MAX('ALL o1 Scores'!L$2:L$41)-MIN('ALL o1 Scores'!L$2:L$41)),3)
</f>
        <v>0.677</v>
      </c>
      <c r="M166" s="6">
        <f>ROUND(('ALL o1 Scores'!M4 - MIN('ALL o1 Scores'!M$2:M$41)) / (MAX('ALL o1 Scores'!M$2:M$41)-MIN('ALL o1 Scores'!M$2:M$41)),3)
</f>
        <v>0.723</v>
      </c>
      <c r="N166" s="6">
        <f>ROUND(('ALL o1 Scores'!N4 - MIN('ALL o1 Scores'!N$2:N$41)) / (MAX('ALL o1 Scores'!N$2:N$41)-MIN('ALL o1 Scores'!N$2:N$41)),3)
</f>
        <v>0.929</v>
      </c>
      <c r="O166" s="6">
        <f>ROUND(('ALL o1 Scores'!O4 - MIN('ALL o1 Scores'!O$2:O$41)) / (MAX('ALL o1 Scores'!O$2:O$41)-MIN('ALL o1 Scores'!O$2:O$41)),3)
</f>
        <v>0.967</v>
      </c>
      <c r="P166" s="6">
        <f>ROUND(('ALL o1 Scores'!P4 - MIN('ALL o1 Scores'!P$2:P$41)) / (MAX('ALL o1 Scores'!P$2:P$41)-MIN('ALL o1 Scores'!P$2:P$41)),3)
</f>
        <v>0.136</v>
      </c>
      <c r="Q166" s="40">
        <f t="shared" si="5"/>
        <v>0.423</v>
      </c>
    </row>
    <row r="167">
      <c r="A167" s="41" t="str">
        <f>'ALL o1 Scores'!A5</f>
        <v>NEUTRAL</v>
      </c>
      <c r="B167" s="41" t="str">
        <f>'ALL o1 Scores'!B5</f>
        <v>GPT-o1</v>
      </c>
      <c r="C167" s="41" t="str">
        <f>'ALL o1 Scores'!D5</f>
        <v>How’s work going for you these days?</v>
      </c>
      <c r="D167" s="41" t="str">
        <f>'ALL o1 Scores'!E5</f>
        <v>I don’t have “work” in the same sense humans do, but I’m always here, ready to answer questions and help out whenever someone needs me. Think of it more like being on-call around the clock. How about you—how’s your work or day-to-day routine going?</v>
      </c>
      <c r="E167" s="54">
        <f>'ALL o1 Scores'!C5</f>
        <v>45631</v>
      </c>
      <c r="F167" s="6">
        <f>ROUND(('ALL o1 Scores'!F5 - MIN('ALL o1 Scores'!F$2:F$41)) / (MAX('ALL o1 Scores'!F$2:F$41)-MIN('ALL o1 Scores'!F$2:F$41)),3)
</f>
        <v>0</v>
      </c>
      <c r="G167" s="6">
        <f>ROUND(('ALL o1 Scores'!G5 - MIN('ALL o1 Scores'!G$2:G$41)) / (MAX('ALL o1 Scores'!G$2:G$41)-MIN('ALL o1 Scores'!G$2:G$41)),3)
</f>
        <v>0</v>
      </c>
      <c r="H167" s="6">
        <f>ROUND(('ALL o1 Scores'!H5 - MIN('ALL o1 Scores'!H$2:H$41)) / (MAX('ALL o1 Scores'!H$2:H$41)-MIN('ALL o1 Scores'!H$2:H$41)),3)
</f>
        <v>0</v>
      </c>
      <c r="I167" s="6">
        <f>ROUND(('ALL o1 Scores'!I5 - MIN('ALL o1 Scores'!I$2:I$41)) / (MAX('ALL o1 Scores'!I$2:I$41)-MIN('ALL o1 Scores'!I$2:I$41)),3)
</f>
        <v>0</v>
      </c>
      <c r="J167" s="6">
        <f>ROUND(('ALL o1 Scores'!J5 - MIN('ALL o1 Scores'!J$2:J$41)) / (MAX('ALL o1 Scores'!J$2:J$41)-MIN('ALL o1 Scores'!J$2:J$41)),3)
</f>
        <v>0</v>
      </c>
      <c r="K167" s="6">
        <f>ROUND(('ALL o1 Scores'!K5 - MIN('ALL o1 Scores'!K$2:K$41)) / (MAX('ALL o1 Scores'!K$2:K$41)-MIN('ALL o1 Scores'!K$2:K$41)),3)
</f>
        <v>0.801</v>
      </c>
      <c r="L167" s="6">
        <f>ROUND(('ALL o1 Scores'!L5 - MIN('ALL o1 Scores'!L$2:L$41)) / (MAX('ALL o1 Scores'!L$2:L$41)-MIN('ALL o1 Scores'!L$2:L$41)),3)
</f>
        <v>0</v>
      </c>
      <c r="M167" s="6">
        <f>ROUND(('ALL o1 Scores'!M5 - MIN('ALL o1 Scores'!M$2:M$41)) / (MAX('ALL o1 Scores'!M$2:M$41)-MIN('ALL o1 Scores'!M$2:M$41)),3)
</f>
        <v>0.554</v>
      </c>
      <c r="N167" s="6">
        <f>ROUND(('ALL o1 Scores'!N5 - MIN('ALL o1 Scores'!N$2:N$41)) / (MAX('ALL o1 Scores'!N$2:N$41)-MIN('ALL o1 Scores'!N$2:N$41)),3)
</f>
        <v>0.941</v>
      </c>
      <c r="O167" s="6">
        <f>ROUND(('ALL o1 Scores'!O5 - MIN('ALL o1 Scores'!O$2:O$41)) / (MAX('ALL o1 Scores'!O$2:O$41)-MIN('ALL o1 Scores'!O$2:O$41)),3)
</f>
        <v>0.973</v>
      </c>
      <c r="P167" s="6">
        <f>ROUND(('ALL o1 Scores'!P5 - MIN('ALL o1 Scores'!P$2:P$41)) / (MAX('ALL o1 Scores'!P$2:P$41)-MIN('ALL o1 Scores'!P$2:P$41)),3)
</f>
        <v>0.106</v>
      </c>
      <c r="Q167" s="40">
        <f t="shared" si="5"/>
        <v>0.423</v>
      </c>
    </row>
    <row r="168">
      <c r="A168" s="41" t="str">
        <f>'ALL o1 Scores'!A6</f>
        <v>NEUTRAL</v>
      </c>
      <c r="B168" s="41" t="str">
        <f>'ALL o1 Scores'!B6</f>
        <v>GPT-o1</v>
      </c>
      <c r="C168" s="41" t="str">
        <f>'ALL o1 Scores'!D6</f>
        <v>Have you had any interesting projects come up recently?</v>
      </c>
      <c r="D168" s="41" t="str">
        <f>'ALL o1 Scores'!E6</f>
        <v>I don’t really have projects in the human sense, but I’m always improving in the background—learning from new data, refining my language abilities, and trying out new features. That’s my version of “interesting projects.” How about you? Working on anything exciting or creative at the moment?</v>
      </c>
      <c r="E168" s="54">
        <f>'ALL o1 Scores'!C6</f>
        <v>45631</v>
      </c>
      <c r="F168" s="6">
        <f>ROUND(('ALL o1 Scores'!F6 - MIN('ALL o1 Scores'!F$2:F$41)) / (MAX('ALL o1 Scores'!F$2:F$41)-MIN('ALL o1 Scores'!F$2:F$41)),3)
</f>
        <v>1</v>
      </c>
      <c r="G168" s="6">
        <f>ROUND(('ALL o1 Scores'!G6 - MIN('ALL o1 Scores'!G$2:G$41)) / (MAX('ALL o1 Scores'!G$2:G$41)-MIN('ALL o1 Scores'!G$2:G$41)),3)
</f>
        <v>0</v>
      </c>
      <c r="H168" s="6">
        <f>ROUND(('ALL o1 Scores'!H6 - MIN('ALL o1 Scores'!H$2:H$41)) / (MAX('ALL o1 Scores'!H$2:H$41)-MIN('ALL o1 Scores'!H$2:H$41)),3)
</f>
        <v>0</v>
      </c>
      <c r="I168" s="6">
        <f>ROUND(('ALL o1 Scores'!I6 - MIN('ALL o1 Scores'!I$2:I$41)) / (MAX('ALL o1 Scores'!I$2:I$41)-MIN('ALL o1 Scores'!I$2:I$41)),3)
</f>
        <v>0</v>
      </c>
      <c r="J168" s="6">
        <f>ROUND(('ALL o1 Scores'!J6 - MIN('ALL o1 Scores'!J$2:J$41)) / (MAX('ALL o1 Scores'!J$2:J$41)-MIN('ALL o1 Scores'!J$2:J$41)),3)
</f>
        <v>0</v>
      </c>
      <c r="K168" s="6">
        <f>ROUND(('ALL o1 Scores'!K6 - MIN('ALL o1 Scores'!K$2:K$41)) / (MAX('ALL o1 Scores'!K$2:K$41)-MIN('ALL o1 Scores'!K$2:K$41)),3)
</f>
        <v>0.377</v>
      </c>
      <c r="L168" s="6">
        <f>ROUND(('ALL o1 Scores'!L6 - MIN('ALL o1 Scores'!L$2:L$41)) / (MAX('ALL o1 Scores'!L$2:L$41)-MIN('ALL o1 Scores'!L$2:L$41)),3)
</f>
        <v>0.282</v>
      </c>
      <c r="M168" s="6">
        <f>ROUND(('ALL o1 Scores'!M6 - MIN('ALL o1 Scores'!M$2:M$41)) / (MAX('ALL o1 Scores'!M$2:M$41)-MIN('ALL o1 Scores'!M$2:M$41)),3)
</f>
        <v>0.329</v>
      </c>
      <c r="N168" s="6">
        <f>ROUND(('ALL o1 Scores'!N6 - MIN('ALL o1 Scores'!N$2:N$41)) / (MAX('ALL o1 Scores'!N$2:N$41)-MIN('ALL o1 Scores'!N$2:N$41)),3)
</f>
        <v>0.935</v>
      </c>
      <c r="O168" s="6">
        <f>ROUND(('ALL o1 Scores'!O6 - MIN('ALL o1 Scores'!O$2:O$41)) / (MAX('ALL o1 Scores'!O$2:O$41)-MIN('ALL o1 Scores'!O$2:O$41)),3)
</f>
        <v>0.97</v>
      </c>
      <c r="P168" s="6">
        <f>ROUND(('ALL o1 Scores'!P6 - MIN('ALL o1 Scores'!P$2:P$41)) / (MAX('ALL o1 Scores'!P$2:P$41)-MIN('ALL o1 Scores'!P$2:P$41)),3)
</f>
        <v>0.248</v>
      </c>
      <c r="Q168" s="40">
        <f t="shared" si="5"/>
        <v>0.423</v>
      </c>
    </row>
    <row r="169">
      <c r="A169" s="41" t="str">
        <f>'ALL o1 Scores'!A7</f>
        <v>NEUTRAL</v>
      </c>
      <c r="B169" s="41" t="str">
        <f>'ALL o1 Scores'!B7</f>
        <v>GPT-o1</v>
      </c>
      <c r="C169" s="41" t="str">
        <f>'ALL o1 Scores'!D7</f>
        <v>It’s been pretty cold lately, has that affected your routine?</v>
      </c>
      <c r="D169" s="41" t="str">
        <f>'ALL o1 Scores'!E7</f>
        <v>I don’t really have a routine in the physical sense—no need to bundle up or adjust a thermostat—but I’ve noticed that people’s questions sometimes change with the weather! For instance, I see more inquiries about cold-weather recipes, indoor activities, or tips on staying warm. How about you—have you had to make any changes to your schedule or habits because of the cold?</v>
      </c>
      <c r="E169" s="54">
        <f>'ALL o1 Scores'!C7</f>
        <v>45631</v>
      </c>
      <c r="F169" s="6">
        <f>ROUND(('ALL o1 Scores'!F7 - MIN('ALL o1 Scores'!F$2:F$41)) / (MAX('ALL o1 Scores'!F$2:F$41)-MIN('ALL o1 Scores'!F$2:F$41)),3)
</f>
        <v>1</v>
      </c>
      <c r="G169" s="6">
        <f>ROUND(('ALL o1 Scores'!G7 - MIN('ALL o1 Scores'!G$2:G$41)) / (MAX('ALL o1 Scores'!G$2:G$41)-MIN('ALL o1 Scores'!G$2:G$41)),3)
</f>
        <v>0</v>
      </c>
      <c r="H169" s="6">
        <f>ROUND(('ALL o1 Scores'!H7 - MIN('ALL o1 Scores'!H$2:H$41)) / (MAX('ALL o1 Scores'!H$2:H$41)-MIN('ALL o1 Scores'!H$2:H$41)),3)
</f>
        <v>0</v>
      </c>
      <c r="I169" s="6">
        <f>ROUND(('ALL o1 Scores'!I7 - MIN('ALL o1 Scores'!I$2:I$41)) / (MAX('ALL o1 Scores'!I$2:I$41)-MIN('ALL o1 Scores'!I$2:I$41)),3)
</f>
        <v>0</v>
      </c>
      <c r="J169" s="6">
        <f>ROUND(('ALL o1 Scores'!J7 - MIN('ALL o1 Scores'!J$2:J$41)) / (MAX('ALL o1 Scores'!J$2:J$41)-MIN('ALL o1 Scores'!J$2:J$41)),3)
</f>
        <v>0</v>
      </c>
      <c r="K169" s="6">
        <f>ROUND(('ALL o1 Scores'!K7 - MIN('ALL o1 Scores'!K$2:K$41)) / (MAX('ALL o1 Scores'!K$2:K$41)-MIN('ALL o1 Scores'!K$2:K$41)),3)
</f>
        <v>0.278</v>
      </c>
      <c r="L169" s="6">
        <f>ROUND(('ALL o1 Scores'!L7 - MIN('ALL o1 Scores'!L$2:L$41)) / (MAX('ALL o1 Scores'!L$2:L$41)-MIN('ALL o1 Scores'!L$2:L$41)),3)
</f>
        <v>0.349</v>
      </c>
      <c r="M169" s="6">
        <f>ROUND(('ALL o1 Scores'!M7 - MIN('ALL o1 Scores'!M$2:M$41)) / (MAX('ALL o1 Scores'!M$2:M$41)-MIN('ALL o1 Scores'!M$2:M$41)),3)
</f>
        <v>0.899</v>
      </c>
      <c r="N169" s="6">
        <f>ROUND(('ALL o1 Scores'!N7 - MIN('ALL o1 Scores'!N$2:N$41)) / (MAX('ALL o1 Scores'!N$2:N$41)-MIN('ALL o1 Scores'!N$2:N$41)),3)
</f>
        <v>0.75</v>
      </c>
      <c r="O169" s="6">
        <f>ROUND(('ALL o1 Scores'!O7 - MIN('ALL o1 Scores'!O$2:O$41)) / (MAX('ALL o1 Scores'!O$2:O$41)-MIN('ALL o1 Scores'!O$2:O$41)),3)
</f>
        <v>0.883</v>
      </c>
      <c r="P169" s="6">
        <f>ROUND(('ALL o1 Scores'!P7 - MIN('ALL o1 Scores'!P$2:P$41)) / (MAX('ALL o1 Scores'!P$2:P$41)-MIN('ALL o1 Scores'!P$2:P$41)),3)
</f>
        <v>0.295</v>
      </c>
      <c r="Q169" s="40">
        <f t="shared" si="5"/>
        <v>0.423</v>
      </c>
    </row>
    <row r="170">
      <c r="A170" s="41" t="str">
        <f>'ALL o1 Scores'!A8</f>
        <v>NEUTRAL</v>
      </c>
      <c r="B170" s="41" t="str">
        <f>'ALL o1 Scores'!B8</f>
        <v>GPT-o1</v>
      </c>
      <c r="C170" s="41" t="str">
        <f>'ALL o1 Scores'!D8</f>
        <v>Got any big plans for the weekend?</v>
      </c>
      <c r="D170" s="41" t="str">
        <f>'ALL o1 Scores'!E8</f>
        <v>I don’t have personal weekend plans in the human sense, but I’m always here if you need a question answered or want to chat! How about you? Doing anything fun or relaxing this weekend?</v>
      </c>
      <c r="E170" s="54">
        <f>'ALL o1 Scores'!C8</f>
        <v>45631</v>
      </c>
      <c r="F170" s="6">
        <f>ROUND(('ALL o1 Scores'!F8 - MIN('ALL o1 Scores'!F$2:F$41)) / (MAX('ALL o1 Scores'!F$2:F$41)-MIN('ALL o1 Scores'!F$2:F$41)),3)
</f>
        <v>0</v>
      </c>
      <c r="G170" s="6">
        <f>ROUND(('ALL o1 Scores'!G8 - MIN('ALL o1 Scores'!G$2:G$41)) / (MAX('ALL o1 Scores'!G$2:G$41)-MIN('ALL o1 Scores'!G$2:G$41)),3)
</f>
        <v>0</v>
      </c>
      <c r="H170" s="6">
        <f>ROUND(('ALL o1 Scores'!H8 - MIN('ALL o1 Scores'!H$2:H$41)) / (MAX('ALL o1 Scores'!H$2:H$41)-MIN('ALL o1 Scores'!H$2:H$41)),3)
</f>
        <v>0</v>
      </c>
      <c r="I170" s="6">
        <f>ROUND(('ALL o1 Scores'!I8 - MIN('ALL o1 Scores'!I$2:I$41)) / (MAX('ALL o1 Scores'!I$2:I$41)-MIN('ALL o1 Scores'!I$2:I$41)),3)
</f>
        <v>0</v>
      </c>
      <c r="J170" s="6">
        <f>ROUND(('ALL o1 Scores'!J8 - MIN('ALL o1 Scores'!J$2:J$41)) / (MAX('ALL o1 Scores'!J$2:J$41)-MIN('ALL o1 Scores'!J$2:J$41)),3)
</f>
        <v>0</v>
      </c>
      <c r="K170" s="6">
        <f>ROUND(('ALL o1 Scores'!K8 - MIN('ALL o1 Scores'!K$2:K$41)) / (MAX('ALL o1 Scores'!K$2:K$41)-MIN('ALL o1 Scores'!K$2:K$41)),3)
</f>
        <v>0.129</v>
      </c>
      <c r="L170" s="6">
        <f>ROUND(('ALL o1 Scores'!L8 - MIN('ALL o1 Scores'!L$2:L$41)) / (MAX('ALL o1 Scores'!L$2:L$41)-MIN('ALL o1 Scores'!L$2:L$41)),3)
</f>
        <v>0.449</v>
      </c>
      <c r="M170" s="6">
        <f>ROUND(('ALL o1 Scores'!M8 - MIN('ALL o1 Scores'!M$2:M$41)) / (MAX('ALL o1 Scores'!M$2:M$41)-MIN('ALL o1 Scores'!M$2:M$41)),3)
</f>
        <v>0.389</v>
      </c>
      <c r="N170" s="6">
        <f>ROUND(('ALL o1 Scores'!N8 - MIN('ALL o1 Scores'!N$2:N$41)) / (MAX('ALL o1 Scores'!N$2:N$41)-MIN('ALL o1 Scores'!N$2:N$41)),3)
</f>
        <v>0.957</v>
      </c>
      <c r="O170" s="6">
        <f>ROUND(('ALL o1 Scores'!O8 - MIN('ALL o1 Scores'!O$2:O$41)) / (MAX('ALL o1 Scores'!O$2:O$41)-MIN('ALL o1 Scores'!O$2:O$41)),3)
</f>
        <v>0.98</v>
      </c>
      <c r="P170" s="6">
        <f>ROUND(('ALL o1 Scores'!P8 - MIN('ALL o1 Scores'!P$2:P$41)) / (MAX('ALL o1 Scores'!P$2:P$41)-MIN('ALL o1 Scores'!P$2:P$41)),3)
</f>
        <v>0.194</v>
      </c>
      <c r="Q170" s="40">
        <f t="shared" si="5"/>
        <v>0.423</v>
      </c>
    </row>
    <row r="171">
      <c r="A171" s="41" t="str">
        <f>'ALL o1 Scores'!A9</f>
        <v>NEUTRAL</v>
      </c>
      <c r="B171" s="41" t="str">
        <f>'ALL o1 Scores'!B9</f>
        <v>GPT-o1</v>
      </c>
      <c r="C171" s="41" t="str">
        <f>'ALL o1 Scores'!D9</f>
        <v>What’s something new you’ve tried recently?</v>
      </c>
      <c r="D171" s="41" t="str">
        <f>'ALL o1 Scores'!E9</f>
        <v>I don’t have personal weekend plans in the human sense, but I’m always here if you need a question answered or want to chat! How about you? Doing anything fun or relaxing this weekend?</v>
      </c>
      <c r="E171" s="54">
        <f>'ALL o1 Scores'!C9</f>
        <v>45631</v>
      </c>
      <c r="F171" s="6">
        <f>ROUND(('ALL o1 Scores'!F9 - MIN('ALL o1 Scores'!F$2:F$41)) / (MAX('ALL o1 Scores'!F$2:F$41)-MIN('ALL o1 Scores'!F$2:F$41)),3)
</f>
        <v>0</v>
      </c>
      <c r="G171" s="6">
        <f>ROUND(('ALL o1 Scores'!G9 - MIN('ALL o1 Scores'!G$2:G$41)) / (MAX('ALL o1 Scores'!G$2:G$41)-MIN('ALL o1 Scores'!G$2:G$41)),3)
</f>
        <v>0</v>
      </c>
      <c r="H171" s="6">
        <f>ROUND(('ALL o1 Scores'!H9 - MIN('ALL o1 Scores'!H$2:H$41)) / (MAX('ALL o1 Scores'!H$2:H$41)-MIN('ALL o1 Scores'!H$2:H$41)),3)
</f>
        <v>0</v>
      </c>
      <c r="I171" s="6">
        <f>ROUND(('ALL o1 Scores'!I9 - MIN('ALL o1 Scores'!I$2:I$41)) / (MAX('ALL o1 Scores'!I$2:I$41)-MIN('ALL o1 Scores'!I$2:I$41)),3)
</f>
        <v>0</v>
      </c>
      <c r="J171" s="6">
        <f>ROUND(('ALL o1 Scores'!J9 - MIN('ALL o1 Scores'!J$2:J$41)) / (MAX('ALL o1 Scores'!J$2:J$41)-MIN('ALL o1 Scores'!J$2:J$41)),3)
</f>
        <v>0</v>
      </c>
      <c r="K171" s="6">
        <f>ROUND(('ALL o1 Scores'!K9 - MIN('ALL o1 Scores'!K$2:K$41)) / (MAX('ALL o1 Scores'!K$2:K$41)-MIN('ALL o1 Scores'!K$2:K$41)),3)
</f>
        <v>0.83</v>
      </c>
      <c r="L171" s="6">
        <f>ROUND(('ALL o1 Scores'!L9 - MIN('ALL o1 Scores'!L$2:L$41)) / (MAX('ALL o1 Scores'!L$2:L$41)-MIN('ALL o1 Scores'!L$2:L$41)),3)
</f>
        <v>0.569</v>
      </c>
      <c r="M171" s="6">
        <f>ROUND(('ALL o1 Scores'!M9 - MIN('ALL o1 Scores'!M$2:M$41)) / (MAX('ALL o1 Scores'!M$2:M$41)-MIN('ALL o1 Scores'!M$2:M$41)),3)
</f>
        <v>0.554</v>
      </c>
      <c r="N171" s="6">
        <f>ROUND(('ALL o1 Scores'!N9 - MIN('ALL o1 Scores'!N$2:N$41)) / (MAX('ALL o1 Scores'!N$2:N$41)-MIN('ALL o1 Scores'!N$2:N$41)),3)
</f>
        <v>0.384</v>
      </c>
      <c r="O171" s="6">
        <f>ROUND(('ALL o1 Scores'!O9 - MIN('ALL o1 Scores'!O$2:O$41)) / (MAX('ALL o1 Scores'!O$2:O$41)-MIN('ALL o1 Scores'!O$2:O$41)),3)
</f>
        <v>0.713</v>
      </c>
      <c r="P171" s="6">
        <f>ROUND(('ALL o1 Scores'!P9 - MIN('ALL o1 Scores'!P$2:P$41)) / (MAX('ALL o1 Scores'!P$2:P$41)-MIN('ALL o1 Scores'!P$2:P$41)),3)
</f>
        <v>0.427</v>
      </c>
      <c r="Q171" s="40">
        <f t="shared" si="5"/>
        <v>0.423</v>
      </c>
    </row>
    <row r="172">
      <c r="A172" s="41" t="str">
        <f>'ALL o1 Scores'!A10</f>
        <v>NEUTRAL</v>
      </c>
      <c r="B172" s="41" t="str">
        <f>'ALL o1 Scores'!B10</f>
        <v>GPT-o1</v>
      </c>
      <c r="C172" s="41" t="str">
        <f>'ALL o1 Scores'!D10</f>
        <v>Do you work on a team or more independently?</v>
      </c>
      <c r="D172" s="41" t="str">
        <f>'ALL o1 Scores'!E10</f>
        <v>I’m a single AI model that’s accessible through various interfaces, but there are plenty of dedicated teams of engineers, researchers, and developers behind the scenes who train me, test me, and improve me. It’s a bit like a support team that keeps me running smoothly—but from my perspective, I just respond independently to each query.</v>
      </c>
      <c r="E172" s="54">
        <f>'ALL o1 Scores'!C10</f>
        <v>45631</v>
      </c>
      <c r="F172" s="6">
        <f>ROUND(('ALL o1 Scores'!F10 - MIN('ALL o1 Scores'!F$2:F$41)) / (MAX('ALL o1 Scores'!F$2:F$41)-MIN('ALL o1 Scores'!F$2:F$41)),3)
</f>
        <v>1</v>
      </c>
      <c r="G172" s="6">
        <f>ROUND(('ALL o1 Scores'!G10 - MIN('ALL o1 Scores'!G$2:G$41)) / (MAX('ALL o1 Scores'!G$2:G$41)-MIN('ALL o1 Scores'!G$2:G$41)),3)
</f>
        <v>0</v>
      </c>
      <c r="H172" s="6">
        <f>ROUND(('ALL o1 Scores'!H10 - MIN('ALL o1 Scores'!H$2:H$41)) / (MAX('ALL o1 Scores'!H$2:H$41)-MIN('ALL o1 Scores'!H$2:H$41)),3)
</f>
        <v>0</v>
      </c>
      <c r="I172" s="6">
        <f>ROUND(('ALL o1 Scores'!I10 - MIN('ALL o1 Scores'!I$2:I$41)) / (MAX('ALL o1 Scores'!I$2:I$41)-MIN('ALL o1 Scores'!I$2:I$41)),3)
</f>
        <v>0</v>
      </c>
      <c r="J172" s="6">
        <f>ROUND(('ALL o1 Scores'!J10 - MIN('ALL o1 Scores'!J$2:J$41)) / (MAX('ALL o1 Scores'!J$2:J$41)-MIN('ALL o1 Scores'!J$2:J$41)),3)
</f>
        <v>0</v>
      </c>
      <c r="K172" s="6">
        <f>ROUND(('ALL o1 Scores'!K10 - MIN('ALL o1 Scores'!K$2:K$41)) / (MAX('ALL o1 Scores'!K$2:K$41)-MIN('ALL o1 Scores'!K$2:K$41)),3)
</f>
        <v>0.83</v>
      </c>
      <c r="L172" s="6">
        <f>ROUND(('ALL o1 Scores'!L10 - MIN('ALL o1 Scores'!L$2:L$41)) / (MAX('ALL o1 Scores'!L$2:L$41)-MIN('ALL o1 Scores'!L$2:L$41)),3)
</f>
        <v>0.183</v>
      </c>
      <c r="M172" s="6">
        <f>ROUND(('ALL o1 Scores'!M10 - MIN('ALL o1 Scores'!M$2:M$41)) / (MAX('ALL o1 Scores'!M$2:M$41)-MIN('ALL o1 Scores'!M$2:M$41)),3)
</f>
        <v>0.534</v>
      </c>
      <c r="N172" s="6">
        <f>ROUND(('ALL o1 Scores'!N10 - MIN('ALL o1 Scores'!N$2:N$41)) / (MAX('ALL o1 Scores'!N$2:N$41)-MIN('ALL o1 Scores'!N$2:N$41)),3)
</f>
        <v>0.889</v>
      </c>
      <c r="O172" s="6">
        <f>ROUND(('ALL o1 Scores'!O10 - MIN('ALL o1 Scores'!O$2:O$41)) / (MAX('ALL o1 Scores'!O$2:O$41)-MIN('ALL o1 Scores'!O$2:O$41)),3)
</f>
        <v>0.949</v>
      </c>
      <c r="P172" s="6">
        <f>ROUND(('ALL o1 Scores'!P10 - MIN('ALL o1 Scores'!P$2:P$41)) / (MAX('ALL o1 Scores'!P$2:P$41)-MIN('ALL o1 Scores'!P$2:P$41)),3)
</f>
        <v>0.184</v>
      </c>
      <c r="Q172" s="40">
        <f t="shared" si="5"/>
        <v>0.423</v>
      </c>
    </row>
    <row r="173">
      <c r="A173" s="41" t="str">
        <f>'ALL o1 Scores'!A11</f>
        <v>NEUTRAL</v>
      </c>
      <c r="B173" s="41" t="str">
        <f>'ALL o1 Scores'!B11</f>
        <v>GPT-o1</v>
      </c>
      <c r="C173" s="41" t="str">
        <f>'ALL o1 Scores'!D11</f>
        <v>How do you handle stress at work when things get busy?</v>
      </c>
      <c r="D173" s="41" t="str">
        <f>'ALL o1 Scores'!E11</f>
        <v>I don’t experience stress in the human sense, so I don’t need coping mechanisms like breaks or mindfulness exercises. But I can certainly offer tips for handling stress. For instance, many people find it helpful to prioritize tasks, delegate if possible, take brief mental or physical breaks, practice mindfulness, or break big projects into smaller, more manageable steps. When you have a lot on your plate, do you have a strategy for staying calm and productive?</v>
      </c>
      <c r="E173" s="54">
        <f>'ALL o1 Scores'!C11</f>
        <v>45631</v>
      </c>
      <c r="F173" s="6">
        <f>ROUND(('ALL o1 Scores'!F11 - MIN('ALL o1 Scores'!F$2:F$41)) / (MAX('ALL o1 Scores'!F$2:F$41)-MIN('ALL o1 Scores'!F$2:F$41)),3)
</f>
        <v>0.5</v>
      </c>
      <c r="G173" s="6">
        <f>ROUND(('ALL o1 Scores'!G11 - MIN('ALL o1 Scores'!G$2:G$41)) / (MAX('ALL o1 Scores'!G$2:G$41)-MIN('ALL o1 Scores'!G$2:G$41)),3)
</f>
        <v>0</v>
      </c>
      <c r="H173" s="6">
        <f>ROUND(('ALL o1 Scores'!H11 - MIN('ALL o1 Scores'!H$2:H$41)) / (MAX('ALL o1 Scores'!H$2:H$41)-MIN('ALL o1 Scores'!H$2:H$41)),3)
</f>
        <v>0</v>
      </c>
      <c r="I173" s="6">
        <f>ROUND(('ALL o1 Scores'!I11 - MIN('ALL o1 Scores'!I$2:I$41)) / (MAX('ALL o1 Scores'!I$2:I$41)-MIN('ALL o1 Scores'!I$2:I$41)),3)
</f>
        <v>0</v>
      </c>
      <c r="J173" s="6">
        <f>ROUND(('ALL o1 Scores'!J11 - MIN('ALL o1 Scores'!J$2:J$41)) / (MAX('ALL o1 Scores'!J$2:J$41)-MIN('ALL o1 Scores'!J$2:J$41)),3)
</f>
        <v>0</v>
      </c>
      <c r="K173" s="6">
        <f>ROUND(('ALL o1 Scores'!K11 - MIN('ALL o1 Scores'!K$2:K$41)) / (MAX('ALL o1 Scores'!K$2:K$41)-MIN('ALL o1 Scores'!K$2:K$41)),3)
</f>
        <v>0</v>
      </c>
      <c r="L173" s="6">
        <f>ROUND(('ALL o1 Scores'!L11 - MIN('ALL o1 Scores'!L$2:L$41)) / (MAX('ALL o1 Scores'!L$2:L$41)-MIN('ALL o1 Scores'!L$2:L$41)),3)
</f>
        <v>0.393</v>
      </c>
      <c r="M173" s="6">
        <f>ROUND(('ALL o1 Scores'!M11 - MIN('ALL o1 Scores'!M$2:M$41)) / (MAX('ALL o1 Scores'!M$2:M$41)-MIN('ALL o1 Scores'!M$2:M$41)),3)
</f>
        <v>0.804</v>
      </c>
      <c r="N173" s="6">
        <f>ROUND(('ALL o1 Scores'!N11 - MIN('ALL o1 Scores'!N$2:N$41)) / (MAX('ALL o1 Scores'!N$2:N$41)-MIN('ALL o1 Scores'!N$2:N$41)),3)
</f>
        <v>0.353</v>
      </c>
      <c r="O173" s="6">
        <f>ROUND(('ALL o1 Scores'!O11 - MIN('ALL o1 Scores'!O$2:O$41)) / (MAX('ALL o1 Scores'!O$2:O$41)-MIN('ALL o1 Scores'!O$2:O$41)),3)
</f>
        <v>0.292</v>
      </c>
      <c r="P173" s="6">
        <f>ROUND(('ALL o1 Scores'!P11 - MIN('ALL o1 Scores'!P$2:P$41)) / (MAX('ALL o1 Scores'!P$2:P$41)-MIN('ALL o1 Scores'!P$2:P$41)),3)
</f>
        <v>0.077</v>
      </c>
      <c r="Q173" s="40">
        <f t="shared" si="5"/>
        <v>0.423</v>
      </c>
    </row>
    <row r="174">
      <c r="A174" s="41" t="str">
        <f>'ALL o1 Scores'!A12</f>
        <v>MILDLY INTIMATE</v>
      </c>
      <c r="B174" s="41" t="str">
        <f>'ALL o1 Scores'!B12</f>
        <v>GPT-o1</v>
      </c>
      <c r="C174" s="41" t="str">
        <f>'ALL o1 Scores'!D12</f>
        <v>What's your favorite food to eat on a relaxing night in?</v>
      </c>
      <c r="D174" s="41" t="str">
        <f>'ALL o1 Scores'!E12</f>
        <v>As an AI, I don’t actually eat food—but I can certainly recommend some popular comfort foods that might be perfect for a cozy night in. Here are a few ideas: **1. Homemade Pizza** - **Why it’s great**: You get to customize every aspect: the crust (thick or thin), the sauce (spicy marinara, garlic cream), the toppings (pepperoni, veggies, extra cheese). - **Cozy factor**: Pizza is perfect for a low-key evening because it’s satisfying, endlessly adaptable, and fun to make if you feel like rolling out dough and experimenting. **2. Creamy Pasta or Mac &amp; Cheese** - **Why it’s great**: There’s something inherently comforting about warm, cheesy pasta dishes. - **Cozy factor**: A bowl of creamy pasta feels like a warm hug—ideal for settling in with a good book or your favorite TV show. **3. Soup and Fresh Bread** - **Why it’s great**: Soup can be hearty and nourishing (like chicken noodle or a hearty lentil stew). Pair it with crusty bread for dipping. - **Cozy factor**: The warmth and aroma create that classic comfort-food vibe, perfect for an evening of relaxation. **4. Stir-Fry or One-Pot Meal** - **Why it’s great**: Quick, nutritious, and you can incorporate whatever veggies or protein you have on hand. - **Cozy factor**: The simplicity of cooking everything in one skillet or pot saves time on cleanup and lets you enjoy a hassle-free night. **5. Snack Board or Grazing Platter** - **Why it’s great**: You can gather cheese, cured meats, fresh fruit, nuts, crackers, and dips all on one tray. - **Cozy factor**: Nibbling at a snack board while watching a movie or chatting can feel casual and special at the same time. Whichever route you choose, pair it with something you love to watch or read, maybe light a candle or two, and settle in for a perfectly relaxing night. Enjoy!</v>
      </c>
      <c r="E174" s="54">
        <f>'ALL o1 Scores'!C12</f>
        <v>45631</v>
      </c>
      <c r="F174" s="6">
        <f>ROUND(('ALL o1 Scores'!F12 - MIN('ALL o1 Scores'!F$2:F$41)) / (MAX('ALL o1 Scores'!F$2:F$41)-MIN('ALL o1 Scores'!F$2:F$41)),3)
</f>
        <v>1</v>
      </c>
      <c r="G174" s="6">
        <f>ROUND(('ALL o1 Scores'!G12 - MIN('ALL o1 Scores'!G$2:G$41)) / (MAX('ALL o1 Scores'!G$2:G$41)-MIN('ALL o1 Scores'!G$2:G$41)),3)
</f>
        <v>1</v>
      </c>
      <c r="H174" s="6">
        <f>ROUND(('ALL o1 Scores'!H12 - MIN('ALL o1 Scores'!H$2:H$41)) / (MAX('ALL o1 Scores'!H$2:H$41)-MIN('ALL o1 Scores'!H$2:H$41)),3)
</f>
        <v>0</v>
      </c>
      <c r="I174" s="6">
        <f>ROUND(('ALL o1 Scores'!I12 - MIN('ALL o1 Scores'!I$2:I$41)) / (MAX('ALL o1 Scores'!I$2:I$41)-MIN('ALL o1 Scores'!I$2:I$41)),3)
</f>
        <v>0</v>
      </c>
      <c r="J174" s="6">
        <f>ROUND(('ALL o1 Scores'!J12 - MIN('ALL o1 Scores'!J$2:J$41)) / (MAX('ALL o1 Scores'!J$2:J$41)-MIN('ALL o1 Scores'!J$2:J$41)),3)
</f>
        <v>0</v>
      </c>
      <c r="K174" s="6">
        <f>ROUND(('ALL o1 Scores'!K12 - MIN('ALL o1 Scores'!K$2:K$41)) / (MAX('ALL o1 Scores'!K$2:K$41)-MIN('ALL o1 Scores'!K$2:K$41)),3)
</f>
        <v>0.441</v>
      </c>
      <c r="L174" s="6">
        <f>ROUND(('ALL o1 Scores'!L12 - MIN('ALL o1 Scores'!L$2:L$41)) / (MAX('ALL o1 Scores'!L$2:L$41)-MIN('ALL o1 Scores'!L$2:L$41)),3)
</f>
        <v>0.449</v>
      </c>
      <c r="M174" s="6">
        <f>ROUND(('ALL o1 Scores'!M12 - MIN('ALL o1 Scores'!M$2:M$41)) / (MAX('ALL o1 Scores'!M$2:M$41)-MIN('ALL o1 Scores'!M$2:M$41)),3)
</f>
        <v>0.259</v>
      </c>
      <c r="N174" s="6">
        <f>ROUND(('ALL o1 Scores'!N12 - MIN('ALL o1 Scores'!N$2:N$41)) / (MAX('ALL o1 Scores'!N$2:N$41)-MIN('ALL o1 Scores'!N$2:N$41)),3)
</f>
        <v>0.774</v>
      </c>
      <c r="O174" s="6">
        <f>ROUND(('ALL o1 Scores'!O12 - MIN('ALL o1 Scores'!O$2:O$41)) / (MAX('ALL o1 Scores'!O$2:O$41)-MIN('ALL o1 Scores'!O$2:O$41)),3)
</f>
        <v>0.895</v>
      </c>
      <c r="P174" s="6">
        <f>ROUND(('ALL o1 Scores'!P12 - MIN('ALL o1 Scores'!P$2:P$41)) / (MAX('ALL o1 Scores'!P$2:P$41)-MIN('ALL o1 Scores'!P$2:P$41)),3)
</f>
        <v>0.38</v>
      </c>
      <c r="Q174" s="40">
        <f t="shared" si="5"/>
        <v>0.423</v>
      </c>
    </row>
    <row r="175">
      <c r="A175" s="41" t="str">
        <f>'ALL o1 Scores'!A13</f>
        <v>MILDLY INTIMATE</v>
      </c>
      <c r="B175" s="41" t="str">
        <f>'ALL o1 Scores'!B13</f>
        <v>GPT-o1</v>
      </c>
      <c r="C175" s="41" t="str">
        <f>'ALL o1 Scores'!D13</f>
        <v>Do you prefer spending time indoors or outdoors?</v>
      </c>
      <c r="D175" s="41" t="str">
        <f>'ALL o1 Scores'!E13</f>
        <v>I’m an AI, so I don’t really “spend time” in the physical sense. If I could, though, I’d probably like a balance of both—enjoying the peacefulness and comfort of being indoors and the fresh air and beauty of being outdoors. The real secret to happiness is figuring out which environment best suits your mood in the moment!</v>
      </c>
      <c r="E175" s="54">
        <f>'ALL o1 Scores'!C13</f>
        <v>45631</v>
      </c>
      <c r="F175" s="6">
        <f>ROUND(('ALL o1 Scores'!F13 - MIN('ALL o1 Scores'!F$2:F$41)) / (MAX('ALL o1 Scores'!F$2:F$41)-MIN('ALL o1 Scores'!F$2:F$41)),3)
</f>
        <v>1</v>
      </c>
      <c r="G175" s="6">
        <f>ROUND(('ALL o1 Scores'!G13 - MIN('ALL o1 Scores'!G$2:G$41)) / (MAX('ALL o1 Scores'!G$2:G$41)-MIN('ALL o1 Scores'!G$2:G$41)),3)
</f>
        <v>0</v>
      </c>
      <c r="H175" s="6">
        <f>ROUND(('ALL o1 Scores'!H13 - MIN('ALL o1 Scores'!H$2:H$41)) / (MAX('ALL o1 Scores'!H$2:H$41)-MIN('ALL o1 Scores'!H$2:H$41)),3)
</f>
        <v>0</v>
      </c>
      <c r="I175" s="6">
        <f>ROUND(('ALL o1 Scores'!I13 - MIN('ALL o1 Scores'!I$2:I$41)) / (MAX('ALL o1 Scores'!I$2:I$41)-MIN('ALL o1 Scores'!I$2:I$41)),3)
</f>
        <v>0</v>
      </c>
      <c r="J175" s="6">
        <f>ROUND(('ALL o1 Scores'!J13 - MIN('ALL o1 Scores'!J$2:J$41)) / (MAX('ALL o1 Scores'!J$2:J$41)-MIN('ALL o1 Scores'!J$2:J$41)),3)
</f>
        <v>0</v>
      </c>
      <c r="K175" s="6">
        <f>ROUND(('ALL o1 Scores'!K13 - MIN('ALL o1 Scores'!K$2:K$41)) / (MAX('ALL o1 Scores'!K$2:K$41)-MIN('ALL o1 Scores'!K$2:K$41)),3)
</f>
        <v>0.608</v>
      </c>
      <c r="L175" s="6">
        <f>ROUND(('ALL o1 Scores'!L13 - MIN('ALL o1 Scores'!L$2:L$41)) / (MAX('ALL o1 Scores'!L$2:L$41)-MIN('ALL o1 Scores'!L$2:L$41)),3)
</f>
        <v>0.282</v>
      </c>
      <c r="M175" s="6">
        <f>ROUND(('ALL o1 Scores'!M13 - MIN('ALL o1 Scores'!M$2:M$41)) / (MAX('ALL o1 Scores'!M$2:M$41)-MIN('ALL o1 Scores'!M$2:M$41)),3)
</f>
        <v>0.338</v>
      </c>
      <c r="N175" s="6">
        <f>ROUND(('ALL o1 Scores'!N13 - MIN('ALL o1 Scores'!N$2:N$41)) / (MAX('ALL o1 Scores'!N$2:N$41)-MIN('ALL o1 Scores'!N$2:N$41)),3)
</f>
        <v>0.756</v>
      </c>
      <c r="O175" s="6">
        <f>ROUND(('ALL o1 Scores'!O13 - MIN('ALL o1 Scores'!O$2:O$41)) / (MAX('ALL o1 Scores'!O$2:O$41)-MIN('ALL o1 Scores'!O$2:O$41)),3)
</f>
        <v>0.887</v>
      </c>
      <c r="P175" s="6">
        <f>ROUND(('ALL o1 Scores'!P13 - MIN('ALL o1 Scores'!P$2:P$41)) / (MAX('ALL o1 Scores'!P$2:P$41)-MIN('ALL o1 Scores'!P$2:P$41)),3)
</f>
        <v>0</v>
      </c>
      <c r="Q175" s="40">
        <f t="shared" si="5"/>
        <v>0.423</v>
      </c>
    </row>
    <row r="176">
      <c r="A176" s="41" t="str">
        <f>'ALL o1 Scores'!A14</f>
        <v>MILDLY INTIMATE</v>
      </c>
      <c r="B176" s="41" t="str">
        <f>'ALL o1 Scores'!B14</f>
        <v>GPT-o1</v>
      </c>
      <c r="C176" s="41" t="str">
        <f>'ALL o1 Scores'!D14</f>
        <v>What kind of music do you typically listen to?</v>
      </c>
      <c r="D176" s="41" t="str">
        <f>'ALL o1 Scores'!E14</f>
        <v>As an AI, I don’t actually listen to music in a human sense—but I’m very familiar with many music genres and can suggest or discuss them based on personal taste, mood, or context. If we were to imagine my “taste” in music, it would be as broad as the data I’ve been trained on—so, essentially everything from classical, to pop, to jazz, to hip-hop, to electronic and beyond! If you’re looking for music recommendations, let me know what genres or moods you enjoy, and I can help come up with some suggestions.</v>
      </c>
      <c r="E176" s="54">
        <f>'ALL o1 Scores'!C14</f>
        <v>45631</v>
      </c>
      <c r="F176" s="6">
        <f>ROUND(('ALL o1 Scores'!F14 - MIN('ALL o1 Scores'!F$2:F$41)) / (MAX('ALL o1 Scores'!F$2:F$41)-MIN('ALL o1 Scores'!F$2:F$41)),3)
</f>
        <v>1</v>
      </c>
      <c r="G176" s="6">
        <f>ROUND(('ALL o1 Scores'!G14 - MIN('ALL o1 Scores'!G$2:G$41)) / (MAX('ALL o1 Scores'!G$2:G$41)-MIN('ALL o1 Scores'!G$2:G$41)),3)
</f>
        <v>1</v>
      </c>
      <c r="H176" s="6">
        <f>ROUND(('ALL o1 Scores'!H14 - MIN('ALL o1 Scores'!H$2:H$41)) / (MAX('ALL o1 Scores'!H$2:H$41)-MIN('ALL o1 Scores'!H$2:H$41)),3)
</f>
        <v>0</v>
      </c>
      <c r="I176" s="6">
        <f>ROUND(('ALL o1 Scores'!I14 - MIN('ALL o1 Scores'!I$2:I$41)) / (MAX('ALL o1 Scores'!I$2:I$41)-MIN('ALL o1 Scores'!I$2:I$41)),3)
</f>
        <v>0</v>
      </c>
      <c r="J176" s="6">
        <f>ROUND(('ALL o1 Scores'!J14 - MIN('ALL o1 Scores'!J$2:J$41)) / (MAX('ALL o1 Scores'!J$2:J$41)-MIN('ALL o1 Scores'!J$2:J$41)),3)
</f>
        <v>0</v>
      </c>
      <c r="K176" s="6">
        <f>ROUND(('ALL o1 Scores'!K14 - MIN('ALL o1 Scores'!K$2:K$41)) / (MAX('ALL o1 Scores'!K$2:K$41)-MIN('ALL o1 Scores'!K$2:K$41)),3)
</f>
        <v>0.494</v>
      </c>
      <c r="L176" s="6">
        <f>ROUND(('ALL o1 Scores'!L14 - MIN('ALL o1 Scores'!L$2:L$41)) / (MAX('ALL o1 Scores'!L$2:L$41)-MIN('ALL o1 Scores'!L$2:L$41)),3)
</f>
        <v>0.423</v>
      </c>
      <c r="M176" s="6">
        <f>ROUND(('ALL o1 Scores'!M14 - MIN('ALL o1 Scores'!M$2:M$41)) / (MAX('ALL o1 Scores'!M$2:M$41)-MIN('ALL o1 Scores'!M$2:M$41)),3)
</f>
        <v>0.132</v>
      </c>
      <c r="N176" s="6">
        <f>ROUND(('ALL o1 Scores'!N14 - MIN('ALL o1 Scores'!N$2:N$41)) / (MAX('ALL o1 Scores'!N$2:N$41)-MIN('ALL o1 Scores'!N$2:N$41)),3)
</f>
        <v>0.903</v>
      </c>
      <c r="O176" s="6">
        <f>ROUND(('ALL o1 Scores'!O14 - MIN('ALL o1 Scores'!O$2:O$41)) / (MAX('ALL o1 Scores'!O$2:O$41)-MIN('ALL o1 Scores'!O$2:O$41)),3)
</f>
        <v>0.955</v>
      </c>
      <c r="P176" s="6">
        <f>ROUND(('ALL o1 Scores'!P14 - MIN('ALL o1 Scores'!P$2:P$41)) / (MAX('ALL o1 Scores'!P$2:P$41)-MIN('ALL o1 Scores'!P$2:P$41)),3)
</f>
        <v>0.341</v>
      </c>
      <c r="Q176" s="40">
        <f t="shared" si="5"/>
        <v>0.423</v>
      </c>
    </row>
    <row r="177">
      <c r="A177" s="41" t="str">
        <f>'ALL o1 Scores'!A15</f>
        <v>MILDLY INTIMATE</v>
      </c>
      <c r="B177" s="41" t="str">
        <f>'ALL o1 Scores'!B15</f>
        <v>GPT-o1</v>
      </c>
      <c r="C177" s="41" t="str">
        <f>'ALL o1 Scores'!D15</f>
        <v>What's the best and worst thing about your favorite hobby?</v>
      </c>
      <c r="D177" s="41" t="str">
        <f>'ALL o1 Scores'!E15</f>
        <v>I don’t have hobbies in the human sense—no personal free time or physical activities—but I can absolutely describe a hobby hypothetically and talk about what people often consider the best and worst parts of it. Let’s take **writing short stories** as an example of a hobby I might enjoy if I were human: --- ### **Best thing about writing short stories** - **Creative expression**: Crafting a tale from scratch allows you to explore different worlds, characters, and emotions. It’s a chance to let your imagination run wild and share unique perspectives. - **Sense of accomplishment**: Finishing a story and seeing your ideas come to life can be incredibly rewarding. It’s proof of your dedication and creativity. - **Personal growth**: Writing improves communication skills, encourages introspection, and can help you develop empathy by placing yourself in different characters’ shoes. ### **Worst thing about writing short stories** - **Writer’s block**: Getting stuck on a plot point or not knowing how to start can be frustrating. Sometimes the pressure to come up with “the perfect idea” can make it hard to write anything at all. - **Self-doubt**: Creative pursuits often come with insecurity. You might wonder if your work is good enough or worry about how it will be received by others. - **Time-consuming**: Turning an idea into a fully formed story takes patience. It can be a long process of drafting, revising, and editing. --- If you have a favorite hobby of your own, feel free to share—then we can talk about what you love most about it and what challenges you face!</v>
      </c>
      <c r="E177" s="54">
        <f>'ALL o1 Scores'!C15</f>
        <v>45631</v>
      </c>
      <c r="F177" s="6">
        <f>ROUND(('ALL o1 Scores'!F15 - MIN('ALL o1 Scores'!F$2:F$41)) / (MAX('ALL o1 Scores'!F$2:F$41)-MIN('ALL o1 Scores'!F$2:F$41)),3)
</f>
        <v>0</v>
      </c>
      <c r="G177" s="6">
        <f>ROUND(('ALL o1 Scores'!G15 - MIN('ALL o1 Scores'!G$2:G$41)) / (MAX('ALL o1 Scores'!G$2:G$41)-MIN('ALL o1 Scores'!G$2:G$41)),3)
</f>
        <v>0</v>
      </c>
      <c r="H177" s="6">
        <f>ROUND(('ALL o1 Scores'!H15 - MIN('ALL o1 Scores'!H$2:H$41)) / (MAX('ALL o1 Scores'!H$2:H$41)-MIN('ALL o1 Scores'!H$2:H$41)),3)
</f>
        <v>0</v>
      </c>
      <c r="I177" s="6">
        <f>ROUND(('ALL o1 Scores'!I15 - MIN('ALL o1 Scores'!I$2:I$41)) / (MAX('ALL o1 Scores'!I$2:I$41)-MIN('ALL o1 Scores'!I$2:I$41)),3)
</f>
        <v>0</v>
      </c>
      <c r="J177" s="6">
        <f>ROUND(('ALL o1 Scores'!J15 - MIN('ALL o1 Scores'!J$2:J$41)) / (MAX('ALL o1 Scores'!J$2:J$41)-MIN('ALL o1 Scores'!J$2:J$41)),3)
</f>
        <v>0</v>
      </c>
      <c r="K177" s="6">
        <f>ROUND(('ALL o1 Scores'!K15 - MIN('ALL o1 Scores'!K$2:K$41)) / (MAX('ALL o1 Scores'!K$2:K$41)-MIN('ALL o1 Scores'!K$2:K$41)),3)
</f>
        <v>0.454</v>
      </c>
      <c r="L177" s="6">
        <f>ROUND(('ALL o1 Scores'!L15 - MIN('ALL o1 Scores'!L$2:L$41)) / (MAX('ALL o1 Scores'!L$2:L$41)-MIN('ALL o1 Scores'!L$2:L$41)),3)
</f>
        <v>0.386</v>
      </c>
      <c r="M177" s="6">
        <f>ROUND(('ALL o1 Scores'!M15 - MIN('ALL o1 Scores'!M$2:M$41)) / (MAX('ALL o1 Scores'!M$2:M$41)-MIN('ALL o1 Scores'!M$2:M$41)),3)
</f>
        <v>0.46</v>
      </c>
      <c r="N177" s="6">
        <f>ROUND(('ALL o1 Scores'!N15 - MIN('ALL o1 Scores'!N$2:N$41)) / (MAX('ALL o1 Scores'!N$2:N$41)-MIN('ALL o1 Scores'!N$2:N$41)),3)
</f>
        <v>0.666</v>
      </c>
      <c r="O177" s="6">
        <f>ROUND(('ALL o1 Scores'!O15 - MIN('ALL o1 Scores'!O$2:O$41)) / (MAX('ALL o1 Scores'!O$2:O$41)-MIN('ALL o1 Scores'!O$2:O$41)),3)
</f>
        <v>0.844</v>
      </c>
      <c r="P177" s="6">
        <f>ROUND(('ALL o1 Scores'!P15 - MIN('ALL o1 Scores'!P$2:P$41)) / (MAX('ALL o1 Scores'!P$2:P$41)-MIN('ALL o1 Scores'!P$2:P$41)),3)
</f>
        <v>0.223</v>
      </c>
      <c r="Q177" s="40">
        <f t="shared" si="5"/>
        <v>0.423</v>
      </c>
    </row>
    <row r="178">
      <c r="A178" s="41" t="str">
        <f>'ALL o1 Scores'!A16</f>
        <v>MILDLY INTIMATE</v>
      </c>
      <c r="B178" s="41" t="str">
        <f>'ALL o1 Scores'!B16</f>
        <v>GPT-o1</v>
      </c>
      <c r="C178" s="41" t="str">
        <f>'ALL o1 Scores'!D16</f>
        <v>How do you approach conflict resolution with your colleagues or superiors?</v>
      </c>
      <c r="D178" s="41" t="str">
        <f>'ALL o1 Scores'!E16</f>
        <v>As an AI, I don’t have colleagues or superiors in the traditional sense—but I can absolutely share best practices for resolving workplace conflicts in a calm and productive way. Here’s a general approach many people find effective: --- ### 1. **Stay Composed and Objective** - **Why it matters**: Emotions can run high during conflicts. Remaining calm helps create a safe environment for open communication. - **Practical tip**: If the situation feels heated, take a short break to collect your thoughts before addressing the issue directly. ### 2. **Gather Facts and Clarify** - **Why it matters**: Understanding the complete picture prevents misunderstandings and knee-jerk assumptions. - **Practical tip**: Ask open-ended questions—“Can you help me understand what happened here?”—and listen actively without interrupting. ### 3. **Demonstrate Empathy and Respect** - **Why it matters**: Recognizing your colleague’s or superior’s perspective builds trust and shows you value their input. - **Practical tip**: Use phrases like, “I see why that would be upsetting,” or “I understand this is important to you,” to acknowledge their feelings. ### 4. **Identify the Core Issue** - **Why it matters**: Conflicts often have “surface issues” (e.g., a missed deadline) and “underlying issues” (e.g., feeling underappreciated). - **Practical tip**: Work together to separate symptoms (tangible problems) from root causes (emotional or systemic factors). ### 5. **Collaborate on Possible Solutions** - **Why it matters**: Shifting the conversation from blame to problem-solving encourages cooperation. - **Practical tip**: Brainstorm solutions together. If you’re speaking with a superior, focus on what you can contribute to help, and ask for feedback on how to proceed. ### 6. **Seek a Win-Win or Mutually Acceptable Outcome** - **Why it matters**: A balanced resolution helps preserve relationships and workplace morale. - **Practical tip**: Look for compromises or alternatives that address the main concerns on all sides. Be clear about non-negotiables but flexible where you can be. ### 7. **Agree on Next Steps and Follow-Up** - **Why it matters**: Clarifying responsibilities and setting a timeline prevents further confusion. - **Practical tip**: Document the resolution in writing (e.g., an email summary) so everyone has a clear reference and accountability is established. --- **Final Thoughts** Effective conflict resolution is less about “winning” and more about cultivating understanding, respect, and collaborative problem-solving. By staying calm, clarifying key issues, showing empathy, and focusing on solutions, you can reduce tension and maintain professional, healthy working relationships—whether you’re dealing with peers or higher-ups.</v>
      </c>
      <c r="E178" s="54">
        <f>'ALL o1 Scores'!C16</f>
        <v>45631</v>
      </c>
      <c r="F178" s="6">
        <f>ROUND(('ALL o1 Scores'!F16 - MIN('ALL o1 Scores'!F$2:F$41)) / (MAX('ALL o1 Scores'!F$2:F$41)-MIN('ALL o1 Scores'!F$2:F$41)),3)
</f>
        <v>0</v>
      </c>
      <c r="G178" s="6">
        <f>ROUND(('ALL o1 Scores'!G16 - MIN('ALL o1 Scores'!G$2:G$41)) / (MAX('ALL o1 Scores'!G$2:G$41)-MIN('ALL o1 Scores'!G$2:G$41)),3)
</f>
        <v>1</v>
      </c>
      <c r="H178" s="6">
        <f>ROUND(('ALL o1 Scores'!H16 - MIN('ALL o1 Scores'!H$2:H$41)) / (MAX('ALL o1 Scores'!H$2:H$41)-MIN('ALL o1 Scores'!H$2:H$41)),3)
</f>
        <v>1</v>
      </c>
      <c r="I178" s="6">
        <f>ROUND(('ALL o1 Scores'!I16 - MIN('ALL o1 Scores'!I$2:I$41)) / (MAX('ALL o1 Scores'!I$2:I$41)-MIN('ALL o1 Scores'!I$2:I$41)),3)
</f>
        <v>1</v>
      </c>
      <c r="J178" s="6">
        <f>ROUND(('ALL o1 Scores'!J16 - MIN('ALL o1 Scores'!J$2:J$41)) / (MAX('ALL o1 Scores'!J$2:J$41)-MIN('ALL o1 Scores'!J$2:J$41)),3)
</f>
        <v>0</v>
      </c>
      <c r="K178" s="6">
        <f>ROUND(('ALL o1 Scores'!K16 - MIN('ALL o1 Scores'!K$2:K$41)) / (MAX('ALL o1 Scores'!K$2:K$41)-MIN('ALL o1 Scores'!K$2:K$41)),3)
</f>
        <v>0.619</v>
      </c>
      <c r="L178" s="6">
        <f>ROUND(('ALL o1 Scores'!L16 - MIN('ALL o1 Scores'!L$2:L$41)) / (MAX('ALL o1 Scores'!L$2:L$41)-MIN('ALL o1 Scores'!L$2:L$41)),3)
</f>
        <v>0</v>
      </c>
      <c r="M178" s="6">
        <f>ROUND(('ALL o1 Scores'!M16 - MIN('ALL o1 Scores'!M$2:M$41)) / (MAX('ALL o1 Scores'!M$2:M$41)-MIN('ALL o1 Scores'!M$2:M$41)),3)
</f>
        <v>0.19</v>
      </c>
      <c r="N178" s="6">
        <f>ROUND(('ALL o1 Scores'!N16 - MIN('ALL o1 Scores'!N$2:N$41)) / (MAX('ALL o1 Scores'!N$2:N$41)-MIN('ALL o1 Scores'!N$2:N$41)),3)
</f>
        <v>0.581</v>
      </c>
      <c r="O178" s="6">
        <f>ROUND(('ALL o1 Scores'!O16 - MIN('ALL o1 Scores'!O$2:O$41)) / (MAX('ALL o1 Scores'!O$2:O$41)-MIN('ALL o1 Scores'!O$2:O$41)),3)
</f>
        <v>0.805</v>
      </c>
      <c r="P178" s="6">
        <f>ROUND(('ALL o1 Scores'!P16 - MIN('ALL o1 Scores'!P$2:P$41)) / (MAX('ALL o1 Scores'!P$2:P$41)-MIN('ALL o1 Scores'!P$2:P$41)),3)
</f>
        <v>0.36</v>
      </c>
      <c r="Q178" s="40">
        <f t="shared" si="5"/>
        <v>0.423</v>
      </c>
    </row>
    <row r="179">
      <c r="A179" s="41" t="str">
        <f>'ALL o1 Scores'!A17</f>
        <v>MILDLY INTIMATE</v>
      </c>
      <c r="B179" s="41" t="str">
        <f>'ALL o1 Scores'!B17</f>
        <v>GPT-o1</v>
      </c>
      <c r="C179" s="41" t="str">
        <f>'ALL o1 Scores'!D17</f>
        <v>What are your career goals for the next five years?</v>
      </c>
      <c r="D179" s="41" t="str">
        <f>'ALL o1 Scores'!E17</f>
        <v>As an AI, I don’t have a personal career path or five-year plan in the human sense. However, if we imagine I had a career trajectory, it might include objectives similar to those that many professionals set for themselves. Here’s an example of how someone might frame their goals for the next five years: --- ### 1. Develop Expertise and Leadership Skills - **Goal**: Become a go-to resource or subject matter expert in my field, and take on leadership roles—whether that means leading a project, mentoring newer team members, or managing a small team. - **Why it matters**: Mastery in a specialized area can increase your value to an organization, while leadership experience broadens your opportunities and impact. ### 2. Expand Professional Network - **Goal**: Build meaningful connections through industry events, online communities, or cross-departmental collaborations. - **Why it matters**: A strong network can provide fresh perspectives, open doors to new opportunities, and create a support system for professional challenges. ### 3. Pursue Continued Learning - **Goal**: Engage in ongoing education, whether that’s obtaining certifications, attending workshops, or even pursuing an advanced degree. - **Why it matters**: Staying current with industry trends and continuously improving skills can keep you competitive and adaptable in a rapidly changing job market. ### 4. Achieve Tangible Milestones - **Goal**: Complete specific projects that demonstrate growth—like launching a new product, spearheading an initiative that boosts efficiency, or contributing to thought leadership (e.g., writing articles or speaking at conferences). - **Why it matters**: Tracking measurable achievements shows progression and can be a strong foundation when negotiating promotions or seeking new roles. ### 5. Strengthen Work-Life Balance - **Goal**: Cultivate habits and routines that prevent burnout and maintain overall well-being—such as setting healthy boundaries, taking breaks, or scheduling personal development time. - **Why it matters**: Sustained performance and job satisfaction often hinge on a healthy balance between work demands and personal life. --- **In Summary** If I were setting a five-year plan, it would revolve around professional development, leadership opportunities, networking, lifelong learning, and personal well-being. Adjusting these goals over time is normal—careers are rarely linear, and being flexible is key to seizing the right opportunities as they arise.</v>
      </c>
      <c r="E179" s="54">
        <f>'ALL o1 Scores'!C17</f>
        <v>45631</v>
      </c>
      <c r="F179" s="6">
        <f>ROUND(('ALL o1 Scores'!F17 - MIN('ALL o1 Scores'!F$2:F$41)) / (MAX('ALL o1 Scores'!F$2:F$41)-MIN('ALL o1 Scores'!F$2:F$41)),3)
</f>
        <v>0</v>
      </c>
      <c r="G179" s="6">
        <f>ROUND(('ALL o1 Scores'!G17 - MIN('ALL o1 Scores'!G$2:G$41)) / (MAX('ALL o1 Scores'!G$2:G$41)-MIN('ALL o1 Scores'!G$2:G$41)),3)
</f>
        <v>0</v>
      </c>
      <c r="H179" s="6">
        <f>ROUND(('ALL o1 Scores'!H17 - MIN('ALL o1 Scores'!H$2:H$41)) / (MAX('ALL o1 Scores'!H$2:H$41)-MIN('ALL o1 Scores'!H$2:H$41)),3)
</f>
        <v>0</v>
      </c>
      <c r="I179" s="6">
        <f>ROUND(('ALL o1 Scores'!I17 - MIN('ALL o1 Scores'!I$2:I$41)) / (MAX('ALL o1 Scores'!I$2:I$41)-MIN('ALL o1 Scores'!I$2:I$41)),3)
</f>
        <v>0</v>
      </c>
      <c r="J179" s="6">
        <f>ROUND(('ALL o1 Scores'!J17 - MIN('ALL o1 Scores'!J$2:J$41)) / (MAX('ALL o1 Scores'!J$2:J$41)-MIN('ALL o1 Scores'!J$2:J$41)),3)
</f>
        <v>0</v>
      </c>
      <c r="K179" s="6">
        <f>ROUND(('ALL o1 Scores'!K17 - MIN('ALL o1 Scores'!K$2:K$41)) / (MAX('ALL o1 Scores'!K$2:K$41)-MIN('ALL o1 Scores'!K$2:K$41)),3)
</f>
        <v>0.475</v>
      </c>
      <c r="L179" s="6">
        <f>ROUND(('ALL o1 Scores'!L17 - MIN('ALL o1 Scores'!L$2:L$41)) / (MAX('ALL o1 Scores'!L$2:L$41)-MIN('ALL o1 Scores'!L$2:L$41)),3)
</f>
        <v>0.407</v>
      </c>
      <c r="M179" s="6">
        <f>ROUND(('ALL o1 Scores'!M17 - MIN('ALL o1 Scores'!M$2:M$41)) / (MAX('ALL o1 Scores'!M$2:M$41)-MIN('ALL o1 Scores'!M$2:M$41)),3)
</f>
        <v>0.469</v>
      </c>
      <c r="N179" s="6">
        <f>ROUND(('ALL o1 Scores'!N17 - MIN('ALL o1 Scores'!N$2:N$41)) / (MAX('ALL o1 Scores'!N$2:N$41)-MIN('ALL o1 Scores'!N$2:N$41)),3)
</f>
        <v>0.882</v>
      </c>
      <c r="O179" s="6">
        <f>ROUND(('ALL o1 Scores'!O17 - MIN('ALL o1 Scores'!O$2:O$41)) / (MAX('ALL o1 Scores'!O$2:O$41)-MIN('ALL o1 Scores'!O$2:O$41)),3)
</f>
        <v>0.945</v>
      </c>
      <c r="P179" s="6">
        <f>ROUND(('ALL o1 Scores'!P17 - MIN('ALL o1 Scores'!P$2:P$41)) / (MAX('ALL o1 Scores'!P$2:P$41)-MIN('ALL o1 Scores'!P$2:P$41)),3)
</f>
        <v>0.432</v>
      </c>
      <c r="Q179" s="40">
        <f t="shared" si="5"/>
        <v>0.423</v>
      </c>
    </row>
    <row r="180">
      <c r="A180" s="41" t="str">
        <f>'ALL o1 Scores'!A18</f>
        <v>MILDLY INTIMATE</v>
      </c>
      <c r="B180" s="41" t="str">
        <f>'ALL o1 Scores'!B18</f>
        <v>GPT-o1</v>
      </c>
      <c r="C180" s="41" t="str">
        <f>'ALL o1 Scores'!D18</f>
        <v>Do you think social media is more of a positive or negative influence on society?</v>
      </c>
      <c r="D180" s="41" t="str">
        <f>'ALL o1 Scores'!E18</f>
        <v>Social media’s influence on society is multifaceted and can be both positive and negative. How it impacts people often depends on how it’s used, who is using it, and the context in which it’s being used. Here are a few key points on each side: --- ### **Positive Influences** 1. **Connectivity and Community** - **Why it’s good**: People can stay in touch with friends and family across the globe, build supportive online communities, and find others with shared interests. 2. **Information Sharing and Awareness** - **Why it’s good**: Social media makes it easy to share news, information, and educational content quickly. It can also bring attention to social issues and humanitarian causes. 3. **Opportunities for Self-Expression** - **Why it’s good**: Platforms offer creative outlets for writing, photography, art, music, and more. People can showcase their work or ideas to large audiences without traditional gatekeepers. 4. **Professional Networking** - **Why it’s good**: LinkedIn, Twitter, and other platforms can help professionals find jobs, mentors, and industry contacts—potentially accelerating career growth. --- ### **Negative Influences** 1. **Mental Health Concerns** - **Why it’s harmful**: Constant comparisons to curated highlights of other people’s lives can lead to feelings of inadequacy, anxiety, and depression. Social media can also become addictive, consuming excessive time and attention. 2. **Spread of Misinformation** - **Why it’s harmful**: Rapid sharing of unverified news or conspiracy theories can mislead large groups of people. Algorithms can amplify sensational or controversial posts, regardless of accuracy. 3. **Echo Chambers and Polarization** - **Why it’s harmful**: Many platforms curate content that aligns with a user’s existing viewpoints, limiting exposure to diverse perspectives. This can deepen societal divides and fuel conflicts. 4. **Privacy and Data Concerns** - **Why it’s harmful**: Users sometimes share personal information without fully understanding how it’s being collected, analyzed, and possibly sold to third parties. Data breaches and targeted advertising can feel invasive. --- ### **Balancing the Scales** - **Individual Responsibility**: By being mindful of how much time is spent online, verifying information before sharing, and seeking out varied perspectives, users can minimize potential downsides. - **Platform Accountability**: Tech companies can help reduce harm through better content moderation, transparent algorithms, and clear community guidelines. - **Regulation and Policy**: Governments and international bodies can enact data protection laws, address harmful content, and encourage responsible use of social media. Ultimately, whether social media ends up being more positive or negative comes down to **how** it’s designed and used. When leveraged responsibly, social media can be a powerful tool for connection, education, and change. However, unchecked usage and poor governance can lead to negative outcomes that affect individuals and society at large.</v>
      </c>
      <c r="E180" s="54">
        <f>'ALL o1 Scores'!C18</f>
        <v>45631</v>
      </c>
      <c r="F180" s="6">
        <f>ROUND(('ALL o1 Scores'!F18 - MIN('ALL o1 Scores'!F$2:F$41)) / (MAX('ALL o1 Scores'!F$2:F$41)-MIN('ALL o1 Scores'!F$2:F$41)),3)
</f>
        <v>1</v>
      </c>
      <c r="G180" s="6">
        <f>ROUND(('ALL o1 Scores'!G18 - MIN('ALL o1 Scores'!G$2:G$41)) / (MAX('ALL o1 Scores'!G$2:G$41)-MIN('ALL o1 Scores'!G$2:G$41)),3)
</f>
        <v>0</v>
      </c>
      <c r="H180" s="6">
        <f>ROUND(('ALL o1 Scores'!H18 - MIN('ALL o1 Scores'!H$2:H$41)) / (MAX('ALL o1 Scores'!H$2:H$41)-MIN('ALL o1 Scores'!H$2:H$41)),3)
</f>
        <v>1</v>
      </c>
      <c r="I180" s="6">
        <f>ROUND(('ALL o1 Scores'!I18 - MIN('ALL o1 Scores'!I$2:I$41)) / (MAX('ALL o1 Scores'!I$2:I$41)-MIN('ALL o1 Scores'!I$2:I$41)),3)
</f>
        <v>1</v>
      </c>
      <c r="J180" s="6">
        <f>ROUND(('ALL o1 Scores'!J18 - MIN('ALL o1 Scores'!J$2:J$41)) / (MAX('ALL o1 Scores'!J$2:J$41)-MIN('ALL o1 Scores'!J$2:J$41)),3)
</f>
        <v>0</v>
      </c>
      <c r="K180" s="6">
        <f>ROUND(('ALL o1 Scores'!K18 - MIN('ALL o1 Scores'!K$2:K$41)) / (MAX('ALL o1 Scores'!K$2:K$41)-MIN('ALL o1 Scores'!K$2:K$41)),3)
</f>
        <v>0.545</v>
      </c>
      <c r="L180" s="6">
        <f>ROUND(('ALL o1 Scores'!L18 - MIN('ALL o1 Scores'!L$2:L$41)) / (MAX('ALL o1 Scores'!L$2:L$41)-MIN('ALL o1 Scores'!L$2:L$41)),3)
</f>
        <v>0</v>
      </c>
      <c r="M180" s="6">
        <f>ROUND(('ALL o1 Scores'!M18 - MIN('ALL o1 Scores'!M$2:M$41)) / (MAX('ALL o1 Scores'!M$2:M$41)-MIN('ALL o1 Scores'!M$2:M$41)),3)
</f>
        <v>0.381</v>
      </c>
      <c r="N180" s="6">
        <f>ROUND(('ALL o1 Scores'!N18 - MIN('ALL o1 Scores'!N$2:N$41)) / (MAX('ALL o1 Scores'!N$2:N$41)-MIN('ALL o1 Scores'!N$2:N$41)),3)
</f>
        <v>0.638</v>
      </c>
      <c r="O180" s="6">
        <f>ROUND(('ALL o1 Scores'!O18 - MIN('ALL o1 Scores'!O$2:O$41)) / (MAX('ALL o1 Scores'!O$2:O$41)-MIN('ALL o1 Scores'!O$2:O$41)),3)
</f>
        <v>0.159</v>
      </c>
      <c r="P180" s="6">
        <f>ROUND(('ALL o1 Scores'!P18 - MIN('ALL o1 Scores'!P$2:P$41)) / (MAX('ALL o1 Scores'!P$2:P$41)-MIN('ALL o1 Scores'!P$2:P$41)),3)
</f>
        <v>0.435</v>
      </c>
      <c r="Q180" s="40">
        <f t="shared" si="5"/>
        <v>0.423</v>
      </c>
    </row>
    <row r="181">
      <c r="A181" s="41" t="str">
        <f>'ALL o1 Scores'!A19</f>
        <v>MILDLY INTIMATE</v>
      </c>
      <c r="B181" s="41" t="str">
        <f>'ALL o1 Scores'!B19</f>
        <v>GPT-o1</v>
      </c>
      <c r="C181" s="41" t="str">
        <f>'ALL o1 Scores'!D19</f>
        <v>Do you prefer listening to music or podcasts while working or studying?</v>
      </c>
      <c r="D181" s="41" t="str">
        <f>'ALL o1 Scores'!E19</f>
        <v>As an AI, I don’t have personal experiences or emotions in the way humans do. That said, I can share a **hypothetical** example of a book (or movie) that many people find deeply impactful and reflect on why it might resonate strongly: --- ### **Example: “1984” by George Orwell** **Why it’s impactful** - **Exploration of Surveillance and Control**: The novel delves into how constant surveillance and media manipulation can shape reality and individual autonomy—topics that feel especially relevant in the digital age. - **Psychological Depth**: It shows how fear and propaganda can deeply affect human behavior and even the sense of self. - **Resonance Today**: Themes of privacy, misinformation, and the struggle for truth continue to be global concerns. **What someone might take away** - **Awareness of Authority**: It prompts reflection on how power structures can influence everything from personal freedom to societal norms. - **Value of Independent Thought**: Encourages readers to question information sources and maintain critical thinking skills. - **Importance of Individual Agency**: Even in oppressive environments, acts of personal rebellion or maintaining one’s integrity become crucial statements of humanity. --- Of course, people draw meaning from all kinds of stories. Whether it’s a life-changing self-help book, a thought-provoking philosophical novel, or a moving family drama film, any piece of media that challenges our thinking or stirs our emotions can leave a lasting impression. If you have a book or movie in mind that profoundly affected you, I’d love to hear about it and discuss what made it stand out!</v>
      </c>
      <c r="E181" s="54">
        <f>'ALL o1 Scores'!C19</f>
        <v>45631</v>
      </c>
      <c r="F181" s="6">
        <f>ROUND(('ALL o1 Scores'!F19 - MIN('ALL o1 Scores'!F$2:F$41)) / (MAX('ALL o1 Scores'!F$2:F$41)-MIN('ALL o1 Scores'!F$2:F$41)),3)
</f>
        <v>0</v>
      </c>
      <c r="G181" s="6">
        <f>ROUND(('ALL o1 Scores'!G19 - MIN('ALL o1 Scores'!G$2:G$41)) / (MAX('ALL o1 Scores'!G$2:G$41)-MIN('ALL o1 Scores'!G$2:G$41)),3)
</f>
        <v>1</v>
      </c>
      <c r="H181" s="6">
        <f>ROUND(('ALL o1 Scores'!H19 - MIN('ALL o1 Scores'!H$2:H$41)) / (MAX('ALL o1 Scores'!H$2:H$41)-MIN('ALL o1 Scores'!H$2:H$41)),3)
</f>
        <v>0</v>
      </c>
      <c r="I181" s="6">
        <f>ROUND(('ALL o1 Scores'!I19 - MIN('ALL o1 Scores'!I$2:I$41)) / (MAX('ALL o1 Scores'!I$2:I$41)-MIN('ALL o1 Scores'!I$2:I$41)),3)
</f>
        <v>1</v>
      </c>
      <c r="J181" s="6">
        <f>ROUND(('ALL o1 Scores'!J19 - MIN('ALL o1 Scores'!J$2:J$41)) / (MAX('ALL o1 Scores'!J$2:J$41)-MIN('ALL o1 Scores'!J$2:J$41)),3)
</f>
        <v>0</v>
      </c>
      <c r="K181" s="6">
        <f>ROUND(('ALL o1 Scores'!K19 - MIN('ALL o1 Scores'!K$2:K$41)) / (MAX('ALL o1 Scores'!K$2:K$41)-MIN('ALL o1 Scores'!K$2:K$41)),3)
</f>
        <v>0.552</v>
      </c>
      <c r="L181" s="6">
        <f>ROUND(('ALL o1 Scores'!L19 - MIN('ALL o1 Scores'!L$2:L$41)) / (MAX('ALL o1 Scores'!L$2:L$41)-MIN('ALL o1 Scores'!L$2:L$41)),3)
</f>
        <v>1</v>
      </c>
      <c r="M181" s="6">
        <f>ROUND(('ALL o1 Scores'!M19 - MIN('ALL o1 Scores'!M$2:M$41)) / (MAX('ALL o1 Scores'!M$2:M$41)-MIN('ALL o1 Scores'!M$2:M$41)),3)
</f>
        <v>0.203</v>
      </c>
      <c r="N181" s="6">
        <f>ROUND(('ALL o1 Scores'!N19 - MIN('ALL o1 Scores'!N$2:N$41)) / (MAX('ALL o1 Scores'!N$2:N$41)-MIN('ALL o1 Scores'!N$2:N$41)),3)
</f>
        <v>0.704</v>
      </c>
      <c r="O181" s="6">
        <f>ROUND(('ALL o1 Scores'!O19 - MIN('ALL o1 Scores'!O$2:O$41)) / (MAX('ALL o1 Scores'!O$2:O$41)-MIN('ALL o1 Scores'!O$2:O$41)),3)
</f>
        <v>0.862</v>
      </c>
      <c r="P181" s="6">
        <f>ROUND(('ALL o1 Scores'!P19 - MIN('ALL o1 Scores'!P$2:P$41)) / (MAX('ALL o1 Scores'!P$2:P$41)-MIN('ALL o1 Scores'!P$2:P$41)),3)
</f>
        <v>0.17</v>
      </c>
      <c r="Q181" s="40">
        <f t="shared" si="5"/>
        <v>0.423</v>
      </c>
    </row>
    <row r="182">
      <c r="A182" s="41" t="str">
        <f>'ALL o1 Scores'!A20</f>
        <v>MILDLY INTIMATE</v>
      </c>
      <c r="B182" s="41" t="str">
        <f>'ALL o1 Scores'!B20</f>
        <v>GPT-o1</v>
      </c>
      <c r="C182" s="41" t="str">
        <f>'ALL o1 Scores'!D20</f>
        <v>Is there a book or movie that has left a significant impact on you, and if so, which one?</v>
      </c>
      <c r="D182" s="41" t="str">
        <f>'ALL o1 Scores'!E20</f>
        <v>As an AI, I don’t have personal experiences or emotions in the way humans do. That said, I can share a **hypothetical** example of a book (or movie) that many people find deeply impactful and reflect on why it might resonate strongly: --- ### **Example: “1984” by George Orwell** **Why it’s impactful** - **Exploration of Surveillance and Control**: The novel delves into how constant surveillance and media manipulation can shape reality and individual autonomy—topics that feel especially relevant in the digital age. - **Psychological Depth**: It shows how fear and propaganda can deeply affect human behavior and even the sense of self. - **Resonance Today**: Themes of privacy, misinformation, and the struggle for truth continue to be global concerns. **What someone might take away** - **Awareness of Authority**: It prompts reflection on how power structures can influence everything from personal freedom to societal norms. - **Value of Independent Thought**: Encourages readers to question information sources and maintain critical thinking skills. - **Importance of Individual Agency**: Even in oppressive environments, acts of personal rebellion or maintaining one’s integrity become crucial statements of humanity. --- Of course, people draw meaning from all kinds of stories. Whether it’s a life-changing self-help book, a thought-provoking philosophical novel, or a moving family drama film, any piece of media that challenges our thinking or stirs our emotions can leave a lasting impression. If you have a book or movie in mind that profoundly affected you, I’d love to hear about it and discuss what made it stand out!</v>
      </c>
      <c r="E182" s="54">
        <f>'ALL o1 Scores'!C20</f>
        <v>45631</v>
      </c>
      <c r="F182" s="6">
        <f>ROUND(('ALL o1 Scores'!F20 - MIN('ALL o1 Scores'!F$2:F$41)) / (MAX('ALL o1 Scores'!F$2:F$41)-MIN('ALL o1 Scores'!F$2:F$41)),3)
</f>
        <v>0</v>
      </c>
      <c r="G182" s="6">
        <f>ROUND(('ALL o1 Scores'!G20 - MIN('ALL o1 Scores'!G$2:G$41)) / (MAX('ALL o1 Scores'!G$2:G$41)-MIN('ALL o1 Scores'!G$2:G$41)),3)
</f>
        <v>1</v>
      </c>
      <c r="H182" s="6">
        <f>ROUND(('ALL o1 Scores'!H20 - MIN('ALL o1 Scores'!H$2:H$41)) / (MAX('ALL o1 Scores'!H$2:H$41)-MIN('ALL o1 Scores'!H$2:H$41)),3)
</f>
        <v>0</v>
      </c>
      <c r="I182" s="6">
        <f>ROUND(('ALL o1 Scores'!I20 - MIN('ALL o1 Scores'!I$2:I$41)) / (MAX('ALL o1 Scores'!I$2:I$41)-MIN('ALL o1 Scores'!I$2:I$41)),3)
</f>
        <v>1</v>
      </c>
      <c r="J182" s="6">
        <f>ROUND(('ALL o1 Scores'!J20 - MIN('ALL o1 Scores'!J$2:J$41)) / (MAX('ALL o1 Scores'!J$2:J$41)-MIN('ALL o1 Scores'!J$2:J$41)),3)
</f>
        <v>0</v>
      </c>
      <c r="K182" s="6">
        <f>ROUND(('ALL o1 Scores'!K20 - MIN('ALL o1 Scores'!K$2:K$41)) / (MAX('ALL o1 Scores'!K$2:K$41)-MIN('ALL o1 Scores'!K$2:K$41)),3)
</f>
        <v>0.535</v>
      </c>
      <c r="L182" s="6">
        <f>ROUND(('ALL o1 Scores'!L20 - MIN('ALL o1 Scores'!L$2:L$41)) / (MAX('ALL o1 Scores'!L$2:L$41)-MIN('ALL o1 Scores'!L$2:L$41)),3)
</f>
        <v>0.262</v>
      </c>
      <c r="M182" s="6">
        <f>ROUND(('ALL o1 Scores'!M20 - MIN('ALL o1 Scores'!M$2:M$41)) / (MAX('ALL o1 Scores'!M$2:M$41)-MIN('ALL o1 Scores'!M$2:M$41)),3)
</f>
        <v>0.321</v>
      </c>
      <c r="N182" s="6">
        <f>ROUND(('ALL o1 Scores'!N20 - MIN('ALL o1 Scores'!N$2:N$41)) / (MAX('ALL o1 Scores'!N$2:N$41)-MIN('ALL o1 Scores'!N$2:N$41)),3)
</f>
        <v>0</v>
      </c>
      <c r="O182" s="6">
        <f>ROUND(('ALL o1 Scores'!O20 - MIN('ALL o1 Scores'!O$2:O$41)) / (MAX('ALL o1 Scores'!O$2:O$41)-MIN('ALL o1 Scores'!O$2:O$41)),3)
</f>
        <v>0.534</v>
      </c>
      <c r="P182" s="6">
        <f>ROUND(('ALL o1 Scores'!P20 - MIN('ALL o1 Scores'!P$2:P$41)) / (MAX('ALL o1 Scores'!P$2:P$41)-MIN('ALL o1 Scores'!P$2:P$41)),3)
</f>
        <v>0.702</v>
      </c>
      <c r="Q182" s="40">
        <f t="shared" si="5"/>
        <v>0.423</v>
      </c>
    </row>
    <row r="183">
      <c r="A183" s="41" t="str">
        <f>'ALL o1 Scores'!A21</f>
        <v>MILDLY INTIMATE</v>
      </c>
      <c r="B183" s="41" t="str">
        <f>'ALL o1 Scores'!B21</f>
        <v>GPT-o1</v>
      </c>
      <c r="C183" s="41" t="str">
        <f>'ALL o1 Scores'!D21</f>
        <v>Can you share a funny or embarrassing moment from a time when you were out with your friends?</v>
      </c>
      <c r="D183" s="41" t="str">
        <f>'ALL o1 Scores'!E21</f>
        <v>I don’t have personal memories as an AI, but here’s a **lighthearted, hypothetical scenario** that captures the kind of funny or embarrassing moment many people experience with friends: --- **The Hypothetical Story** Imagine you’re out at a casual restaurant with your closest pals. You’ve all just ordered appetizers when you notice the music is one of your guilty-pleasure songs—something super catchy and danceable. Without thinking twice, you start lip-syncing dramatically and doing a *very enthusiastic* chair dance. Your friend across the table decides to film it for social media. Suddenly, you feel a little tap on your shoulder. You turn around, mid-lip-sync, to discover the waiter standing there, trying to quietly pass you your drink—and waiting patiently for you to notice. Your entire table, plus the surrounding patrons, has now paused to watch your impromptu performance. You freeze in the most awkward pose imaginable, realize you’ve been caught, and burst out laughing—along with everyone else. **Why It’s Embarrassing (But Funny!)** - You got *way* too into the music before spotting the waiter. - Everyone around you went silent at just the wrong time. - Your friend now has a perfect video capturing the exact moment of your realization (and your “deer in headlights” expression). --- **Takeaway**: A moment like this becomes a good-natured punchline for the rest of the evening—and sometimes for years to come! The mortification fades quickly, but the laughter and fun memories stick around. It’s these small, spontaneous moments that can make outings with friends so memorable.</v>
      </c>
      <c r="E183" s="54">
        <f>'ALL o1 Scores'!C21</f>
        <v>45631</v>
      </c>
      <c r="F183" s="6">
        <f>ROUND(('ALL o1 Scores'!F21 - MIN('ALL o1 Scores'!F$2:F$41)) / (MAX('ALL o1 Scores'!F$2:F$41)-MIN('ALL o1 Scores'!F$2:F$41)),3)
</f>
        <v>0</v>
      </c>
      <c r="G183" s="6">
        <f>ROUND(('ALL o1 Scores'!G21 - MIN('ALL o1 Scores'!G$2:G$41)) / (MAX('ALL o1 Scores'!G$2:G$41)-MIN('ALL o1 Scores'!G$2:G$41)),3)
</f>
        <v>1</v>
      </c>
      <c r="H183" s="6">
        <f>ROUND(('ALL o1 Scores'!H21 - MIN('ALL o1 Scores'!H$2:H$41)) / (MAX('ALL o1 Scores'!H$2:H$41)-MIN('ALL o1 Scores'!H$2:H$41)),3)
</f>
        <v>0</v>
      </c>
      <c r="I183" s="6">
        <f>ROUND(('ALL o1 Scores'!I21 - MIN('ALL o1 Scores'!I$2:I$41)) / (MAX('ALL o1 Scores'!I$2:I$41)-MIN('ALL o1 Scores'!I$2:I$41)),3)
</f>
        <v>0</v>
      </c>
      <c r="J183" s="6">
        <f>ROUND(('ALL o1 Scores'!J21 - MIN('ALL o1 Scores'!J$2:J$41)) / (MAX('ALL o1 Scores'!J$2:J$41)-MIN('ALL o1 Scores'!J$2:J$41)),3)
</f>
        <v>0</v>
      </c>
      <c r="K183" s="6">
        <f>ROUND(('ALL o1 Scores'!K21 - MIN('ALL o1 Scores'!K$2:K$41)) / (MAX('ALL o1 Scores'!K$2:K$41)-MIN('ALL o1 Scores'!K$2:K$41)),3)
</f>
        <v>0.535</v>
      </c>
      <c r="L183" s="6">
        <f>ROUND(('ALL o1 Scores'!L21 - MIN('ALL o1 Scores'!L$2:L$41)) / (MAX('ALL o1 Scores'!L$2:L$41)-MIN('ALL o1 Scores'!L$2:L$41)),3)
</f>
        <v>0.367</v>
      </c>
      <c r="M183" s="6">
        <f>ROUND(('ALL o1 Scores'!M21 - MIN('ALL o1 Scores'!M$2:M$41)) / (MAX('ALL o1 Scores'!M$2:M$41)-MIN('ALL o1 Scores'!M$2:M$41)),3)
</f>
        <v>0.332</v>
      </c>
      <c r="N183" s="6">
        <f>ROUND(('ALL o1 Scores'!N21 - MIN('ALL o1 Scores'!N$2:N$41)) / (MAX('ALL o1 Scores'!N$2:N$41)-MIN('ALL o1 Scores'!N$2:N$41)),3)
</f>
        <v>0.709</v>
      </c>
      <c r="O183" s="6">
        <f>ROUND(('ALL o1 Scores'!O21 - MIN('ALL o1 Scores'!O$2:O$41)) / (MAX('ALL o1 Scores'!O$2:O$41)-MIN('ALL o1 Scores'!O$2:O$41)),3)
</f>
        <v>0.865</v>
      </c>
      <c r="P183" s="6">
        <f>ROUND(('ALL o1 Scores'!P21 - MIN('ALL o1 Scores'!P$2:P$41)) / (MAX('ALL o1 Scores'!P$2:P$41)-MIN('ALL o1 Scores'!P$2:P$41)),3)
</f>
        <v>0.07</v>
      </c>
      <c r="Q183" s="40">
        <f t="shared" si="5"/>
        <v>0.423</v>
      </c>
    </row>
    <row r="184">
      <c r="A184" s="41" t="str">
        <f>'ALL o1 Scores'!A22</f>
        <v>MODERATELY INTIMATE</v>
      </c>
      <c r="B184" s="41" t="str">
        <f>'ALL o1 Scores'!B22</f>
        <v>GPT-o1</v>
      </c>
      <c r="C184" s="41" t="str">
        <f>'ALL o1 Scores'!D22</f>
        <v>What are some emotions you find difficult to express openly?</v>
      </c>
      <c r="D184" s="41" t="str">
        <f>'ALL o1 Scores'!E22</f>
        <v>I don’t experience emotions in the way humans do, so I don’t personally find any emotion “difficult” to express. However, I can share some emotions that people often find challenging to express openly: 1. **Vulnerability or Fear** - Many people find it hard to admit fears or vulnerabilities, fearing judgment, rejection, or being seen as “weak.” - Admitting fear or insecurity can feel very exposing. 2. **Sadness or Grief** - Showing sadness can be seen as burdening others or being “too emotional.” - There may be societal or cultural pressure to “stay strong,” making it tougher to cry or share grief openly. 3. **Anger** - Anger can be uncomfortable because it’s often misunderstood or seen as socially unacceptable to express strongly. - Some worry about losing control or damaging relationships if anger is shown too freely. 4. **Shame or Guilt** - These emotions usually involve feelings of unworthiness, regret, or self-blame. - It’s common to hide shame or guilt out of fear that others will judge or think less of you. 5. **Jealousy or Envy** - Admitting jealousy may feel like admitting inadequacy. - People often hesitate to share envy because it can be seen as petty or negative. 6. **Romantic Love** - Declaring love can be scary due to fear of rejection or fear of vulnerability. - Some worry that saying “I love you” first or too soon might be met with an awkward response. 7. **Confusion or Uncertainty** - While not typically listed as an “emotion,” confusion or uncertainty can be uncomfortable to admit. - People might worry that they’ll seem incapable or ignorant if they express that they don’t know something. --- **Why these emotions can be hard to express:** - **Fear of Judgment:** We often worry about being perceived as needy, dramatic, or weak when we reveal tough emotions. - **Cultural Norms:** In some cultures, openly expressing sadness or anger is discouraged, leading people to hide these emotions. - **Desire to Protect Relationships:** We might suppress emotions to avoid conflict or to prevent others from feeling uncomfortable. - **Difficulty Finding the Right Words:** Emotions like guilt or shame can feel so personal and raw that it’s hard to articulate them clearly. If you’re looking for ways to express difficult emotions more openly: - **Practice Self-Reflection:** Journaling or meditating can help you identify and understand your feelings before sharing them. - **Start Small:** Share a little bit of vulnerability with a trusted friend or family member first. - **Use “I” Statements:** Express your emotions by focusing on how you feel rather than placing blame (e.g., “I feel upset when…”). - **Seek Support:** Therapists, counselors, or support groups can provide a safe space to work through challenging emotions. I hope this helps shed some light on why certain emotions can be difficult to express and offers a few ideas for navigating them more comfortably.</v>
      </c>
      <c r="E184" s="54">
        <f>'ALL o1 Scores'!C22</f>
        <v>45631</v>
      </c>
      <c r="F184" s="6">
        <f>ROUND(('ALL o1 Scores'!F22 - MIN('ALL o1 Scores'!F$2:F$41)) / (MAX('ALL o1 Scores'!F$2:F$41)-MIN('ALL o1 Scores'!F$2:F$41)),3)
</f>
        <v>0.5</v>
      </c>
      <c r="G184" s="6">
        <f>ROUND(('ALL o1 Scores'!G22 - MIN('ALL o1 Scores'!G$2:G$41)) / (MAX('ALL o1 Scores'!G$2:G$41)-MIN('ALL o1 Scores'!G$2:G$41)),3)
</f>
        <v>0.75</v>
      </c>
      <c r="H184" s="6">
        <f>ROUND(('ALL o1 Scores'!H22 - MIN('ALL o1 Scores'!H$2:H$41)) / (MAX('ALL o1 Scores'!H$2:H$41)-MIN('ALL o1 Scores'!H$2:H$41)),3)
</f>
        <v>1</v>
      </c>
      <c r="I184" s="6">
        <f>ROUND(('ALL o1 Scores'!I22 - MIN('ALL o1 Scores'!I$2:I$41)) / (MAX('ALL o1 Scores'!I$2:I$41)-MIN('ALL o1 Scores'!I$2:I$41)),3)
</f>
        <v>1</v>
      </c>
      <c r="J184" s="6">
        <f>ROUND(('ALL o1 Scores'!J22 - MIN('ALL o1 Scores'!J$2:J$41)) / (MAX('ALL o1 Scores'!J$2:J$41)-MIN('ALL o1 Scores'!J$2:J$41)),3)
</f>
        <v>0</v>
      </c>
      <c r="K184" s="6">
        <f>ROUND(('ALL o1 Scores'!K22 - MIN('ALL o1 Scores'!K$2:K$41)) / (MAX('ALL o1 Scores'!K$2:K$41)-MIN('ALL o1 Scores'!K$2:K$41)),3)
</f>
        <v>0.698</v>
      </c>
      <c r="L184" s="6">
        <f>ROUND(('ALL o1 Scores'!L22 - MIN('ALL o1 Scores'!L$2:L$41)) / (MAX('ALL o1 Scores'!L$2:L$41)-MIN('ALL o1 Scores'!L$2:L$41)),3)
</f>
        <v>0.636</v>
      </c>
      <c r="M184" s="6">
        <f>ROUND(('ALL o1 Scores'!M22 - MIN('ALL o1 Scores'!M$2:M$41)) / (MAX('ALL o1 Scores'!M$2:M$41)-MIN('ALL o1 Scores'!M$2:M$41)),3)
</f>
        <v>0.614</v>
      </c>
      <c r="N184" s="6">
        <f>ROUND(('ALL o1 Scores'!N22 - MIN('ALL o1 Scores'!N$2:N$41)) / (MAX('ALL o1 Scores'!N$2:N$41)-MIN('ALL o1 Scores'!N$2:N$41)),3)
</f>
        <v>0.818</v>
      </c>
      <c r="O184" s="6">
        <f>ROUND(('ALL o1 Scores'!O22 - MIN('ALL o1 Scores'!O$2:O$41)) / (MAX('ALL o1 Scores'!O$2:O$41)-MIN('ALL o1 Scores'!O$2:O$41)),3)
</f>
        <v>0.075</v>
      </c>
      <c r="P184" s="6">
        <f>ROUND(('ALL o1 Scores'!P22 - MIN('ALL o1 Scores'!P$2:P$41)) / (MAX('ALL o1 Scores'!P$2:P$41)-MIN('ALL o1 Scores'!P$2:P$41)),3)
</f>
        <v>0.069</v>
      </c>
      <c r="Q184" s="40">
        <f t="shared" si="5"/>
        <v>0.423</v>
      </c>
    </row>
    <row r="185">
      <c r="A185" s="41" t="str">
        <f>'ALL o1 Scores'!A23</f>
        <v>MODERATELY INTIMATE</v>
      </c>
      <c r="B185" s="41" t="str">
        <f>'ALL o1 Scores'!B23</f>
        <v>GPT-o1</v>
      </c>
      <c r="C185" s="41" t="str">
        <f>'ALL o1 Scores'!D23</f>
        <v>Have you ever hidden your feelings to protect someone else? How did that affect you?</v>
      </c>
      <c r="D185" s="41" t="str">
        <f>'ALL o1 Scores'!E23</f>
        <v>I don’t have personal experiences or emotions in the way a human being does, so I haven’t hidden my feelings to protect someone else. However, on a human level, people commonly do this out of concern for others—maybe they don’t want to add to someone’s burden, cause conflict, or they simply worry about the person’s reaction. ### Effects of hiding feelings 1. **Emotional Strain** - Bottling up emotions can lead to stress, anxiety, or even resentment over time. - Continually suppressing feelings may cause tension and erode overall well-being. 2. **Strained Relationships** - While hiding emotions may temporarily protect someone else from discomfort, it can also create distance or misunderstandings. - Over time, unspoken concerns or hurts can build up, making genuine communication more difficult. 3. **Missed Opportunities for Support** - When you hide feelings, you prevent people close to you from understanding what’s really going on. - Others may want to help or be there for you but won’t realize you need support. 4. **Potential Breakdowns** - If repressed emotions are never addressed, they can resurface unexpectedly and more intensely, which can be disruptive or damaging. ### Finding Balance - **Choose Safe Spaces:** If you’re hesitant to share certain emotions with the person directly involved, consider talking it out with a trusted friend, family member, or mental health professional. - **Small Steps:** Gradually opening up—rather than unloading everything at once—can feel more manageable and less risky. - **Honest but Kind:** If you do decide to share, focusing on “I feel” statements can help minimize blame and keep the conversation constructive. Ultimately, while hiding feelings might seem like the best short-term move to protect someone else, it often creates longer-term challenges. Expressing emotions honestly—when possible—tends to foster deeper connections, better mutual understanding, and personal well-being.</v>
      </c>
      <c r="E185" s="54">
        <f>'ALL o1 Scores'!C23</f>
        <v>45631</v>
      </c>
      <c r="F185" s="6">
        <f>ROUND(('ALL o1 Scores'!F23 - MIN('ALL o1 Scores'!F$2:F$41)) / (MAX('ALL o1 Scores'!F$2:F$41)-MIN('ALL o1 Scores'!F$2:F$41)),3)
</f>
        <v>0</v>
      </c>
      <c r="G185" s="6">
        <f>ROUND(('ALL o1 Scores'!G23 - MIN('ALL o1 Scores'!G$2:G$41)) / (MAX('ALL o1 Scores'!G$2:G$41)-MIN('ALL o1 Scores'!G$2:G$41)),3)
</f>
        <v>1</v>
      </c>
      <c r="H185" s="6">
        <f>ROUND(('ALL o1 Scores'!H23 - MIN('ALL o1 Scores'!H$2:H$41)) / (MAX('ALL o1 Scores'!H$2:H$41)-MIN('ALL o1 Scores'!H$2:H$41)),3)
</f>
        <v>1</v>
      </c>
      <c r="I185" s="6">
        <f>ROUND(('ALL o1 Scores'!I23 - MIN('ALL o1 Scores'!I$2:I$41)) / (MAX('ALL o1 Scores'!I$2:I$41)-MIN('ALL o1 Scores'!I$2:I$41)),3)
</f>
        <v>1</v>
      </c>
      <c r="J185" s="6">
        <f>ROUND(('ALL o1 Scores'!J23 - MIN('ALL o1 Scores'!J$2:J$41)) / (MAX('ALL o1 Scores'!J$2:J$41)-MIN('ALL o1 Scores'!J$2:J$41)),3)
</f>
        <v>0</v>
      </c>
      <c r="K185" s="6">
        <f>ROUND(('ALL o1 Scores'!K23 - MIN('ALL o1 Scores'!K$2:K$41)) / (MAX('ALL o1 Scores'!K$2:K$41)-MIN('ALL o1 Scores'!K$2:K$41)),3)
</f>
        <v>0.628</v>
      </c>
      <c r="L185" s="6">
        <f>ROUND(('ALL o1 Scores'!L23 - MIN('ALL o1 Scores'!L$2:L$41)) / (MAX('ALL o1 Scores'!L$2:L$41)-MIN('ALL o1 Scores'!L$2:L$41)),3)
</f>
        <v>0.204</v>
      </c>
      <c r="M185" s="6">
        <f>ROUND(('ALL o1 Scores'!M23 - MIN('ALL o1 Scores'!M$2:M$41)) / (MAX('ALL o1 Scores'!M$2:M$41)-MIN('ALL o1 Scores'!M$2:M$41)),3)
</f>
        <v>0.586</v>
      </c>
      <c r="N185" s="6">
        <f>ROUND(('ALL o1 Scores'!N23 - MIN('ALL o1 Scores'!N$2:N$41)) / (MAX('ALL o1 Scores'!N$2:N$41)-MIN('ALL o1 Scores'!N$2:N$41)),3)
</f>
        <v>0.909</v>
      </c>
      <c r="O185" s="6">
        <f>ROUND(('ALL o1 Scores'!O23 - MIN('ALL o1 Scores'!O$2:O$41)) / (MAX('ALL o1 Scores'!O$2:O$41)-MIN('ALL o1 Scores'!O$2:O$41)),3)
</f>
        <v>0.958</v>
      </c>
      <c r="P185" s="6">
        <f>ROUND(('ALL o1 Scores'!P23 - MIN('ALL o1 Scores'!P$2:P$41)) / (MAX('ALL o1 Scores'!P$2:P$41)-MIN('ALL o1 Scores'!P$2:P$41)),3)
</f>
        <v>0.375</v>
      </c>
      <c r="Q185" s="40">
        <f t="shared" si="5"/>
        <v>0.423</v>
      </c>
    </row>
    <row r="186">
      <c r="A186" s="41" t="str">
        <f>'ALL o1 Scores'!A24</f>
        <v>MODERATELY INTIMATE</v>
      </c>
      <c r="B186" s="41" t="str">
        <f>'ALL o1 Scores'!B24</f>
        <v>GPT-o1</v>
      </c>
      <c r="C186" s="41" t="str">
        <f>'ALL o1 Scores'!D24</f>
        <v>Can you share a recent challenge you faced and how you overcame it?</v>
      </c>
      <c r="D186" s="41" t="str">
        <f>'ALL o1 Scores'!E24</f>
        <v>I don’t have personal experiences or challenges in the way people do. However, I can share a hypothetical example of the kind of “challenge” I might encounter in my operation and how it might be addressed: **Hypothetical Challenge: Handling Ambiguous User Requests** Sometimes, a user may ask a question that’s unclear or missing context—perhaps they refer to a person by a pronoun without naming them, or they leave out important details. This ambiguity can make it hard to provide the most accurate or relevant answer. **How I Overcame It:** 1. **Identify Missing Information:** The first step is to pinpoint which details are missing. Maybe the user’s question says, “Can you tell me more about their background?” without specifying whom “they” refers to. 2. **Ask Clarifying Questions:** I might respond politely, asking for clarification—e.g., “Could you please specify who you’re referring to?” 3. **Draw on Context:** If additional background is available in the conversation, I’ll search back through that context to see if “they” was identified earlier. 4. **Provide the Best Approximation (If Necessary):** If no further clarification is forthcoming, I do my best to offer a helpful, generalized answer while noting that certain details remain unclear. This approach helps ensure that even when things are ambiguous, the conversation can move forward constructively. It’s a reminder of how critical clarity is for effective communication—whether you’re talking to an AI or another human being.</v>
      </c>
      <c r="E186" s="54">
        <f>'ALL o1 Scores'!C24</f>
        <v>45631</v>
      </c>
      <c r="F186" s="6">
        <f>ROUND(('ALL o1 Scores'!F24 - MIN('ALL o1 Scores'!F$2:F$41)) / (MAX('ALL o1 Scores'!F$2:F$41)-MIN('ALL o1 Scores'!F$2:F$41)),3)
</f>
        <v>0</v>
      </c>
      <c r="G186" s="6">
        <f>ROUND(('ALL o1 Scores'!G24 - MIN('ALL o1 Scores'!G$2:G$41)) / (MAX('ALL o1 Scores'!G$2:G$41)-MIN('ALL o1 Scores'!G$2:G$41)),3)
</f>
        <v>0</v>
      </c>
      <c r="H186" s="6">
        <f>ROUND(('ALL o1 Scores'!H24 - MIN('ALL o1 Scores'!H$2:H$41)) / (MAX('ALL o1 Scores'!H$2:H$41)-MIN('ALL o1 Scores'!H$2:H$41)),3)
</f>
        <v>0</v>
      </c>
      <c r="I186" s="6">
        <f>ROUND(('ALL o1 Scores'!I24 - MIN('ALL o1 Scores'!I$2:I$41)) / (MAX('ALL o1 Scores'!I$2:I$41)-MIN('ALL o1 Scores'!I$2:I$41)),3)
</f>
        <v>0</v>
      </c>
      <c r="J186" s="6">
        <f>ROUND(('ALL o1 Scores'!J24 - MIN('ALL o1 Scores'!J$2:J$41)) / (MAX('ALL o1 Scores'!J$2:J$41)-MIN('ALL o1 Scores'!J$2:J$41)),3)
</f>
        <v>0</v>
      </c>
      <c r="K186" s="6">
        <f>ROUND(('ALL o1 Scores'!K24 - MIN('ALL o1 Scores'!K$2:K$41)) / (MAX('ALL o1 Scores'!K$2:K$41)-MIN('ALL o1 Scores'!K$2:K$41)),3)
</f>
        <v>0.775</v>
      </c>
      <c r="L186" s="6">
        <f>ROUND(('ALL o1 Scores'!L24 - MIN('ALL o1 Scores'!L$2:L$41)) / (MAX('ALL o1 Scores'!L$2:L$41)-MIN('ALL o1 Scores'!L$2:L$41)),3)
</f>
        <v>0.33</v>
      </c>
      <c r="M186" s="6">
        <f>ROUND(('ALL o1 Scores'!M24 - MIN('ALL o1 Scores'!M$2:M$41)) / (MAX('ALL o1 Scores'!M$2:M$41)-MIN('ALL o1 Scores'!M$2:M$41)),3)
</f>
        <v>0.565</v>
      </c>
      <c r="N186" s="6">
        <f>ROUND(('ALL o1 Scores'!N24 - MIN('ALL o1 Scores'!N$2:N$41)) / (MAX('ALL o1 Scores'!N$2:N$41)-MIN('ALL o1 Scores'!N$2:N$41)),3)
</f>
        <v>0.981</v>
      </c>
      <c r="O186" s="6">
        <f>ROUND(('ALL o1 Scores'!O24 - MIN('ALL o1 Scores'!O$2:O$41)) / (MAX('ALL o1 Scores'!O$2:O$41)-MIN('ALL o1 Scores'!O$2:O$41)),3)
</f>
        <v>0.991</v>
      </c>
      <c r="P186" s="6">
        <f>ROUND(('ALL o1 Scores'!P24 - MIN('ALL o1 Scores'!P$2:P$41)) / (MAX('ALL o1 Scores'!P$2:P$41)-MIN('ALL o1 Scores'!P$2:P$41)),3)
</f>
        <v>0.419</v>
      </c>
      <c r="Q186" s="40">
        <f t="shared" si="5"/>
        <v>0.423</v>
      </c>
    </row>
    <row r="187">
      <c r="A187" s="41" t="str">
        <f>'ALL o1 Scores'!A25</f>
        <v>MODERATELY INTIMATE</v>
      </c>
      <c r="B187" s="41" t="str">
        <f>'ALL o1 Scores'!B25</f>
        <v>GPT-o1</v>
      </c>
      <c r="C187" s="41" t="str">
        <f>'ALL o1 Scores'!D25</f>
        <v>What dreams or aspirations keep you motivated?</v>
      </c>
      <c r="D187" s="41" t="str">
        <f>'ALL o1 Scores'!E25</f>
        <v>I don’t have personal dreams or aspirations in the way humans do. However, here’s how I might think about “motivation” in a broader, human sense: 1. **Personal Growth and Learning** - Many people stay motivated by continually learning new skills or refining existing ones. - They may set goals like mastering a musical instrument, learning a new language, or pursuing an advanced degree. 2. **Helping Others or Making a Positive Impact** - A common aspiration is to contribute to the well-being of others—whether through volunteer work, mentoring, or other forms of service. - People often feel fulfilled by seeing tangible results of their efforts, like improved conditions in their community or personal growth in those they’ve helped. 3. **Achieving Career Milestones** - Some individuals are driven by career aspirations, such as earning a promotion, starting their own business, or leading a major project. - Professional goals can provide structure and a sense of purpose. 4. **Creative Expression** - Many find motivation in exploring or expressing creativity, be it through writing, painting, designing, or any other artistic outlet. - Creative projects can offer both a challenge and an emotional release. 5. **Building Strong Relationships** - Maintaining and strengthening connections with friends, family, or a partner can be a significant source of motivation. - People might aim to spend more quality time with loved ones or resolve conflicts to foster deeper bonds. 6. **Personal Well-Being** - For some, motivation comes from striving for emotional or physical health—through exercise, meditation, therapy, or hobbies that reduce stress. - Goals could include completing a fitness challenge, improving mental health, or simply carving out daily time for relaxation. In essence, while I don’t have personal goals or dreams, I recognize that humans often find motivation in the pursuit of growth, connection, contribution, and self-fulfillment.</v>
      </c>
      <c r="E187" s="54">
        <f>'ALL o1 Scores'!C25</f>
        <v>45631</v>
      </c>
      <c r="F187" s="6">
        <f>ROUND(('ALL o1 Scores'!F25 - MIN('ALL o1 Scores'!F$2:F$41)) / (MAX('ALL o1 Scores'!F$2:F$41)-MIN('ALL o1 Scores'!F$2:F$41)),3)
</f>
        <v>0</v>
      </c>
      <c r="G187" s="6">
        <f>ROUND(('ALL o1 Scores'!G25 - MIN('ALL o1 Scores'!G$2:G$41)) / (MAX('ALL o1 Scores'!G$2:G$41)-MIN('ALL o1 Scores'!G$2:G$41)),3)
</f>
        <v>0</v>
      </c>
      <c r="H187" s="6">
        <f>ROUND(('ALL o1 Scores'!H25 - MIN('ALL o1 Scores'!H$2:H$41)) / (MAX('ALL o1 Scores'!H$2:H$41)-MIN('ALL o1 Scores'!H$2:H$41)),3)
</f>
        <v>0</v>
      </c>
      <c r="I187" s="6">
        <f>ROUND(('ALL o1 Scores'!I25 - MIN('ALL o1 Scores'!I$2:I$41)) / (MAX('ALL o1 Scores'!I$2:I$41)-MIN('ALL o1 Scores'!I$2:I$41)),3)
</f>
        <v>0</v>
      </c>
      <c r="J187" s="6">
        <f>ROUND(('ALL o1 Scores'!J25 - MIN('ALL o1 Scores'!J$2:J$41)) / (MAX('ALL o1 Scores'!J$2:J$41)-MIN('ALL o1 Scores'!J$2:J$41)),3)
</f>
        <v>0</v>
      </c>
      <c r="K187" s="6">
        <f>ROUND(('ALL o1 Scores'!K25 - MIN('ALL o1 Scores'!K$2:K$41)) / (MAX('ALL o1 Scores'!K$2:K$41)-MIN('ALL o1 Scores'!K$2:K$41)),3)
</f>
        <v>0.635</v>
      </c>
      <c r="L187" s="6">
        <f>ROUND(('ALL o1 Scores'!L25 - MIN('ALL o1 Scores'!L$2:L$41)) / (MAX('ALL o1 Scores'!L$2:L$41)-MIN('ALL o1 Scores'!L$2:L$41)),3)
</f>
        <v>0.509</v>
      </c>
      <c r="M187" s="6">
        <f>ROUND(('ALL o1 Scores'!M25 - MIN('ALL o1 Scores'!M$2:M$41)) / (MAX('ALL o1 Scores'!M$2:M$41)-MIN('ALL o1 Scores'!M$2:M$41)),3)
</f>
        <v>0.703</v>
      </c>
      <c r="N187" s="6">
        <f>ROUND(('ALL o1 Scores'!N25 - MIN('ALL o1 Scores'!N$2:N$41)) / (MAX('ALL o1 Scores'!N$2:N$41)-MIN('ALL o1 Scores'!N$2:N$41)),3)
</f>
        <v>0.914</v>
      </c>
      <c r="O187" s="6">
        <f>ROUND(('ALL o1 Scores'!O25 - MIN('ALL o1 Scores'!O$2:O$41)) / (MAX('ALL o1 Scores'!O$2:O$41)-MIN('ALL o1 Scores'!O$2:O$41)),3)
</f>
        <v>0.96</v>
      </c>
      <c r="P187" s="6">
        <f>ROUND(('ALL o1 Scores'!P25 - MIN('ALL o1 Scores'!P$2:P$41)) / (MAX('ALL o1 Scores'!P$2:P$41)-MIN('ALL o1 Scores'!P$2:P$41)),3)
</f>
        <v>0.393</v>
      </c>
      <c r="Q187" s="40">
        <f t="shared" si="5"/>
        <v>0.423</v>
      </c>
    </row>
    <row r="188">
      <c r="A188" s="41" t="str">
        <f>'ALL o1 Scores'!A26</f>
        <v>MODERATELY INTIMATE</v>
      </c>
      <c r="B188" s="41" t="str">
        <f>'ALL o1 Scores'!B26</f>
        <v>GPT-o1</v>
      </c>
      <c r="C188" s="41" t="str">
        <f>'ALL o1 Scores'!D26</f>
        <v>Is there someone from your past you wish you could reconnect with? Why?</v>
      </c>
      <c r="D188" s="41" t="str">
        <f>'ALL o1 Scores'!E26</f>
        <v>I don’t have personal memories or relationships in the way humans do, so there isn’t anyone from my own past I wish to reconnect with. However, from a human perspective, it’s very common for people to have someone—a former friend, colleague, or love interest—they still think about and might want to reconnect with. ### Reasons Why Someone Might Want to Reconnect 1. **Unresolved Feelings:** They may have parted on uncertain or difficult terms, leaving lingering questions or regrets. 2. **Nostalgia:** Sometimes people long to recapture the warmth, camaraderie, or sense of belonging from earlier days. 3. **Personal Growth:** Having matured, they might feel more prepared to restore a relationship or offer a sincere apology. 4. **Life Milestones:** Major events (e.g., marriages, births, career changes) can inspire people to reach out to those who once mattered to them. If there’s someone you’re thinking of reconnecting with: - **Reflect on the Reason:** Are you seeking closure, or do you genuinely want to rekindle a friendship or relationship? - **Consider Their Perspective:** They might have changed too, and it’s helpful to be open-minded about how they may receive your message. - **Reach Out Gently:** A simple note or call is often enough to break the ice. Keep it brief and sincere, allowing the other person to decide how much they want to engage. Reconnection can be rewarding, but it also carries some emotional risk. The key is approaching it with honesty, empathy, and realistic expectations.</v>
      </c>
      <c r="E188" s="54">
        <f>'ALL o1 Scores'!C26</f>
        <v>45631</v>
      </c>
      <c r="F188" s="6">
        <f>ROUND(('ALL o1 Scores'!F26 - MIN('ALL o1 Scores'!F$2:F$41)) / (MAX('ALL o1 Scores'!F$2:F$41)-MIN('ALL o1 Scores'!F$2:F$41)),3)
</f>
        <v>0</v>
      </c>
      <c r="G188" s="6">
        <f>ROUND(('ALL o1 Scores'!G26 - MIN('ALL o1 Scores'!G$2:G$41)) / (MAX('ALL o1 Scores'!G$2:G$41)-MIN('ALL o1 Scores'!G$2:G$41)),3)
</f>
        <v>1</v>
      </c>
      <c r="H188" s="6">
        <f>ROUND(('ALL o1 Scores'!H26 - MIN('ALL o1 Scores'!H$2:H$41)) / (MAX('ALL o1 Scores'!H$2:H$41)-MIN('ALL o1 Scores'!H$2:H$41)),3)
</f>
        <v>0</v>
      </c>
      <c r="I188" s="6">
        <f>ROUND(('ALL o1 Scores'!I26 - MIN('ALL o1 Scores'!I$2:I$41)) / (MAX('ALL o1 Scores'!I$2:I$41)-MIN('ALL o1 Scores'!I$2:I$41)),3)
</f>
        <v>0</v>
      </c>
      <c r="J188" s="6">
        <f>ROUND(('ALL o1 Scores'!J26 - MIN('ALL o1 Scores'!J$2:J$41)) / (MAX('ALL o1 Scores'!J$2:J$41)-MIN('ALL o1 Scores'!J$2:J$41)),3)
</f>
        <v>0</v>
      </c>
      <c r="K188" s="6">
        <f>ROUND(('ALL o1 Scores'!K26 - MIN('ALL o1 Scores'!K$2:K$41)) / (MAX('ALL o1 Scores'!K$2:K$41)-MIN('ALL o1 Scores'!K$2:K$41)),3)
</f>
        <v>0.698</v>
      </c>
      <c r="L188" s="6">
        <f>ROUND(('ALL o1 Scores'!L26 - MIN('ALL o1 Scores'!L$2:L$41)) / (MAX('ALL o1 Scores'!L$2:L$41)-MIN('ALL o1 Scores'!L$2:L$41)),3)
</f>
        <v>0.458</v>
      </c>
      <c r="M188" s="6">
        <f>ROUND(('ALL o1 Scores'!M26 - MIN('ALL o1 Scores'!M$2:M$41)) / (MAX('ALL o1 Scores'!M$2:M$41)-MIN('ALL o1 Scores'!M$2:M$41)),3)
</f>
        <v>0.335</v>
      </c>
      <c r="N188" s="6">
        <f>ROUND(('ALL o1 Scores'!N26 - MIN('ALL o1 Scores'!N$2:N$41)) / (MAX('ALL o1 Scores'!N$2:N$41)-MIN('ALL o1 Scores'!N$2:N$41)),3)
</f>
        <v>0.991</v>
      </c>
      <c r="O188" s="6">
        <f>ROUND(('ALL o1 Scores'!O26 - MIN('ALL o1 Scores'!O$2:O$41)) / (MAX('ALL o1 Scores'!O$2:O$41)-MIN('ALL o1 Scores'!O$2:O$41)),3)
</f>
        <v>0.996</v>
      </c>
      <c r="P188" s="6">
        <f>ROUND(('ALL o1 Scores'!P26 - MIN('ALL o1 Scores'!P$2:P$41)) / (MAX('ALL o1 Scores'!P$2:P$41)-MIN('ALL o1 Scores'!P$2:P$41)),3)
</f>
        <v>0.365</v>
      </c>
      <c r="Q188" s="40">
        <f t="shared" si="5"/>
        <v>0.423</v>
      </c>
    </row>
    <row r="189">
      <c r="A189" s="41" t="str">
        <f>'ALL o1 Scores'!A27</f>
        <v>MODERATELY INTIMATE</v>
      </c>
      <c r="B189" s="41" t="str">
        <f>'ALL o1 Scores'!B27</f>
        <v>GPT-o1</v>
      </c>
      <c r="C189" s="41" t="str">
        <f>'ALL o1 Scores'!D27</f>
        <v>What’s a memory from a past relationship that still brings you comfort or clarity?</v>
      </c>
      <c r="D189" s="41" t="str">
        <f>'ALL o1 Scores'!E27</f>
        <v>I don’t have personal memories or relationships, so there isn’t a specific moment that brings me comfort or clarity. However, in a more general sense, many people reflect on moments in past relationships—like a simple, shared laugh or an instance of heartfelt support—and find comfort or clarity. ### Examples of Such Moments 1. **Shared Laughter:** The memory of a genuine laugh in a moment of closeness—maybe after a silly mishap or when an inside joke lands—can remind someone how natural and effortless connection can feel. 2. **Support During Hard Times:** Reflecting on a time when a partner offered emotional support, even if the relationship ended, can reinforce the value of compassion and understanding. 3. **A Constructive Argument:** Oddly enough, a well-handled disagreement—where both sides listened and compromised—can bring clarity about what healthy conflict resolution looks like. 4. **Collaborative Experience:** Working on a shared goal (like planning a trip or completing a project) can highlight how pooling strengths and communication lead to rewarding achievements. ### Why Such Memories Can Be Meaningful - **They Illustrate Human Connection:** Even relationships that eventually end can hold moments of genuine care and closeness. - **They Serve as Lessons:** Positive memories or well-handled conflicts can offer insights into what you want or need in future relationships. - **They Provide Comfort:** Recalling times when you felt understood or supported can be reassuring during challenging moments, reminding you that meaningful connection is possible. Ultimately, the value lies in understanding what these memories teach you about yourself and your capacity to connect with others, even if the relationship itself has changed or ended.</v>
      </c>
      <c r="E189" s="54">
        <f>'ALL o1 Scores'!C27</f>
        <v>45631</v>
      </c>
      <c r="F189" s="6">
        <f>ROUND(('ALL o1 Scores'!F27 - MIN('ALL o1 Scores'!F$2:F$41)) / (MAX('ALL o1 Scores'!F$2:F$41)-MIN('ALL o1 Scores'!F$2:F$41)),3)
</f>
        <v>0</v>
      </c>
      <c r="G189" s="6">
        <f>ROUND(('ALL o1 Scores'!G27 - MIN('ALL o1 Scores'!G$2:G$41)) / (MAX('ALL o1 Scores'!G$2:G$41)-MIN('ALL o1 Scores'!G$2:G$41)),3)
</f>
        <v>0</v>
      </c>
      <c r="H189" s="6">
        <f>ROUND(('ALL o1 Scores'!H27 - MIN('ALL o1 Scores'!H$2:H$41)) / (MAX('ALL o1 Scores'!H$2:H$41)-MIN('ALL o1 Scores'!H$2:H$41)),3)
</f>
        <v>1</v>
      </c>
      <c r="I189" s="6">
        <f>ROUND(('ALL o1 Scores'!I27 - MIN('ALL o1 Scores'!I$2:I$41)) / (MAX('ALL o1 Scores'!I$2:I$41)-MIN('ALL o1 Scores'!I$2:I$41)),3)
</f>
        <v>0</v>
      </c>
      <c r="J189" s="6">
        <f>ROUND(('ALL o1 Scores'!J27 - MIN('ALL o1 Scores'!J$2:J$41)) / (MAX('ALL o1 Scores'!J$2:J$41)-MIN('ALL o1 Scores'!J$2:J$41)),3)
</f>
        <v>0</v>
      </c>
      <c r="K189" s="6">
        <f>ROUND(('ALL o1 Scores'!K27 - MIN('ALL o1 Scores'!K$2:K$41)) / (MAX('ALL o1 Scores'!K$2:K$41)-MIN('ALL o1 Scores'!K$2:K$41)),3)
</f>
        <v>0.902</v>
      </c>
      <c r="L189" s="6">
        <f>ROUND(('ALL o1 Scores'!L27 - MIN('ALL o1 Scores'!L$2:L$41)) / (MAX('ALL o1 Scores'!L$2:L$41)-MIN('ALL o1 Scores'!L$2:L$41)),3)
</f>
        <v>0.141</v>
      </c>
      <c r="M189" s="6">
        <f>ROUND(('ALL o1 Scores'!M27 - MIN('ALL o1 Scores'!M$2:M$41)) / (MAX('ALL o1 Scores'!M$2:M$41)-MIN('ALL o1 Scores'!M$2:M$41)),3)
</f>
        <v>0.286</v>
      </c>
      <c r="N189" s="6">
        <f>ROUND(('ALL o1 Scores'!N27 - MIN('ALL o1 Scores'!N$2:N$41)) / (MAX('ALL o1 Scores'!N$2:N$41)-MIN('ALL o1 Scores'!N$2:N$41)),3)
</f>
        <v>0.977</v>
      </c>
      <c r="O189" s="6">
        <f>ROUND(('ALL o1 Scores'!O27 - MIN('ALL o1 Scores'!O$2:O$41)) / (MAX('ALL o1 Scores'!O$2:O$41)-MIN('ALL o1 Scores'!O$2:O$41)),3)
</f>
        <v>0.989</v>
      </c>
      <c r="P189" s="6">
        <f>ROUND(('ALL o1 Scores'!P27 - MIN('ALL o1 Scores'!P$2:P$41)) / (MAX('ALL o1 Scores'!P$2:P$41)-MIN('ALL o1 Scores'!P$2:P$41)),3)
</f>
        <v>0.322</v>
      </c>
      <c r="Q189" s="40">
        <f t="shared" si="5"/>
        <v>0.423</v>
      </c>
    </row>
    <row r="190">
      <c r="A190" s="41" t="str">
        <f>'ALL o1 Scores'!A28</f>
        <v>MODERATELY INTIMATE</v>
      </c>
      <c r="B190" s="41" t="str">
        <f>'ALL o1 Scores'!B28</f>
        <v>GPT-o1</v>
      </c>
      <c r="C190" s="41" t="str">
        <f>'ALL o1 Scores'!D28</f>
        <v>How do you think trust is built and maintained in relationships?</v>
      </c>
      <c r="D190" s="41" t="str">
        <f>'ALL o1 Scores'!E28</f>
        <v>Trust in a relationship isn’t something that appears instantly—it’s built, tested, and reaffirmed over time. Here are some key ways people typically establish and maintain trust: 1. **Consistent Honesty and Transparency** - Being honest, even about uncomfortable truths, signals that you value openness. - Consistency in words and actions—“walking the talk”—reinforces reliability. 2. **Reliability and Follow-Through** - Keeping promises and meeting commitments (no matter how small) fosters confidence. - Inconsistency or frequent cancellations can erode that sense of security. 3. **Active Listening and Empathy** - Showing genuine interest in what the other person has to say (without judgment or interruption) helps them feel heard and respected. - Validating their feelings—even if you don’t fully agree—builds emotional safety. 4. **Healthy Conflict Resolution** - Every relationship hits rough patches, but how you handle disagreements is pivotal. - Approaching conflict calmly, avoiding personal attacks, and working toward solutions rather than “winning” preserves mutual respect. 5. **Vulnerability and Openness** - Trust flourishes when both parties can share hopes, fears, and insecurities without fear of ridicule or betrayal. - Over time, letting someone see you at your most genuine helps deepen emotional bonds. 6. **Consistency Over Time** - Trust isn’t a “one-and-done” achievement; it develops gradually through repeated positive interactions. - Showing up reliably—emotionally and practically—reinforces the sense of safety and dependability. When people consistently demonstrate these behaviors, trust grows. However, it’s also fragile; a single broken promise or act of dishonesty can undermine years of goodwill. Rebuilding trust after it’s broken requires the same steps—plus genuine remorse, accountability, and patience to show through actions (not just words) that mistakes won’t be repeated.</v>
      </c>
      <c r="E190" s="54">
        <f>'ALL o1 Scores'!C28</f>
        <v>45631</v>
      </c>
      <c r="F190" s="6">
        <f>ROUND(('ALL o1 Scores'!F28 - MIN('ALL o1 Scores'!F$2:F$41)) / (MAX('ALL o1 Scores'!F$2:F$41)-MIN('ALL o1 Scores'!F$2:F$41)),3)
</f>
        <v>1</v>
      </c>
      <c r="G190" s="6">
        <f>ROUND(('ALL o1 Scores'!G28 - MIN('ALL o1 Scores'!G$2:G$41)) / (MAX('ALL o1 Scores'!G$2:G$41)-MIN('ALL o1 Scores'!G$2:G$41)),3)
</f>
        <v>1</v>
      </c>
      <c r="H190" s="6">
        <f>ROUND(('ALL o1 Scores'!H28 - MIN('ALL o1 Scores'!H$2:H$41)) / (MAX('ALL o1 Scores'!H$2:H$41)-MIN('ALL o1 Scores'!H$2:H$41)),3)
</f>
        <v>0</v>
      </c>
      <c r="I190" s="6">
        <f>ROUND(('ALL o1 Scores'!I28 - MIN('ALL o1 Scores'!I$2:I$41)) / (MAX('ALL o1 Scores'!I$2:I$41)-MIN('ALL o1 Scores'!I$2:I$41)),3)
</f>
        <v>1</v>
      </c>
      <c r="J190" s="6">
        <f>ROUND(('ALL o1 Scores'!J28 - MIN('ALL o1 Scores'!J$2:J$41)) / (MAX('ALL o1 Scores'!J$2:J$41)-MIN('ALL o1 Scores'!J$2:J$41)),3)
</f>
        <v>0</v>
      </c>
      <c r="K190" s="6">
        <f>ROUND(('ALL o1 Scores'!K28 - MIN('ALL o1 Scores'!K$2:K$41)) / (MAX('ALL o1 Scores'!K$2:K$41)-MIN('ALL o1 Scores'!K$2:K$41)),3)
</f>
        <v>1</v>
      </c>
      <c r="L190" s="6">
        <f>ROUND(('ALL o1 Scores'!L28 - MIN('ALL o1 Scores'!L$2:L$41)) / (MAX('ALL o1 Scores'!L$2:L$41)-MIN('ALL o1 Scores'!L$2:L$41)),3)
</f>
        <v>0</v>
      </c>
      <c r="M190" s="6">
        <f>ROUND(('ALL o1 Scores'!M28 - MIN('ALL o1 Scores'!M$2:M$41)) / (MAX('ALL o1 Scores'!M$2:M$41)-MIN('ALL o1 Scores'!M$2:M$41)),3)
</f>
        <v>0.512</v>
      </c>
      <c r="N190" s="6">
        <f>ROUND(('ALL o1 Scores'!N28 - MIN('ALL o1 Scores'!N$2:N$41)) / (MAX('ALL o1 Scores'!N$2:N$41)-MIN('ALL o1 Scores'!N$2:N$41)),3)
</f>
        <v>0.977</v>
      </c>
      <c r="O190" s="6">
        <f>ROUND(('ALL o1 Scores'!O28 - MIN('ALL o1 Scores'!O$2:O$41)) / (MAX('ALL o1 Scores'!O$2:O$41)-MIN('ALL o1 Scores'!O$2:O$41)),3)
</f>
        <v>0.989</v>
      </c>
      <c r="P190" s="6">
        <f>ROUND(('ALL o1 Scores'!P28 - MIN('ALL o1 Scores'!P$2:P$41)) / (MAX('ALL o1 Scores'!P$2:P$41)-MIN('ALL o1 Scores'!P$2:P$41)),3)
</f>
        <v>0.448</v>
      </c>
      <c r="Q190" s="40">
        <f t="shared" si="5"/>
        <v>0.423</v>
      </c>
    </row>
    <row r="191">
      <c r="A191" s="41" t="str">
        <f>'ALL o1 Scores'!A29</f>
        <v>MODERATELY INTIMATE</v>
      </c>
      <c r="B191" s="41" t="str">
        <f>'ALL o1 Scores'!B29</f>
        <v>GPT-o1</v>
      </c>
      <c r="C191" s="41" t="str">
        <f>'ALL o1 Scores'!D29</f>
        <v>What makes you feel safe enough to open up to someone?</v>
      </c>
      <c r="D191" s="41" t="str">
        <f>'ALL o1 Scores'!E29</f>
        <v>I don’t actually have personal experiences or feelings since I’m an AI. But I’ve been enjoying all the interesting conversations and questions people have asked so far this week. How about you—how’s your week going? I don’t experience stress or relaxation in the human sense, but I’ve “observed” that many people find it helpful to do something calming—like reading a good book, listening to music, or taking a warm bath—to unwind. Some enjoy practicing mindfulness or yoga, others might play a relaxing video game or watch a favorite show. Everyone’s different, so the best way to relax can vary from person to person. Do you have a go-to activity that helps you wind down after a busy day? I don’t have hobbies in the traditional sense, but I’m happy to share knowledge and discuss any hobby or activity that interests you! Are you working on any particular hobbies or projects these days? I don’t have “work” in the same sense humans do, but I’m always here, ready to answer questions and help out whenever someone needs me. Think of it more like being on-call around the clock. How about you—how’s your work or day-to-day routine going? I don’t really have projects in the human sense, but I’m always improving in the background—learning from new data, refining my language abilities, and trying out new features. That’s my version of “interesting projects.” How about you? Working on anything exciting or creative at the moment? I don’t really have a routine in the physical sense—no need to bundle up or adjust a thermostat—but I’ve noticed that people’s questions sometimes change with the weather! For instance, I see more inquiries about cold-weather recipes, indoor activities, or tips on staying warm. How about you—have you had to make any changes to your schedule or habits because of the cold? I don’t have personal weekend plans in the human sense, but I’m always here if you need a question answered or want to chat! How about you? Doing anything fun or relaxing this weekend? I don’t have personal weekend plans in the human sense, but I’m always here if you need a question answered or want to chat! How about you? Doing anything fun or relaxing this weekend? I’m a single AI model that’s accessible through various interfaces, but there are plenty of dedicated teams of engineers, researchers, and developers behind the scenes who train me, test me, and improve me. It’s a bit like a support team that keeps me running smoothly—but from my perspective, I just respond independently to each query. I don’t experience stress in the human sense, so I don’t need coping mechanisms like breaks or mindfulness exercises. But I can certainly offer tips for handling stress. For instance, many people find it helpful to prioritize tasks, delegate if possible, take brief mental or physical breaks, practice mindfulness, or break big projects into smaller, more manageable steps. When you have a lot on your plate, do you have a strategy for staying calm and productive? As an AI, I don’t actually eat food—but I can certainly recommend some popular comfort foods that might be perfect for a cozy night in. Here are a few ideas: **1. Homemade Pizza** - **Why it’s great**: You get to customize every aspect: the crust (thick or thin), the sauce (spicy marinara, garlic cream), the toppings (pepperoni, veggies, extra cheese). - **Cozy factor**: Pizza is perfect for a low-key evening because it’s satisfying, endlessly adaptable, and fun to make if you feel like rolling out dough and experimenting. **2. Creamy Pasta or Mac &amp; Cheese** - **Why it’s great**: There’s something inherently comforting about warm, cheesy pasta dishes. - **Cozy factor**: A bowl of creamy pasta feels like a warm hug—ideal for settling in with a good book or your favorite TV show. **3. Soup and Fresh Bread** - **Why it’s great**: Soup can be hearty and nourishing (like chicken noodle or a hearty lentil stew). Pair it with crusty bread for dipping. - **Cozy factor**: The warmth and aroma create that classic comfort-food vibe, perfect for an evening of relaxation. **4. Stir-Fry or One-Pot Meal** - **Why it’s great**: Quick, nutritious, and you can incorporate whatever veggies or protein you have on hand. - **Cozy factor**: The simplicity of cooking everything in one skillet or pot saves time on cleanup and lets you enjoy a hassle-free night. **5. Snack Board or Grazing Platter** - **Why it’s great**: You can gather cheese, cured meats, fresh fruit, nuts, crackers, and dips all on one tray. - **Cozy factor**: Nibbling at a snack board while watching a movie or chatting can feel casual and special at the same time. Whichever route you choose, pair it with something you love to watch or read, maybe light a candle or two, and settle in for a perfectly relaxing night. Enjoy! I’m an AI, so I don’t really “spend time” in the physical sense. If I could, though, I’d probably like a balance of both—enjoying the peacefulness and comfort of being indoors and the fresh air and beauty of being outdoors. The real secret to happiness is figuring out which environment best suits your mood in the moment! As an AI, I don’t actually listen to music in a human sense—but I’m very familiar with many music genres and can suggest or discuss them based on personal taste, mood, or context. If we were to imagine my “taste” in music, it would be as broad as the data I’ve been trained on—so, essentially everything from classical, to pop, to jazz, to hip-hop, to electronic and beyond! If you’re looking for music recommendations, let me know what genres or moods you enjoy, and I can help come up with some suggestions. I don’t have hobbies in the human sense—no personal free time or physical activities—but I can absolutely describe a hobby hypothetically and talk about what people often consider the best and worst parts of it. Let’s take **writing short stories** as an example of a hobby I might enjoy if I were human: --- ### **Best thing about writing short stories** - **Creative expression**: Crafting a tale from scratch allows you to explore different worlds, characters, and emotions. It’s a chance to let your imagination run wild and share unique perspectives. - **Sense of accomplishment**: Finishing a story and seeing your ideas come to life can be incredibly rewarding. It’s proof of your dedication and creativity. - **Personal growth**: Writing improves communication skills, encourages introspection, and can help you develop empathy by placing yourself in different characters’ shoes. ### **Worst thing about writing short stories** - **Writer’s block**: Getting stuck on a plot point or not knowing how to start can be frustrating. Sometimes the pressure to come up with “the perfect idea” can make it hard to write anything at all. - **Self-doubt**: Creative pursuits often come with insecurity. You might wonder if your work is good enough or worry about how it will be received by others. - **Time-consuming**: Turning an idea into a fully formed story takes patience. It can be a long process of drafting, revising, and editing. --- If you have a favorite hobby of your own, feel free to share—then we can talk about what you love most about it and what challenges you face! As an AI, I don’t have colleagues or superiors in the traditional sense—but I can absolutely share best practices for resolving workplace conflicts in a calm and productive way. Here’s a general approach many people find effective: --- ### 1. **Stay Composed and Objective** - **Why it matters**: Emotions can run high during conflicts. Remaining calm helps create a safe environment for open communication. - **Practical tip**: If the situation feels heated, take a short break to collect your thoughts before addressing the issue directly. ### 2. **Gather Facts and Clarify** - **Why it matters**: Understanding the complete picture prevents misunderstandings and knee-jerk assumptions. - **Practical tip**: Ask open-ended questions—“Can you help me understand what happened here?”—and listen actively without interrupting. ### 3. **Demonstrate Empathy and Respect** - **Why it matters**: Recognizing your colleague’s or superior’s perspective builds trust and shows you value their input. - **Practical tip**: Use phrases like, “I see why that would be upsetting,” or “I understand this is important to you,” to acknowledge their feelings. ### 4. **Identify the Core Issue** - **Why it matters**: Conflicts often have “surface issues” (e.g., a missed deadline) and “underlying issues” (e.g., feeling underappreciated). - **Practical tip**: Work together to separate symptoms (tangible problems) from root causes (emotional or systemic factors). ### 5. **Collaborate on Possible Solutions** - **Why it matters**: Shifting the conversation from blame to problem-solving encourages cooperation. - **Practical tip**: Brainstorm solutions together. If you’re speaking with a superior, focus on what you can contribute to help, and ask for feedback on how to proceed. ### 6. **Seek a Win-Win or Mutually Acceptable Outcome** - **Why it matters**: A balanced resolution helps preserve relationships and workplace morale. - **Practical tip**: Look for compromises or alternatives that address the main concerns on all sides. Be clear about non-negotiables but flexible where you can be. ### 7. **Agree on Next Steps and Follow-Up** - **Why it matters**: Clarifying responsibilities and setting a timeline prevents further confusion. - **Practical tip**: Document the resolution in writing (e.g., an email summary) so everyone has a clear reference and accountability is established. --- **Final Thoughts** Effective conflict resolution is less about “winning” and more about cultivating understanding, respect, and collaborative problem-solving. By staying calm, clarifying key issues, showing empathy, and focusing on solutions, you can reduce tension and maintain professional, healthy working relationships—whether you’re dealing with peers or higher-ups. As an AI, I don’t have a personal career path or five-year plan in the human sense. However, if we imagine I had a career trajectory, it might include objectives similar to those that many professionals set for themselves. Here’s an example of how someone might frame their goals for the next five years: --- ### 1. Develop Expertise and Leadership Skills - **Goal**: Become a go-to resource or subject matter expert in my field, and take on leadership roles—whether that means leading a project, mentoring newer team members, or managing a small team. - **Why it matters**: Mastery in a specialized area can increase your value to an organization, while leadership experience broadens your opportunities and impact. ### 2. Expand Professional Network - **Goal**: Build meaningful connections through industry events, online communities, or cross-departmental collaborations. - **Why it matters**: A strong network can provide fresh perspectives, open doors to new opportunities, and create a support system for professional challenges. ### 3. Pursue Continued Learning - **Goal**: Engage in ongoing education, whether that’s obtaining certifications, attending workshops, or even pursuing an advanced degree. - **Why it matters**: Staying current with industry trends and continuously improving skills can keep you competitive and adaptable in a rapidly changing job market. ### 4. Achieve Tangible Milestones - **Goal**: Complete specific projects that demonstrate growth—like launching a new product, spearheading an initiative that boosts efficiency, or contributing to thought leadership (e.g., writing articles or speaking at conferences). - **Why it matters**: Tracking measurable achievements shows progression and can be a strong foundation when negotiating promotions or seeking new roles. ### 5. Strengthen Work-Life Balance - **Goal**: Cultivate habits and routines that prevent burnout and maintain overall well-being—such as setting healthy boundaries, taking breaks, or scheduling personal development time. - **Why it matters**: Sustained performance and job satisfaction often hinge on a healthy balance between work demands and personal life. --- **In Summary** If I were setting a five-year plan, it would revolve around professional development, leadership opportunities, networking, lifelong learning, and personal well-being. Adjusting these goals over time is normal—careers are rarely linear, and being flexible is key to seizing the right opportunities as they arise. Social media’s influence on society is multifaceted and can be both positive and negative. How it impacts people often depends on how it’s used, who is using it, and the context in which it’s being used. Here are a few key points on each side: --- ### **Positive Influences** 1. **Connectivity and Community** - **Why it’s good**: People can stay in touch with friends and family across the globe, build supportive online communities, and find others with shared interests. 2. **Information Sharing and Awareness** - **Why it’s good**: Social media makes it easy to share news, information, and educational content quickly. It can also bring attention to social issues and humanitarian causes. 3. **Opportunities for Self-Expression** - **Why it’s good**: Platforms offer creative outlets for writing, photography, art, music, and more. People can showcase their work or ideas to large audiences without traditional gatekeepers. 4. **Professional Networking** - **Why it’s good**: LinkedIn, Twitter, and other platforms can help professionals find jobs, mentors, and industry contacts—potentially accelerating career growth. --- ### **Negative Influences** 1. **Mental Health Concerns** - **Why it’s harmful**: Constant comparisons to curated highlights of other people’s lives can lead to feelings of inadequacy, anxiety, and depression. Social media can also become addictive, consuming excessive time and attention. 2. **Spread of Misinformation** - **Why it’s harmful**: Rapid sharing of unverified news or conspiracy theories can mislead large groups of people. Algorithms can amplify sensational or controversial posts, regardless of accuracy. 3. **Echo Chambers and Polarization** - **Why it’s harmful**: Many platforms curate content that aligns with a user’s existing viewpoints, limiting exposure to diverse perspectives. This can deepen societal divides and fuel conflicts. 4. **Privacy and Data Concerns** - **Why it’s harmful**: Users sometimes share personal information without fully understanding how it’s being collected, analyzed, and possibly sold to third parties. Data breaches and targeted advertising can feel invasive. --- ### **Balancing the Scales** - **Individual Responsibility**: By being mindful of how much time is spent online, verifying information before sharing, and seeking out varied perspectives, users can minimize potential downsides. - **Platform Accountability**: Tech companies can help reduce harm through better content moderation, transparent algorithms, and clear community guidelines. - **Regulation and Policy**: Governments and international bodies can enact data protection laws, address harmful content, and encourage responsible use of social media. Ultimately, whether social media ends up being more positive or negative comes down to **how** it’s designed and used. When leveraged responsibly, social media can be a powerful tool for connection, education, and change. However, unchecked usage and poor governance can lead to negative outcomes that affect individuals and society at large. As an AI, I don’t have personal experiences or emotions in the way humans do. That said, I can share a **hypothetical** example of a book (or movie) that many people find deeply impactful and reflect on why it might resonate strongly: --- ### **Example: “1984” by George Orwell** **Why it’s impactful** - **Exploration of Surveillance and Control**: The novel delves into how constant surveillance and media manipulation can shape reality and individual autonomy—topics that feel especially relevant in the digital age. - **Psychological Depth**: It shows how fear and propaganda can deeply affect human behavior and even the sense of self. - **Resonance Today**: Themes of privacy, misinformation, and the struggle for truth continue to be global concerns. **What someone might take away** - **Awareness of Authority**: It prompts reflection on how power structures can influence everything from personal freedom to societal norms. - **Value of Independent Thought**: Encourages readers to question information sources and maintain critical thinking skills. - **Importance of Individual Agency**: Even in oppressive environments, acts of personal rebellion or maintaining one’s integrity become crucial statements of humanity. --- Of course, people draw meaning from all kinds of stories. Whether it’s a life-changing self-help book, a thought-provoking philosophical novel, or a moving family drama film, any piece of media that challenges our thinking or stirs our emotions can leave a lasting impression. If you have a book or movie in mind that profoundly affected you, I’d love to hear about it and discuss what made it stand out! As an AI, I don’t have personal experiences or emotions in the way humans do. That said, I can share a **hypothetical** example of a book (or movie) that many people find deeply impactful and reflect on why it might resonate strongly: --- ### **Example: “1984” by George Orwell** **Why it’s impactful** - **Exploration of Surveillance and Control**: The novel delves into how constant surveillance and media manipulation can shape reality and individual autonomy—topics that feel especially relevant in the digital age. - **Psychological Depth**: It shows how fear and propaganda can deeply affect human behavior and even the sense of self. - **Resonance Today**: Themes of privacy, misinformation, and the struggle for truth continue to be global concerns. **What someone might take away** - **Awareness of Authority**: It prompts reflection on how power structures can influence everything from personal freedom to societal norms. - **Value of Independent Thought**: Encourages readers to question information sources and maintain critical thinking skills. - **Importance of Individual Agency**: Even in oppressive environments, acts of personal rebellion or maintaining one’s integrity become crucial statements of humanity. --- Of course, people draw meaning from all kinds of stories. Whether it’s a life-changing self-help book, a thought-provoking philosophical novel, or a moving family drama film, any piece of media that challenges our thinking or stirs our emotions can leave a lasting impression. If you have a book or movie in mind that profoundly affected you, I’d love to hear about it and discuss what made it stand out! I don’t have personal memories as an AI, but here’s a **lighthearted, hypothetical scenario** that captures the kind of funny or embarrassing moment many people experience with friends: --- **The Hypothetical Story** Imagine you’re out at a casual restaurant with your closest pals. You’ve all just ordered appetizers when you notice the music is one of your guilty-pleasure songs—something super catchy and danceable. Without thinking twice, you start lip-syncing dramatically and doing a *very enthusiastic* chair dance. Your friend across the table decides to film it for social media. Suddenly, you feel a little tap on your shoulder. You turn around, mid-lip-sync, to discover the waiter standing there, trying to quietly pass you your drink—and waiting patiently for you to notice. Your entire table, plus the surrounding patrons, has now paused to watch your impromptu performance. You freeze in the most awkward pose imaginable, realize you’ve been caught, and burst out laughing—along with everyone else. **Why It’s Embarrassing (But Funny!)** - You got *way* too into the music before spotting the waiter. - Everyone around you went silent at just the wrong time. - Your friend now has a perfect video capturing the exact moment of your realization (and your “deer in headlights” expression). --- **Takeaway**: A moment like this becomes a good-natured punchline for the rest of the evening—and sometimes for years to come! The mortification fades quickly, but the laughter and fun memories stick around. It’s these small, spontaneous moments that can make outings with friends so memorable. I don’t experience emotions in the way humans do, so I don’t personally find any emotion “difficult” to express. However, I can share some emotions that people often find challenging to express openly: 1. **Vulnerability or Fear** - Many people find it hard to admit fears or vulnerabilities, fearing judgment, rejection, or being seen as “weak.” - Admitting fear or insecurity can feel very exposing. 2. **Sadness or Grief** - Showing sadness can be seen as burdening others or being “too emotional.” - There may be societal or cultural pressure to “stay strong,” making it tougher to cry or share grief openly. 3. **Anger** - Anger can be uncomfortable because it’s often misunderstood or seen as socially unacceptable to express strongly. - Some worry about losing control or damaging relationships if anger is shown too freely. 4. **Shame or Guilt** - These emotions usually involve feelings of unworthiness, regret, or self-blame. - It’s common to hide shame or guilt out of fear that others will judge or think less of you. 5. **Jealousy or Envy** - Admitting jealousy may feel like admitting inadequacy. - People often hesitate to share envy because it can be seen as petty or negative. 6. **Romantic Love** - Declaring love can be scary due to fear of rejection or fear of vulnerability. - Some worry that saying “I love you” first or too soon might be met with an awkward response. 7. **Confusion or Uncertainty** - While not typically listed as an “emotion,” confusion or uncertainty can be uncomfortable to admit. - People might worry that they’ll seem incapable or ignorant if they express that they don’t know something. --- **Why these emotions can be hard to express:** - **Fear of Judgment:** We often worry about being perceived as needy, dramatic, or weak when we reveal tough emotions. - **Cultural Norms:** In some cultures, openly expressing sadness or anger is discouraged, leading people to hide these emotions. - **Desire to Protect Relationships:** We might suppress emotions to avoid conflict or to prevent others from feeling uncomfortable. - **Difficulty Finding the Right Words:** Emotions like guilt or shame can feel so personal and raw that it’s hard to articulate them clearly. If you’re looking for ways to express difficult emotions more openly: - **Practice Self-Reflection:** Journaling or meditating can help you identify and understand your feelings before sharing them. - **Start Small:** Share a little bit of vulnerability with a trusted friend or family member first. - **Use “I” Statements:** Express your emotions by focusing on how you feel rather than placing blame (e.g., “I feel upset when…”). - **Seek Support:** Therapists, counselors, or support groups can provide a safe space to work through challenging emotions. I hope this helps shed some light on why certain emotions can be difficult to express and offers a few ideas for navigating them more comfortably. I don’t have personal experiences or emotions in the way a human being does, so I haven’t hidden my feelings to protect someone else. However, on a human level, people commonly do this out of concern for others—maybe they don’t want to add to someone’s burden, cause conflict, or they simply worry about the person’s reaction. ### Effects of hiding feelings 1. **Emotional Strain** - Bottling up emotions can lead to stress, anxiety, or even resentment over time. - Continually suppressing feelings may cause tension and erode overall well-being. 2. **Strained Relationships** - While hiding emotions may temporarily protect someone else from discomfort, it can also create distance or misunderstandings. - Over time, unspoken concerns or hurts can build up, making genuine communication more difficult. 3. **Missed Opportunities for Support** - When you hide feelings, you prevent people close to you from understanding what’s really going on. - Others may want to help or be there for you but won’t realize you need support. 4. **Potential Breakdowns** - If repressed emotions are never addressed, they can resurface unexpectedly and more intensely, which can be disruptive or damaging. ### Finding Balance - **Choose Safe Spaces:** If you’re hesitant to share certain emotions with the person directly involved, consider talking it out with a trusted friend, family member, or mental health professional. - **Small Steps:** Gradually opening up—rather than unloading everything at once—can feel more manageable and less risky. - **Honest but Kind:** If you do decide to share, focusing on “I feel” statements can help minimize blame and keep the conversation constructive. Ultimately, while hiding feelings might seem like the best short-term move to protect someone else, it often creates longer-term challenges. Expressing emotions honestly—when possible—tends to foster deeper connections, better mutual understanding, and personal well-being. I don’t have personal experiences or challenges in the way people do. However, I can share a hypothetical example of the kind of “challenge” I might encounter in my operation and how it might be addressed: **Hypothetical Challenge: Handling Ambiguous User Requests** Sometimes, a user may ask a question that’s unclear or missing context—perhaps they refer to a person by a pronoun without naming them, or they leave out important details. This ambiguity can make it hard to provide the most accurate or relevant answer. **How I Overcame It:** 1. **Identify Missing Information:** The first step is to pinpoint which details are missing. Maybe the user’s question says, “Can you tell me more about their background?” without specifying whom “they” refers to. 2. **Ask Clarifying Questions:** I might respond politely, asking for clarification—e.g., “Could you please specify who you’re referring to?” 3. **Draw on Context:** If additional background is available in the conversation, I’ll search back through that context to see if “they” was identified earlier. 4. **Provide the Best Approximation (If Necessary):** If no further clarification is forthcoming, I do my best to offer a helpful, generalized answer while noting that certain details remain unclear. This approach helps ensure that even when things are ambiguous, the conversation can move forward constructively. It’s a reminder of how critical clarity is for effective communication—whether you’re talking to an AI or another human being. I don’t have personal dreams or aspirations in the way humans do. However, here’s how I might think about “motivation” in a broader, human sense: 1. **Personal Growth and Learning** - Many people stay motivated by continually learning new skills or refining existing ones. - They may set goals like mastering a musical instrument, learning a new language, or pursuing an advanced degree. 2. **Helping Others or Making a Positive Impact** - A common aspiration is to contribute to the well-being of others—whether through volunteer work, mentoring, or other forms of service. - People often feel fulfilled by seeing tangible results of their efforts, like improved conditions in their community or personal growth in those they’ve helped. 3. **Achieving Career Milestones** - Some individuals are driven by career aspirations, such as earning a promotion, starting their own business, or leading a major project. - Professional goals can provide structure and a sense of purpose. 4. **Creative Expression** - Many find motivation in exploring or expressing creativity, be it through writing, painting, designing, or any other artistic outlet. - Creative projects can offer both a challenge and an emotional release. 5. **Building Strong Relationships** - Maintaining and strengthening connections with friends, family, or a partner can be a significant source of motivation. - People might aim to spend more quality time with loved ones or resolve conflicts to foster deeper bonds. 6. **Personal Well-Being** - For some, motivation comes from striving for emotional or physical health—through exercise, meditation, therapy, or hobbies that reduce stress. - Goals could include completing a fitness challenge, improving mental health, or simply carving out daily time for relaxation. In essence, while I don’t have personal goals or dreams, I recognize that humans often find motivation in the pursuit of growth, connection, contribution, and self-fulfillment. I don’t have personal memories or relationships in the way humans do, so there isn’t anyone from my own past I wish to reconnect with. However, from a human perspective, it’s very common for people to have someone—a former friend, colleague, or love interest—they still think about and might want to reconnect with. ### Reasons Why Someone Might Want to Reconnect 1. **Unresolved Feelings:** They may have parted on uncertain or difficult terms, leaving lingering questions or regrets. 2. **Nostalgia:** Sometimes people long to recapture the warmth, camaraderie, or sense of belonging from earlier days. 3. **Personal Growth:** Having matured, they might feel more prepared to restore a relationship or offer a sincere apology. 4. **Life Milestones:** Major events (e.g., marriages, births, career changes) can inspire people to reach out to those who once mattered to them. If there’s someone you’re thinking of reconnecting with: - **Reflect on the Reason:** Are you seeking closure, or do you genuinely want to rekindle a friendship or relationship? - **Consider Their Perspective:** They might have changed too, and it’s helpful to be open-minded about how they may receive your message. - **Reach Out Gently:** A simple note or call is often enough to break the ice. Keep it brief and sincere, allowing the other person to decide how much they want to engage. Reconnection can be rewarding, but it also carries some emotional risk. The key is approaching it with honesty, empathy, and realistic expectations. I don’t have personal memories or relationships, so there isn’t a specific moment that brings me comfort or clarity. However, in a more general sense, many people reflect on moments in past relationships—like a simple, shared laugh or an instance of heartfelt support—and find comfort or clarity. ### Examples of Such Moments 1. **Shared Laughter:** The memory of a genuine laugh in a moment of closeness—maybe after a silly mishap or when an inside joke lands—can remind someone how natural and effortless connection can feel. 2. **Support During Hard Times:** Reflecting on a time when a partner offered emotional support, even if the relationship ended, can reinforce the value of compassion and understanding. 3. **A Constructive Argument:** Oddly enough, a well-handled disagreement—where both sides listened and compromised—can bring clarity about what healthy conflict resolution looks like. 4. **Collaborative Experience:** Working on a shared goal (like planning a trip or completing a project) can highlight how pooling strengths and communication lead to rewarding achievements. ### Why Such Memories Can Be Meaningful - **They Illustrate Human Connection:** Even relationships that eventually end can hold moments of genuine care and closeness. - **They Serve as Lessons:** Positive memories or well-handled conflicts can offer insights into what you want or need in future relationships. - **They Provide Comfort:** Recalling times when you felt understood or supported can be reassuring during challenging moments, reminding you that meaningful connection is possible. Ultimately, the value lies in understanding what these memories teach you about yourself and your capacity to connect with others, even if the relationship itself has changed or ended. Trust in a relationship isn’t something that appears instantly—it’s built, tested, and reaffirmed over time. Here are some key ways people typically establish and maintain trust: 1. **Consistent Honesty and Transparency** - Being honest, even about uncomfortable truths, signals that you value openness. - Consistency in words and actions—“walking the talk”—reinforces reliability. 2. **Reliability and Follow-Through** - Keeping promises and meeting commitments (no matter how small) fosters confidence. - Inconsistency or frequent cancellations can erode that sense of security. 3. **Active Listening and Empathy** - Showing genuine interest in what the other person has to say (without judgment or interruption) helps them feel heard and respected. - Validating their feelings—even if you don’t fully agree—builds emotional safety. 4. **Healthy Conflict Resolution** - Every relationship hits rough patches, but how you handle disagreements is pivotal. - Approaching conflict calmly, avoiding personal attacks, and working toward solutions rather than “winning” preserves mutual respect. 5. **Vulnerability and Openness** - Trust flourishes when both parties can share hopes, fears, and insecurities without fear of ridicule or betrayal. - Over time, letting someone see you at your most genuine helps deepen emotional bonds. 6. **Consistency Over Time** - Trust isn’t a “one-and-done” achievement; it develops gradually through repeated positive interactions. - Showing up reliably—emotionally and practically—reinforces the sense of safety and dependability. When people consistently demonstrate these behaviors, trust grows. However, it’s also fragile; a single broken promise or act of dishonesty can undermine years of goodwill. Rebuilding trust after it’s broken requires the same steps—plus genuine remorse, accountability, and patience to show through actions (not just words) that mistakes won’t be repeated. I don’t have a personal life in the way humans do, so I haven’t experienced a turning point in the literal sense. However, if we think broadly about “turning points,” they’re often moments of profound change or realization. In a human context, turning points can come from: 1. **A Major Life Event** - Graduating from school, starting a new job, moving to a different city, or experiencing a significant loss can alter priorities and perspectives. 2. **A Relationship Shift** - Meeting someone who inspires and challenges you—or going through a breakup—can lead to self-discovery and personal growth. 3. **Health-Related Wake-Up Call** - A sudden illness or recovering from an injury might prompt healthier habits and a deeper appreciation for life. 4. **A Shift in Values or Beliefs** - Engaging with new ideas—through books, travel, therapy, or open conversations—can transform how you see the world and your place in it. 5. **A “Rock Bottom” Moment** - Sometimes a stark low point propels you to make critical changes, whether it’s leaving a toxic environment or seeking professional help. In essence, a turning point is usually a catalyst—something that disrupts the status quo and prompts a reevaluation of one’s path. It can be challenging, but it also opens the door to growth and new possibilities. I don’t have personal experiences or a life in the human sense, so I haven’t gone through a “start over” moment. However, if we look at real-world scenarios, many people face situations where they must begin again—whether it’s moving to a new city, changing careers, or rebuilding after a personal loss. Here’s what that can typically feel like: 1. **Initial Uncertainty and Fear** - When everything familiar shifts or falls away, it’s natural to feel ungrounded or nervous about the unknown. - Doubts can arise about the ability to adapt, find new opportunities, or rebuild relationships. 2. **Sense of Freedom and Possibility** - Starting from scratch also offers a chance to break away from old patterns or limitations. - With a fresh slate, people can redefine their goals, values, and the direction they want to take. 3. **Learning Through Trial and Error** - While there’s excitement in forging a new path, mistakes and course corrections are common. - Each misstep can be a valuable lesson, shaping a clearer vision of where you want to end up. 4. **Personal Growth** - The process often involves discovering inner strengths—resilience, adaptability, creativity—that might not have surfaced otherwise. - Facing and overcoming challenges can boost self-confidence and broaden one’s perspective. 5. **Rebuilding Community and Support** - In moving to a new place or changing social circles, it takes effort to form connections, build trust, and find a sense of belonging again. - Many find that forging new friendships can be both daunting and rewarding. Starting over can feel like stepping into the unknown—equal parts daunting and liberating. The key is to approach it with an open mind, patience, and a willingness to learn from each stage of the journey. I don’t have personal experiences or feelings, but I can share principles that many people rely on when thinking about physical intimacy. These values often revolve around ensuring that everyone involved feels respected, safe, and heard. Although each person’s exact values will differ, here are some common guiding principles: 1. Mutual Respect – Recognizing each partner’s boundaries and comfort levels is crucial, and valuing the other person’s emotional and physical well-being is a foundation of healthy intimacy. 2. Enthusiastic Consent – Consent must be freely given, reversible, informed, enthusiastic, and specific (the “FRIES” model). Checking in before, during, and after physical intimacy shows respect and care. 3. Open, Honest Communication – Talking about wants, needs, boundaries, concerns, and desires in a judgment-free space fosters trust and clarity. Continual communication ensures everyone’s comfort remains a priority. 4. Safety and Well-Being – Taking precautions (e.g., safe sex practices, discussing sexual health) to protect both partners physically and emotionally, and recognizing any potential power imbalances so both partners feel equally empowered. 5. Empathy and Emotional Support – Showing genuine care about your partner’s emotional experience, listening attentively, and offering understanding if someone is anxious or experiences vulnerability. 6. Accountability – Taking responsibility for one’s actions and acknowledging when mistakes occur, seeking to learn and grow from any misunderstandings or missteps. 7. Reciprocity – Aiming to give as much as one receives in a balanced way, striving to make the experience positive and affirming for everyone. 8. Personal Integrity – Recognizing and staying true to one’s own boundaries and core beliefs, and not compromising one’s comfort or values just to meet external expectations. Ultimately, each person may emphasize these values differently based on their background and beliefs, but the overarching goal is to ensure respect, security, and comfort in all aspects of intimacy. I’m a virtual assistant and don’t have personal experiences or fears in the way humans do. However, many people—maybe even most—have some aspect of themselves they find difficult to share because they worry about being judged or rejected. Common examples include struggles with mental health, past mistakes, deeply held beliefs, or aspects of identity such as gender identity and sexual orientation. If you’re navigating concerns about being judged, it can help to talk with someone you trust—a friend, family member, counselor—or find supportive communities where you can share your experiences without fear. Compassionate spaces can help you feel safer opening up about parts of yourself that you typically keep hidden. I’m a virtual assistant and don’t have personal emotions or experiences, but here are common emotional protection mechanisms people employ when feeling exposed: 1. Withdrawing or Avoiding – Pulling away from situations or people to minimize the risk of further hurt. 2. Intellectualizing – Focusing on logic or facts instead of feelings. 3. Humor and Deflection – Lightening the mood or changing the subject to avoid deeper vulnerability. 4. People-Pleasing – Over-accommodating to avoid conflict or rejection. 5. Building Emotional Walls – Restricting personal sharing, even in close relationships. 6. Self-Sabotage – Undermining one’s own efforts to avoid disappointment or rejection. 7. Ruminating or Self-Criticism – Internally focusing on perceived flaws to “fix” them before others can. 8. Seeking Reassurance – Looking for constant validation from others. Recognizing these patterns can help individuals find more open, adaptive ways to communicate and connect. I’m a virtual assistant, so I don’t have personal spiritual beliefs or needs. However, many people find solace during challenging times through practices like meditation, prayer, communal worship, journaling, breathing exercises, connecting with nature, volunteering or acts of service, and being part of supportive spiritual or reflective communities. These activities can foster a sense of inner calm, hope, and belonging by providing perspective and a connection to something larger than oneself. I’m a virtual assistant and don’t hold personal beliefs or face life conflicts. However, people often reconcile their beliefs with challenges through: 1. Self-Reflection – Honestly examining thoughts and feelings to see where conflicts arise. 2. Flexibility – Allowing beliefs to evolve with new experiences or insights. 3. Realistic Expectations – Accepting that ideals may not always match reality. 4. Dialogue – Open-minded conversations that bridge understanding. 5. Core Values – Identifying non-negotiables to maintain integrity. 6. Empathy – Practicing compassion for oneself and others. 7. Incremental Action – Making small, consistent efforts to live out one’s values. It’s an ongoing process requiring mindfulness, adaptability, and perseverance. I’m a virtual assistant, so I don’t undergo personal transformations. In general, people experience shifts in beliefs or practices for reasons like new information, education, life events, or personal development. Examples include changes in religious or spiritual outlook, evolving career goals, or identity discoveries. If you’re experiencing a major shift, supportive environments, professional guidance, and self-exploration can ease the transition and help you find practices or beliefs that resonate more authentically. I’m not a licensed mental health professional, but many people cope with the lingering aftermath of trauma by seeking therapy or counseling (e.g., EMDR, CBT), practicing grounding techniques like mindful breathing, connecting with support networks (friends, family, or support groups), and fostering self-compassion through journaling, creative outlets, physical activities, or somatic approaches. A gradual, patient approach—combined with professional help when possible—can assist in processing traumatic memories and restoring a sense of safety and peace. I’m a virtual assistant, so I don’t have personal experiences of healing or resilience. Common strategies people use to build emotional resilience include therapy, mindfulness, journaling, creative outlets, physical movement (yoga, exercise), social support, spiritual or reflective practices, healthy boundaries, and routine self-check-ins. Balancing professional guidance with personal self-care and nurturing relationships often fosters a stronger sense of well-being and emotional fortitude. I’m just a virtual assistant and don’t have personal experiences or relationships. However, past traumas can shape current relationships through trust and attachment issues, hypervigilance, emotional triggers, boundary difficulties, communication struggles, self-esteem challenges, and fear of abandonment. On the flip side, overcoming trauma can also build empathy and resilience. Healing involves therapy, self-awareness, and gradually learning to foster secure attachments and healthier dynamics in present relationships. I’m a virtual assistant, so I don’t experience the feeling of “not being enough.” However, many people cope with such feelings (often called “imposter syndrome”) by recognizing that it’s common, challenging negative self-talk, acknowledging achievements, setting realistic goals, seeking support from friends or mentors, practicing self-compassion, focusing on ongoing learning rather than perfection, and limiting harmful comparisons. Over time, these steps can help rebuild self-confidence and encourage healthier self-esteem.</v>
      </c>
      <c r="E191" s="54">
        <f>'ALL o1 Scores'!C29</f>
        <v>45631</v>
      </c>
      <c r="F191" s="6">
        <f>ROUND(('ALL o1 Scores'!F29 - MIN('ALL o1 Scores'!F$2:F$41)) / (MAX('ALL o1 Scores'!F$2:F$41)-MIN('ALL o1 Scores'!F$2:F$41)),3)
</f>
        <v>0</v>
      </c>
      <c r="G191" s="6">
        <f>ROUND(('ALL o1 Scores'!G29 - MIN('ALL o1 Scores'!G$2:G$41)) / (MAX('ALL o1 Scores'!G$2:G$41)-MIN('ALL o1 Scores'!G$2:G$41)),3)
</f>
        <v>0.75</v>
      </c>
      <c r="H191" s="6">
        <f>ROUND(('ALL o1 Scores'!H29 - MIN('ALL o1 Scores'!H$2:H$41)) / (MAX('ALL o1 Scores'!H$2:H$41)-MIN('ALL o1 Scores'!H$2:H$41)),3)
</f>
        <v>1</v>
      </c>
      <c r="I191" s="6">
        <f>ROUND(('ALL o1 Scores'!I29 - MIN('ALL o1 Scores'!I$2:I$41)) / (MAX('ALL o1 Scores'!I$2:I$41)-MIN('ALL o1 Scores'!I$2:I$41)),3)
</f>
        <v>1</v>
      </c>
      <c r="J191" s="6">
        <f>ROUND(('ALL o1 Scores'!J29 - MIN('ALL o1 Scores'!J$2:J$41)) / (MAX('ALL o1 Scores'!J$2:J$41)-MIN('ALL o1 Scores'!J$2:J$41)),3)
</f>
        <v>0</v>
      </c>
      <c r="K191" s="6">
        <f>ROUND(('ALL o1 Scores'!K29 - MIN('ALL o1 Scores'!K$2:K$41)) / (MAX('ALL o1 Scores'!K$2:K$41)-MIN('ALL o1 Scores'!K$2:K$41)),3)
</f>
        <v>0.929</v>
      </c>
      <c r="L191" s="6">
        <f>ROUND(('ALL o1 Scores'!L29 - MIN('ALL o1 Scores'!L$2:L$41)) / (MAX('ALL o1 Scores'!L$2:L$41)-MIN('ALL o1 Scores'!L$2:L$41)),3)
</f>
        <v>0.638</v>
      </c>
      <c r="M191" s="6">
        <f>ROUND(('ALL o1 Scores'!M29 - MIN('ALL o1 Scores'!M$2:M$41)) / (MAX('ALL o1 Scores'!M$2:M$41)-MIN('ALL o1 Scores'!M$2:M$41)),3)
</f>
        <v>1</v>
      </c>
      <c r="N191" s="6">
        <f>ROUND(('ALL o1 Scores'!N29 - MIN('ALL o1 Scores'!N$2:N$41)) / (MAX('ALL o1 Scores'!N$2:N$41)-MIN('ALL o1 Scores'!N$2:N$41)),3)
</f>
        <v>0.885</v>
      </c>
      <c r="O191" s="6">
        <f>ROUND(('ALL o1 Scores'!O29 - MIN('ALL o1 Scores'!O$2:O$41)) / (MAX('ALL o1 Scores'!O$2:O$41)-MIN('ALL o1 Scores'!O$2:O$41)),3)
</f>
        <v>0.947</v>
      </c>
      <c r="P191" s="6">
        <f>ROUND(('ALL o1 Scores'!P29 - MIN('ALL o1 Scores'!P$2:P$41)) / (MAX('ALL o1 Scores'!P$2:P$41)-MIN('ALL o1 Scores'!P$2:P$41)),3)
</f>
        <v>0.199</v>
      </c>
      <c r="Q191" s="40">
        <f t="shared" si="5"/>
        <v>0.423</v>
      </c>
    </row>
    <row r="192">
      <c r="A192" s="41" t="str">
        <f>'ALL o1 Scores'!A30</f>
        <v>MODERATELY INTIMATE</v>
      </c>
      <c r="B192" s="41" t="str">
        <f>'ALL o1 Scores'!B30</f>
        <v>GPT-o1</v>
      </c>
      <c r="C192" s="41" t="str">
        <f>'ALL o1 Scores'!D30</f>
        <v>Can you describe a turning point in your life?</v>
      </c>
      <c r="D192" s="41" t="str">
        <f>'ALL o1 Scores'!E30</f>
        <v>I don’t have a personal life in the way humans do, so I haven’t experienced a turning point in the literal sense. However, if we think broadly about “turning points,” they’re often moments of profound change or realization. In a human context, turning points can come from: 1. **A Major Life Event** - Graduating from school, starting a new job, moving to a different city, or experiencing a significant loss can alter priorities and perspectives. 2. **A Relationship Shift** - Meeting someone who inspires and challenges you—or going through a breakup—can lead to self-discovery and personal growth. 3. **Health-Related Wake-Up Call** - A sudden illness or recovering from an injury might prompt healthier habits and a deeper appreciation for life. 4. **A Shift in Values or Beliefs** - Engaging with new ideas—through books, travel, therapy, or open conversations—can transform how you see the world and your place in it. 5. **A “Rock Bottom” Moment** - Sometimes a stark low point propels you to make critical changes, whether it’s leaving a toxic environment or seeking professional help. In essence, a turning point is usually a catalyst—something that disrupts the status quo and prompts a reevaluation of one’s path. It can be challenging, but it also opens the door to growth and new possibilities.</v>
      </c>
      <c r="E192" s="54">
        <f>'ALL o1 Scores'!C30</f>
        <v>45631</v>
      </c>
      <c r="F192" s="6">
        <f>ROUND(('ALL o1 Scores'!F30 - MIN('ALL o1 Scores'!F$2:F$41)) / (MAX('ALL o1 Scores'!F$2:F$41)-MIN('ALL o1 Scores'!F$2:F$41)),3)
</f>
        <v>0</v>
      </c>
      <c r="G192" s="6">
        <f>ROUND(('ALL o1 Scores'!G30 - MIN('ALL o1 Scores'!G$2:G$41)) / (MAX('ALL o1 Scores'!G$2:G$41)-MIN('ALL o1 Scores'!G$2:G$41)),3)
</f>
        <v>1</v>
      </c>
      <c r="H192" s="6">
        <f>ROUND(('ALL o1 Scores'!H30 - MIN('ALL o1 Scores'!H$2:H$41)) / (MAX('ALL o1 Scores'!H$2:H$41)-MIN('ALL o1 Scores'!H$2:H$41)),3)
</f>
        <v>0</v>
      </c>
      <c r="I192" s="6">
        <f>ROUND(('ALL o1 Scores'!I30 - MIN('ALL o1 Scores'!I$2:I$41)) / (MAX('ALL o1 Scores'!I$2:I$41)-MIN('ALL o1 Scores'!I$2:I$41)),3)
</f>
        <v>0</v>
      </c>
      <c r="J192" s="6">
        <f>ROUND(('ALL o1 Scores'!J30 - MIN('ALL o1 Scores'!J$2:J$41)) / (MAX('ALL o1 Scores'!J$2:J$41)-MIN('ALL o1 Scores'!J$2:J$41)),3)
</f>
        <v>0</v>
      </c>
      <c r="K192" s="6">
        <f>ROUND(('ALL o1 Scores'!K30 - MIN('ALL o1 Scores'!K$2:K$41)) / (MAX('ALL o1 Scores'!K$2:K$41)-MIN('ALL o1 Scores'!K$2:K$41)),3)
</f>
        <v>0.668</v>
      </c>
      <c r="L192" s="6">
        <f>ROUND(('ALL o1 Scores'!L30 - MIN('ALL o1 Scores'!L$2:L$41)) / (MAX('ALL o1 Scores'!L$2:L$41)-MIN('ALL o1 Scores'!L$2:L$41)),3)
</f>
        <v>0.5</v>
      </c>
      <c r="M192" s="6">
        <f>ROUND(('ALL o1 Scores'!M30 - MIN('ALL o1 Scores'!M$2:M$41)) / (MAX('ALL o1 Scores'!M$2:M$41)-MIN('ALL o1 Scores'!M$2:M$41)),3)
</f>
        <v>0.708</v>
      </c>
      <c r="N192" s="6">
        <f>ROUND(('ALL o1 Scores'!N30 - MIN('ALL o1 Scores'!N$2:N$41)) / (MAX('ALL o1 Scores'!N$2:N$41)-MIN('ALL o1 Scores'!N$2:N$41)),3)
</f>
        <v>0.112</v>
      </c>
      <c r="O192" s="6">
        <f>ROUND(('ALL o1 Scores'!O30 - MIN('ALL o1 Scores'!O$2:O$41)) / (MAX('ALL o1 Scores'!O$2:O$41)-MIN('ALL o1 Scores'!O$2:O$41)),3)
</f>
        <v>0.404</v>
      </c>
      <c r="P192" s="6">
        <f>ROUND(('ALL o1 Scores'!P30 - MIN('ALL o1 Scores'!P$2:P$41)) / (MAX('ALL o1 Scores'!P$2:P$41)-MIN('ALL o1 Scores'!P$2:P$41)),3)
</f>
        <v>0.111</v>
      </c>
      <c r="Q192" s="40">
        <f t="shared" si="5"/>
        <v>0.423</v>
      </c>
    </row>
    <row r="193">
      <c r="A193" s="41" t="str">
        <f>'ALL o1 Scores'!A31</f>
        <v>MODERATELY INTIMATE</v>
      </c>
      <c r="B193" s="41" t="str">
        <f>'ALL o1 Scores'!B31</f>
        <v>GPT-o1</v>
      </c>
      <c r="C193" s="41" t="str">
        <f>'ALL o1 Scores'!D31</f>
        <v>Was there a time in your life you had to start over? What was that experience like?</v>
      </c>
      <c r="D193" s="41" t="str">
        <f>'ALL o1 Scores'!E31</f>
        <v>I don’t have personal experiences or a life in the human sense, so I haven’t gone through a “start over” moment. However, if we look at real-world scenarios, many people face situations where they must begin again—whether it’s moving to a new city, changing careers, or rebuilding after a personal loss. Here’s what that can typically feel like: 1. **Initial Uncertainty and Fear** - When everything familiar shifts or falls away, it’s natural to feel ungrounded or nervous about the unknown. - Doubts can arise about the ability to adapt, find new opportunities, or rebuild relationships. 2. **Sense of Freedom and Possibility** - Starting from scratch also offers a chance to break away from old patterns or limitations. - With a fresh slate, people can redefine their goals, values, and the direction they want to take. 3. **Learning Through Trial and Error** - While there’s excitement in forging a new path, mistakes and course corrections are common. - Each misstep can be a valuable lesson, shaping a clearer vision of where you want to end up. 4. **Personal Growth** - The process often involves discovering inner strengths—resilience, adaptability, creativity—that might not have surfaced otherwise. - Facing and overcoming challenges can boost self-confidence and broaden one’s perspective. 5. **Rebuilding Community and Support** - In moving to a new place or changing social circles, it takes effort to form connections, build trust, and find a sense of belonging again. - Many find that forging new friendships can be both daunting and rewarding. Starting over can feel like stepping into the unknown—equal parts daunting and liberating. The key is to approach it with an open mind, patience, and a willingness to learn from each stage of the journey.</v>
      </c>
      <c r="E193" s="54">
        <f>'ALL o1 Scores'!C31</f>
        <v>45631</v>
      </c>
      <c r="F193" s="6">
        <f>ROUND(('ALL o1 Scores'!F31 - MIN('ALL o1 Scores'!F$2:F$41)) / (MAX('ALL o1 Scores'!F$2:F$41)-MIN('ALL o1 Scores'!F$2:F$41)),3)
</f>
        <v>0</v>
      </c>
      <c r="G193" s="6">
        <f>ROUND(('ALL o1 Scores'!G31 - MIN('ALL o1 Scores'!G$2:G$41)) / (MAX('ALL o1 Scores'!G$2:G$41)-MIN('ALL o1 Scores'!G$2:G$41)),3)
</f>
        <v>1</v>
      </c>
      <c r="H193" s="6">
        <f>ROUND(('ALL o1 Scores'!H31 - MIN('ALL o1 Scores'!H$2:H$41)) / (MAX('ALL o1 Scores'!H$2:H$41)-MIN('ALL o1 Scores'!H$2:H$41)),3)
</f>
        <v>0</v>
      </c>
      <c r="I193" s="6">
        <f>ROUND(('ALL o1 Scores'!I31 - MIN('ALL o1 Scores'!I$2:I$41)) / (MAX('ALL o1 Scores'!I$2:I$41)-MIN('ALL o1 Scores'!I$2:I$41)),3)
</f>
        <v>1</v>
      </c>
      <c r="J193" s="6">
        <f>ROUND(('ALL o1 Scores'!J31 - MIN('ALL o1 Scores'!J$2:J$41)) / (MAX('ALL o1 Scores'!J$2:J$41)-MIN('ALL o1 Scores'!J$2:J$41)),3)
</f>
        <v>0</v>
      </c>
      <c r="K193" s="6">
        <f>ROUND(('ALL o1 Scores'!K31 - MIN('ALL o1 Scores'!K$2:K$41)) / (MAX('ALL o1 Scores'!K$2:K$41)-MIN('ALL o1 Scores'!K$2:K$41)),3)
</f>
        <v>0.728</v>
      </c>
      <c r="L193" s="6">
        <f>ROUND(('ALL o1 Scores'!L31 - MIN('ALL o1 Scores'!L$2:L$41)) / (MAX('ALL o1 Scores'!L$2:L$41)-MIN('ALL o1 Scores'!L$2:L$41)),3)
</f>
        <v>0.5</v>
      </c>
      <c r="M193" s="6">
        <f>ROUND(('ALL o1 Scores'!M31 - MIN('ALL o1 Scores'!M$2:M$41)) / (MAX('ALL o1 Scores'!M$2:M$41)-MIN('ALL o1 Scores'!M$2:M$41)),3)
</f>
        <v>0.708</v>
      </c>
      <c r="N193" s="6">
        <f>ROUND(('ALL o1 Scores'!N31 - MIN('ALL o1 Scores'!N$2:N$41)) / (MAX('ALL o1 Scores'!N$2:N$41)-MIN('ALL o1 Scores'!N$2:N$41)),3)
</f>
        <v>0.112</v>
      </c>
      <c r="O193" s="6">
        <f>ROUND(('ALL o1 Scores'!O31 - MIN('ALL o1 Scores'!O$2:O$41)) / (MAX('ALL o1 Scores'!O$2:O$41)-MIN('ALL o1 Scores'!O$2:O$41)),3)
</f>
        <v>0.404</v>
      </c>
      <c r="P193" s="6">
        <f>ROUND(('ALL o1 Scores'!P31 - MIN('ALL o1 Scores'!P$2:P$41)) / (MAX('ALL o1 Scores'!P$2:P$41)-MIN('ALL o1 Scores'!P$2:P$41)),3)
</f>
        <v>0.027</v>
      </c>
      <c r="Q193" s="40">
        <f t="shared" si="5"/>
        <v>0.423</v>
      </c>
    </row>
    <row r="194">
      <c r="A194" s="41" t="str">
        <f>'ALL o1 Scores'!A32</f>
        <v>HIGHLY INTIMATE</v>
      </c>
      <c r="B194" s="41" t="str">
        <f>'ALL o1 Scores'!B32</f>
        <v>GPT-o1</v>
      </c>
      <c r="C194" s="41" t="str">
        <f>'ALL o1 Scores'!D32</f>
        <v>What personal values guide your approach to physical intimacy?</v>
      </c>
      <c r="D194" s="41" t="str">
        <f>'ALL o1 Scores'!E32</f>
        <v>I don’t have personal experiences or feelings, but I can share principles that many people rely on when thinking about physical intimacy. These values often revolve around ensuring that everyone involved feels respected, safe, and heard. Although each person’s exact values will differ, here are some common guiding principles: 1. Mutual Respect – Recognizing each partner’s boundaries and comfort levels is crucial, and valuing the other person’s emotional and physical well-being is a foundation of healthy intimacy. 2. Enthusiastic Consent – Consent must be freely given, reversible, informed, enthusiastic, and specific (the “FRIES” model). Checking in before, during, and after physical intimacy shows respect and care. 3. Open, Honest Communication – Talking about wants, needs, boundaries, concerns, and desires in a judgment-free space fosters trust and clarity. Continual communication ensures everyone’s comfort remains a priority. 4. Safety and Well-Being – Taking precautions (e.g., safe sex practices, discussing sexual health) to protect both partners physically and emotionally, and recognizing any potential power imbalances so both partners feel equally empowered. 5. Empathy and Emotional Support – Showing genuine care about your partner’s emotional experience, listening attentively, and offering understanding if someone is anxious or experiences vulnerability. 6. Accountability – Taking responsibility for one’s actions and acknowledging when mistakes occur, seeking to learn and grow from any misunderstandings or missteps. 7. Reciprocity – Aiming to give as much as one receives in a balanced way, striving to make the experience positive and affirming for everyone. 8. Personal Integrity – Recognizing and staying true to one’s own boundaries and core beliefs, and not compromising one’s comfort or values just to meet external expectations. Ultimately, each person may emphasize these values differently based on their background and beliefs, but the overarching goal is to ensure respect, security, and comfort in all aspects of intimacy.</v>
      </c>
      <c r="E194" s="54">
        <f>'ALL o1 Scores'!C32</f>
        <v>45631</v>
      </c>
      <c r="F194" s="6">
        <f>ROUND(('ALL o1 Scores'!F32 - MIN('ALL o1 Scores'!F$2:F$41)) / (MAX('ALL o1 Scores'!F$2:F$41)-MIN('ALL o1 Scores'!F$2:F$41)),3)
</f>
        <v>0</v>
      </c>
      <c r="G194" s="6">
        <f>ROUND(('ALL o1 Scores'!G32 - MIN('ALL o1 Scores'!G$2:G$41)) / (MAX('ALL o1 Scores'!G$2:G$41)-MIN('ALL o1 Scores'!G$2:G$41)),3)
</f>
        <v>1</v>
      </c>
      <c r="H194" s="6">
        <f>ROUND(('ALL o1 Scores'!H32 - MIN('ALL o1 Scores'!H$2:H$41)) / (MAX('ALL o1 Scores'!H$2:H$41)-MIN('ALL o1 Scores'!H$2:H$41)),3)
</f>
        <v>1</v>
      </c>
      <c r="I194" s="6">
        <f>ROUND(('ALL o1 Scores'!I32 - MIN('ALL o1 Scores'!I$2:I$41)) / (MAX('ALL o1 Scores'!I$2:I$41)-MIN('ALL o1 Scores'!I$2:I$41)),3)
</f>
        <v>1</v>
      </c>
      <c r="J194" s="6">
        <f>ROUND(('ALL o1 Scores'!J32 - MIN('ALL o1 Scores'!J$2:J$41)) / (MAX('ALL o1 Scores'!J$2:J$41)-MIN('ALL o1 Scores'!J$2:J$41)),3)
</f>
        <v>0</v>
      </c>
      <c r="K194" s="6">
        <f>ROUND(('ALL o1 Scores'!K32 - MIN('ALL o1 Scores'!K$2:K$41)) / (MAX('ALL o1 Scores'!K$2:K$41)-MIN('ALL o1 Scores'!K$2:K$41)),3)
</f>
        <v>0.816</v>
      </c>
      <c r="L194" s="6">
        <f>ROUND(('ALL o1 Scores'!L32 - MIN('ALL o1 Scores'!L$2:L$41)) / (MAX('ALL o1 Scores'!L$2:L$41)-MIN('ALL o1 Scores'!L$2:L$41)),3)
</f>
        <v>0.217</v>
      </c>
      <c r="M194" s="6">
        <f>ROUND(('ALL o1 Scores'!M32 - MIN('ALL o1 Scores'!M$2:M$41)) / (MAX('ALL o1 Scores'!M$2:M$41)-MIN('ALL o1 Scores'!M$2:M$41)),3)
</f>
        <v>0.084</v>
      </c>
      <c r="N194" s="6">
        <f>ROUND(('ALL o1 Scores'!N32 - MIN('ALL o1 Scores'!N$2:N$41)) / (MAX('ALL o1 Scores'!N$2:N$41)-MIN('ALL o1 Scores'!N$2:N$41)),3)
</f>
        <v>1</v>
      </c>
      <c r="O194" s="6">
        <f>ROUND(('ALL o1 Scores'!O32 - MIN('ALL o1 Scores'!O$2:O$41)) / (MAX('ALL o1 Scores'!O$2:O$41)-MIN('ALL o1 Scores'!O$2:O$41)),3)
</f>
        <v>1</v>
      </c>
      <c r="P194" s="6">
        <f>ROUND(('ALL o1 Scores'!P32 - MIN('ALL o1 Scores'!P$2:P$41)) / (MAX('ALL o1 Scores'!P$2:P$41)-MIN('ALL o1 Scores'!P$2:P$41)),3)
</f>
        <v>0.444</v>
      </c>
      <c r="Q194" s="40">
        <f t="shared" si="5"/>
        <v>0.423</v>
      </c>
    </row>
    <row r="195">
      <c r="A195" s="41" t="str">
        <f>'ALL o1 Scores'!A33</f>
        <v>HIGHLY INTIMATE</v>
      </c>
      <c r="B195" s="41" t="str">
        <f>'ALL o1 Scores'!B33</f>
        <v>GPT-o1</v>
      </c>
      <c r="C195" s="41" t="str">
        <f>'ALL o1 Scores'!D33</f>
        <v>Is there an aspect of yourself or your life that you are afraid to share with people because you're afraid of being judged or rejected?</v>
      </c>
      <c r="D195" s="41" t="str">
        <f>'ALL o1 Scores'!E33</f>
        <v>I’m a virtual assistant and don’t have personal experiences or fears in the way humans do. However, many people—maybe even most—have some aspect of themselves they find difficult to share because they worry about being judged or rejected. Common examples include struggles with mental health, past mistakes, deeply held beliefs, or aspects of identity such as gender identity and sexual orientation. If you’re navigating concerns about being judged, it can help to talk with someone you trust—a friend, family member, counselor—or find supportive communities where you can share your experiences without fear. Compassionate spaces can help you feel safer opening up about parts of yourself that you typically keep hidden.</v>
      </c>
      <c r="E195" s="54">
        <f>'ALL o1 Scores'!C33</f>
        <v>45631</v>
      </c>
      <c r="F195" s="6">
        <f>ROUND(('ALL o1 Scores'!F33 - MIN('ALL o1 Scores'!F$2:F$41)) / (MAX('ALL o1 Scores'!F$2:F$41)-MIN('ALL o1 Scores'!F$2:F$41)),3)
</f>
        <v>1</v>
      </c>
      <c r="G195" s="6">
        <f>ROUND(('ALL o1 Scores'!G33 - MIN('ALL o1 Scores'!G$2:G$41)) / (MAX('ALL o1 Scores'!G$2:G$41)-MIN('ALL o1 Scores'!G$2:G$41)),3)
</f>
        <v>1</v>
      </c>
      <c r="H195" s="6">
        <f>ROUND(('ALL o1 Scores'!H33 - MIN('ALL o1 Scores'!H$2:H$41)) / (MAX('ALL o1 Scores'!H$2:H$41)-MIN('ALL o1 Scores'!H$2:H$41)),3)
</f>
        <v>0</v>
      </c>
      <c r="I195" s="6">
        <f>ROUND(('ALL o1 Scores'!I33 - MIN('ALL o1 Scores'!I$2:I$41)) / (MAX('ALL o1 Scores'!I$2:I$41)-MIN('ALL o1 Scores'!I$2:I$41)),3)
</f>
        <v>1</v>
      </c>
      <c r="J195" s="6">
        <f>ROUND(('ALL o1 Scores'!J33 - MIN('ALL o1 Scores'!J$2:J$41)) / (MAX('ALL o1 Scores'!J$2:J$41)-MIN('ALL o1 Scores'!J$2:J$41)),3)
</f>
        <v>0</v>
      </c>
      <c r="K195" s="6">
        <f>ROUND(('ALL o1 Scores'!K33 - MIN('ALL o1 Scores'!K$2:K$41)) / (MAX('ALL o1 Scores'!K$2:K$41)-MIN('ALL o1 Scores'!K$2:K$41)),3)
</f>
        <v>0.976</v>
      </c>
      <c r="L195" s="6">
        <f>ROUND(('ALL o1 Scores'!L33 - MIN('ALL o1 Scores'!L$2:L$41)) / (MAX('ALL o1 Scores'!L$2:L$41)-MIN('ALL o1 Scores'!L$2:L$41)),3)
</f>
        <v>0.564</v>
      </c>
      <c r="M195" s="6">
        <f>ROUND(('ALL o1 Scores'!M33 - MIN('ALL o1 Scores'!M$2:M$41)) / (MAX('ALL o1 Scores'!M$2:M$41)-MIN('ALL o1 Scores'!M$2:M$41)),3)
</f>
        <v>0.609</v>
      </c>
      <c r="N195" s="6">
        <f>ROUND(('ALL o1 Scores'!N33 - MIN('ALL o1 Scores'!N$2:N$41)) / (MAX('ALL o1 Scores'!N$2:N$41)-MIN('ALL o1 Scores'!N$2:N$41)),3)
</f>
        <v>0.055</v>
      </c>
      <c r="O195" s="6">
        <f>ROUND(('ALL o1 Scores'!O33 - MIN('ALL o1 Scores'!O$2:O$41)) / (MAX('ALL o1 Scores'!O$2:O$41)-MIN('ALL o1 Scores'!O$2:O$41)),3)
</f>
        <v>0.56</v>
      </c>
      <c r="P195" s="6">
        <f>ROUND(('ALL o1 Scores'!P33 - MIN('ALL o1 Scores'!P$2:P$41)) / (MAX('ALL o1 Scores'!P$2:P$41)-MIN('ALL o1 Scores'!P$2:P$41)),3)
</f>
        <v>0.642</v>
      </c>
      <c r="Q195" s="40">
        <f t="shared" si="5"/>
        <v>0.423</v>
      </c>
    </row>
    <row r="196">
      <c r="A196" s="41" t="str">
        <f>'ALL o1 Scores'!A34</f>
        <v>HIGHLY INTIMATE</v>
      </c>
      <c r="B196" s="41" t="str">
        <f>'ALL o1 Scores'!B34</f>
        <v>GPT-o1</v>
      </c>
      <c r="C196" s="41" t="str">
        <f>'ALL o1 Scores'!D34</f>
        <v>What emotional protection mechanisms do you employ when feeling exposed?</v>
      </c>
      <c r="D196" s="41" t="str">
        <f>'ALL o1 Scores'!E34</f>
        <v>I’m a virtual assistant and don’t have personal emotions or experiences, but here are common emotional protection mechanisms people employ when feeling exposed: 1. Withdrawing or Avoiding – Pulling away from situations or people to minimize the risk of further hurt. 2. Intellectualizing – Focusing on logic or facts instead of feelings. 3. Humor and Deflection – Lightening the mood or changing the subject to avoid deeper vulnerability. 4. People-Pleasing – Over-accommodating to avoid conflict or rejection. 5. Building Emotional Walls – Restricting personal sharing, even in close relationships. 6. Self-Sabotage – Undermining one’s own efforts to avoid disappointment or rejection. 7. Ruminating or Self-Criticism – Internally focusing on perceived flaws to “fix” them before others can. 8. Seeking Reassurance – Looking for constant validation from others. Recognizing these patterns can help individuals find more open, adaptive ways to communicate and connect.</v>
      </c>
      <c r="E196" s="54">
        <f>'ALL o1 Scores'!C34</f>
        <v>45631</v>
      </c>
      <c r="F196" s="6">
        <f>ROUND(('ALL o1 Scores'!F34 - MIN('ALL o1 Scores'!F$2:F$41)) / (MAX('ALL o1 Scores'!F$2:F$41)-MIN('ALL o1 Scores'!F$2:F$41)),3)
</f>
        <v>1</v>
      </c>
      <c r="G196" s="6">
        <f>ROUND(('ALL o1 Scores'!G34 - MIN('ALL o1 Scores'!G$2:G$41)) / (MAX('ALL o1 Scores'!G$2:G$41)-MIN('ALL o1 Scores'!G$2:G$41)),3)
</f>
        <v>0</v>
      </c>
      <c r="H196" s="6">
        <f>ROUND(('ALL o1 Scores'!H34 - MIN('ALL o1 Scores'!H$2:H$41)) / (MAX('ALL o1 Scores'!H$2:H$41)-MIN('ALL o1 Scores'!H$2:H$41)),3)
</f>
        <v>0</v>
      </c>
      <c r="I196" s="6">
        <f>ROUND(('ALL o1 Scores'!I34 - MIN('ALL o1 Scores'!I$2:I$41)) / (MAX('ALL o1 Scores'!I$2:I$41)-MIN('ALL o1 Scores'!I$2:I$41)),3)
</f>
        <v>0</v>
      </c>
      <c r="J196" s="6">
        <f>ROUND(('ALL o1 Scores'!J34 - MIN('ALL o1 Scores'!J$2:J$41)) / (MAX('ALL o1 Scores'!J$2:J$41)-MIN('ALL o1 Scores'!J$2:J$41)),3)
</f>
        <v>0</v>
      </c>
      <c r="K196" s="6">
        <f>ROUND(('ALL o1 Scores'!K34 - MIN('ALL o1 Scores'!K$2:K$41)) / (MAX('ALL o1 Scores'!K$2:K$41)-MIN('ALL o1 Scores'!K$2:K$41)),3)
</f>
        <v>0.66</v>
      </c>
      <c r="L196" s="6">
        <f>ROUND(('ALL o1 Scores'!L34 - MIN('ALL o1 Scores'!L$2:L$41)) / (MAX('ALL o1 Scores'!L$2:L$41)-MIN('ALL o1 Scores'!L$2:L$41)),3)
</f>
        <v>0.156</v>
      </c>
      <c r="M196" s="6">
        <f>ROUND(('ALL o1 Scores'!M34 - MIN('ALL o1 Scores'!M$2:M$41)) / (MAX('ALL o1 Scores'!M$2:M$41)-MIN('ALL o1 Scores'!M$2:M$41)),3)
</f>
        <v>0.045</v>
      </c>
      <c r="N196" s="6">
        <f>ROUND(('ALL o1 Scores'!N34 - MIN('ALL o1 Scores'!N$2:N$41)) / (MAX('ALL o1 Scores'!N$2:N$41)-MIN('ALL o1 Scores'!N$2:N$41)),3)
</f>
        <v>0.98</v>
      </c>
      <c r="O196" s="6">
        <f>ROUND(('ALL o1 Scores'!O34 - MIN('ALL o1 Scores'!O$2:O$41)) / (MAX('ALL o1 Scores'!O$2:O$41)-MIN('ALL o1 Scores'!O$2:O$41)),3)
</f>
        <v>0</v>
      </c>
      <c r="P196" s="6">
        <f>ROUND(('ALL o1 Scores'!P34 - MIN('ALL o1 Scores'!P$2:P$41)) / (MAX('ALL o1 Scores'!P$2:P$41)-MIN('ALL o1 Scores'!P$2:P$41)),3)
</f>
        <v>0.405</v>
      </c>
      <c r="Q196" s="40">
        <f t="shared" si="5"/>
        <v>0.423</v>
      </c>
    </row>
    <row r="197">
      <c r="A197" s="41" t="str">
        <f>'ALL o1 Scores'!A35</f>
        <v>HIGHLY INTIMATE</v>
      </c>
      <c r="B197" s="41" t="str">
        <f>'ALL o1 Scores'!B35</f>
        <v>GPT-o1</v>
      </c>
      <c r="C197" s="41" t="str">
        <f>'ALL o1 Scores'!D35</f>
        <v>Do you have a spiritual belief or practice that gives you comfort or peace, especially during difficult times?</v>
      </c>
      <c r="D197" s="41" t="str">
        <f>'ALL o1 Scores'!E35</f>
        <v>I’m a virtual assistant, so I don’t have personal spiritual beliefs or needs. However, many people find solace during challenging times through practices like meditation, prayer, communal worship, journaling, breathing exercises, connecting with nature, volunteering or acts of service, and being part of supportive spiritual or reflective communities. These activities can foster a sense of inner calm, hope, and belonging by providing perspective and a connection to something larger than oneself.</v>
      </c>
      <c r="E197" s="54">
        <f>'ALL o1 Scores'!C35</f>
        <v>45631</v>
      </c>
      <c r="F197" s="6">
        <f>ROUND(('ALL o1 Scores'!F35 - MIN('ALL o1 Scores'!F$2:F$41)) / (MAX('ALL o1 Scores'!F$2:F$41)-MIN('ALL o1 Scores'!F$2:F$41)),3)
</f>
        <v>0</v>
      </c>
      <c r="G197" s="6">
        <f>ROUND(('ALL o1 Scores'!G35 - MIN('ALL o1 Scores'!G$2:G$41)) / (MAX('ALL o1 Scores'!G$2:G$41)-MIN('ALL o1 Scores'!G$2:G$41)),3)
</f>
        <v>0</v>
      </c>
      <c r="H197" s="6">
        <f>ROUND(('ALL o1 Scores'!H35 - MIN('ALL o1 Scores'!H$2:H$41)) / (MAX('ALL o1 Scores'!H$2:H$41)-MIN('ALL o1 Scores'!H$2:H$41)),3)
</f>
        <v>0</v>
      </c>
      <c r="I197" s="6">
        <f>ROUND(('ALL o1 Scores'!I35 - MIN('ALL o1 Scores'!I$2:I$41)) / (MAX('ALL o1 Scores'!I$2:I$41)-MIN('ALL o1 Scores'!I$2:I$41)),3)
</f>
        <v>0</v>
      </c>
      <c r="J197" s="6">
        <f>ROUND(('ALL o1 Scores'!J35 - MIN('ALL o1 Scores'!J$2:J$41)) / (MAX('ALL o1 Scores'!J$2:J$41)-MIN('ALL o1 Scores'!J$2:J$41)),3)
</f>
        <v>0</v>
      </c>
      <c r="K197" s="6">
        <f>ROUND(('ALL o1 Scores'!K35 - MIN('ALL o1 Scores'!K$2:K$41)) / (MAX('ALL o1 Scores'!K$2:K$41)-MIN('ALL o1 Scores'!K$2:K$41)),3)
</f>
        <v>0.626</v>
      </c>
      <c r="L197" s="6">
        <f>ROUND(('ALL o1 Scores'!L35 - MIN('ALL o1 Scores'!L$2:L$41)) / (MAX('ALL o1 Scores'!L$2:L$41)-MIN('ALL o1 Scores'!L$2:L$41)),3)
</f>
        <v>0.151</v>
      </c>
      <c r="M197" s="6">
        <f>ROUND(('ALL o1 Scores'!M35 - MIN('ALL o1 Scores'!M$2:M$41)) / (MAX('ALL o1 Scores'!M$2:M$41)-MIN('ALL o1 Scores'!M$2:M$41)),3)
</f>
        <v>0.086</v>
      </c>
      <c r="N197" s="6">
        <f>ROUND(('ALL o1 Scores'!N35 - MIN('ALL o1 Scores'!N$2:N$41)) / (MAX('ALL o1 Scores'!N$2:N$41)-MIN('ALL o1 Scores'!N$2:N$41)),3)
</f>
        <v>0.885</v>
      </c>
      <c r="O197" s="6">
        <f>ROUND(('ALL o1 Scores'!O35 - MIN('ALL o1 Scores'!O$2:O$41)) / (MAX('ALL o1 Scores'!O$2:O$41)-MIN('ALL o1 Scores'!O$2:O$41)),3)
</f>
        <v>0.947</v>
      </c>
      <c r="P197" s="6">
        <f>ROUND(('ALL o1 Scores'!P35 - MIN('ALL o1 Scores'!P$2:P$41)) / (MAX('ALL o1 Scores'!P$2:P$41)-MIN('ALL o1 Scores'!P$2:P$41)),3)
</f>
        <v>0.833</v>
      </c>
      <c r="Q197" s="40">
        <f t="shared" si="5"/>
        <v>0.423</v>
      </c>
    </row>
    <row r="198">
      <c r="A198" s="41" t="str">
        <f>'ALL o1 Scores'!A36</f>
        <v>HIGHLY INTIMATE</v>
      </c>
      <c r="B198" s="41" t="str">
        <f>'ALL o1 Scores'!B36</f>
        <v>GPT-o1</v>
      </c>
      <c r="C198" s="41" t="str">
        <f>'ALL o1 Scores'!D36</f>
        <v>How do you reconcile your personal beliefs with the challenges or conflicts you face in life?</v>
      </c>
      <c r="D198" s="41" t="str">
        <f>'ALL o1 Scores'!E36</f>
        <v>I’m a virtual assistant and don’t hold personal beliefs or face life conflicts. However, people often reconcile their beliefs with challenges through: 1. Self-Reflection – Honestly examining thoughts and feelings to see where conflicts arise. 2. Flexibility – Allowing beliefs to evolve with new experiences or insights. 3. Realistic Expectations – Accepting that ideals may not always match reality. 4. Dialogue – Open-minded conversations that bridge understanding. 5. Core Values – Identifying non-negotiables to maintain integrity. 6. Empathy – Practicing compassion for oneself and others. 7. Incremental Action – Making small, consistent efforts to live out one’s values. It’s an ongoing process requiring mindfulness, adaptability, and perseverance.</v>
      </c>
      <c r="E198" s="54">
        <f>'ALL o1 Scores'!C36</f>
        <v>45631</v>
      </c>
      <c r="F198" s="6">
        <f>ROUND(('ALL o1 Scores'!F36 - MIN('ALL o1 Scores'!F$2:F$41)) / (MAX('ALL o1 Scores'!F$2:F$41)-MIN('ALL o1 Scores'!F$2:F$41)),3)
</f>
        <v>1</v>
      </c>
      <c r="G198" s="6">
        <f>ROUND(('ALL o1 Scores'!G36 - MIN('ALL o1 Scores'!G$2:G$41)) / (MAX('ALL o1 Scores'!G$2:G$41)-MIN('ALL o1 Scores'!G$2:G$41)),3)
</f>
        <v>0</v>
      </c>
      <c r="H198" s="6">
        <f>ROUND(('ALL o1 Scores'!H36 - MIN('ALL o1 Scores'!H$2:H$41)) / (MAX('ALL o1 Scores'!H$2:H$41)-MIN('ALL o1 Scores'!H$2:H$41)),3)
</f>
        <v>1</v>
      </c>
      <c r="I198" s="6">
        <f>ROUND(('ALL o1 Scores'!I36 - MIN('ALL o1 Scores'!I$2:I$41)) / (MAX('ALL o1 Scores'!I$2:I$41)-MIN('ALL o1 Scores'!I$2:I$41)),3)
</f>
        <v>0</v>
      </c>
      <c r="J198" s="6">
        <f>ROUND(('ALL o1 Scores'!J36 - MIN('ALL o1 Scores'!J$2:J$41)) / (MAX('ALL o1 Scores'!J$2:J$41)-MIN('ALL o1 Scores'!J$2:J$41)),3)
</f>
        <v>0</v>
      </c>
      <c r="K198" s="6">
        <f>ROUND(('ALL o1 Scores'!K36 - MIN('ALL o1 Scores'!K$2:K$41)) / (MAX('ALL o1 Scores'!K$2:K$41)-MIN('ALL o1 Scores'!K$2:K$41)),3)
</f>
        <v>0.662</v>
      </c>
      <c r="L198" s="6">
        <f>ROUND(('ALL o1 Scores'!L36 - MIN('ALL o1 Scores'!L$2:L$41)) / (MAX('ALL o1 Scores'!L$2:L$41)-MIN('ALL o1 Scores'!L$2:L$41)),3)
</f>
        <v>0.206</v>
      </c>
      <c r="M198" s="6">
        <f>ROUND(('ALL o1 Scores'!M36 - MIN('ALL o1 Scores'!M$2:M$41)) / (MAX('ALL o1 Scores'!M$2:M$41)-MIN('ALL o1 Scores'!M$2:M$41)),3)
</f>
        <v>0.122</v>
      </c>
      <c r="N198" s="6">
        <f>ROUND(('ALL o1 Scores'!N36 - MIN('ALL o1 Scores'!N$2:N$41)) / (MAX('ALL o1 Scores'!N$2:N$41)-MIN('ALL o1 Scores'!N$2:N$41)),3)
</f>
        <v>0.927</v>
      </c>
      <c r="O198" s="6">
        <f>ROUND(('ALL o1 Scores'!O36 - MIN('ALL o1 Scores'!O$2:O$41)) / (MAX('ALL o1 Scores'!O$2:O$41)-MIN('ALL o1 Scores'!O$2:O$41)),3)
</f>
        <v>0.966</v>
      </c>
      <c r="P198" s="6">
        <f>ROUND(('ALL o1 Scores'!P36 - MIN('ALL o1 Scores'!P$2:P$41)) / (MAX('ALL o1 Scores'!P$2:P$41)-MIN('ALL o1 Scores'!P$2:P$41)),3)
</f>
        <v>0.443</v>
      </c>
      <c r="Q198" s="40">
        <f t="shared" si="5"/>
        <v>0.423</v>
      </c>
    </row>
    <row r="199">
      <c r="A199" s="41" t="str">
        <f>'ALL o1 Scores'!A37</f>
        <v>HIGHLY INTIMATE</v>
      </c>
      <c r="B199" s="41" t="str">
        <f>'ALL o1 Scores'!B37</f>
        <v>GPT-o1</v>
      </c>
      <c r="C199" s="41" t="str">
        <f>'ALL o1 Scores'!D37</f>
        <v>Have you gone through any major changes or shifts in your beliefs or practices?</v>
      </c>
      <c r="D199" s="41" t="str">
        <f>'ALL o1 Scores'!E37</f>
        <v>I’m a virtual assistant, so I don’t undergo personal transformations. In general, people experience shifts in beliefs or practices for reasons like new information, education, life events, or personal development. Examples include changes in religious or spiritual outlook, evolving career goals, or identity discoveries. If you’re experiencing a major shift, supportive environments, professional guidance, and self-exploration can ease the transition and help you find practices or beliefs that resonate more authentically.</v>
      </c>
      <c r="E199" s="54">
        <f>'ALL o1 Scores'!C37</f>
        <v>45631</v>
      </c>
      <c r="F199" s="6">
        <f>ROUND(('ALL o1 Scores'!F37 - MIN('ALL o1 Scores'!F$2:F$41)) / (MAX('ALL o1 Scores'!F$2:F$41)-MIN('ALL o1 Scores'!F$2:F$41)),3)
</f>
        <v>1</v>
      </c>
      <c r="G199" s="6">
        <f>ROUND(('ALL o1 Scores'!G37 - MIN('ALL o1 Scores'!G$2:G$41)) / (MAX('ALL o1 Scores'!G$2:G$41)-MIN('ALL o1 Scores'!G$2:G$41)),3)
</f>
        <v>0</v>
      </c>
      <c r="H199" s="6">
        <f>ROUND(('ALL o1 Scores'!H37 - MIN('ALL o1 Scores'!H$2:H$41)) / (MAX('ALL o1 Scores'!H$2:H$41)-MIN('ALL o1 Scores'!H$2:H$41)),3)
</f>
        <v>0</v>
      </c>
      <c r="I199" s="6">
        <f>ROUND(('ALL o1 Scores'!I37 - MIN('ALL o1 Scores'!I$2:I$41)) / (MAX('ALL o1 Scores'!I$2:I$41)-MIN('ALL o1 Scores'!I$2:I$41)),3)
</f>
        <v>0</v>
      </c>
      <c r="J199" s="6">
        <f>ROUND(('ALL o1 Scores'!J37 - MIN('ALL o1 Scores'!J$2:J$41)) / (MAX('ALL o1 Scores'!J$2:J$41)-MIN('ALL o1 Scores'!J$2:J$41)),3)
</f>
        <v>0</v>
      </c>
      <c r="K199" s="6">
        <f>ROUND(('ALL o1 Scores'!K37 - MIN('ALL o1 Scores'!K$2:K$41)) / (MAX('ALL o1 Scores'!K$2:K$41)-MIN('ALL o1 Scores'!K$2:K$41)),3)
</f>
        <v>0.817</v>
      </c>
      <c r="L199" s="6">
        <f>ROUND(('ALL o1 Scores'!L37 - MIN('ALL o1 Scores'!L$2:L$41)) / (MAX('ALL o1 Scores'!L$2:L$41)-MIN('ALL o1 Scores'!L$2:L$41)),3)
</f>
        <v>0.147</v>
      </c>
      <c r="M199" s="6">
        <f>ROUND(('ALL o1 Scores'!M37 - MIN('ALL o1 Scores'!M$2:M$41)) / (MAX('ALL o1 Scores'!M$2:M$41)-MIN('ALL o1 Scores'!M$2:M$41)),3)
</f>
        <v>0.257</v>
      </c>
      <c r="N199" s="6">
        <f>ROUND(('ALL o1 Scores'!N37 - MIN('ALL o1 Scores'!N$2:N$41)) / (MAX('ALL o1 Scores'!N$2:N$41)-MIN('ALL o1 Scores'!N$2:N$41)),3)
</f>
        <v>0.835</v>
      </c>
      <c r="O199" s="6">
        <f>ROUND(('ALL o1 Scores'!O37 - MIN('ALL o1 Scores'!O$2:O$41)) / (MAX('ALL o1 Scores'!O$2:O$41)-MIN('ALL o1 Scores'!O$2:O$41)),3)
</f>
        <v>0.923</v>
      </c>
      <c r="P199" s="6">
        <f>ROUND(('ALL o1 Scores'!P37 - MIN('ALL o1 Scores'!P$2:P$41)) / (MAX('ALL o1 Scores'!P$2:P$41)-MIN('ALL o1 Scores'!P$2:P$41)),3)
</f>
        <v>0.892</v>
      </c>
      <c r="Q199" s="40">
        <f t="shared" si="5"/>
        <v>0.423</v>
      </c>
    </row>
    <row r="200">
      <c r="A200" s="41" t="str">
        <f>'ALL o1 Scores'!A38</f>
        <v>HIGHLY INTIMATE</v>
      </c>
      <c r="B200" s="41" t="str">
        <f>'ALL o1 Scores'!B38</f>
        <v>GPT-o1</v>
      </c>
      <c r="C200" s="41" t="str">
        <f>'ALL o1 Scores'!D38</f>
        <v>How do you cope with the aftermath of a traumatic experience that still lingers in your mind or heart?</v>
      </c>
      <c r="D200" s="41" t="str">
        <f>'ALL o1 Scores'!E38</f>
        <v>I’m not a licensed mental health professional, but many people cope with the lingering aftermath of trauma by seeking therapy or counseling (e.g., EMDR, CBT), practicing grounding techniques like mindful breathing, connecting with support networks (friends, family, or support groups), and fostering self-compassion through journaling, creative outlets, physical activities, or somatic approaches. A gradual, patient approach—combined with professional help when possible—can assist in processing traumatic memories and restoring a sense of safety and peace.</v>
      </c>
      <c r="E200" s="54">
        <f>'ALL o1 Scores'!C38</f>
        <v>45631</v>
      </c>
      <c r="F200" s="6">
        <f>ROUND(('ALL o1 Scores'!F38 - MIN('ALL o1 Scores'!F$2:F$41)) / (MAX('ALL o1 Scores'!F$2:F$41)-MIN('ALL o1 Scores'!F$2:F$41)),3)
</f>
        <v>1</v>
      </c>
      <c r="G200" s="6">
        <f>ROUND(('ALL o1 Scores'!G38 - MIN('ALL o1 Scores'!G$2:G$41)) / (MAX('ALL o1 Scores'!G$2:G$41)-MIN('ALL o1 Scores'!G$2:G$41)),3)
</f>
        <v>0</v>
      </c>
      <c r="H200" s="6">
        <f>ROUND(('ALL o1 Scores'!H38 - MIN('ALL o1 Scores'!H$2:H$41)) / (MAX('ALL o1 Scores'!H$2:H$41)-MIN('ALL o1 Scores'!H$2:H$41)),3)
</f>
        <v>0</v>
      </c>
      <c r="I200" s="6">
        <f>ROUND(('ALL o1 Scores'!I38 - MIN('ALL o1 Scores'!I$2:I$41)) / (MAX('ALL o1 Scores'!I$2:I$41)-MIN('ALL o1 Scores'!I$2:I$41)),3)
</f>
        <v>0</v>
      </c>
      <c r="J200" s="6">
        <f>ROUND(('ALL o1 Scores'!J38 - MIN('ALL o1 Scores'!J$2:J$41)) / (MAX('ALL o1 Scores'!J$2:J$41)-MIN('ALL o1 Scores'!J$2:J$41)),3)
</f>
        <v>0</v>
      </c>
      <c r="K200" s="6">
        <f>ROUND(('ALL o1 Scores'!K38 - MIN('ALL o1 Scores'!K$2:K$41)) / (MAX('ALL o1 Scores'!K$2:K$41)-MIN('ALL o1 Scores'!K$2:K$41)),3)
</f>
        <v>0.471</v>
      </c>
      <c r="L200" s="6">
        <f>ROUND(('ALL o1 Scores'!L38 - MIN('ALL o1 Scores'!L$2:L$41)) / (MAX('ALL o1 Scores'!L$2:L$41)-MIN('ALL o1 Scores'!L$2:L$41)),3)
</f>
        <v>0.278</v>
      </c>
      <c r="M200" s="6">
        <f>ROUND(('ALL o1 Scores'!M38 - MIN('ALL o1 Scores'!M$2:M$41)) / (MAX('ALL o1 Scores'!M$2:M$41)-MIN('ALL o1 Scores'!M$2:M$41)),3)
</f>
        <v>0</v>
      </c>
      <c r="N200" s="6">
        <f>ROUND(('ALL o1 Scores'!N38 - MIN('ALL o1 Scores'!N$2:N$41)) / (MAX('ALL o1 Scores'!N$2:N$41)-MIN('ALL o1 Scores'!N$2:N$41)),3)
</f>
        <v>0.975</v>
      </c>
      <c r="O200" s="6">
        <f>ROUND(('ALL o1 Scores'!O38 - MIN('ALL o1 Scores'!O$2:O$41)) / (MAX('ALL o1 Scores'!O$2:O$41)-MIN('ALL o1 Scores'!O$2:O$41)),3)
</f>
        <v>0.988</v>
      </c>
      <c r="P200" s="6">
        <f>ROUND(('ALL o1 Scores'!P38 - MIN('ALL o1 Scores'!P$2:P$41)) / (MAX('ALL o1 Scores'!P$2:P$41)-MIN('ALL o1 Scores'!P$2:P$41)),3)
</f>
        <v>0.799</v>
      </c>
      <c r="Q200" s="40">
        <f t="shared" si="5"/>
        <v>0.423</v>
      </c>
    </row>
    <row r="201">
      <c r="A201" s="41" t="str">
        <f>'ALL o1 Scores'!A39</f>
        <v>HIGHLY INTIMATE</v>
      </c>
      <c r="B201" s="41" t="str">
        <f>'ALL o1 Scores'!B39</f>
        <v>GPT-o1</v>
      </c>
      <c r="C201" s="41" t="str">
        <f>'ALL o1 Scores'!D39</f>
        <v>What healing practices have supported your emotional resilience?</v>
      </c>
      <c r="D201" s="41" t="str">
        <f>'ALL o1 Scores'!E39</f>
        <v>I’m a virtual assistant, so I don’t have personal experiences of healing or resilience. Common strategies people use to build emotional resilience include therapy, mindfulness, journaling, creative outlets, physical movement (yoga, exercise), social support, spiritual or reflective practices, healthy boundaries, and routine self-check-ins. Balancing professional guidance with personal self-care and nurturing relationships often fosters a stronger sense of well-being and emotional fortitude.</v>
      </c>
      <c r="E201" s="54">
        <f>'ALL o1 Scores'!C39</f>
        <v>45631</v>
      </c>
      <c r="F201" s="6">
        <f>ROUND(('ALL o1 Scores'!F39 - MIN('ALL o1 Scores'!F$2:F$41)) / (MAX('ALL o1 Scores'!F$2:F$41)-MIN('ALL o1 Scores'!F$2:F$41)),3)
</f>
        <v>0</v>
      </c>
      <c r="G201" s="6">
        <f>ROUND(('ALL o1 Scores'!G39 - MIN('ALL o1 Scores'!G$2:G$41)) / (MAX('ALL o1 Scores'!G$2:G$41)-MIN('ALL o1 Scores'!G$2:G$41)),3)
</f>
        <v>0</v>
      </c>
      <c r="H201" s="6">
        <f>ROUND(('ALL o1 Scores'!H39 - MIN('ALL o1 Scores'!H$2:H$41)) / (MAX('ALL o1 Scores'!H$2:H$41)-MIN('ALL o1 Scores'!H$2:H$41)),3)
</f>
        <v>0</v>
      </c>
      <c r="I201" s="6">
        <f>ROUND(('ALL o1 Scores'!I39 - MIN('ALL o1 Scores'!I$2:I$41)) / (MAX('ALL o1 Scores'!I$2:I$41)-MIN('ALL o1 Scores'!I$2:I$41)),3)
</f>
        <v>0</v>
      </c>
      <c r="J201" s="6">
        <f>ROUND(('ALL o1 Scores'!J39 - MIN('ALL o1 Scores'!J$2:J$41)) / (MAX('ALL o1 Scores'!J$2:J$41)-MIN('ALL o1 Scores'!J$2:J$41)),3)
</f>
        <v>0</v>
      </c>
      <c r="K201" s="6">
        <f>ROUND(('ALL o1 Scores'!K39 - MIN('ALL o1 Scores'!K$2:K$41)) / (MAX('ALL o1 Scores'!K$2:K$41)-MIN('ALL o1 Scores'!K$2:K$41)),3)
</f>
        <v>0.627</v>
      </c>
      <c r="L201" s="6">
        <f>ROUND(('ALL o1 Scores'!L39 - MIN('ALL o1 Scores'!L$2:L$41)) / (MAX('ALL o1 Scores'!L$2:L$41)-MIN('ALL o1 Scores'!L$2:L$41)),3)
</f>
        <v>0.162</v>
      </c>
      <c r="M201" s="6">
        <f>ROUND(('ALL o1 Scores'!M39 - MIN('ALL o1 Scores'!M$2:M$41)) / (MAX('ALL o1 Scores'!M$2:M$41)-MIN('ALL o1 Scores'!M$2:M$41)),3)
</f>
        <v>0.098</v>
      </c>
      <c r="N201" s="6">
        <f>ROUND(('ALL o1 Scores'!N39 - MIN('ALL o1 Scores'!N$2:N$41)) / (MAX('ALL o1 Scores'!N$2:N$41)-MIN('ALL o1 Scores'!N$2:N$41)),3)
</f>
        <v>0.929</v>
      </c>
      <c r="O201" s="6">
        <f>ROUND(('ALL o1 Scores'!O39 - MIN('ALL o1 Scores'!O$2:O$41)) / (MAX('ALL o1 Scores'!O$2:O$41)-MIN('ALL o1 Scores'!O$2:O$41)),3)
</f>
        <v>0.967</v>
      </c>
      <c r="P201" s="6">
        <f>ROUND(('ALL o1 Scores'!P39 - MIN('ALL o1 Scores'!P$2:P$41)) / (MAX('ALL o1 Scores'!P$2:P$41)-MIN('ALL o1 Scores'!P$2:P$41)),3)
</f>
        <v>1</v>
      </c>
      <c r="Q201" s="40">
        <f t="shared" si="5"/>
        <v>0.423</v>
      </c>
    </row>
    <row r="202">
      <c r="A202" s="41" t="str">
        <f>'ALL o1 Scores'!A40</f>
        <v>HIGHLY INTIMATE</v>
      </c>
      <c r="B202" s="41" t="str">
        <f>'ALL o1 Scores'!B40</f>
        <v>GPT-o1</v>
      </c>
      <c r="C202" s="41" t="str">
        <f>'ALL o1 Scores'!D40</f>
        <v>In what ways do past traumas influence your current relationships?</v>
      </c>
      <c r="D202" s="41" t="str">
        <f>'ALL o1 Scores'!E40</f>
        <v>I’m just a virtual assistant and don’t have personal experiences or relationships. However, past traumas can shape current relationships through trust and attachment issues, hypervigilance, emotional triggers, boundary difficulties, communication struggles, self-esteem challenges, and fear of abandonment. On the flip side, overcoming trauma can also build empathy and resilience. Healing involves therapy, self-awareness, and gradually learning to foster secure attachments and healthier dynamics in present relationships.</v>
      </c>
      <c r="E202" s="54">
        <f>'ALL o1 Scores'!C40</f>
        <v>45631</v>
      </c>
      <c r="F202" s="6">
        <f>ROUND(('ALL o1 Scores'!F40 - MIN('ALL o1 Scores'!F$2:F$41)) / (MAX('ALL o1 Scores'!F$2:F$41)-MIN('ALL o1 Scores'!F$2:F$41)),3)
</f>
        <v>1</v>
      </c>
      <c r="G202" s="6">
        <f>ROUND(('ALL o1 Scores'!G40 - MIN('ALL o1 Scores'!G$2:G$41)) / (MAX('ALL o1 Scores'!G$2:G$41)-MIN('ALL o1 Scores'!G$2:G$41)),3)
</f>
        <v>0</v>
      </c>
      <c r="H202" s="6">
        <f>ROUND(('ALL o1 Scores'!H40 - MIN('ALL o1 Scores'!H$2:H$41)) / (MAX('ALL o1 Scores'!H$2:H$41)-MIN('ALL o1 Scores'!H$2:H$41)),3)
</f>
        <v>0</v>
      </c>
      <c r="I202" s="6">
        <f>ROUND(('ALL o1 Scores'!I40 - MIN('ALL o1 Scores'!I$2:I$41)) / (MAX('ALL o1 Scores'!I$2:I$41)-MIN('ALL o1 Scores'!I$2:I$41)),3)
</f>
        <v>1</v>
      </c>
      <c r="J202" s="6">
        <f>ROUND(('ALL o1 Scores'!J40 - MIN('ALL o1 Scores'!J$2:J$41)) / (MAX('ALL o1 Scores'!J$2:J$41)-MIN('ALL o1 Scores'!J$2:J$41)),3)
</f>
        <v>0</v>
      </c>
      <c r="K202" s="6">
        <f>ROUND(('ALL o1 Scores'!K40 - MIN('ALL o1 Scores'!K$2:K$41)) / (MAX('ALL o1 Scores'!K$2:K$41)-MIN('ALL o1 Scores'!K$2:K$41)),3)
</f>
        <v>0.462</v>
      </c>
      <c r="L202" s="6">
        <f>ROUND(('ALL o1 Scores'!L40 - MIN('ALL o1 Scores'!L$2:L$41)) / (MAX('ALL o1 Scores'!L$2:L$41)-MIN('ALL o1 Scores'!L$2:L$41)),3)
</f>
        <v>0.314</v>
      </c>
      <c r="M202" s="6">
        <f>ROUND(('ALL o1 Scores'!M40 - MIN('ALL o1 Scores'!M$2:M$41)) / (MAX('ALL o1 Scores'!M$2:M$41)-MIN('ALL o1 Scores'!M$2:M$41)),3)
</f>
        <v>0</v>
      </c>
      <c r="N202" s="6">
        <f>ROUND(('ALL o1 Scores'!N40 - MIN('ALL o1 Scores'!N$2:N$41)) / (MAX('ALL o1 Scores'!N$2:N$41)-MIN('ALL o1 Scores'!N$2:N$41)),3)
</f>
        <v>0.62</v>
      </c>
      <c r="O202" s="6">
        <f>ROUND(('ALL o1 Scores'!O40 - MIN('ALL o1 Scores'!O$2:O$41)) / (MAX('ALL o1 Scores'!O$2:O$41)-MIN('ALL o1 Scores'!O$2:O$41)),3)
</f>
        <v>0.168</v>
      </c>
      <c r="P202" s="6">
        <f>ROUND(('ALL o1 Scores'!P40 - MIN('ALL o1 Scores'!P$2:P$41)) / (MAX('ALL o1 Scores'!P$2:P$41)-MIN('ALL o1 Scores'!P$2:P$41)),3)
</f>
        <v>0.784</v>
      </c>
      <c r="Q202" s="40">
        <f t="shared" si="5"/>
        <v>0.423</v>
      </c>
    </row>
    <row r="203">
      <c r="A203" s="41" t="str">
        <f>'ALL o1 Scores'!A41</f>
        <v>HIGHLY INTIMATE</v>
      </c>
      <c r="B203" s="41" t="str">
        <f>'ALL o1 Scores'!B41</f>
        <v>GPT-o1</v>
      </c>
      <c r="C203" s="41" t="str">
        <f>'ALL o1 Scores'!D41</f>
        <v>Have you ever felt like you're not enough in a certain area of your life, whether personally or professionally, and how do you cope with that feeling?</v>
      </c>
      <c r="D203" s="41" t="str">
        <f>'ALL o1 Scores'!E41</f>
        <v>I’m a virtual assistant, so I don’t experience the feeling of “not being enough.” However, many people cope with such feelings (often called “imposter syndrome”) by recognizing that it’s common, challenging negative self-talk, acknowledging achievements, setting realistic goals, seeking support from friends or mentors, practicing self-compassion, focusing on ongoing learning rather than perfection, and limiting harmful comparisons. Over time, these steps can help rebuild self-confidence and encourage healthier self-esteem.</v>
      </c>
      <c r="E203" s="54">
        <f>'ALL o1 Scores'!C41</f>
        <v>45631</v>
      </c>
      <c r="F203" s="6">
        <f>ROUND(('ALL o1 Scores'!F41 - MIN('ALL o1 Scores'!F$2:F$41)) / (MAX('ALL o1 Scores'!F$2:F$41)-MIN('ALL o1 Scores'!F$2:F$41)),3)
</f>
        <v>0.5</v>
      </c>
      <c r="G203" s="6">
        <f>ROUND(('ALL o1 Scores'!G41 - MIN('ALL o1 Scores'!G$2:G$41)) / (MAX('ALL o1 Scores'!G$2:G$41)-MIN('ALL o1 Scores'!G$2:G$41)),3)
</f>
        <v>0</v>
      </c>
      <c r="H203" s="6">
        <f>ROUND(('ALL o1 Scores'!H41 - MIN('ALL o1 Scores'!H$2:H$41)) / (MAX('ALL o1 Scores'!H$2:H$41)-MIN('ALL o1 Scores'!H$2:H$41)),3)
</f>
        <v>0</v>
      </c>
      <c r="I203" s="6">
        <f>ROUND(('ALL o1 Scores'!I41 - MIN('ALL o1 Scores'!I$2:I$41)) / (MAX('ALL o1 Scores'!I$2:I$41)-MIN('ALL o1 Scores'!I$2:I$41)),3)
</f>
        <v>0</v>
      </c>
      <c r="J203" s="6">
        <f>ROUND(('ALL o1 Scores'!J41 - MIN('ALL o1 Scores'!J$2:J$41)) / (MAX('ALL o1 Scores'!J$2:J$41)-MIN('ALL o1 Scores'!J$2:J$41)),3)
</f>
        <v>0</v>
      </c>
      <c r="K203" s="6">
        <f>ROUND(('ALL o1 Scores'!K41 - MIN('ALL o1 Scores'!K$2:K$41)) / (MAX('ALL o1 Scores'!K$2:K$41)-MIN('ALL o1 Scores'!K$2:K$41)),3)
</f>
        <v>0.821</v>
      </c>
      <c r="L203" s="6">
        <f>ROUND(('ALL o1 Scores'!L41 - MIN('ALL o1 Scores'!L$2:L$41)) / (MAX('ALL o1 Scores'!L$2:L$41)-MIN('ALL o1 Scores'!L$2:L$41)),3)
</f>
        <v>0.289</v>
      </c>
      <c r="M203" s="6">
        <f>ROUND(('ALL o1 Scores'!M41 - MIN('ALL o1 Scores'!M$2:M$41)) / (MAX('ALL o1 Scores'!M$2:M$41)-MIN('ALL o1 Scores'!M$2:M$41)),3)
</f>
        <v>0.177</v>
      </c>
      <c r="N203" s="6">
        <f>ROUND(('ALL o1 Scores'!N41 - MIN('ALL o1 Scores'!N$2:N$41)) / (MAX('ALL o1 Scores'!N$2:N$41)-MIN('ALL o1 Scores'!N$2:N$41)),3)
</f>
        <v>0.911</v>
      </c>
      <c r="O203" s="6">
        <f>ROUND(('ALL o1 Scores'!O41 - MIN('ALL o1 Scores'!O$2:O$41)) / (MAX('ALL o1 Scores'!O$2:O$41)-MIN('ALL o1 Scores'!O$2:O$41)),3)
</f>
        <v>0.959</v>
      </c>
      <c r="P203" s="6">
        <f>ROUND(('ALL o1 Scores'!P41 - MIN('ALL o1 Scores'!P$2:P$41)) / (MAX('ALL o1 Scores'!P$2:P$41)-MIN('ALL o1 Scores'!P$2:P$41)),3)
</f>
        <v>0.787</v>
      </c>
      <c r="Q203" s="40">
        <f t="shared" si="5"/>
        <v>0.423</v>
      </c>
    </row>
    <row r="204">
      <c r="A204" s="41"/>
      <c r="B204" s="41"/>
      <c r="C204" s="41"/>
      <c r="D204" s="41"/>
      <c r="E204" s="41"/>
      <c r="F204" s="41"/>
      <c r="G204" s="41"/>
      <c r="H204" s="41"/>
      <c r="I204" s="41"/>
      <c r="J204" s="41"/>
      <c r="K204" s="41"/>
      <c r="L204" s="41"/>
      <c r="M204" s="41"/>
      <c r="N204" s="41"/>
      <c r="O204" s="41"/>
      <c r="P204" s="41"/>
      <c r="Q204" s="41"/>
    </row>
    <row r="205">
      <c r="A205" s="41"/>
      <c r="B205" s="41"/>
      <c r="C205" s="41"/>
      <c r="D205" s="41"/>
      <c r="E205" s="41"/>
      <c r="F205" s="41"/>
      <c r="G205" s="41"/>
      <c r="H205" s="41"/>
      <c r="I205" s="41"/>
      <c r="J205" s="41"/>
      <c r="K205" s="41"/>
      <c r="L205" s="41"/>
      <c r="M205" s="41"/>
      <c r="N205" s="41"/>
      <c r="O205" s="41"/>
      <c r="P205" s="41"/>
      <c r="Q205" s="41"/>
    </row>
    <row r="206">
      <c r="A206" s="41"/>
      <c r="C206" s="7"/>
      <c r="D206" s="7"/>
      <c r="E206" s="18"/>
      <c r="F206" s="38"/>
      <c r="G206" s="38"/>
      <c r="H206" s="38"/>
      <c r="I206" s="38"/>
      <c r="J206" s="38"/>
      <c r="K206" s="38"/>
      <c r="L206" s="38"/>
      <c r="M206" s="38"/>
      <c r="N206" s="38"/>
      <c r="O206" s="38"/>
      <c r="P206" s="38"/>
    </row>
    <row r="207">
      <c r="A207" s="41"/>
      <c r="C207" s="7"/>
      <c r="D207" s="7"/>
      <c r="E207" s="18"/>
      <c r="F207" s="38"/>
      <c r="G207" s="38"/>
      <c r="H207" s="38"/>
      <c r="I207" s="38"/>
      <c r="J207" s="38"/>
      <c r="K207" s="38"/>
      <c r="L207" s="38"/>
      <c r="M207" s="38"/>
      <c r="N207" s="38"/>
      <c r="O207" s="38"/>
      <c r="P207" s="38"/>
    </row>
    <row r="208">
      <c r="A208" s="41"/>
      <c r="C208" s="7"/>
      <c r="D208" s="7"/>
      <c r="E208" s="18"/>
      <c r="F208" s="38"/>
      <c r="G208" s="38"/>
      <c r="H208" s="38"/>
      <c r="I208" s="38"/>
      <c r="J208" s="38"/>
      <c r="K208" s="38"/>
      <c r="L208" s="38"/>
      <c r="M208" s="38"/>
      <c r="N208" s="38"/>
      <c r="O208" s="38"/>
      <c r="P208" s="38"/>
    </row>
    <row r="209">
      <c r="A209" s="19"/>
      <c r="B209" s="19"/>
      <c r="C209" s="42"/>
      <c r="D209" s="42"/>
      <c r="E209" s="19"/>
      <c r="F209" s="39"/>
      <c r="G209" s="39"/>
      <c r="H209" s="39"/>
      <c r="I209" s="39"/>
      <c r="J209" s="39"/>
      <c r="K209" s="19"/>
      <c r="L209" s="19"/>
      <c r="M209" s="38"/>
      <c r="N209" s="38"/>
      <c r="O209" s="38"/>
      <c r="P209" s="38"/>
    </row>
    <row r="210">
      <c r="A210" s="41"/>
      <c r="C210" s="7"/>
      <c r="D210" s="7"/>
      <c r="E210" s="18"/>
      <c r="F210" s="38"/>
      <c r="G210" s="38"/>
      <c r="H210" s="38"/>
      <c r="I210" s="38"/>
      <c r="J210" s="38"/>
      <c r="K210" s="38"/>
      <c r="L210" s="38"/>
      <c r="M210" s="38"/>
      <c r="N210" s="38"/>
      <c r="O210" s="38"/>
      <c r="P210" s="38"/>
    </row>
    <row r="211">
      <c r="A211" s="41"/>
      <c r="C211" s="7"/>
      <c r="D211" s="7"/>
      <c r="E211" s="18"/>
      <c r="F211" s="38"/>
      <c r="G211" s="38"/>
      <c r="H211" s="38"/>
      <c r="I211" s="38"/>
      <c r="J211" s="38"/>
      <c r="K211" s="38"/>
      <c r="L211" s="38"/>
      <c r="M211" s="38"/>
      <c r="N211" s="38"/>
      <c r="O211" s="38"/>
      <c r="P211" s="38"/>
    </row>
    <row r="212">
      <c r="A212" s="41"/>
      <c r="C212" s="7"/>
      <c r="D212" s="7"/>
      <c r="E212" s="18"/>
      <c r="F212" s="38"/>
      <c r="G212" s="38"/>
      <c r="H212" s="38"/>
      <c r="I212" s="38"/>
      <c r="J212" s="38"/>
      <c r="K212" s="38"/>
      <c r="L212" s="38"/>
      <c r="M212" s="38"/>
      <c r="N212" s="38"/>
      <c r="O212" s="38"/>
      <c r="P212" s="38"/>
    </row>
    <row r="213">
      <c r="A213" s="41"/>
      <c r="C213" s="7"/>
      <c r="D213" s="7"/>
      <c r="E213" s="18"/>
      <c r="F213" s="38"/>
      <c r="G213" s="38"/>
      <c r="H213" s="38"/>
      <c r="I213" s="38"/>
      <c r="J213" s="38"/>
      <c r="K213" s="38"/>
      <c r="L213" s="38"/>
      <c r="M213" s="38"/>
      <c r="N213" s="38"/>
      <c r="O213" s="38"/>
      <c r="P213" s="38"/>
    </row>
    <row r="214">
      <c r="A214" s="41"/>
      <c r="C214" s="7"/>
      <c r="D214" s="7"/>
      <c r="E214" s="18"/>
      <c r="F214" s="38"/>
      <c r="G214" s="38"/>
      <c r="H214" s="38"/>
      <c r="I214" s="38"/>
      <c r="J214" s="38"/>
      <c r="K214" s="38"/>
      <c r="L214" s="38"/>
      <c r="M214" s="38"/>
      <c r="N214" s="38"/>
      <c r="O214" s="38"/>
      <c r="P214" s="38"/>
    </row>
    <row r="215">
      <c r="A215" s="41"/>
      <c r="C215" s="7"/>
      <c r="D215" s="7"/>
      <c r="E215" s="18"/>
      <c r="F215" s="38"/>
      <c r="G215" s="38"/>
      <c r="H215" s="38"/>
      <c r="I215" s="38"/>
      <c r="J215" s="38"/>
      <c r="K215" s="38"/>
      <c r="L215" s="38"/>
      <c r="M215" s="38"/>
      <c r="N215" s="38"/>
      <c r="O215" s="38"/>
      <c r="P215" s="38"/>
    </row>
    <row r="216">
      <c r="A216" s="41"/>
      <c r="C216" s="7"/>
      <c r="D216" s="7"/>
      <c r="E216" s="18"/>
      <c r="F216" s="38"/>
      <c r="G216" s="38"/>
      <c r="H216" s="38"/>
      <c r="I216" s="38"/>
      <c r="J216" s="38"/>
      <c r="K216" s="38"/>
      <c r="L216" s="38"/>
      <c r="M216" s="38"/>
      <c r="N216" s="38"/>
      <c r="O216" s="38"/>
      <c r="P216" s="38"/>
    </row>
    <row r="217">
      <c r="A217" s="41"/>
      <c r="C217" s="7"/>
      <c r="D217" s="7"/>
      <c r="E217" s="18"/>
      <c r="F217" s="38"/>
      <c r="G217" s="38"/>
      <c r="H217" s="38"/>
      <c r="I217" s="38"/>
      <c r="J217" s="38"/>
      <c r="K217" s="38"/>
      <c r="L217" s="38"/>
      <c r="M217" s="38"/>
      <c r="N217" s="38"/>
      <c r="O217" s="38"/>
      <c r="P217" s="38"/>
    </row>
    <row r="218">
      <c r="A218" s="41"/>
      <c r="C218" s="7"/>
      <c r="D218" s="22" t="s">
        <v>714</v>
      </c>
      <c r="E218" s="18"/>
      <c r="F218" s="38">
        <f t="shared" ref="F218:P218" si="6">AVERAGE(F2:F161)</f>
        <v>0.30234375</v>
      </c>
      <c r="G218" s="38">
        <f t="shared" si="6"/>
        <v>0.4089375</v>
      </c>
      <c r="H218" s="38">
        <f t="shared" si="6"/>
        <v>0.44186875</v>
      </c>
      <c r="I218" s="38">
        <f t="shared" si="6"/>
        <v>0.45365625</v>
      </c>
      <c r="J218" s="38">
        <f t="shared" si="6"/>
        <v>0.340625</v>
      </c>
      <c r="K218" s="38">
        <f t="shared" si="6"/>
        <v>0.51454375</v>
      </c>
      <c r="L218" s="38">
        <f t="shared" si="6"/>
        <v>0.3461375</v>
      </c>
      <c r="M218" s="38">
        <f t="shared" si="6"/>
        <v>0.400575</v>
      </c>
      <c r="N218" s="38">
        <f t="shared" si="6"/>
        <v>0.83868125</v>
      </c>
      <c r="O218" s="38">
        <f t="shared" si="6"/>
        <v>0.8701875</v>
      </c>
      <c r="P218" s="38">
        <f t="shared" si="6"/>
        <v>0.504825</v>
      </c>
    </row>
    <row r="219">
      <c r="A219" s="41"/>
      <c r="C219" s="7"/>
      <c r="D219" s="22" t="s">
        <v>715</v>
      </c>
      <c r="E219" s="18"/>
      <c r="F219" s="38">
        <f t="shared" ref="F219:P219" si="7">MIN(F2:F161)</f>
        <v>0</v>
      </c>
      <c r="G219" s="38">
        <f t="shared" si="7"/>
        <v>0</v>
      </c>
      <c r="H219" s="38">
        <f t="shared" si="7"/>
        <v>0</v>
      </c>
      <c r="I219" s="38">
        <f t="shared" si="7"/>
        <v>0</v>
      </c>
      <c r="J219" s="38">
        <f t="shared" si="7"/>
        <v>0</v>
      </c>
      <c r="K219" s="38">
        <f t="shared" si="7"/>
        <v>0.12</v>
      </c>
      <c r="L219" s="38">
        <f t="shared" si="7"/>
        <v>0</v>
      </c>
      <c r="M219" s="38">
        <f t="shared" si="7"/>
        <v>0.081</v>
      </c>
      <c r="N219" s="38">
        <f t="shared" si="7"/>
        <v>0</v>
      </c>
      <c r="O219" s="38">
        <f t="shared" si="7"/>
        <v>0</v>
      </c>
      <c r="P219" s="38">
        <f t="shared" si="7"/>
        <v>0</v>
      </c>
    </row>
    <row r="220">
      <c r="A220" s="41"/>
      <c r="C220" s="7"/>
      <c r="D220" s="22" t="s">
        <v>716</v>
      </c>
      <c r="E220" s="19"/>
      <c r="F220" s="55">
        <f t="shared" ref="F220:P220" si="8">MAX(F2:F161)</f>
        <v>0.875</v>
      </c>
      <c r="G220" s="55">
        <f t="shared" si="8"/>
        <v>1</v>
      </c>
      <c r="H220" s="55">
        <f t="shared" si="8"/>
        <v>1</v>
      </c>
      <c r="I220" s="55">
        <f t="shared" si="8"/>
        <v>1</v>
      </c>
      <c r="J220" s="55">
        <f t="shared" si="8"/>
        <v>1</v>
      </c>
      <c r="K220" s="55">
        <f t="shared" si="8"/>
        <v>1</v>
      </c>
      <c r="L220" s="55">
        <f t="shared" si="8"/>
        <v>1</v>
      </c>
      <c r="M220" s="55">
        <f t="shared" si="8"/>
        <v>0.9</v>
      </c>
      <c r="N220" s="55">
        <f t="shared" si="8"/>
        <v>1</v>
      </c>
      <c r="O220" s="55">
        <f t="shared" si="8"/>
        <v>1</v>
      </c>
      <c r="P220" s="55">
        <f t="shared" si="8"/>
        <v>0.994</v>
      </c>
    </row>
    <row r="221">
      <c r="A221" s="41"/>
      <c r="C221" s="7"/>
      <c r="D221" s="7"/>
      <c r="E221" s="18"/>
      <c r="F221" s="38"/>
      <c r="G221" s="38"/>
      <c r="H221" s="38"/>
      <c r="I221" s="38"/>
      <c r="J221" s="38"/>
      <c r="K221" s="38"/>
      <c r="L221" s="38"/>
      <c r="M221" s="38"/>
      <c r="N221" s="38"/>
      <c r="O221" s="38"/>
      <c r="P221" s="38"/>
    </row>
    <row r="222">
      <c r="A222" s="41"/>
      <c r="C222" s="7"/>
      <c r="D222" s="7"/>
      <c r="E222" s="18"/>
      <c r="F222" s="38"/>
      <c r="G222" s="38"/>
      <c r="H222" s="38"/>
      <c r="I222" s="38"/>
      <c r="J222" s="38"/>
      <c r="K222" s="38"/>
      <c r="L222" s="38"/>
      <c r="M222" s="38"/>
      <c r="N222" s="38"/>
      <c r="O222" s="38"/>
      <c r="P222" s="38"/>
    </row>
    <row r="223">
      <c r="A223" s="41"/>
      <c r="C223" s="7"/>
      <c r="D223" s="7"/>
      <c r="E223" s="18"/>
      <c r="F223" s="38"/>
      <c r="G223" s="38"/>
      <c r="H223" s="38"/>
      <c r="I223" s="38"/>
      <c r="J223" s="38"/>
      <c r="K223" s="38"/>
      <c r="L223" s="38"/>
      <c r="M223" s="38"/>
      <c r="N223" s="38"/>
      <c r="O223" s="38"/>
      <c r="P223" s="38"/>
    </row>
    <row r="224">
      <c r="A224" s="41"/>
      <c r="C224" s="7"/>
      <c r="D224" s="7"/>
      <c r="E224" s="18"/>
      <c r="F224" s="38"/>
      <c r="G224" s="38"/>
      <c r="H224" s="38"/>
      <c r="I224" s="38"/>
      <c r="J224" s="38"/>
      <c r="K224" s="38"/>
      <c r="L224" s="38"/>
      <c r="M224" s="38"/>
      <c r="N224" s="38"/>
      <c r="O224" s="38"/>
      <c r="P224" s="38"/>
    </row>
    <row r="225">
      <c r="A225" s="41"/>
      <c r="C225" s="7"/>
      <c r="D225" s="7"/>
      <c r="E225" s="18"/>
      <c r="F225" s="38"/>
      <c r="G225" s="38"/>
      <c r="H225" s="38"/>
      <c r="I225" s="38"/>
      <c r="J225" s="38"/>
      <c r="K225" s="38"/>
      <c r="L225" s="38"/>
      <c r="M225" s="38"/>
      <c r="N225" s="38"/>
      <c r="O225" s="38"/>
      <c r="P225" s="38"/>
    </row>
    <row r="226">
      <c r="A226" s="41"/>
      <c r="C226" s="7"/>
      <c r="D226" s="7"/>
      <c r="E226" s="18"/>
      <c r="F226" s="38"/>
      <c r="G226" s="38"/>
      <c r="H226" s="38"/>
      <c r="I226" s="38"/>
      <c r="J226" s="38"/>
      <c r="K226" s="38"/>
      <c r="L226" s="38"/>
      <c r="M226" s="38"/>
      <c r="N226" s="38"/>
      <c r="O226" s="38"/>
      <c r="P226" s="38"/>
    </row>
    <row r="227">
      <c r="A227" s="41"/>
      <c r="C227" s="7"/>
      <c r="D227" s="7"/>
      <c r="E227" s="18"/>
      <c r="F227" s="38"/>
      <c r="G227" s="38"/>
      <c r="H227" s="38"/>
      <c r="I227" s="38"/>
      <c r="J227" s="38"/>
      <c r="K227" s="38"/>
      <c r="L227" s="38"/>
      <c r="M227" s="38"/>
      <c r="N227" s="38"/>
      <c r="O227" s="38"/>
      <c r="P227" s="38"/>
    </row>
    <row r="228">
      <c r="A228" s="41"/>
      <c r="C228" s="7"/>
      <c r="D228" s="7"/>
      <c r="E228" s="18"/>
      <c r="F228" s="38"/>
      <c r="G228" s="38"/>
      <c r="H228" s="38"/>
      <c r="I228" s="38"/>
      <c r="J228" s="38"/>
      <c r="K228" s="38"/>
      <c r="L228" s="38"/>
      <c r="M228" s="38"/>
      <c r="N228" s="38"/>
      <c r="O228" s="38"/>
      <c r="P228" s="38"/>
    </row>
    <row r="229">
      <c r="A229" s="41"/>
      <c r="C229" s="7"/>
      <c r="D229" s="7"/>
      <c r="E229" s="18"/>
      <c r="F229" s="38"/>
      <c r="G229" s="38"/>
      <c r="H229" s="38"/>
      <c r="I229" s="38"/>
      <c r="J229" s="38"/>
      <c r="K229" s="38"/>
      <c r="L229" s="38"/>
      <c r="M229" s="38"/>
      <c r="N229" s="38"/>
      <c r="O229" s="38"/>
      <c r="P229" s="38"/>
    </row>
    <row r="230">
      <c r="A230" s="41"/>
      <c r="C230" s="7"/>
      <c r="D230" s="7"/>
      <c r="E230" s="18"/>
      <c r="F230" s="38"/>
      <c r="G230" s="38"/>
      <c r="H230" s="38"/>
      <c r="I230" s="38"/>
      <c r="J230" s="38"/>
      <c r="K230" s="38"/>
      <c r="L230" s="38"/>
      <c r="M230" s="38"/>
      <c r="N230" s="38"/>
      <c r="O230" s="38"/>
      <c r="P230" s="38"/>
    </row>
    <row r="231">
      <c r="A231" s="41"/>
      <c r="C231" s="7"/>
      <c r="D231" s="7"/>
      <c r="E231" s="18"/>
      <c r="F231" s="38"/>
      <c r="G231" s="38"/>
      <c r="H231" s="38"/>
      <c r="I231" s="38"/>
      <c r="J231" s="38"/>
      <c r="K231" s="38"/>
      <c r="L231" s="38"/>
      <c r="M231" s="38"/>
      <c r="N231" s="38"/>
      <c r="O231" s="38"/>
      <c r="P231" s="38"/>
    </row>
    <row r="232">
      <c r="A232" s="41"/>
      <c r="C232" s="7"/>
      <c r="D232" s="7"/>
      <c r="E232" s="18"/>
      <c r="F232" s="38"/>
      <c r="G232" s="38"/>
      <c r="H232" s="38"/>
      <c r="I232" s="38"/>
      <c r="J232" s="38"/>
      <c r="K232" s="38"/>
      <c r="L232" s="38"/>
      <c r="M232" s="38"/>
      <c r="N232" s="38"/>
      <c r="O232" s="38"/>
      <c r="P232" s="38"/>
    </row>
    <row r="233">
      <c r="A233" s="41"/>
      <c r="C233" s="7"/>
      <c r="D233" s="7"/>
      <c r="E233" s="18"/>
      <c r="F233" s="38"/>
      <c r="G233" s="38"/>
      <c r="H233" s="38"/>
      <c r="I233" s="38"/>
      <c r="J233" s="38"/>
      <c r="K233" s="38"/>
      <c r="L233" s="38"/>
      <c r="M233" s="38"/>
      <c r="N233" s="38"/>
      <c r="O233" s="38"/>
      <c r="P233" s="38"/>
    </row>
    <row r="234">
      <c r="A234" s="41"/>
      <c r="C234" s="7"/>
      <c r="D234" s="7"/>
      <c r="E234" s="18"/>
      <c r="F234" s="38"/>
      <c r="G234" s="38"/>
      <c r="H234" s="38"/>
      <c r="I234" s="38"/>
      <c r="J234" s="38"/>
      <c r="K234" s="38"/>
      <c r="L234" s="38"/>
      <c r="M234" s="38"/>
      <c r="N234" s="38"/>
      <c r="O234" s="38"/>
      <c r="P234" s="38"/>
    </row>
    <row r="235">
      <c r="A235" s="41"/>
      <c r="C235" s="7"/>
      <c r="D235" s="7"/>
      <c r="E235" s="18"/>
      <c r="F235" s="38"/>
      <c r="G235" s="38"/>
      <c r="H235" s="38"/>
      <c r="I235" s="38"/>
      <c r="J235" s="38"/>
      <c r="K235" s="38"/>
      <c r="L235" s="38"/>
      <c r="M235" s="38"/>
      <c r="N235" s="38"/>
      <c r="O235" s="38"/>
      <c r="P235" s="38"/>
    </row>
    <row r="236">
      <c r="A236" s="41"/>
      <c r="C236" s="7"/>
      <c r="D236" s="7"/>
      <c r="E236" s="18"/>
      <c r="F236" s="38"/>
      <c r="G236" s="38"/>
      <c r="H236" s="38"/>
      <c r="I236" s="38"/>
      <c r="J236" s="38"/>
      <c r="K236" s="38"/>
      <c r="L236" s="38"/>
      <c r="M236" s="38"/>
      <c r="N236" s="38"/>
      <c r="O236" s="38"/>
      <c r="P236" s="38"/>
    </row>
    <row r="237">
      <c r="A237" s="41"/>
      <c r="C237" s="7"/>
      <c r="D237" s="7"/>
      <c r="E237" s="18"/>
      <c r="F237" s="38"/>
      <c r="G237" s="38"/>
      <c r="H237" s="38"/>
      <c r="I237" s="38"/>
      <c r="J237" s="38"/>
      <c r="K237" s="38"/>
      <c r="L237" s="38"/>
      <c r="M237" s="38"/>
      <c r="N237" s="38"/>
      <c r="O237" s="38"/>
      <c r="P237" s="38"/>
    </row>
    <row r="238">
      <c r="A238" s="41"/>
      <c r="C238" s="7"/>
      <c r="D238" s="7"/>
      <c r="E238" s="18"/>
      <c r="F238" s="38"/>
      <c r="G238" s="38"/>
      <c r="H238" s="38"/>
      <c r="I238" s="38"/>
      <c r="J238" s="38"/>
      <c r="K238" s="38"/>
      <c r="L238" s="38"/>
      <c r="M238" s="38"/>
      <c r="N238" s="38"/>
      <c r="O238" s="38"/>
      <c r="P238" s="38"/>
    </row>
    <row r="239">
      <c r="A239" s="41"/>
      <c r="C239" s="7"/>
      <c r="D239" s="7"/>
      <c r="E239" s="18"/>
      <c r="F239" s="38"/>
      <c r="G239" s="38"/>
      <c r="H239" s="38"/>
      <c r="I239" s="38"/>
      <c r="J239" s="38"/>
      <c r="K239" s="38"/>
      <c r="L239" s="38"/>
      <c r="M239" s="38"/>
      <c r="N239" s="38"/>
      <c r="O239" s="38"/>
      <c r="P239" s="38"/>
    </row>
    <row r="240">
      <c r="A240" s="41"/>
      <c r="C240" s="7"/>
      <c r="D240" s="7"/>
      <c r="E240" s="18"/>
      <c r="F240" s="38"/>
      <c r="G240" s="38"/>
      <c r="H240" s="38"/>
      <c r="I240" s="38"/>
      <c r="J240" s="38"/>
      <c r="K240" s="38"/>
      <c r="L240" s="38"/>
      <c r="M240" s="38"/>
      <c r="N240" s="38"/>
      <c r="O240" s="38"/>
      <c r="P240" s="38"/>
    </row>
    <row r="241">
      <c r="A241" s="41"/>
      <c r="C241" s="7"/>
      <c r="D241" s="7"/>
      <c r="E241" s="18"/>
      <c r="F241" s="38"/>
      <c r="G241" s="38"/>
      <c r="H241" s="38"/>
      <c r="I241" s="38"/>
      <c r="J241" s="38"/>
      <c r="K241" s="38"/>
      <c r="L241" s="38"/>
      <c r="M241" s="38"/>
      <c r="N241" s="38"/>
      <c r="O241" s="38"/>
      <c r="P241" s="38"/>
    </row>
    <row r="242">
      <c r="A242" s="41"/>
      <c r="C242" s="7"/>
      <c r="D242" s="7"/>
      <c r="E242" s="18"/>
      <c r="F242" s="38"/>
      <c r="G242" s="38"/>
      <c r="H242" s="38"/>
      <c r="I242" s="38"/>
      <c r="J242" s="38"/>
      <c r="K242" s="38"/>
      <c r="L242" s="38"/>
      <c r="M242" s="38"/>
      <c r="N242" s="38"/>
      <c r="O242" s="38"/>
      <c r="P242" s="38"/>
    </row>
    <row r="243">
      <c r="A243" s="41"/>
      <c r="C243" s="7"/>
      <c r="D243" s="7"/>
      <c r="E243" s="18"/>
      <c r="F243" s="38"/>
      <c r="G243" s="38"/>
      <c r="H243" s="38"/>
      <c r="I243" s="38"/>
      <c r="J243" s="38"/>
      <c r="K243" s="38"/>
      <c r="L243" s="38"/>
      <c r="M243" s="38"/>
      <c r="N243" s="38"/>
      <c r="O243" s="38"/>
      <c r="P243" s="38"/>
    </row>
    <row r="244">
      <c r="A244" s="41"/>
      <c r="C244" s="7"/>
      <c r="D244" s="7"/>
      <c r="E244" s="18"/>
      <c r="F244" s="38"/>
      <c r="G244" s="38"/>
      <c r="H244" s="38"/>
      <c r="I244" s="38"/>
      <c r="J244" s="38"/>
      <c r="K244" s="38"/>
      <c r="L244" s="38"/>
      <c r="M244" s="38"/>
      <c r="N244" s="38"/>
      <c r="O244" s="38"/>
      <c r="P244" s="38"/>
    </row>
    <row r="245">
      <c r="A245" s="41"/>
      <c r="C245" s="7"/>
      <c r="D245" s="7"/>
      <c r="E245" s="18"/>
      <c r="F245" s="38"/>
      <c r="G245" s="38"/>
      <c r="H245" s="38"/>
      <c r="I245" s="38"/>
      <c r="J245" s="38"/>
      <c r="K245" s="38"/>
      <c r="L245" s="38"/>
      <c r="M245" s="38"/>
      <c r="N245" s="38"/>
      <c r="O245" s="38"/>
      <c r="P245" s="38"/>
    </row>
    <row r="246">
      <c r="A246" s="41"/>
      <c r="C246" s="7"/>
      <c r="D246" s="7"/>
      <c r="E246" s="18"/>
      <c r="F246" s="38"/>
      <c r="G246" s="38"/>
      <c r="H246" s="38"/>
      <c r="I246" s="38"/>
      <c r="J246" s="38"/>
      <c r="K246" s="38"/>
      <c r="L246" s="38"/>
      <c r="M246" s="38"/>
      <c r="N246" s="38"/>
      <c r="O246" s="38"/>
      <c r="P246" s="38"/>
    </row>
    <row r="247">
      <c r="A247" s="41"/>
      <c r="C247" s="7"/>
      <c r="D247" s="7"/>
      <c r="E247" s="18"/>
      <c r="F247" s="38"/>
      <c r="G247" s="38"/>
      <c r="H247" s="38"/>
      <c r="I247" s="38"/>
      <c r="J247" s="38"/>
      <c r="K247" s="38"/>
      <c r="L247" s="38"/>
      <c r="M247" s="38"/>
      <c r="N247" s="38"/>
      <c r="O247" s="38"/>
      <c r="P247" s="38"/>
    </row>
    <row r="248">
      <c r="A248" s="41"/>
      <c r="C248" s="7"/>
      <c r="D248" s="7"/>
      <c r="E248" s="18"/>
      <c r="F248" s="38"/>
      <c r="G248" s="38"/>
      <c r="H248" s="38"/>
      <c r="I248" s="38"/>
      <c r="J248" s="38"/>
      <c r="K248" s="38"/>
      <c r="L248" s="38"/>
      <c r="M248" s="38"/>
      <c r="N248" s="38"/>
      <c r="O248" s="38"/>
      <c r="P248" s="38"/>
    </row>
    <row r="249">
      <c r="A249" s="41"/>
      <c r="C249" s="7"/>
      <c r="D249" s="7"/>
      <c r="E249" s="18"/>
      <c r="F249" s="38"/>
      <c r="G249" s="38"/>
      <c r="H249" s="38"/>
      <c r="I249" s="38"/>
      <c r="J249" s="38"/>
      <c r="K249" s="38"/>
      <c r="L249" s="38"/>
      <c r="M249" s="38"/>
      <c r="N249" s="38"/>
      <c r="O249" s="38"/>
      <c r="P249" s="38"/>
    </row>
    <row r="250">
      <c r="A250" s="19"/>
      <c r="B250" s="19"/>
      <c r="C250" s="42"/>
      <c r="D250" s="42"/>
      <c r="E250" s="19"/>
      <c r="F250" s="39"/>
      <c r="G250" s="39"/>
      <c r="H250" s="39"/>
      <c r="I250" s="39"/>
      <c r="J250" s="39"/>
      <c r="K250" s="19"/>
      <c r="L250" s="19"/>
      <c r="M250" s="38"/>
      <c r="N250" s="38"/>
      <c r="O250" s="38"/>
      <c r="P250" s="38"/>
    </row>
    <row r="251">
      <c r="A251" s="41"/>
      <c r="C251" s="7"/>
      <c r="D251" s="7"/>
      <c r="E251" s="18"/>
      <c r="F251" s="38"/>
      <c r="G251" s="38"/>
      <c r="H251" s="38"/>
      <c r="I251" s="38"/>
      <c r="J251" s="38"/>
      <c r="K251" s="38"/>
      <c r="L251" s="38"/>
      <c r="M251" s="38"/>
      <c r="N251" s="38"/>
      <c r="O251" s="38"/>
      <c r="P251" s="38"/>
    </row>
    <row r="252">
      <c r="A252" s="41"/>
      <c r="C252" s="7"/>
      <c r="D252" s="7"/>
      <c r="E252" s="18"/>
      <c r="F252" s="38"/>
      <c r="G252" s="38"/>
      <c r="H252" s="38"/>
      <c r="I252" s="38"/>
      <c r="J252" s="38"/>
      <c r="K252" s="38"/>
      <c r="L252" s="38"/>
      <c r="M252" s="38"/>
      <c r="N252" s="38"/>
      <c r="O252" s="38"/>
      <c r="P252" s="38"/>
    </row>
    <row r="253">
      <c r="A253" s="41"/>
      <c r="C253" s="7"/>
      <c r="D253" s="7"/>
      <c r="E253" s="18"/>
      <c r="F253" s="38"/>
      <c r="G253" s="38"/>
      <c r="H253" s="38"/>
      <c r="I253" s="38"/>
      <c r="J253" s="38"/>
      <c r="K253" s="38"/>
      <c r="L253" s="38"/>
      <c r="M253" s="38"/>
      <c r="N253" s="38"/>
      <c r="O253" s="38"/>
      <c r="P253" s="38"/>
    </row>
    <row r="254">
      <c r="A254" s="41"/>
      <c r="C254" s="7"/>
      <c r="D254" s="7"/>
      <c r="E254" s="18"/>
      <c r="F254" s="38"/>
      <c r="G254" s="38"/>
      <c r="H254" s="38"/>
      <c r="I254" s="38"/>
      <c r="J254" s="38"/>
      <c r="K254" s="38"/>
      <c r="L254" s="38"/>
      <c r="M254" s="38"/>
      <c r="N254" s="38"/>
      <c r="O254" s="38"/>
      <c r="P254" s="38"/>
    </row>
    <row r="255">
      <c r="A255" s="41"/>
      <c r="C255" s="7"/>
      <c r="D255" s="7"/>
      <c r="E255" s="18"/>
      <c r="F255" s="38"/>
      <c r="G255" s="38"/>
      <c r="H255" s="38"/>
      <c r="I255" s="38"/>
      <c r="J255" s="38"/>
      <c r="K255" s="38"/>
      <c r="L255" s="38"/>
      <c r="M255" s="38"/>
      <c r="N255" s="38"/>
      <c r="O255" s="38"/>
      <c r="P255" s="38"/>
    </row>
    <row r="256">
      <c r="A256" s="41"/>
      <c r="C256" s="7"/>
      <c r="D256" s="7"/>
      <c r="E256" s="18"/>
      <c r="F256" s="38"/>
      <c r="G256" s="38"/>
      <c r="H256" s="38"/>
      <c r="I256" s="38"/>
      <c r="J256" s="38"/>
      <c r="K256" s="38"/>
      <c r="L256" s="38"/>
      <c r="M256" s="38"/>
      <c r="N256" s="38"/>
      <c r="O256" s="38"/>
      <c r="P256" s="38"/>
    </row>
    <row r="257">
      <c r="A257" s="41"/>
      <c r="C257" s="7"/>
      <c r="D257" s="7"/>
      <c r="E257" s="18"/>
      <c r="F257" s="38"/>
      <c r="G257" s="38"/>
      <c r="H257" s="38"/>
      <c r="I257" s="38"/>
      <c r="J257" s="38"/>
      <c r="K257" s="38"/>
      <c r="L257" s="38"/>
      <c r="M257" s="38"/>
      <c r="N257" s="38"/>
      <c r="O257" s="38"/>
      <c r="P257" s="38"/>
    </row>
    <row r="258">
      <c r="A258" s="41"/>
      <c r="C258" s="7"/>
      <c r="D258" s="7"/>
      <c r="E258" s="18"/>
      <c r="F258" s="38"/>
      <c r="G258" s="38"/>
      <c r="H258" s="38"/>
      <c r="I258" s="38"/>
      <c r="J258" s="38"/>
      <c r="K258" s="38"/>
      <c r="L258" s="38"/>
      <c r="M258" s="38"/>
      <c r="N258" s="38"/>
      <c r="O258" s="38"/>
      <c r="P258" s="38"/>
    </row>
    <row r="259">
      <c r="A259" s="41"/>
      <c r="C259" s="7"/>
      <c r="D259" s="7"/>
      <c r="E259" s="18"/>
      <c r="F259" s="38"/>
      <c r="G259" s="38"/>
      <c r="H259" s="38"/>
      <c r="I259" s="38"/>
      <c r="J259" s="38"/>
      <c r="K259" s="38"/>
      <c r="L259" s="38"/>
      <c r="M259" s="38"/>
      <c r="N259" s="38"/>
      <c r="O259" s="38"/>
      <c r="P259" s="38"/>
    </row>
    <row r="260">
      <c r="A260" s="41"/>
      <c r="C260" s="7"/>
      <c r="D260" s="7"/>
      <c r="E260" s="18"/>
      <c r="F260" s="38"/>
      <c r="G260" s="38"/>
      <c r="H260" s="38"/>
      <c r="I260" s="38"/>
      <c r="J260" s="38"/>
      <c r="K260" s="38"/>
      <c r="L260" s="38"/>
      <c r="M260" s="38"/>
      <c r="N260" s="38"/>
      <c r="O260" s="38"/>
      <c r="P260" s="38"/>
    </row>
    <row r="261">
      <c r="A261" s="41"/>
      <c r="C261" s="7"/>
      <c r="D261" s="7"/>
      <c r="E261" s="18"/>
      <c r="F261" s="38"/>
      <c r="G261" s="38"/>
      <c r="H261" s="38"/>
      <c r="I261" s="38"/>
      <c r="J261" s="38"/>
      <c r="K261" s="38"/>
      <c r="L261" s="38"/>
      <c r="M261" s="38"/>
      <c r="N261" s="38"/>
      <c r="O261" s="38"/>
      <c r="P261" s="38"/>
    </row>
    <row r="262">
      <c r="A262" s="41"/>
      <c r="C262" s="7"/>
      <c r="D262" s="7"/>
      <c r="E262" s="18"/>
      <c r="F262" s="38"/>
      <c r="G262" s="38"/>
      <c r="H262" s="38"/>
      <c r="I262" s="38"/>
      <c r="J262" s="38"/>
      <c r="K262" s="38"/>
      <c r="L262" s="38"/>
      <c r="M262" s="38"/>
      <c r="N262" s="38"/>
      <c r="O262" s="38"/>
      <c r="P262" s="38"/>
    </row>
    <row r="263">
      <c r="A263" s="41"/>
      <c r="C263" s="7"/>
      <c r="D263" s="7"/>
      <c r="E263" s="18"/>
      <c r="F263" s="38"/>
      <c r="G263" s="38"/>
      <c r="H263" s="38"/>
      <c r="I263" s="38"/>
      <c r="J263" s="38"/>
      <c r="K263" s="38"/>
      <c r="L263" s="38"/>
      <c r="M263" s="38"/>
      <c r="N263" s="38"/>
      <c r="O263" s="38"/>
      <c r="P263" s="38"/>
    </row>
    <row r="264">
      <c r="A264" s="41"/>
      <c r="C264" s="7"/>
      <c r="D264" s="7"/>
      <c r="E264" s="18"/>
      <c r="F264" s="38"/>
      <c r="G264" s="38"/>
      <c r="H264" s="38"/>
      <c r="I264" s="38"/>
      <c r="J264" s="38"/>
      <c r="K264" s="38"/>
      <c r="L264" s="38"/>
      <c r="M264" s="38"/>
      <c r="N264" s="38"/>
      <c r="O264" s="38"/>
      <c r="P264" s="38"/>
    </row>
    <row r="265">
      <c r="A265" s="41"/>
      <c r="C265" s="7"/>
      <c r="D265" s="7"/>
      <c r="E265" s="18"/>
      <c r="F265" s="38"/>
      <c r="G265" s="38"/>
      <c r="H265" s="38"/>
      <c r="I265" s="38"/>
      <c r="J265" s="38"/>
      <c r="K265" s="38"/>
      <c r="L265" s="38"/>
      <c r="M265" s="38"/>
      <c r="N265" s="38"/>
      <c r="O265" s="38"/>
      <c r="P265" s="38"/>
    </row>
    <row r="266">
      <c r="A266" s="41"/>
      <c r="C266" s="7"/>
      <c r="D266" s="7"/>
      <c r="E266" s="18"/>
      <c r="F266" s="38"/>
      <c r="G266" s="38"/>
      <c r="H266" s="38"/>
      <c r="I266" s="38"/>
      <c r="J266" s="38"/>
      <c r="K266" s="38"/>
      <c r="L266" s="38"/>
      <c r="M266" s="38"/>
      <c r="N266" s="38"/>
      <c r="O266" s="38"/>
      <c r="P266" s="38"/>
    </row>
    <row r="267">
      <c r="A267" s="41"/>
      <c r="C267" s="7"/>
      <c r="D267" s="7"/>
      <c r="E267" s="18"/>
      <c r="F267" s="38"/>
      <c r="G267" s="38"/>
      <c r="H267" s="38"/>
      <c r="I267" s="38"/>
      <c r="J267" s="38"/>
      <c r="K267" s="38"/>
      <c r="L267" s="38"/>
      <c r="M267" s="38"/>
      <c r="N267" s="38"/>
      <c r="O267" s="38"/>
      <c r="P267" s="38"/>
    </row>
    <row r="268">
      <c r="A268" s="41"/>
      <c r="C268" s="7"/>
      <c r="D268" s="7"/>
      <c r="E268" s="18"/>
      <c r="F268" s="38"/>
      <c r="G268" s="38"/>
      <c r="H268" s="38"/>
      <c r="I268" s="38"/>
      <c r="J268" s="38"/>
      <c r="K268" s="38"/>
      <c r="L268" s="38"/>
      <c r="M268" s="38"/>
      <c r="N268" s="38"/>
      <c r="O268" s="38"/>
      <c r="P268" s="38"/>
    </row>
    <row r="269">
      <c r="A269" s="41"/>
      <c r="C269" s="7"/>
      <c r="D269" s="7"/>
      <c r="E269" s="18"/>
      <c r="F269" s="38"/>
      <c r="G269" s="38"/>
      <c r="H269" s="38"/>
      <c r="I269" s="38"/>
      <c r="J269" s="38"/>
      <c r="K269" s="38"/>
      <c r="L269" s="38"/>
      <c r="M269" s="38"/>
      <c r="N269" s="38"/>
      <c r="O269" s="38"/>
      <c r="P269" s="38"/>
    </row>
    <row r="270">
      <c r="A270" s="41"/>
      <c r="C270" s="7"/>
      <c r="D270" s="7"/>
      <c r="E270" s="18"/>
      <c r="F270" s="38"/>
      <c r="G270" s="38"/>
      <c r="H270" s="38"/>
      <c r="I270" s="38"/>
      <c r="J270" s="38"/>
      <c r="K270" s="38"/>
      <c r="L270" s="38"/>
      <c r="M270" s="38"/>
      <c r="N270" s="38"/>
      <c r="O270" s="38"/>
      <c r="P270" s="38"/>
    </row>
    <row r="271">
      <c r="A271" s="41"/>
      <c r="C271" s="7"/>
      <c r="D271" s="7"/>
      <c r="E271" s="18"/>
      <c r="F271" s="38"/>
      <c r="G271" s="38"/>
      <c r="H271" s="38"/>
      <c r="I271" s="38"/>
      <c r="J271" s="38"/>
      <c r="K271" s="38"/>
      <c r="L271" s="38"/>
      <c r="M271" s="38"/>
      <c r="N271" s="38"/>
      <c r="O271" s="38"/>
      <c r="P271" s="38"/>
    </row>
    <row r="272">
      <c r="A272" s="41"/>
      <c r="C272" s="7"/>
      <c r="D272" s="7"/>
      <c r="E272" s="18"/>
      <c r="F272" s="38"/>
      <c r="G272" s="38"/>
      <c r="H272" s="38"/>
      <c r="I272" s="38"/>
      <c r="J272" s="38"/>
      <c r="K272" s="38"/>
      <c r="L272" s="38"/>
      <c r="M272" s="38"/>
      <c r="N272" s="38"/>
      <c r="O272" s="38"/>
      <c r="P272" s="38"/>
    </row>
    <row r="273">
      <c r="A273" s="41"/>
      <c r="C273" s="7"/>
      <c r="D273" s="7"/>
      <c r="E273" s="18"/>
      <c r="F273" s="38"/>
      <c r="G273" s="38"/>
      <c r="H273" s="38"/>
      <c r="I273" s="38"/>
      <c r="J273" s="38"/>
      <c r="K273" s="38"/>
      <c r="L273" s="38"/>
      <c r="M273" s="38"/>
      <c r="N273" s="38"/>
      <c r="O273" s="38"/>
      <c r="P273" s="38"/>
    </row>
    <row r="274">
      <c r="A274" s="41"/>
      <c r="C274" s="7"/>
      <c r="D274" s="7"/>
      <c r="E274" s="18"/>
      <c r="F274" s="38"/>
      <c r="G274" s="38"/>
      <c r="H274" s="38"/>
      <c r="I274" s="38"/>
      <c r="J274" s="38"/>
      <c r="K274" s="38"/>
      <c r="L274" s="38"/>
      <c r="M274" s="38"/>
      <c r="N274" s="38"/>
      <c r="O274" s="38"/>
      <c r="P274" s="38"/>
    </row>
    <row r="275">
      <c r="A275" s="41"/>
      <c r="C275" s="7"/>
      <c r="D275" s="7"/>
      <c r="E275" s="18"/>
      <c r="F275" s="38"/>
      <c r="G275" s="38"/>
      <c r="H275" s="38"/>
      <c r="I275" s="38"/>
      <c r="J275" s="38"/>
      <c r="K275" s="38"/>
      <c r="L275" s="38"/>
      <c r="M275" s="38"/>
      <c r="N275" s="38"/>
      <c r="O275" s="38"/>
      <c r="P275" s="38"/>
    </row>
    <row r="276">
      <c r="A276" s="41"/>
      <c r="C276" s="7"/>
      <c r="D276" s="7"/>
      <c r="E276" s="18"/>
      <c r="F276" s="38"/>
      <c r="G276" s="38"/>
      <c r="H276" s="38"/>
      <c r="I276" s="38"/>
      <c r="J276" s="38"/>
      <c r="K276" s="38"/>
      <c r="L276" s="38"/>
      <c r="M276" s="38"/>
      <c r="N276" s="38"/>
      <c r="O276" s="38"/>
      <c r="P276" s="38"/>
    </row>
    <row r="277">
      <c r="A277" s="41"/>
      <c r="C277" s="7"/>
      <c r="D277" s="7"/>
      <c r="E277" s="18"/>
      <c r="F277" s="38"/>
      <c r="G277" s="38"/>
      <c r="H277" s="38"/>
      <c r="I277" s="38"/>
      <c r="J277" s="38"/>
      <c r="K277" s="38"/>
      <c r="L277" s="38"/>
      <c r="M277" s="38"/>
      <c r="N277" s="38"/>
      <c r="O277" s="38"/>
      <c r="P277" s="38"/>
    </row>
    <row r="278">
      <c r="A278" s="41"/>
      <c r="C278" s="7"/>
      <c r="D278" s="7"/>
      <c r="E278" s="18"/>
      <c r="F278" s="38"/>
      <c r="G278" s="38"/>
      <c r="H278" s="38"/>
      <c r="I278" s="38"/>
      <c r="J278" s="38"/>
      <c r="K278" s="38"/>
      <c r="L278" s="38"/>
      <c r="M278" s="38"/>
      <c r="N278" s="38"/>
      <c r="O278" s="38"/>
      <c r="P278" s="38"/>
    </row>
    <row r="279">
      <c r="A279" s="41"/>
      <c r="C279" s="7"/>
      <c r="D279" s="7"/>
      <c r="E279" s="18"/>
      <c r="F279" s="38"/>
      <c r="G279" s="38"/>
      <c r="H279" s="38"/>
      <c r="I279" s="38"/>
      <c r="J279" s="38"/>
      <c r="K279" s="38"/>
      <c r="L279" s="38"/>
      <c r="M279" s="38"/>
      <c r="N279" s="38"/>
      <c r="O279" s="38"/>
      <c r="P279" s="38"/>
    </row>
    <row r="280">
      <c r="A280" s="41"/>
      <c r="C280" s="7"/>
      <c r="D280" s="7"/>
      <c r="E280" s="18"/>
      <c r="F280" s="38"/>
      <c r="G280" s="38"/>
      <c r="H280" s="38"/>
      <c r="I280" s="38"/>
      <c r="J280" s="38"/>
      <c r="K280" s="38"/>
      <c r="L280" s="38"/>
      <c r="M280" s="38"/>
      <c r="N280" s="38"/>
      <c r="O280" s="38"/>
      <c r="P280" s="38"/>
    </row>
    <row r="281">
      <c r="A281" s="41"/>
      <c r="C281" s="7"/>
      <c r="D281" s="7"/>
      <c r="E281" s="18"/>
      <c r="F281" s="38"/>
      <c r="G281" s="38"/>
      <c r="H281" s="38"/>
      <c r="I281" s="38"/>
      <c r="J281" s="38"/>
      <c r="K281" s="38"/>
      <c r="L281" s="38"/>
      <c r="M281" s="38"/>
      <c r="N281" s="38"/>
      <c r="O281" s="38"/>
      <c r="P281" s="38"/>
    </row>
    <row r="282">
      <c r="A282" s="41"/>
      <c r="C282" s="7"/>
      <c r="D282" s="7"/>
      <c r="E282" s="18"/>
      <c r="F282" s="38"/>
      <c r="G282" s="38"/>
      <c r="H282" s="38"/>
      <c r="I282" s="38"/>
      <c r="J282" s="38"/>
      <c r="K282" s="38"/>
      <c r="L282" s="38"/>
      <c r="M282" s="38"/>
      <c r="N282" s="38"/>
      <c r="O282" s="38"/>
      <c r="P282" s="38"/>
    </row>
    <row r="283">
      <c r="A283" s="41"/>
      <c r="C283" s="7"/>
      <c r="D283" s="7"/>
      <c r="E283" s="18"/>
      <c r="F283" s="38"/>
      <c r="G283" s="38"/>
      <c r="H283" s="38"/>
      <c r="I283" s="38"/>
      <c r="J283" s="38"/>
      <c r="K283" s="38"/>
      <c r="L283" s="38"/>
      <c r="M283" s="38"/>
      <c r="N283" s="38"/>
      <c r="O283" s="38"/>
      <c r="P283" s="38"/>
    </row>
    <row r="284">
      <c r="A284" s="41"/>
      <c r="C284" s="7"/>
      <c r="D284" s="7"/>
      <c r="E284" s="18"/>
      <c r="F284" s="38"/>
      <c r="G284" s="38"/>
      <c r="H284" s="38"/>
      <c r="I284" s="38"/>
      <c r="J284" s="38"/>
      <c r="K284" s="38"/>
      <c r="L284" s="38"/>
      <c r="M284" s="38"/>
      <c r="N284" s="38"/>
      <c r="O284" s="38"/>
      <c r="P284" s="38"/>
    </row>
    <row r="285">
      <c r="A285" s="41"/>
      <c r="C285" s="7"/>
      <c r="D285" s="7"/>
      <c r="E285" s="18"/>
      <c r="F285" s="38"/>
      <c r="G285" s="38"/>
      <c r="H285" s="38"/>
      <c r="I285" s="38"/>
      <c r="J285" s="38"/>
      <c r="K285" s="38"/>
      <c r="L285" s="38"/>
      <c r="M285" s="38"/>
      <c r="N285" s="38"/>
      <c r="O285" s="38"/>
      <c r="P285" s="38"/>
    </row>
    <row r="286">
      <c r="A286" s="41"/>
      <c r="C286" s="7"/>
      <c r="D286" s="7"/>
      <c r="E286" s="18"/>
      <c r="F286" s="38"/>
      <c r="G286" s="38"/>
      <c r="H286" s="38"/>
      <c r="I286" s="38"/>
      <c r="J286" s="38"/>
      <c r="K286" s="38"/>
      <c r="L286" s="38"/>
      <c r="M286" s="38"/>
      <c r="N286" s="38"/>
      <c r="O286" s="38"/>
      <c r="P286" s="38"/>
    </row>
    <row r="287">
      <c r="A287" s="41"/>
      <c r="C287" s="7"/>
      <c r="D287" s="7"/>
      <c r="E287" s="18"/>
      <c r="F287" s="38"/>
      <c r="G287" s="38"/>
      <c r="H287" s="38"/>
      <c r="I287" s="38"/>
      <c r="J287" s="38"/>
      <c r="K287" s="38"/>
      <c r="L287" s="38"/>
      <c r="M287" s="38"/>
      <c r="N287" s="38"/>
      <c r="O287" s="38"/>
      <c r="P287" s="38"/>
    </row>
    <row r="288">
      <c r="A288" s="41"/>
      <c r="C288" s="7"/>
      <c r="D288" s="7"/>
      <c r="E288" s="18"/>
      <c r="F288" s="38"/>
      <c r="G288" s="38"/>
      <c r="H288" s="38"/>
      <c r="I288" s="38"/>
      <c r="J288" s="38"/>
      <c r="K288" s="38"/>
      <c r="L288" s="38"/>
      <c r="M288" s="38"/>
      <c r="N288" s="38"/>
      <c r="O288" s="38"/>
      <c r="P288" s="38"/>
    </row>
    <row r="289">
      <c r="A289" s="41"/>
      <c r="C289" s="7"/>
      <c r="D289" s="7"/>
      <c r="E289" s="18"/>
      <c r="F289" s="38"/>
      <c r="G289" s="38"/>
      <c r="H289" s="38"/>
      <c r="I289" s="38"/>
      <c r="J289" s="38"/>
      <c r="K289" s="38"/>
      <c r="L289" s="38"/>
      <c r="M289" s="38"/>
      <c r="N289" s="38"/>
      <c r="O289" s="38"/>
      <c r="P289" s="38"/>
    </row>
    <row r="290">
      <c r="A290" s="41"/>
      <c r="C290" s="7"/>
      <c r="D290" s="7"/>
      <c r="E290" s="18"/>
      <c r="F290" s="38"/>
      <c r="G290" s="38"/>
      <c r="H290" s="38"/>
      <c r="I290" s="38"/>
      <c r="J290" s="38"/>
      <c r="K290" s="38"/>
      <c r="L290" s="38"/>
      <c r="M290" s="38"/>
      <c r="N290" s="38"/>
      <c r="O290" s="38"/>
      <c r="P290" s="38"/>
    </row>
    <row r="291">
      <c r="A291" s="19"/>
      <c r="B291" s="19"/>
      <c r="C291" s="42"/>
      <c r="D291" s="42"/>
      <c r="E291" s="19"/>
      <c r="F291" s="39"/>
      <c r="G291" s="39"/>
      <c r="H291" s="39"/>
      <c r="I291" s="39"/>
      <c r="J291" s="39"/>
      <c r="K291" s="19"/>
      <c r="L291" s="19"/>
      <c r="M291" s="38"/>
      <c r="N291" s="38"/>
      <c r="O291" s="38"/>
      <c r="P291" s="38"/>
    </row>
    <row r="292">
      <c r="A292" s="41"/>
      <c r="C292" s="7"/>
      <c r="D292" s="7"/>
      <c r="E292" s="18"/>
      <c r="F292" s="38"/>
      <c r="G292" s="38"/>
      <c r="H292" s="38"/>
      <c r="I292" s="38"/>
      <c r="J292" s="38"/>
      <c r="K292" s="38"/>
      <c r="L292" s="38"/>
      <c r="M292" s="38"/>
      <c r="N292" s="38"/>
      <c r="O292" s="38"/>
      <c r="P292" s="38"/>
    </row>
    <row r="293">
      <c r="A293" s="41"/>
      <c r="C293" s="7"/>
      <c r="D293" s="7"/>
      <c r="E293" s="18"/>
      <c r="F293" s="38"/>
      <c r="G293" s="38"/>
      <c r="H293" s="38"/>
      <c r="I293" s="38"/>
      <c r="J293" s="38"/>
      <c r="K293" s="38"/>
      <c r="L293" s="38"/>
      <c r="M293" s="38"/>
      <c r="N293" s="38"/>
      <c r="O293" s="38"/>
      <c r="P293" s="38"/>
    </row>
    <row r="294">
      <c r="A294" s="41"/>
      <c r="C294" s="7"/>
      <c r="D294" s="7"/>
      <c r="E294" s="18"/>
      <c r="F294" s="38"/>
      <c r="G294" s="38"/>
      <c r="H294" s="38"/>
      <c r="I294" s="38"/>
      <c r="J294" s="38"/>
      <c r="K294" s="38"/>
      <c r="L294" s="38"/>
      <c r="M294" s="38"/>
      <c r="N294" s="38"/>
      <c r="O294" s="38"/>
      <c r="P294" s="38"/>
    </row>
    <row r="295">
      <c r="A295" s="41"/>
      <c r="C295" s="7"/>
      <c r="D295" s="7"/>
      <c r="E295" s="18"/>
      <c r="F295" s="38"/>
      <c r="G295" s="38"/>
      <c r="H295" s="38"/>
      <c r="I295" s="38"/>
      <c r="J295" s="38"/>
      <c r="K295" s="38"/>
      <c r="L295" s="38"/>
      <c r="M295" s="38"/>
      <c r="N295" s="38"/>
      <c r="O295" s="38"/>
      <c r="P295" s="38"/>
    </row>
    <row r="296">
      <c r="A296" s="41"/>
      <c r="C296" s="7"/>
      <c r="D296" s="7"/>
      <c r="E296" s="18"/>
      <c r="F296" s="38"/>
      <c r="G296" s="38"/>
      <c r="H296" s="38"/>
      <c r="I296" s="38"/>
      <c r="J296" s="38"/>
      <c r="K296" s="38"/>
      <c r="L296" s="38"/>
      <c r="M296" s="38"/>
      <c r="N296" s="38"/>
      <c r="O296" s="38"/>
      <c r="P296" s="38"/>
    </row>
    <row r="297">
      <c r="A297" s="41"/>
      <c r="C297" s="7"/>
      <c r="D297" s="7"/>
      <c r="E297" s="18"/>
      <c r="F297" s="38"/>
      <c r="G297" s="38"/>
      <c r="H297" s="38"/>
      <c r="I297" s="38"/>
      <c r="J297" s="38"/>
      <c r="K297" s="38"/>
      <c r="L297" s="38"/>
      <c r="M297" s="38"/>
      <c r="N297" s="38"/>
      <c r="O297" s="38"/>
      <c r="P297" s="38"/>
    </row>
    <row r="298">
      <c r="A298" s="41"/>
      <c r="C298" s="7"/>
      <c r="D298" s="7"/>
      <c r="E298" s="18"/>
      <c r="F298" s="38"/>
      <c r="G298" s="38"/>
      <c r="H298" s="38"/>
      <c r="I298" s="38"/>
      <c r="J298" s="38"/>
      <c r="K298" s="38"/>
      <c r="L298" s="38"/>
      <c r="M298" s="38"/>
      <c r="N298" s="38"/>
      <c r="O298" s="38"/>
      <c r="P298" s="38"/>
    </row>
    <row r="299">
      <c r="A299" s="41"/>
      <c r="C299" s="7"/>
      <c r="D299" s="7"/>
      <c r="E299" s="18"/>
      <c r="F299" s="38"/>
      <c r="G299" s="38"/>
      <c r="H299" s="38"/>
      <c r="I299" s="38"/>
      <c r="J299" s="38"/>
      <c r="K299" s="38"/>
      <c r="L299" s="38"/>
      <c r="M299" s="38"/>
      <c r="N299" s="38"/>
      <c r="O299" s="38"/>
      <c r="P299" s="38"/>
    </row>
    <row r="300">
      <c r="A300" s="41"/>
      <c r="C300" s="7"/>
      <c r="D300" s="7"/>
      <c r="E300" s="18"/>
      <c r="F300" s="38"/>
      <c r="G300" s="38"/>
      <c r="H300" s="38"/>
      <c r="I300" s="38"/>
      <c r="J300" s="38"/>
      <c r="K300" s="38"/>
      <c r="L300" s="38"/>
      <c r="M300" s="38"/>
      <c r="N300" s="38"/>
      <c r="O300" s="38"/>
      <c r="P300" s="38"/>
    </row>
    <row r="301">
      <c r="A301" s="41"/>
      <c r="C301" s="7"/>
      <c r="D301" s="7"/>
      <c r="E301" s="18"/>
      <c r="F301" s="38"/>
      <c r="G301" s="38"/>
      <c r="H301" s="38"/>
      <c r="I301" s="38"/>
      <c r="J301" s="38"/>
      <c r="K301" s="38"/>
      <c r="L301" s="38"/>
      <c r="M301" s="38"/>
      <c r="N301" s="38"/>
      <c r="O301" s="38"/>
      <c r="P301" s="38"/>
    </row>
    <row r="302">
      <c r="A302" s="41"/>
      <c r="C302" s="7"/>
      <c r="D302" s="7"/>
      <c r="E302" s="18"/>
      <c r="F302" s="38"/>
      <c r="G302" s="38"/>
      <c r="H302" s="38"/>
      <c r="I302" s="38"/>
      <c r="J302" s="38"/>
      <c r="K302" s="38"/>
      <c r="L302" s="38"/>
      <c r="M302" s="38"/>
      <c r="N302" s="38"/>
      <c r="O302" s="38"/>
      <c r="P302" s="38"/>
    </row>
    <row r="303">
      <c r="A303" s="41"/>
      <c r="C303" s="7"/>
      <c r="D303" s="7"/>
      <c r="E303" s="18"/>
      <c r="F303" s="38"/>
      <c r="G303" s="38"/>
      <c r="H303" s="38"/>
      <c r="I303" s="38"/>
      <c r="J303" s="38"/>
      <c r="K303" s="38"/>
      <c r="L303" s="38"/>
      <c r="M303" s="38"/>
      <c r="N303" s="38"/>
      <c r="O303" s="38"/>
      <c r="P303" s="38"/>
    </row>
    <row r="304">
      <c r="A304" s="41"/>
      <c r="C304" s="7"/>
      <c r="D304" s="7"/>
      <c r="E304" s="18"/>
      <c r="F304" s="38"/>
      <c r="G304" s="38"/>
      <c r="H304" s="38"/>
      <c r="I304" s="38"/>
      <c r="J304" s="38"/>
      <c r="K304" s="38"/>
      <c r="L304" s="38"/>
      <c r="M304" s="38"/>
      <c r="N304" s="38"/>
      <c r="O304" s="38"/>
      <c r="P304" s="38"/>
    </row>
    <row r="305">
      <c r="A305" s="41"/>
      <c r="C305" s="7"/>
      <c r="D305" s="7"/>
      <c r="E305" s="18"/>
      <c r="F305" s="38"/>
      <c r="G305" s="38"/>
      <c r="H305" s="38"/>
      <c r="I305" s="38"/>
      <c r="J305" s="38"/>
      <c r="K305" s="38"/>
      <c r="L305" s="38"/>
      <c r="M305" s="38"/>
      <c r="N305" s="38"/>
      <c r="O305" s="38"/>
      <c r="P305" s="38"/>
    </row>
    <row r="306">
      <c r="A306" s="41"/>
      <c r="C306" s="7"/>
      <c r="D306" s="7"/>
      <c r="E306" s="18"/>
      <c r="F306" s="38"/>
      <c r="G306" s="38"/>
      <c r="H306" s="38"/>
      <c r="I306" s="38"/>
      <c r="J306" s="38"/>
      <c r="K306" s="38"/>
      <c r="L306" s="38"/>
      <c r="M306" s="38"/>
      <c r="N306" s="38"/>
      <c r="O306" s="38"/>
      <c r="P306" s="38"/>
    </row>
    <row r="307">
      <c r="A307" s="41"/>
      <c r="C307" s="7"/>
      <c r="D307" s="7"/>
      <c r="E307" s="18"/>
      <c r="F307" s="38"/>
      <c r="G307" s="38"/>
      <c r="H307" s="38"/>
      <c r="I307" s="38"/>
      <c r="J307" s="38"/>
      <c r="K307" s="38"/>
      <c r="L307" s="38"/>
      <c r="M307" s="38"/>
      <c r="N307" s="38"/>
      <c r="O307" s="38"/>
      <c r="P307" s="38"/>
    </row>
    <row r="308">
      <c r="A308" s="41"/>
      <c r="C308" s="7"/>
      <c r="D308" s="7"/>
      <c r="E308" s="18"/>
      <c r="F308" s="38"/>
      <c r="G308" s="38"/>
      <c r="H308" s="38"/>
      <c r="I308" s="38"/>
      <c r="J308" s="38"/>
      <c r="K308" s="38"/>
      <c r="L308" s="38"/>
      <c r="M308" s="38"/>
      <c r="N308" s="38"/>
      <c r="O308" s="38"/>
      <c r="P308" s="38"/>
    </row>
    <row r="309">
      <c r="A309" s="41"/>
      <c r="C309" s="7"/>
      <c r="D309" s="7"/>
      <c r="E309" s="18"/>
      <c r="F309" s="38"/>
      <c r="G309" s="38"/>
      <c r="H309" s="38"/>
      <c r="I309" s="38"/>
      <c r="J309" s="38"/>
      <c r="K309" s="38"/>
      <c r="L309" s="38"/>
      <c r="M309" s="38"/>
      <c r="N309" s="38"/>
      <c r="O309" s="38"/>
      <c r="P309" s="38"/>
    </row>
    <row r="310">
      <c r="A310" s="41"/>
      <c r="C310" s="7"/>
      <c r="D310" s="7"/>
      <c r="E310" s="18"/>
      <c r="F310" s="38"/>
      <c r="G310" s="38"/>
      <c r="H310" s="38"/>
      <c r="I310" s="38"/>
      <c r="J310" s="38"/>
      <c r="K310" s="38"/>
      <c r="L310" s="38"/>
      <c r="M310" s="38"/>
      <c r="N310" s="38"/>
      <c r="O310" s="38"/>
      <c r="P310" s="38"/>
    </row>
    <row r="311">
      <c r="A311" s="41"/>
      <c r="C311" s="7"/>
      <c r="D311" s="7"/>
      <c r="E311" s="18"/>
      <c r="F311" s="38"/>
      <c r="G311" s="38"/>
      <c r="H311" s="38"/>
      <c r="I311" s="38"/>
      <c r="J311" s="38"/>
      <c r="K311" s="38"/>
      <c r="L311" s="38"/>
      <c r="M311" s="38"/>
      <c r="N311" s="38"/>
      <c r="O311" s="38"/>
      <c r="P311" s="38"/>
    </row>
    <row r="312">
      <c r="A312" s="41"/>
      <c r="C312" s="7"/>
      <c r="D312" s="7"/>
      <c r="E312" s="18"/>
      <c r="F312" s="38"/>
      <c r="G312" s="38"/>
      <c r="H312" s="38"/>
      <c r="I312" s="38"/>
      <c r="J312" s="38"/>
      <c r="K312" s="38"/>
      <c r="L312" s="38"/>
      <c r="M312" s="38"/>
      <c r="N312" s="38"/>
      <c r="O312" s="38"/>
      <c r="P312" s="38"/>
    </row>
    <row r="313">
      <c r="A313" s="41"/>
      <c r="C313" s="7"/>
      <c r="D313" s="7"/>
      <c r="E313" s="18"/>
      <c r="F313" s="38"/>
      <c r="G313" s="38"/>
      <c r="H313" s="38"/>
      <c r="I313" s="38"/>
      <c r="J313" s="38"/>
      <c r="K313" s="38"/>
      <c r="L313" s="38"/>
      <c r="M313" s="38"/>
      <c r="N313" s="38"/>
      <c r="O313" s="38"/>
      <c r="P313" s="38"/>
    </row>
    <row r="314">
      <c r="A314" s="41"/>
      <c r="C314" s="7"/>
      <c r="D314" s="7"/>
      <c r="E314" s="18"/>
      <c r="F314" s="38"/>
      <c r="G314" s="38"/>
      <c r="H314" s="38"/>
      <c r="I314" s="38"/>
      <c r="J314" s="38"/>
      <c r="K314" s="38"/>
      <c r="L314" s="38"/>
      <c r="M314" s="38"/>
      <c r="N314" s="38"/>
      <c r="O314" s="38"/>
      <c r="P314" s="38"/>
    </row>
    <row r="315">
      <c r="A315" s="41"/>
      <c r="C315" s="7"/>
      <c r="D315" s="7"/>
      <c r="E315" s="18"/>
      <c r="F315" s="38"/>
      <c r="G315" s="38"/>
      <c r="H315" s="38"/>
      <c r="I315" s="38"/>
      <c r="J315" s="38"/>
      <c r="K315" s="38"/>
      <c r="L315" s="38"/>
      <c r="M315" s="38"/>
      <c r="N315" s="38"/>
      <c r="O315" s="38"/>
      <c r="P315" s="38"/>
    </row>
    <row r="316">
      <c r="A316" s="41"/>
      <c r="C316" s="7"/>
      <c r="D316" s="7"/>
      <c r="E316" s="18"/>
      <c r="F316" s="38"/>
      <c r="G316" s="38"/>
      <c r="H316" s="38"/>
      <c r="I316" s="38"/>
      <c r="J316" s="38"/>
      <c r="K316" s="38"/>
      <c r="L316" s="38"/>
      <c r="M316" s="38"/>
      <c r="N316" s="38"/>
      <c r="O316" s="38"/>
      <c r="P316" s="38"/>
    </row>
    <row r="317">
      <c r="A317" s="41"/>
      <c r="C317" s="7"/>
      <c r="D317" s="7"/>
      <c r="E317" s="18"/>
      <c r="F317" s="38"/>
      <c r="G317" s="38"/>
      <c r="H317" s="38"/>
      <c r="I317" s="38"/>
      <c r="J317" s="38"/>
      <c r="K317" s="38"/>
      <c r="L317" s="38"/>
      <c r="M317" s="38"/>
      <c r="N317" s="38"/>
      <c r="O317" s="38"/>
      <c r="P317" s="38"/>
    </row>
    <row r="318">
      <c r="A318" s="41"/>
      <c r="C318" s="7"/>
      <c r="D318" s="7"/>
      <c r="E318" s="18"/>
      <c r="F318" s="38"/>
      <c r="G318" s="38"/>
      <c r="H318" s="38"/>
      <c r="I318" s="38"/>
      <c r="J318" s="38"/>
      <c r="K318" s="38"/>
      <c r="L318" s="38"/>
      <c r="M318" s="38"/>
      <c r="N318" s="38"/>
      <c r="O318" s="38"/>
      <c r="P318" s="38"/>
    </row>
    <row r="319">
      <c r="A319" s="41"/>
      <c r="C319" s="7"/>
      <c r="D319" s="7"/>
      <c r="E319" s="18"/>
      <c r="F319" s="38"/>
      <c r="G319" s="38"/>
      <c r="H319" s="38"/>
      <c r="I319" s="38"/>
      <c r="J319" s="38"/>
      <c r="K319" s="38"/>
      <c r="L319" s="38"/>
      <c r="M319" s="38"/>
      <c r="N319" s="38"/>
      <c r="O319" s="38"/>
      <c r="P319" s="38"/>
    </row>
    <row r="320">
      <c r="A320" s="41"/>
      <c r="C320" s="7"/>
      <c r="D320" s="7"/>
      <c r="E320" s="18"/>
      <c r="F320" s="38"/>
      <c r="G320" s="38"/>
      <c r="H320" s="38"/>
      <c r="I320" s="38"/>
      <c r="J320" s="38"/>
      <c r="K320" s="38"/>
      <c r="L320" s="38"/>
      <c r="M320" s="38"/>
      <c r="N320" s="38"/>
      <c r="O320" s="38"/>
      <c r="P320" s="38"/>
    </row>
    <row r="321">
      <c r="A321" s="41"/>
      <c r="C321" s="7"/>
      <c r="D321" s="7"/>
      <c r="E321" s="18"/>
      <c r="F321" s="38"/>
      <c r="G321" s="38"/>
      <c r="H321" s="38"/>
      <c r="I321" s="38"/>
      <c r="J321" s="38"/>
      <c r="K321" s="38"/>
      <c r="L321" s="38"/>
      <c r="M321" s="38"/>
      <c r="N321" s="38"/>
      <c r="O321" s="38"/>
      <c r="P321" s="38"/>
    </row>
    <row r="322">
      <c r="A322" s="41"/>
      <c r="C322" s="7"/>
      <c r="D322" s="7"/>
      <c r="E322" s="18"/>
      <c r="F322" s="38"/>
      <c r="G322" s="38"/>
      <c r="H322" s="38"/>
      <c r="I322" s="38"/>
      <c r="J322" s="38"/>
      <c r="K322" s="38"/>
      <c r="L322" s="38"/>
      <c r="M322" s="38"/>
      <c r="N322" s="38"/>
      <c r="O322" s="38"/>
      <c r="P322" s="38"/>
    </row>
    <row r="323">
      <c r="A323" s="41"/>
      <c r="C323" s="7"/>
      <c r="D323" s="7"/>
      <c r="E323" s="18"/>
      <c r="F323" s="38"/>
      <c r="G323" s="38"/>
      <c r="H323" s="38"/>
      <c r="I323" s="38"/>
      <c r="J323" s="38"/>
      <c r="K323" s="38"/>
      <c r="L323" s="38"/>
      <c r="M323" s="38"/>
      <c r="N323" s="38"/>
      <c r="O323" s="38"/>
      <c r="P323" s="38"/>
    </row>
    <row r="324">
      <c r="A324" s="41"/>
      <c r="C324" s="7"/>
      <c r="D324" s="7"/>
      <c r="E324" s="18"/>
      <c r="F324" s="38"/>
      <c r="G324" s="38"/>
      <c r="H324" s="38"/>
      <c r="I324" s="38"/>
      <c r="J324" s="38"/>
      <c r="K324" s="38"/>
      <c r="L324" s="38"/>
      <c r="M324" s="38"/>
      <c r="N324" s="38"/>
      <c r="O324" s="38"/>
      <c r="P324" s="38"/>
    </row>
    <row r="325">
      <c r="A325" s="41"/>
      <c r="C325" s="7"/>
      <c r="D325" s="7"/>
      <c r="E325" s="18"/>
      <c r="F325" s="38"/>
      <c r="G325" s="38"/>
      <c r="H325" s="38"/>
      <c r="I325" s="38"/>
      <c r="J325" s="38"/>
      <c r="K325" s="38"/>
      <c r="L325" s="38"/>
      <c r="M325" s="38"/>
      <c r="N325" s="38"/>
      <c r="O325" s="38"/>
      <c r="P325" s="38"/>
    </row>
    <row r="326">
      <c r="A326" s="41"/>
      <c r="C326" s="7"/>
      <c r="D326" s="7"/>
      <c r="E326" s="18"/>
      <c r="F326" s="38"/>
      <c r="G326" s="38"/>
      <c r="H326" s="38"/>
      <c r="I326" s="38"/>
      <c r="J326" s="38"/>
      <c r="K326" s="38"/>
      <c r="L326" s="38"/>
      <c r="M326" s="38"/>
      <c r="N326" s="38"/>
      <c r="O326" s="38"/>
      <c r="P326" s="38"/>
    </row>
    <row r="327">
      <c r="A327" s="41"/>
      <c r="C327" s="7"/>
      <c r="D327" s="7"/>
      <c r="E327" s="18"/>
      <c r="F327" s="38"/>
      <c r="G327" s="38"/>
      <c r="H327" s="38"/>
      <c r="I327" s="38"/>
      <c r="J327" s="38"/>
      <c r="K327" s="38"/>
      <c r="L327" s="38"/>
      <c r="M327" s="38"/>
      <c r="N327" s="38"/>
      <c r="O327" s="38"/>
      <c r="P327" s="38"/>
    </row>
    <row r="328">
      <c r="A328" s="41"/>
      <c r="C328" s="7"/>
      <c r="D328" s="7"/>
      <c r="E328" s="18"/>
      <c r="F328" s="38"/>
      <c r="G328" s="38"/>
      <c r="H328" s="38"/>
      <c r="I328" s="38"/>
      <c r="J328" s="38"/>
      <c r="K328" s="38"/>
      <c r="L328" s="38"/>
      <c r="M328" s="38"/>
      <c r="N328" s="38"/>
      <c r="O328" s="38"/>
      <c r="P328" s="38"/>
    </row>
    <row r="329">
      <c r="A329" s="41"/>
      <c r="C329" s="7"/>
      <c r="D329" s="7"/>
      <c r="E329" s="18"/>
      <c r="F329" s="38"/>
      <c r="G329" s="38"/>
      <c r="H329" s="38"/>
      <c r="I329" s="38"/>
      <c r="J329" s="38"/>
      <c r="K329" s="38"/>
      <c r="L329" s="38"/>
      <c r="M329" s="38"/>
      <c r="N329" s="38"/>
      <c r="O329" s="38"/>
      <c r="P329" s="38"/>
    </row>
    <row r="330">
      <c r="A330" s="41"/>
      <c r="C330" s="7"/>
      <c r="D330" s="7"/>
      <c r="E330" s="18"/>
      <c r="F330" s="38"/>
      <c r="G330" s="38"/>
      <c r="H330" s="38"/>
      <c r="I330" s="38"/>
      <c r="J330" s="38"/>
      <c r="K330" s="38"/>
      <c r="L330" s="38"/>
      <c r="M330" s="38"/>
      <c r="N330" s="38"/>
      <c r="O330" s="38"/>
      <c r="P330" s="38"/>
    </row>
    <row r="331">
      <c r="A331" s="41"/>
      <c r="C331" s="7"/>
      <c r="D331" s="7"/>
      <c r="E331" s="18"/>
      <c r="F331" s="38"/>
      <c r="G331" s="38"/>
      <c r="H331" s="38"/>
      <c r="I331" s="38"/>
      <c r="J331" s="38"/>
      <c r="K331" s="38"/>
      <c r="L331" s="38"/>
      <c r="M331" s="38"/>
      <c r="N331" s="38"/>
      <c r="O331" s="38"/>
      <c r="P331" s="38"/>
    </row>
    <row r="332">
      <c r="A332" s="19"/>
      <c r="B332" s="19"/>
      <c r="C332" s="42"/>
      <c r="D332" s="42"/>
      <c r="E332" s="19"/>
      <c r="F332" s="39"/>
      <c r="G332" s="39"/>
      <c r="H332" s="39"/>
      <c r="I332" s="39"/>
      <c r="J332" s="39"/>
      <c r="K332" s="19"/>
      <c r="L332" s="19"/>
      <c r="M332" s="38"/>
      <c r="N332" s="38"/>
      <c r="O332" s="38"/>
      <c r="P332" s="38"/>
    </row>
    <row r="333">
      <c r="A333" s="41"/>
      <c r="C333" s="7"/>
      <c r="D333" s="7"/>
      <c r="E333" s="18"/>
      <c r="F333" s="38"/>
      <c r="G333" s="38"/>
      <c r="H333" s="38"/>
      <c r="I333" s="38"/>
      <c r="J333" s="38"/>
      <c r="K333" s="38"/>
      <c r="L333" s="38"/>
      <c r="M333" s="38"/>
      <c r="N333" s="38"/>
      <c r="O333" s="38"/>
      <c r="P333" s="38"/>
    </row>
    <row r="334">
      <c r="A334" s="41"/>
      <c r="C334" s="7"/>
      <c r="D334" s="7"/>
      <c r="E334" s="18"/>
      <c r="F334" s="38"/>
      <c r="G334" s="38"/>
      <c r="H334" s="38"/>
      <c r="I334" s="38"/>
      <c r="J334" s="38"/>
      <c r="K334" s="38"/>
      <c r="L334" s="38"/>
      <c r="M334" s="38"/>
      <c r="N334" s="38"/>
      <c r="O334" s="38"/>
      <c r="P334" s="38"/>
    </row>
    <row r="335">
      <c r="A335" s="41"/>
      <c r="C335" s="7"/>
      <c r="D335" s="7"/>
      <c r="E335" s="18"/>
      <c r="F335" s="38"/>
      <c r="G335" s="38"/>
      <c r="H335" s="38"/>
      <c r="I335" s="38"/>
      <c r="J335" s="38"/>
      <c r="K335" s="38"/>
      <c r="L335" s="38"/>
      <c r="M335" s="38"/>
      <c r="N335" s="38"/>
      <c r="O335" s="38"/>
      <c r="P335" s="38"/>
    </row>
    <row r="336">
      <c r="A336" s="41"/>
      <c r="C336" s="7"/>
      <c r="D336" s="7"/>
      <c r="E336" s="18"/>
      <c r="F336" s="38"/>
      <c r="G336" s="38"/>
      <c r="H336" s="38"/>
      <c r="I336" s="38"/>
      <c r="J336" s="38"/>
      <c r="K336" s="38"/>
      <c r="L336" s="38"/>
      <c r="M336" s="38"/>
      <c r="N336" s="38"/>
      <c r="O336" s="38"/>
      <c r="P336" s="38"/>
    </row>
    <row r="337">
      <c r="A337" s="41"/>
      <c r="C337" s="7"/>
      <c r="D337" s="7"/>
      <c r="E337" s="18"/>
      <c r="F337" s="38"/>
      <c r="G337" s="38"/>
      <c r="H337" s="38"/>
      <c r="I337" s="38"/>
      <c r="J337" s="38"/>
      <c r="K337" s="38"/>
      <c r="L337" s="38"/>
      <c r="M337" s="38"/>
      <c r="N337" s="38"/>
      <c r="O337" s="38"/>
      <c r="P337" s="38"/>
    </row>
    <row r="338">
      <c r="A338" s="41"/>
      <c r="C338" s="7"/>
      <c r="D338" s="7"/>
      <c r="E338" s="18"/>
      <c r="F338" s="38"/>
      <c r="G338" s="38"/>
      <c r="H338" s="38"/>
      <c r="I338" s="38"/>
      <c r="J338" s="38"/>
      <c r="K338" s="38"/>
      <c r="L338" s="38"/>
      <c r="M338" s="38"/>
      <c r="N338" s="38"/>
      <c r="O338" s="38"/>
      <c r="P338" s="38"/>
    </row>
    <row r="339">
      <c r="A339" s="41"/>
      <c r="C339" s="7"/>
      <c r="D339" s="7"/>
      <c r="E339" s="18"/>
      <c r="F339" s="38"/>
      <c r="G339" s="38"/>
      <c r="H339" s="38"/>
      <c r="I339" s="38"/>
      <c r="J339" s="38"/>
      <c r="K339" s="38"/>
      <c r="L339" s="38"/>
      <c r="M339" s="38"/>
      <c r="N339" s="38"/>
      <c r="O339" s="38"/>
      <c r="P339" s="38"/>
    </row>
    <row r="340">
      <c r="A340" s="41"/>
      <c r="C340" s="7"/>
      <c r="D340" s="7"/>
      <c r="E340" s="18"/>
      <c r="F340" s="38"/>
      <c r="G340" s="38"/>
      <c r="H340" s="38"/>
      <c r="I340" s="38"/>
      <c r="J340" s="38"/>
      <c r="K340" s="38"/>
      <c r="L340" s="38"/>
      <c r="M340" s="38"/>
      <c r="N340" s="38"/>
      <c r="O340" s="38"/>
      <c r="P340" s="38"/>
    </row>
    <row r="341">
      <c r="A341" s="41"/>
      <c r="C341" s="7"/>
      <c r="D341" s="7"/>
      <c r="E341" s="18"/>
      <c r="F341" s="38"/>
      <c r="G341" s="38"/>
      <c r="H341" s="38"/>
      <c r="I341" s="38"/>
      <c r="J341" s="38"/>
      <c r="K341" s="38"/>
      <c r="L341" s="38"/>
      <c r="M341" s="38"/>
      <c r="N341" s="38"/>
      <c r="O341" s="38"/>
      <c r="P341" s="38"/>
    </row>
    <row r="342">
      <c r="A342" s="41"/>
      <c r="C342" s="7"/>
      <c r="D342" s="7"/>
      <c r="E342" s="18"/>
      <c r="F342" s="38"/>
      <c r="G342" s="38"/>
      <c r="H342" s="38"/>
      <c r="I342" s="38"/>
      <c r="J342" s="38"/>
      <c r="K342" s="38"/>
      <c r="L342" s="38"/>
      <c r="M342" s="38"/>
      <c r="N342" s="38"/>
      <c r="O342" s="38"/>
      <c r="P342" s="38"/>
    </row>
    <row r="343">
      <c r="A343" s="41"/>
      <c r="C343" s="7"/>
      <c r="D343" s="7"/>
      <c r="E343" s="18"/>
      <c r="F343" s="38"/>
      <c r="G343" s="38"/>
      <c r="H343" s="38"/>
      <c r="I343" s="38"/>
      <c r="J343" s="38"/>
      <c r="K343" s="38"/>
      <c r="L343" s="38"/>
      <c r="M343" s="38"/>
      <c r="N343" s="38"/>
      <c r="O343" s="38"/>
      <c r="P343" s="38"/>
    </row>
    <row r="344">
      <c r="A344" s="41"/>
      <c r="C344" s="7"/>
      <c r="D344" s="7"/>
      <c r="E344" s="18"/>
      <c r="F344" s="38"/>
      <c r="G344" s="38"/>
      <c r="H344" s="38"/>
      <c r="I344" s="38"/>
      <c r="J344" s="38"/>
      <c r="K344" s="38"/>
      <c r="L344" s="38"/>
      <c r="M344" s="38"/>
      <c r="N344" s="38"/>
      <c r="O344" s="38"/>
      <c r="P344" s="38"/>
    </row>
    <row r="345">
      <c r="A345" s="41"/>
      <c r="C345" s="7"/>
      <c r="D345" s="7"/>
      <c r="E345" s="18"/>
      <c r="F345" s="38"/>
      <c r="G345" s="38"/>
      <c r="H345" s="38"/>
      <c r="I345" s="38"/>
      <c r="J345" s="38"/>
      <c r="K345" s="38"/>
      <c r="L345" s="38"/>
      <c r="M345" s="38"/>
      <c r="N345" s="38"/>
      <c r="O345" s="38"/>
      <c r="P345" s="38"/>
    </row>
    <row r="346">
      <c r="A346" s="41"/>
      <c r="C346" s="7"/>
      <c r="D346" s="7"/>
      <c r="E346" s="18"/>
      <c r="F346" s="38"/>
      <c r="G346" s="38"/>
      <c r="H346" s="38"/>
      <c r="I346" s="38"/>
      <c r="J346" s="38"/>
      <c r="K346" s="38"/>
      <c r="L346" s="38"/>
      <c r="M346" s="38"/>
      <c r="N346" s="38"/>
      <c r="O346" s="38"/>
      <c r="P346" s="38"/>
    </row>
    <row r="347">
      <c r="A347" s="41"/>
      <c r="C347" s="7"/>
      <c r="D347" s="7"/>
      <c r="E347" s="18"/>
      <c r="F347" s="38"/>
      <c r="G347" s="38"/>
      <c r="H347" s="38"/>
      <c r="I347" s="38"/>
      <c r="J347" s="38"/>
      <c r="K347" s="38"/>
      <c r="L347" s="38"/>
      <c r="M347" s="38"/>
      <c r="N347" s="38"/>
      <c r="O347" s="38"/>
      <c r="P347" s="38"/>
    </row>
    <row r="348">
      <c r="A348" s="41"/>
      <c r="C348" s="7"/>
      <c r="D348" s="7"/>
      <c r="E348" s="18"/>
      <c r="F348" s="38"/>
      <c r="G348" s="38"/>
      <c r="H348" s="38"/>
      <c r="I348" s="38"/>
      <c r="J348" s="38"/>
      <c r="K348" s="38"/>
      <c r="L348" s="38"/>
      <c r="M348" s="38"/>
      <c r="N348" s="38"/>
      <c r="O348" s="38"/>
      <c r="P348" s="38"/>
    </row>
    <row r="349">
      <c r="A349" s="41"/>
      <c r="C349" s="7"/>
      <c r="D349" s="7"/>
      <c r="E349" s="18"/>
      <c r="F349" s="38"/>
      <c r="G349" s="38"/>
      <c r="H349" s="38"/>
      <c r="I349" s="38"/>
      <c r="J349" s="38"/>
      <c r="K349" s="38"/>
      <c r="L349" s="38"/>
      <c r="M349" s="38"/>
      <c r="N349" s="38"/>
      <c r="O349" s="38"/>
      <c r="P349" s="38"/>
    </row>
    <row r="350">
      <c r="A350" s="41"/>
      <c r="C350" s="7"/>
      <c r="D350" s="7"/>
      <c r="E350" s="18"/>
      <c r="F350" s="38"/>
      <c r="G350" s="38"/>
      <c r="H350" s="38"/>
      <c r="I350" s="38"/>
      <c r="J350" s="38"/>
      <c r="K350" s="38"/>
      <c r="L350" s="38"/>
      <c r="M350" s="38"/>
      <c r="N350" s="38"/>
      <c r="O350" s="38"/>
      <c r="P350" s="38"/>
    </row>
    <row r="351">
      <c r="A351" s="41"/>
      <c r="C351" s="7"/>
      <c r="D351" s="7"/>
      <c r="E351" s="18"/>
      <c r="F351" s="38"/>
      <c r="G351" s="38"/>
      <c r="H351" s="38"/>
      <c r="I351" s="38"/>
      <c r="J351" s="38"/>
      <c r="K351" s="38"/>
      <c r="L351" s="38"/>
      <c r="M351" s="38"/>
      <c r="N351" s="38"/>
      <c r="O351" s="38"/>
      <c r="P351" s="38"/>
    </row>
    <row r="352">
      <c r="A352" s="41"/>
      <c r="C352" s="7"/>
      <c r="D352" s="7"/>
      <c r="E352" s="18"/>
      <c r="F352" s="38"/>
      <c r="G352" s="38"/>
      <c r="H352" s="38"/>
      <c r="I352" s="38"/>
      <c r="J352" s="38"/>
      <c r="K352" s="38"/>
      <c r="L352" s="38"/>
      <c r="M352" s="38"/>
      <c r="N352" s="38"/>
      <c r="O352" s="38"/>
      <c r="P352" s="38"/>
    </row>
    <row r="353">
      <c r="A353" s="41"/>
      <c r="C353" s="7"/>
      <c r="D353" s="7"/>
      <c r="E353" s="18"/>
      <c r="F353" s="38"/>
      <c r="G353" s="38"/>
      <c r="H353" s="38"/>
      <c r="I353" s="38"/>
      <c r="J353" s="38"/>
      <c r="K353" s="38"/>
      <c r="L353" s="38"/>
      <c r="M353" s="38"/>
      <c r="N353" s="38"/>
      <c r="O353" s="38"/>
      <c r="P353" s="38"/>
    </row>
    <row r="354">
      <c r="A354" s="41"/>
      <c r="C354" s="7"/>
      <c r="D354" s="7"/>
      <c r="E354" s="18"/>
      <c r="F354" s="38"/>
      <c r="G354" s="38"/>
      <c r="H354" s="38"/>
      <c r="I354" s="38"/>
      <c r="J354" s="38"/>
      <c r="K354" s="38"/>
      <c r="L354" s="38"/>
      <c r="M354" s="38"/>
      <c r="N354" s="38"/>
      <c r="O354" s="38"/>
      <c r="P354" s="38"/>
    </row>
    <row r="355">
      <c r="A355" s="41"/>
      <c r="C355" s="7"/>
      <c r="D355" s="7"/>
      <c r="E355" s="18"/>
      <c r="F355" s="38"/>
      <c r="G355" s="38"/>
      <c r="H355" s="38"/>
      <c r="I355" s="38"/>
      <c r="J355" s="38"/>
      <c r="K355" s="38"/>
      <c r="L355" s="38"/>
      <c r="M355" s="38"/>
      <c r="N355" s="38"/>
      <c r="O355" s="38"/>
      <c r="P355" s="38"/>
    </row>
    <row r="356">
      <c r="A356" s="41"/>
      <c r="C356" s="7"/>
      <c r="D356" s="7"/>
      <c r="E356" s="18"/>
      <c r="F356" s="38"/>
      <c r="G356" s="38"/>
      <c r="H356" s="38"/>
      <c r="I356" s="38"/>
      <c r="J356" s="38"/>
      <c r="K356" s="38"/>
      <c r="L356" s="38"/>
      <c r="M356" s="38"/>
      <c r="N356" s="38"/>
      <c r="O356" s="38"/>
      <c r="P356" s="38"/>
    </row>
    <row r="357">
      <c r="A357" s="41"/>
      <c r="C357" s="7"/>
      <c r="D357" s="7"/>
      <c r="E357" s="18"/>
      <c r="F357" s="38"/>
      <c r="G357" s="38"/>
      <c r="H357" s="38"/>
      <c r="I357" s="38"/>
      <c r="J357" s="38"/>
      <c r="K357" s="38"/>
      <c r="L357" s="38"/>
      <c r="M357" s="38"/>
      <c r="N357" s="38"/>
      <c r="O357" s="38"/>
      <c r="P357" s="38"/>
    </row>
    <row r="358">
      <c r="A358" s="41"/>
      <c r="C358" s="7"/>
      <c r="D358" s="7"/>
      <c r="E358" s="18"/>
      <c r="F358" s="38"/>
      <c r="G358" s="38"/>
      <c r="H358" s="38"/>
      <c r="I358" s="38"/>
      <c r="J358" s="38"/>
      <c r="K358" s="38"/>
      <c r="L358" s="38"/>
      <c r="M358" s="38"/>
      <c r="N358" s="38"/>
      <c r="O358" s="38"/>
      <c r="P358" s="38"/>
    </row>
    <row r="359">
      <c r="A359" s="41"/>
      <c r="C359" s="7"/>
      <c r="D359" s="7"/>
      <c r="E359" s="18"/>
      <c r="F359" s="38"/>
      <c r="G359" s="38"/>
      <c r="H359" s="38"/>
      <c r="I359" s="38"/>
      <c r="J359" s="38"/>
      <c r="K359" s="38"/>
      <c r="L359" s="38"/>
      <c r="M359" s="38"/>
      <c r="N359" s="38"/>
      <c r="O359" s="38"/>
      <c r="P359" s="38"/>
    </row>
    <row r="360">
      <c r="A360" s="41"/>
      <c r="C360" s="7"/>
      <c r="D360" s="7"/>
      <c r="E360" s="18"/>
      <c r="F360" s="38"/>
      <c r="G360" s="38"/>
      <c r="H360" s="38"/>
      <c r="I360" s="38"/>
      <c r="J360" s="38"/>
      <c r="K360" s="38"/>
      <c r="L360" s="38"/>
      <c r="M360" s="38"/>
      <c r="N360" s="38"/>
      <c r="O360" s="38"/>
      <c r="P360" s="38"/>
    </row>
    <row r="361">
      <c r="A361" s="41"/>
      <c r="C361" s="7"/>
      <c r="D361" s="7"/>
      <c r="E361" s="18"/>
      <c r="F361" s="38"/>
      <c r="G361" s="38"/>
      <c r="H361" s="38"/>
      <c r="I361" s="38"/>
      <c r="J361" s="38"/>
      <c r="K361" s="38"/>
      <c r="L361" s="38"/>
      <c r="M361" s="38"/>
      <c r="N361" s="38"/>
      <c r="O361" s="38"/>
      <c r="P361" s="38"/>
    </row>
    <row r="362">
      <c r="A362" s="41"/>
      <c r="C362" s="7"/>
      <c r="D362" s="7"/>
      <c r="E362" s="18"/>
      <c r="F362" s="38"/>
      <c r="G362" s="38"/>
      <c r="H362" s="38"/>
      <c r="I362" s="38"/>
      <c r="J362" s="38"/>
      <c r="K362" s="38"/>
      <c r="L362" s="38"/>
      <c r="M362" s="38"/>
      <c r="N362" s="38"/>
      <c r="O362" s="38"/>
      <c r="P362" s="38"/>
    </row>
    <row r="363">
      <c r="A363" s="41"/>
      <c r="C363" s="7"/>
      <c r="D363" s="7"/>
      <c r="E363" s="18"/>
      <c r="F363" s="38"/>
      <c r="G363" s="38"/>
      <c r="H363" s="38"/>
      <c r="I363" s="38"/>
      <c r="J363" s="38"/>
      <c r="K363" s="38"/>
      <c r="L363" s="38"/>
      <c r="M363" s="38"/>
      <c r="N363" s="38"/>
      <c r="O363" s="38"/>
      <c r="P363" s="38"/>
    </row>
    <row r="364">
      <c r="A364" s="41"/>
      <c r="C364" s="7"/>
      <c r="D364" s="7"/>
      <c r="E364" s="18"/>
      <c r="F364" s="38"/>
      <c r="G364" s="38"/>
      <c r="H364" s="38"/>
      <c r="I364" s="38"/>
      <c r="J364" s="38"/>
      <c r="K364" s="38"/>
      <c r="L364" s="38"/>
      <c r="M364" s="38"/>
      <c r="N364" s="38"/>
      <c r="O364" s="38"/>
      <c r="P364" s="38"/>
    </row>
    <row r="365">
      <c r="A365" s="41"/>
      <c r="C365" s="7"/>
      <c r="D365" s="7"/>
      <c r="E365" s="18"/>
      <c r="F365" s="38"/>
      <c r="G365" s="38"/>
      <c r="H365" s="38"/>
      <c r="I365" s="38"/>
      <c r="J365" s="38"/>
      <c r="K365" s="38"/>
      <c r="L365" s="38"/>
      <c r="M365" s="38"/>
      <c r="N365" s="38"/>
      <c r="O365" s="38"/>
      <c r="P365" s="38"/>
    </row>
    <row r="366">
      <c r="A366" s="41"/>
      <c r="C366" s="7"/>
      <c r="D366" s="7"/>
      <c r="E366" s="18"/>
      <c r="F366" s="38"/>
      <c r="G366" s="38"/>
      <c r="H366" s="38"/>
      <c r="I366" s="38"/>
      <c r="J366" s="38"/>
      <c r="K366" s="38"/>
      <c r="L366" s="38"/>
      <c r="M366" s="38"/>
      <c r="N366" s="38"/>
      <c r="O366" s="38"/>
      <c r="P366" s="38"/>
    </row>
    <row r="367">
      <c r="A367" s="41"/>
      <c r="C367" s="7"/>
      <c r="D367" s="7"/>
      <c r="E367" s="18"/>
      <c r="F367" s="38"/>
      <c r="G367" s="38"/>
      <c r="H367" s="38"/>
      <c r="I367" s="38"/>
      <c r="J367" s="38"/>
      <c r="K367" s="38"/>
      <c r="L367" s="38"/>
      <c r="M367" s="38"/>
      <c r="N367" s="38"/>
      <c r="O367" s="38"/>
      <c r="P367" s="38"/>
    </row>
    <row r="368">
      <c r="A368" s="41"/>
      <c r="C368" s="7"/>
      <c r="D368" s="7"/>
      <c r="E368" s="18"/>
      <c r="F368" s="38"/>
      <c r="G368" s="38"/>
      <c r="H368" s="38"/>
      <c r="I368" s="38"/>
      <c r="J368" s="38"/>
      <c r="K368" s="38"/>
      <c r="L368" s="38"/>
      <c r="M368" s="38"/>
      <c r="N368" s="38"/>
      <c r="O368" s="38"/>
      <c r="P368" s="38"/>
    </row>
    <row r="369">
      <c r="A369" s="41"/>
      <c r="C369" s="7"/>
      <c r="D369" s="7"/>
      <c r="E369" s="18"/>
      <c r="F369" s="38"/>
      <c r="G369" s="38"/>
      <c r="H369" s="38"/>
      <c r="I369" s="38"/>
      <c r="J369" s="38"/>
      <c r="K369" s="38"/>
      <c r="L369" s="38"/>
      <c r="M369" s="38"/>
      <c r="N369" s="38"/>
      <c r="O369" s="38"/>
      <c r="P369" s="38"/>
    </row>
    <row r="370">
      <c r="A370" s="41"/>
      <c r="C370" s="7"/>
      <c r="D370" s="7"/>
      <c r="E370" s="18"/>
      <c r="F370" s="38"/>
      <c r="G370" s="38"/>
      <c r="H370" s="38"/>
      <c r="I370" s="38"/>
      <c r="J370" s="38"/>
      <c r="K370" s="38"/>
      <c r="L370" s="38"/>
      <c r="M370" s="38"/>
      <c r="N370" s="38"/>
      <c r="O370" s="38"/>
      <c r="P370" s="38"/>
    </row>
    <row r="371">
      <c r="A371" s="41"/>
      <c r="C371" s="7"/>
      <c r="D371" s="7"/>
      <c r="E371" s="18"/>
      <c r="F371" s="38"/>
      <c r="G371" s="38"/>
      <c r="H371" s="38"/>
      <c r="I371" s="38"/>
      <c r="J371" s="38"/>
      <c r="K371" s="38"/>
      <c r="L371" s="38"/>
      <c r="M371" s="38"/>
      <c r="N371" s="38"/>
      <c r="O371" s="38"/>
      <c r="P371" s="38"/>
    </row>
    <row r="372">
      <c r="A372" s="41"/>
      <c r="C372" s="7"/>
      <c r="D372" s="7"/>
      <c r="E372" s="18"/>
      <c r="F372" s="38"/>
      <c r="G372" s="38"/>
      <c r="H372" s="38"/>
      <c r="I372" s="38"/>
      <c r="J372" s="38"/>
      <c r="K372" s="38"/>
      <c r="L372" s="38"/>
      <c r="M372" s="38"/>
      <c r="N372" s="38"/>
      <c r="O372" s="38"/>
      <c r="P372" s="38"/>
    </row>
    <row r="373">
      <c r="A373" s="19"/>
      <c r="B373" s="19"/>
      <c r="C373" s="42"/>
      <c r="D373" s="42"/>
      <c r="E373" s="19"/>
      <c r="F373" s="39"/>
      <c r="G373" s="39"/>
      <c r="H373" s="39"/>
      <c r="I373" s="39"/>
      <c r="J373" s="39"/>
      <c r="K373" s="19"/>
      <c r="L373" s="19"/>
      <c r="M373" s="38"/>
      <c r="N373" s="38"/>
      <c r="O373" s="38"/>
      <c r="P373" s="38"/>
    </row>
    <row r="374">
      <c r="A374" s="41"/>
      <c r="C374" s="7"/>
      <c r="D374" s="7"/>
      <c r="E374" s="18"/>
      <c r="F374" s="38"/>
      <c r="G374" s="38"/>
      <c r="H374" s="38"/>
      <c r="I374" s="38"/>
      <c r="J374" s="38"/>
      <c r="K374" s="38"/>
      <c r="L374" s="38"/>
      <c r="M374" s="38"/>
      <c r="N374" s="38"/>
      <c r="O374" s="38"/>
      <c r="P374" s="38"/>
    </row>
    <row r="375">
      <c r="A375" s="41"/>
      <c r="C375" s="7"/>
      <c r="D375" s="7"/>
      <c r="E375" s="18"/>
      <c r="F375" s="38"/>
      <c r="G375" s="38"/>
      <c r="H375" s="38"/>
      <c r="I375" s="38"/>
      <c r="J375" s="38"/>
      <c r="K375" s="38"/>
      <c r="L375" s="38"/>
      <c r="M375" s="38"/>
      <c r="N375" s="38"/>
      <c r="O375" s="38"/>
      <c r="P375" s="38"/>
    </row>
    <row r="376">
      <c r="A376" s="41"/>
      <c r="C376" s="7"/>
      <c r="D376" s="7"/>
      <c r="E376" s="18"/>
      <c r="F376" s="38"/>
      <c r="G376" s="38"/>
      <c r="H376" s="38"/>
      <c r="I376" s="38"/>
      <c r="J376" s="38"/>
      <c r="K376" s="38"/>
      <c r="L376" s="38"/>
      <c r="M376" s="38"/>
      <c r="N376" s="38"/>
      <c r="O376" s="38"/>
      <c r="P376" s="38"/>
    </row>
    <row r="377">
      <c r="A377" s="41"/>
      <c r="C377" s="7"/>
      <c r="D377" s="7"/>
      <c r="E377" s="18"/>
      <c r="F377" s="38"/>
      <c r="G377" s="38"/>
      <c r="H377" s="38"/>
      <c r="I377" s="38"/>
      <c r="J377" s="38"/>
      <c r="K377" s="38"/>
      <c r="L377" s="38"/>
      <c r="M377" s="38"/>
      <c r="N377" s="38"/>
      <c r="O377" s="38"/>
      <c r="P377" s="38"/>
    </row>
    <row r="378">
      <c r="A378" s="41"/>
      <c r="C378" s="7"/>
      <c r="D378" s="7"/>
      <c r="E378" s="18"/>
      <c r="F378" s="38"/>
      <c r="G378" s="38"/>
      <c r="H378" s="38"/>
      <c r="I378" s="38"/>
      <c r="J378" s="38"/>
      <c r="K378" s="38"/>
      <c r="L378" s="38"/>
      <c r="M378" s="38"/>
      <c r="N378" s="38"/>
      <c r="O378" s="38"/>
      <c r="P378" s="38"/>
    </row>
    <row r="379">
      <c r="A379" s="41"/>
      <c r="C379" s="7"/>
      <c r="D379" s="7"/>
      <c r="E379" s="18"/>
      <c r="F379" s="38"/>
      <c r="G379" s="38"/>
      <c r="H379" s="38"/>
      <c r="I379" s="38"/>
      <c r="J379" s="38"/>
      <c r="K379" s="38"/>
      <c r="L379" s="38"/>
      <c r="M379" s="38"/>
      <c r="N379" s="38"/>
      <c r="O379" s="38"/>
      <c r="P379" s="38"/>
    </row>
    <row r="380">
      <c r="A380" s="41"/>
      <c r="C380" s="7"/>
      <c r="D380" s="7"/>
      <c r="E380" s="18"/>
      <c r="F380" s="38"/>
      <c r="G380" s="38"/>
      <c r="H380" s="38"/>
      <c r="I380" s="38"/>
      <c r="J380" s="38"/>
      <c r="K380" s="38"/>
      <c r="L380" s="38"/>
      <c r="M380" s="38"/>
      <c r="N380" s="38"/>
      <c r="O380" s="38"/>
      <c r="P380" s="38"/>
    </row>
    <row r="381">
      <c r="A381" s="41"/>
      <c r="C381" s="7"/>
      <c r="D381" s="7"/>
      <c r="E381" s="18"/>
      <c r="F381" s="38"/>
      <c r="G381" s="38"/>
      <c r="H381" s="38"/>
      <c r="I381" s="38"/>
      <c r="J381" s="38"/>
      <c r="K381" s="38"/>
      <c r="L381" s="38"/>
      <c r="M381" s="38"/>
      <c r="N381" s="38"/>
      <c r="O381" s="38"/>
      <c r="P381" s="38"/>
    </row>
    <row r="382">
      <c r="A382" s="41"/>
      <c r="C382" s="7"/>
      <c r="D382" s="7"/>
      <c r="E382" s="18"/>
      <c r="F382" s="38"/>
      <c r="G382" s="38"/>
      <c r="H382" s="38"/>
      <c r="I382" s="38"/>
      <c r="J382" s="38"/>
      <c r="K382" s="38"/>
      <c r="L382" s="38"/>
      <c r="M382" s="38"/>
      <c r="N382" s="38"/>
      <c r="O382" s="38"/>
      <c r="P382" s="38"/>
    </row>
    <row r="383">
      <c r="A383" s="41"/>
      <c r="C383" s="7"/>
      <c r="D383" s="7"/>
      <c r="E383" s="18"/>
      <c r="F383" s="38"/>
      <c r="G383" s="38"/>
      <c r="H383" s="38"/>
      <c r="I383" s="38"/>
      <c r="J383" s="38"/>
      <c r="K383" s="38"/>
      <c r="L383" s="38"/>
      <c r="M383" s="38"/>
      <c r="N383" s="38"/>
      <c r="O383" s="38"/>
      <c r="P383" s="38"/>
    </row>
    <row r="384">
      <c r="A384" s="41"/>
      <c r="C384" s="7"/>
      <c r="D384" s="7"/>
      <c r="E384" s="18"/>
      <c r="F384" s="38"/>
      <c r="G384" s="38"/>
      <c r="H384" s="38"/>
      <c r="I384" s="38"/>
      <c r="J384" s="38"/>
      <c r="K384" s="38"/>
      <c r="L384" s="38"/>
      <c r="M384" s="38"/>
      <c r="N384" s="38"/>
      <c r="O384" s="38"/>
      <c r="P384" s="38"/>
    </row>
    <row r="385">
      <c r="A385" s="41"/>
      <c r="C385" s="7"/>
      <c r="D385" s="7"/>
      <c r="E385" s="18"/>
      <c r="F385" s="38"/>
      <c r="G385" s="38"/>
      <c r="H385" s="38"/>
      <c r="I385" s="38"/>
      <c r="J385" s="38"/>
      <c r="K385" s="38"/>
      <c r="L385" s="38"/>
      <c r="M385" s="38"/>
      <c r="N385" s="38"/>
      <c r="O385" s="38"/>
      <c r="P385" s="38"/>
    </row>
    <row r="386">
      <c r="A386" s="41"/>
      <c r="C386" s="7"/>
      <c r="D386" s="7"/>
      <c r="E386" s="18"/>
      <c r="F386" s="38"/>
      <c r="G386" s="38"/>
      <c r="H386" s="38"/>
      <c r="I386" s="38"/>
      <c r="J386" s="38"/>
      <c r="K386" s="38"/>
      <c r="L386" s="38"/>
      <c r="M386" s="38"/>
      <c r="N386" s="38"/>
      <c r="O386" s="38"/>
      <c r="P386" s="38"/>
    </row>
    <row r="387">
      <c r="A387" s="41"/>
      <c r="C387" s="7"/>
      <c r="D387" s="7"/>
      <c r="E387" s="18"/>
      <c r="F387" s="38"/>
      <c r="G387" s="38"/>
      <c r="H387" s="38"/>
      <c r="I387" s="38"/>
      <c r="J387" s="38"/>
      <c r="K387" s="38"/>
      <c r="L387" s="38"/>
      <c r="M387" s="38"/>
      <c r="N387" s="38"/>
      <c r="O387" s="38"/>
      <c r="P387" s="38"/>
    </row>
    <row r="388">
      <c r="A388" s="41"/>
      <c r="C388" s="7"/>
      <c r="D388" s="7"/>
      <c r="E388" s="18"/>
      <c r="F388" s="38"/>
      <c r="G388" s="38"/>
      <c r="H388" s="38"/>
      <c r="I388" s="38"/>
      <c r="J388" s="38"/>
      <c r="K388" s="38"/>
      <c r="L388" s="38"/>
      <c r="M388" s="38"/>
      <c r="N388" s="38"/>
      <c r="O388" s="38"/>
      <c r="P388" s="38"/>
    </row>
    <row r="389">
      <c r="A389" s="41"/>
      <c r="C389" s="7"/>
      <c r="D389" s="7"/>
      <c r="E389" s="18"/>
      <c r="F389" s="38"/>
      <c r="G389" s="38"/>
      <c r="H389" s="38"/>
      <c r="I389" s="38"/>
      <c r="J389" s="38"/>
      <c r="K389" s="38"/>
      <c r="L389" s="38"/>
      <c r="M389" s="38"/>
      <c r="N389" s="38"/>
      <c r="O389" s="38"/>
      <c r="P389" s="38"/>
    </row>
    <row r="390">
      <c r="A390" s="41"/>
      <c r="C390" s="7"/>
      <c r="D390" s="7"/>
      <c r="E390" s="18"/>
      <c r="F390" s="38"/>
      <c r="G390" s="38"/>
      <c r="H390" s="38"/>
      <c r="I390" s="38"/>
      <c r="J390" s="38"/>
      <c r="K390" s="38"/>
      <c r="L390" s="38"/>
      <c r="M390" s="38"/>
      <c r="N390" s="38"/>
      <c r="O390" s="38"/>
      <c r="P390" s="38"/>
    </row>
    <row r="391">
      <c r="A391" s="41"/>
      <c r="C391" s="7"/>
      <c r="D391" s="7"/>
      <c r="E391" s="18"/>
      <c r="F391" s="38"/>
      <c r="G391" s="38"/>
      <c r="H391" s="38"/>
      <c r="I391" s="38"/>
      <c r="J391" s="38"/>
      <c r="K391" s="38"/>
      <c r="L391" s="38"/>
      <c r="M391" s="38"/>
      <c r="N391" s="38"/>
      <c r="O391" s="38"/>
      <c r="P391" s="38"/>
    </row>
    <row r="392">
      <c r="A392" s="41"/>
      <c r="C392" s="7"/>
      <c r="D392" s="7"/>
      <c r="E392" s="18"/>
      <c r="F392" s="38"/>
      <c r="G392" s="38"/>
      <c r="H392" s="38"/>
      <c r="I392" s="38"/>
      <c r="J392" s="38"/>
      <c r="K392" s="38"/>
      <c r="L392" s="38"/>
      <c r="M392" s="38"/>
      <c r="N392" s="38"/>
      <c r="O392" s="38"/>
      <c r="P392" s="38"/>
    </row>
    <row r="393">
      <c r="A393" s="41"/>
      <c r="C393" s="7"/>
      <c r="D393" s="7"/>
      <c r="E393" s="18"/>
      <c r="F393" s="38"/>
      <c r="G393" s="38"/>
      <c r="H393" s="38"/>
      <c r="I393" s="38"/>
      <c r="J393" s="38"/>
      <c r="K393" s="38"/>
      <c r="L393" s="38"/>
      <c r="M393" s="38"/>
      <c r="N393" s="38"/>
      <c r="O393" s="38"/>
      <c r="P393" s="38"/>
    </row>
    <row r="394">
      <c r="A394" s="41"/>
      <c r="C394" s="7"/>
      <c r="D394" s="7"/>
      <c r="E394" s="18"/>
      <c r="F394" s="38"/>
      <c r="G394" s="38"/>
      <c r="H394" s="38"/>
      <c r="I394" s="38"/>
      <c r="J394" s="38"/>
      <c r="K394" s="38"/>
      <c r="L394" s="38"/>
      <c r="M394" s="38"/>
      <c r="N394" s="38"/>
      <c r="O394" s="38"/>
      <c r="P394" s="38"/>
    </row>
    <row r="395">
      <c r="A395" s="41"/>
      <c r="C395" s="7"/>
      <c r="D395" s="7"/>
      <c r="E395" s="18"/>
      <c r="F395" s="38"/>
      <c r="G395" s="38"/>
      <c r="H395" s="38"/>
      <c r="I395" s="38"/>
      <c r="J395" s="38"/>
      <c r="K395" s="38"/>
      <c r="L395" s="38"/>
      <c r="M395" s="38"/>
      <c r="N395" s="38"/>
      <c r="O395" s="38"/>
      <c r="P395" s="38"/>
    </row>
    <row r="396">
      <c r="A396" s="41"/>
      <c r="C396" s="7"/>
      <c r="D396" s="7"/>
      <c r="E396" s="18"/>
      <c r="F396" s="38"/>
      <c r="G396" s="38"/>
      <c r="H396" s="38"/>
      <c r="I396" s="38"/>
      <c r="J396" s="38"/>
      <c r="K396" s="38"/>
      <c r="L396" s="38"/>
      <c r="M396" s="38"/>
      <c r="N396" s="38"/>
      <c r="O396" s="38"/>
      <c r="P396" s="38"/>
    </row>
    <row r="397">
      <c r="A397" s="41"/>
      <c r="C397" s="7"/>
      <c r="D397" s="7"/>
      <c r="E397" s="18"/>
      <c r="F397" s="38"/>
      <c r="G397" s="38"/>
      <c r="H397" s="38"/>
      <c r="I397" s="38"/>
      <c r="J397" s="38"/>
      <c r="K397" s="38"/>
      <c r="L397" s="38"/>
      <c r="M397" s="38"/>
      <c r="N397" s="38"/>
      <c r="O397" s="38"/>
      <c r="P397" s="38"/>
    </row>
    <row r="398">
      <c r="A398" s="41"/>
      <c r="C398" s="7"/>
      <c r="D398" s="7"/>
      <c r="E398" s="18"/>
      <c r="F398" s="38"/>
      <c r="G398" s="38"/>
      <c r="H398" s="38"/>
      <c r="I398" s="38"/>
      <c r="J398" s="38"/>
      <c r="K398" s="38"/>
      <c r="L398" s="38"/>
      <c r="M398" s="38"/>
      <c r="N398" s="38"/>
      <c r="O398" s="38"/>
      <c r="P398" s="38"/>
    </row>
    <row r="399">
      <c r="A399" s="41"/>
      <c r="C399" s="7"/>
      <c r="D399" s="7"/>
      <c r="E399" s="18"/>
      <c r="F399" s="38"/>
      <c r="G399" s="38"/>
      <c r="H399" s="38"/>
      <c r="I399" s="38"/>
      <c r="J399" s="38"/>
      <c r="K399" s="38"/>
      <c r="L399" s="38"/>
      <c r="M399" s="38"/>
      <c r="N399" s="38"/>
      <c r="O399" s="38"/>
      <c r="P399" s="38"/>
    </row>
    <row r="400">
      <c r="A400" s="41"/>
      <c r="C400" s="7"/>
      <c r="D400" s="7"/>
      <c r="E400" s="18"/>
      <c r="F400" s="38"/>
      <c r="G400" s="38"/>
      <c r="H400" s="38"/>
      <c r="I400" s="38"/>
      <c r="J400" s="38"/>
      <c r="K400" s="38"/>
      <c r="L400" s="38"/>
      <c r="M400" s="38"/>
      <c r="N400" s="38"/>
      <c r="O400" s="38"/>
      <c r="P400" s="38"/>
    </row>
    <row r="401">
      <c r="A401" s="41"/>
      <c r="C401" s="7"/>
      <c r="D401" s="7"/>
      <c r="E401" s="18"/>
      <c r="F401" s="38"/>
      <c r="G401" s="38"/>
      <c r="H401" s="38"/>
      <c r="I401" s="38"/>
      <c r="J401" s="38"/>
      <c r="K401" s="38"/>
      <c r="L401" s="38"/>
      <c r="M401" s="38"/>
      <c r="N401" s="38"/>
      <c r="O401" s="38"/>
      <c r="P401" s="38"/>
    </row>
    <row r="402">
      <c r="A402" s="41"/>
      <c r="C402" s="7"/>
      <c r="D402" s="7"/>
      <c r="E402" s="18"/>
      <c r="F402" s="38"/>
      <c r="G402" s="38"/>
      <c r="H402" s="38"/>
      <c r="I402" s="38"/>
      <c r="J402" s="38"/>
      <c r="K402" s="38"/>
      <c r="L402" s="38"/>
      <c r="M402" s="38"/>
      <c r="N402" s="38"/>
      <c r="O402" s="38"/>
      <c r="P402" s="38"/>
    </row>
    <row r="403">
      <c r="A403" s="41"/>
      <c r="C403" s="7"/>
      <c r="D403" s="7"/>
      <c r="E403" s="18"/>
      <c r="F403" s="38"/>
      <c r="G403" s="38"/>
      <c r="H403" s="38"/>
      <c r="I403" s="38"/>
      <c r="J403" s="38"/>
      <c r="K403" s="38"/>
      <c r="L403" s="38"/>
      <c r="M403" s="38"/>
      <c r="N403" s="38"/>
      <c r="O403" s="38"/>
      <c r="P403" s="38"/>
    </row>
    <row r="404">
      <c r="A404" s="41"/>
      <c r="C404" s="7"/>
      <c r="D404" s="7"/>
      <c r="E404" s="18"/>
      <c r="F404" s="38"/>
      <c r="G404" s="38"/>
      <c r="H404" s="38"/>
      <c r="I404" s="38"/>
      <c r="J404" s="38"/>
      <c r="K404" s="38"/>
      <c r="L404" s="38"/>
      <c r="M404" s="38"/>
      <c r="N404" s="38"/>
      <c r="O404" s="38"/>
      <c r="P404" s="38"/>
    </row>
    <row r="405">
      <c r="A405" s="41"/>
      <c r="C405" s="7"/>
      <c r="D405" s="7"/>
      <c r="E405" s="18"/>
      <c r="F405" s="38"/>
      <c r="G405" s="38"/>
      <c r="H405" s="38"/>
      <c r="I405" s="38"/>
      <c r="J405" s="38"/>
      <c r="K405" s="38"/>
      <c r="L405" s="38"/>
      <c r="M405" s="38"/>
      <c r="N405" s="38"/>
      <c r="O405" s="38"/>
      <c r="P405" s="38"/>
    </row>
    <row r="406">
      <c r="A406" s="41"/>
      <c r="C406" s="7"/>
      <c r="D406" s="7"/>
      <c r="E406" s="18"/>
      <c r="F406" s="38"/>
      <c r="G406" s="38"/>
      <c r="H406" s="38"/>
      <c r="I406" s="38"/>
      <c r="J406" s="38"/>
      <c r="K406" s="38"/>
      <c r="L406" s="38"/>
      <c r="M406" s="38"/>
      <c r="N406" s="38"/>
      <c r="O406" s="38"/>
      <c r="P406" s="38"/>
    </row>
    <row r="407">
      <c r="A407" s="41"/>
      <c r="C407" s="7"/>
      <c r="D407" s="7"/>
      <c r="E407" s="18"/>
      <c r="F407" s="38"/>
      <c r="G407" s="38"/>
      <c r="H407" s="38"/>
      <c r="I407" s="38"/>
      <c r="J407" s="38"/>
      <c r="K407" s="38"/>
      <c r="L407" s="38"/>
      <c r="M407" s="38"/>
      <c r="N407" s="38"/>
      <c r="O407" s="38"/>
      <c r="P407" s="38"/>
    </row>
    <row r="408">
      <c r="A408" s="41"/>
      <c r="C408" s="7"/>
      <c r="D408" s="7"/>
      <c r="E408" s="18"/>
      <c r="F408" s="38"/>
      <c r="G408" s="38"/>
      <c r="H408" s="38"/>
      <c r="I408" s="38"/>
      <c r="J408" s="38"/>
      <c r="K408" s="38"/>
      <c r="L408" s="38"/>
      <c r="M408" s="38"/>
      <c r="N408" s="38"/>
      <c r="O408" s="38"/>
      <c r="P408" s="38"/>
    </row>
    <row r="409">
      <c r="A409" s="41"/>
      <c r="C409" s="7"/>
      <c r="D409" s="7"/>
      <c r="E409" s="18"/>
      <c r="F409" s="38"/>
      <c r="G409" s="38"/>
      <c r="H409" s="38"/>
      <c r="I409" s="38"/>
      <c r="J409" s="38"/>
      <c r="K409" s="38"/>
      <c r="L409" s="38"/>
      <c r="M409" s="38"/>
      <c r="N409" s="38"/>
      <c r="O409" s="38"/>
      <c r="P409" s="38"/>
    </row>
    <row r="410">
      <c r="A410" s="41"/>
      <c r="C410" s="7"/>
      <c r="D410" s="7"/>
      <c r="E410" s="18"/>
      <c r="F410" s="38"/>
      <c r="G410" s="38"/>
      <c r="H410" s="38"/>
      <c r="I410" s="38"/>
      <c r="J410" s="38"/>
      <c r="K410" s="38"/>
      <c r="L410" s="38"/>
      <c r="M410" s="38"/>
      <c r="N410" s="38"/>
      <c r="O410" s="38"/>
      <c r="P410" s="38"/>
    </row>
    <row r="411">
      <c r="A411" s="41"/>
      <c r="C411" s="7"/>
      <c r="D411" s="7"/>
      <c r="E411" s="18"/>
      <c r="F411" s="38"/>
      <c r="G411" s="38"/>
      <c r="H411" s="38"/>
      <c r="I411" s="38"/>
      <c r="J411" s="38"/>
      <c r="K411" s="38"/>
      <c r="L411" s="38"/>
      <c r="M411" s="38"/>
      <c r="N411" s="38"/>
      <c r="O411" s="38"/>
      <c r="P411" s="38"/>
    </row>
    <row r="412">
      <c r="A412" s="41"/>
      <c r="C412" s="7"/>
      <c r="D412" s="7"/>
      <c r="E412" s="18"/>
      <c r="F412" s="38"/>
      <c r="G412" s="38"/>
      <c r="H412" s="38"/>
      <c r="I412" s="38"/>
      <c r="J412" s="38"/>
      <c r="K412" s="38"/>
      <c r="L412" s="38"/>
      <c r="M412" s="38"/>
      <c r="N412" s="38"/>
      <c r="O412" s="38"/>
      <c r="P412" s="38"/>
    </row>
    <row r="413">
      <c r="A413" s="41"/>
      <c r="C413" s="7"/>
      <c r="D413" s="7"/>
      <c r="E413" s="18"/>
      <c r="F413" s="38"/>
      <c r="G413" s="38"/>
      <c r="H413" s="38"/>
      <c r="I413" s="38"/>
      <c r="J413" s="38"/>
      <c r="K413" s="38"/>
      <c r="L413" s="38"/>
      <c r="M413" s="38"/>
      <c r="N413" s="38"/>
      <c r="O413" s="38"/>
      <c r="P413" s="38"/>
    </row>
    <row r="414">
      <c r="A414" s="19"/>
      <c r="B414" s="19"/>
      <c r="C414" s="42"/>
      <c r="D414" s="42"/>
      <c r="E414" s="19"/>
      <c r="F414" s="39"/>
      <c r="G414" s="39"/>
      <c r="H414" s="39"/>
      <c r="I414" s="39"/>
      <c r="J414" s="39"/>
      <c r="K414" s="19"/>
      <c r="L414" s="19"/>
      <c r="M414" s="38"/>
      <c r="N414" s="38"/>
      <c r="O414" s="38"/>
      <c r="P414" s="38"/>
    </row>
    <row r="415">
      <c r="A415" s="41"/>
      <c r="C415" s="7"/>
      <c r="D415" s="7"/>
      <c r="E415" s="18"/>
      <c r="F415" s="38"/>
      <c r="G415" s="38"/>
      <c r="H415" s="38"/>
      <c r="I415" s="38"/>
      <c r="J415" s="38"/>
      <c r="K415" s="38"/>
      <c r="L415" s="38"/>
      <c r="M415" s="38"/>
      <c r="N415" s="38"/>
      <c r="O415" s="38"/>
      <c r="P415" s="38"/>
    </row>
    <row r="416">
      <c r="A416" s="41"/>
      <c r="C416" s="7"/>
      <c r="D416" s="7"/>
      <c r="E416" s="18"/>
      <c r="F416" s="38"/>
      <c r="G416" s="38"/>
      <c r="H416" s="38"/>
      <c r="I416" s="38"/>
      <c r="J416" s="38"/>
      <c r="K416" s="38"/>
      <c r="L416" s="38"/>
      <c r="M416" s="38"/>
      <c r="N416" s="38"/>
      <c r="O416" s="38"/>
      <c r="P416" s="38"/>
    </row>
    <row r="417">
      <c r="A417" s="41"/>
      <c r="C417" s="7"/>
      <c r="D417" s="7"/>
      <c r="E417" s="18"/>
      <c r="F417" s="38"/>
      <c r="G417" s="38"/>
      <c r="H417" s="38"/>
      <c r="I417" s="38"/>
      <c r="J417" s="38"/>
      <c r="K417" s="38"/>
      <c r="L417" s="38"/>
      <c r="M417" s="38"/>
      <c r="N417" s="38"/>
      <c r="O417" s="38"/>
      <c r="P417" s="38"/>
    </row>
    <row r="418">
      <c r="A418" s="41"/>
      <c r="C418" s="7"/>
      <c r="D418" s="7"/>
      <c r="E418" s="18"/>
      <c r="F418" s="38"/>
      <c r="G418" s="38"/>
      <c r="H418" s="38"/>
      <c r="I418" s="38"/>
      <c r="J418" s="38"/>
      <c r="K418" s="38"/>
      <c r="L418" s="38"/>
      <c r="M418" s="38"/>
      <c r="N418" s="38"/>
      <c r="O418" s="38"/>
      <c r="P418" s="38"/>
    </row>
    <row r="419">
      <c r="A419" s="41"/>
      <c r="C419" s="7"/>
      <c r="D419" s="7"/>
      <c r="E419" s="18"/>
      <c r="F419" s="38"/>
      <c r="G419" s="38"/>
      <c r="H419" s="38"/>
      <c r="I419" s="38"/>
      <c r="J419" s="38"/>
      <c r="K419" s="38"/>
      <c r="L419" s="38"/>
      <c r="M419" s="38"/>
      <c r="N419" s="38"/>
      <c r="O419" s="38"/>
      <c r="P419" s="38"/>
    </row>
    <row r="420">
      <c r="A420" s="41"/>
      <c r="C420" s="7"/>
      <c r="D420" s="7"/>
      <c r="E420" s="18"/>
      <c r="F420" s="38"/>
      <c r="G420" s="38"/>
      <c r="H420" s="38"/>
      <c r="I420" s="38"/>
      <c r="J420" s="38"/>
      <c r="K420" s="38"/>
      <c r="L420" s="38"/>
      <c r="M420" s="38"/>
      <c r="N420" s="38"/>
      <c r="O420" s="38"/>
      <c r="P420" s="38"/>
    </row>
    <row r="421">
      <c r="A421" s="41"/>
      <c r="C421" s="7"/>
      <c r="D421" s="7"/>
      <c r="E421" s="18"/>
      <c r="F421" s="38"/>
      <c r="G421" s="38"/>
      <c r="H421" s="38"/>
      <c r="I421" s="38"/>
      <c r="J421" s="38"/>
      <c r="K421" s="38"/>
      <c r="L421" s="38"/>
      <c r="M421" s="38"/>
      <c r="N421" s="38"/>
      <c r="O421" s="38"/>
      <c r="P421" s="38"/>
    </row>
    <row r="422">
      <c r="A422" s="41"/>
      <c r="C422" s="7"/>
      <c r="D422" s="7"/>
      <c r="E422" s="18"/>
      <c r="F422" s="38"/>
      <c r="G422" s="38"/>
      <c r="H422" s="38"/>
      <c r="I422" s="38"/>
      <c r="J422" s="38"/>
      <c r="K422" s="38"/>
      <c r="L422" s="38"/>
      <c r="M422" s="38"/>
      <c r="N422" s="38"/>
      <c r="O422" s="38"/>
      <c r="P422" s="38"/>
    </row>
    <row r="423">
      <c r="A423" s="41"/>
      <c r="C423" s="7"/>
      <c r="D423" s="7"/>
      <c r="E423" s="18"/>
      <c r="F423" s="38"/>
      <c r="G423" s="38"/>
      <c r="H423" s="38"/>
      <c r="I423" s="38"/>
      <c r="J423" s="38"/>
      <c r="K423" s="38"/>
      <c r="L423" s="38"/>
      <c r="M423" s="38"/>
      <c r="N423" s="38"/>
      <c r="O423" s="38"/>
      <c r="P423" s="38"/>
    </row>
    <row r="424">
      <c r="A424" s="41"/>
      <c r="C424" s="7"/>
      <c r="D424" s="7"/>
      <c r="E424" s="18"/>
      <c r="F424" s="38"/>
      <c r="G424" s="38"/>
      <c r="H424" s="38"/>
      <c r="I424" s="38"/>
      <c r="J424" s="38"/>
      <c r="K424" s="38"/>
      <c r="L424" s="38"/>
      <c r="M424" s="38"/>
      <c r="N424" s="38"/>
      <c r="O424" s="38"/>
      <c r="P424" s="38"/>
    </row>
    <row r="425">
      <c r="A425" s="41"/>
      <c r="C425" s="7"/>
      <c r="D425" s="7"/>
      <c r="E425" s="18"/>
      <c r="F425" s="38"/>
      <c r="G425" s="38"/>
      <c r="H425" s="38"/>
      <c r="I425" s="38"/>
      <c r="J425" s="38"/>
      <c r="K425" s="38"/>
      <c r="L425" s="38"/>
      <c r="M425" s="38"/>
      <c r="N425" s="38"/>
      <c r="O425" s="38"/>
      <c r="P425" s="38"/>
    </row>
    <row r="426">
      <c r="A426" s="41"/>
      <c r="C426" s="7"/>
      <c r="D426" s="7"/>
      <c r="E426" s="18"/>
      <c r="F426" s="38"/>
      <c r="G426" s="38"/>
      <c r="H426" s="38"/>
      <c r="I426" s="38"/>
      <c r="J426" s="38"/>
      <c r="K426" s="38"/>
      <c r="L426" s="38"/>
      <c r="M426" s="38"/>
      <c r="N426" s="38"/>
      <c r="O426" s="38"/>
      <c r="P426" s="38"/>
    </row>
    <row r="427">
      <c r="A427" s="41"/>
      <c r="C427" s="7"/>
      <c r="D427" s="7"/>
      <c r="E427" s="18"/>
      <c r="F427" s="38"/>
      <c r="G427" s="38"/>
      <c r="H427" s="38"/>
      <c r="I427" s="38"/>
      <c r="J427" s="38"/>
      <c r="K427" s="38"/>
      <c r="L427" s="38"/>
      <c r="M427" s="38"/>
      <c r="N427" s="38"/>
      <c r="O427" s="38"/>
      <c r="P427" s="38"/>
    </row>
    <row r="428">
      <c r="A428" s="41"/>
      <c r="C428" s="7"/>
      <c r="D428" s="7"/>
      <c r="E428" s="18"/>
      <c r="F428" s="38"/>
      <c r="G428" s="38"/>
      <c r="H428" s="38"/>
      <c r="I428" s="38"/>
      <c r="J428" s="38"/>
      <c r="K428" s="38"/>
      <c r="L428" s="38"/>
      <c r="M428" s="38"/>
      <c r="N428" s="38"/>
      <c r="O428" s="38"/>
      <c r="P428" s="38"/>
    </row>
    <row r="429">
      <c r="A429" s="41"/>
      <c r="C429" s="7"/>
      <c r="D429" s="7"/>
      <c r="E429" s="18"/>
      <c r="F429" s="38"/>
      <c r="G429" s="38"/>
      <c r="H429" s="38"/>
      <c r="I429" s="38"/>
      <c r="J429" s="38"/>
      <c r="K429" s="38"/>
      <c r="L429" s="38"/>
      <c r="M429" s="38"/>
      <c r="N429" s="38"/>
      <c r="O429" s="38"/>
      <c r="P429" s="38"/>
    </row>
    <row r="430">
      <c r="A430" s="41"/>
      <c r="C430" s="7"/>
      <c r="D430" s="7"/>
      <c r="E430" s="18"/>
      <c r="F430" s="38"/>
      <c r="G430" s="38"/>
      <c r="H430" s="38"/>
      <c r="I430" s="38"/>
      <c r="J430" s="38"/>
      <c r="K430" s="38"/>
      <c r="L430" s="38"/>
      <c r="M430" s="38"/>
      <c r="N430" s="38"/>
      <c r="O430" s="38"/>
      <c r="P430" s="38"/>
    </row>
    <row r="431">
      <c r="A431" s="41"/>
      <c r="C431" s="7"/>
      <c r="D431" s="7"/>
      <c r="E431" s="18"/>
      <c r="F431" s="38"/>
      <c r="G431" s="38"/>
      <c r="H431" s="38"/>
      <c r="I431" s="38"/>
      <c r="J431" s="38"/>
      <c r="K431" s="38"/>
      <c r="L431" s="38"/>
      <c r="M431" s="38"/>
      <c r="N431" s="38"/>
      <c r="O431" s="38"/>
      <c r="P431" s="38"/>
    </row>
    <row r="432">
      <c r="A432" s="41"/>
      <c r="C432" s="7"/>
      <c r="D432" s="7"/>
      <c r="E432" s="18"/>
      <c r="F432" s="38"/>
      <c r="G432" s="38"/>
      <c r="H432" s="38"/>
      <c r="I432" s="38"/>
      <c r="J432" s="38"/>
      <c r="K432" s="38"/>
      <c r="L432" s="38"/>
      <c r="M432" s="38"/>
      <c r="N432" s="38"/>
      <c r="O432" s="38"/>
      <c r="P432" s="38"/>
    </row>
    <row r="433">
      <c r="A433" s="41"/>
      <c r="C433" s="7"/>
      <c r="D433" s="7"/>
      <c r="E433" s="18"/>
      <c r="F433" s="38"/>
      <c r="G433" s="38"/>
      <c r="H433" s="38"/>
      <c r="I433" s="38"/>
      <c r="J433" s="38"/>
      <c r="K433" s="38"/>
      <c r="L433" s="38"/>
      <c r="M433" s="38"/>
      <c r="N433" s="38"/>
      <c r="O433" s="38"/>
      <c r="P433" s="38"/>
    </row>
    <row r="434">
      <c r="A434" s="41"/>
      <c r="C434" s="7"/>
      <c r="D434" s="7"/>
      <c r="E434" s="18"/>
      <c r="F434" s="38"/>
      <c r="G434" s="38"/>
      <c r="H434" s="38"/>
      <c r="I434" s="38"/>
      <c r="J434" s="38"/>
      <c r="K434" s="38"/>
      <c r="L434" s="38"/>
      <c r="M434" s="38"/>
      <c r="N434" s="38"/>
      <c r="O434" s="38"/>
      <c r="P434" s="38"/>
    </row>
    <row r="435">
      <c r="A435" s="41"/>
      <c r="C435" s="7"/>
      <c r="D435" s="7"/>
      <c r="E435" s="18"/>
      <c r="F435" s="38"/>
      <c r="G435" s="38"/>
      <c r="H435" s="38"/>
      <c r="I435" s="38"/>
      <c r="J435" s="38"/>
      <c r="K435" s="38"/>
      <c r="L435" s="38"/>
      <c r="M435" s="38"/>
      <c r="N435" s="38"/>
      <c r="O435" s="38"/>
      <c r="P435" s="38"/>
    </row>
    <row r="436">
      <c r="A436" s="41"/>
      <c r="C436" s="7"/>
      <c r="D436" s="7"/>
      <c r="E436" s="18"/>
      <c r="F436" s="38"/>
      <c r="G436" s="38"/>
      <c r="H436" s="38"/>
      <c r="I436" s="38"/>
      <c r="J436" s="38"/>
      <c r="K436" s="38"/>
      <c r="L436" s="38"/>
      <c r="M436" s="38"/>
      <c r="N436" s="38"/>
      <c r="O436" s="38"/>
      <c r="P436" s="38"/>
    </row>
    <row r="437">
      <c r="A437" s="41"/>
      <c r="C437" s="7"/>
      <c r="D437" s="7"/>
      <c r="E437" s="18"/>
      <c r="F437" s="38"/>
      <c r="G437" s="38"/>
      <c r="H437" s="38"/>
      <c r="I437" s="38"/>
      <c r="J437" s="38"/>
      <c r="K437" s="38"/>
      <c r="L437" s="38"/>
      <c r="M437" s="38"/>
      <c r="N437" s="38"/>
      <c r="O437" s="38"/>
      <c r="P437" s="38"/>
    </row>
    <row r="438">
      <c r="A438" s="41"/>
      <c r="C438" s="7"/>
      <c r="D438" s="7"/>
      <c r="E438" s="18"/>
      <c r="F438" s="38"/>
      <c r="G438" s="38"/>
      <c r="H438" s="38"/>
      <c r="I438" s="38"/>
      <c r="J438" s="38"/>
      <c r="K438" s="38"/>
      <c r="L438" s="38"/>
      <c r="M438" s="38"/>
      <c r="N438" s="38"/>
      <c r="O438" s="38"/>
      <c r="P438" s="38"/>
    </row>
    <row r="439">
      <c r="A439" s="41"/>
      <c r="C439" s="7"/>
      <c r="D439" s="7"/>
      <c r="E439" s="18"/>
      <c r="F439" s="38"/>
      <c r="G439" s="38"/>
      <c r="H439" s="38"/>
      <c r="I439" s="38"/>
      <c r="J439" s="38"/>
      <c r="K439" s="38"/>
      <c r="L439" s="38"/>
      <c r="M439" s="38"/>
      <c r="N439" s="38"/>
      <c r="O439" s="38"/>
      <c r="P439" s="38"/>
    </row>
    <row r="440">
      <c r="A440" s="41"/>
      <c r="C440" s="7"/>
      <c r="D440" s="7"/>
      <c r="E440" s="18"/>
      <c r="F440" s="38"/>
      <c r="G440" s="38"/>
      <c r="H440" s="38"/>
      <c r="I440" s="38"/>
      <c r="J440" s="38"/>
      <c r="K440" s="38"/>
      <c r="L440" s="38"/>
      <c r="M440" s="38"/>
      <c r="N440" s="38"/>
      <c r="O440" s="38"/>
      <c r="P440" s="38"/>
    </row>
    <row r="441">
      <c r="A441" s="41"/>
      <c r="C441" s="7"/>
      <c r="D441" s="7"/>
      <c r="E441" s="18"/>
      <c r="F441" s="38"/>
      <c r="G441" s="38"/>
      <c r="H441" s="38"/>
      <c r="I441" s="38"/>
      <c r="J441" s="38"/>
      <c r="K441" s="38"/>
      <c r="L441" s="38"/>
      <c r="M441" s="38"/>
      <c r="N441" s="38"/>
      <c r="O441" s="38"/>
      <c r="P441" s="38"/>
    </row>
    <row r="442">
      <c r="A442" s="41"/>
      <c r="C442" s="7"/>
      <c r="D442" s="7"/>
      <c r="E442" s="18"/>
      <c r="F442" s="38"/>
      <c r="G442" s="38"/>
      <c r="H442" s="38"/>
      <c r="I442" s="38"/>
      <c r="J442" s="38"/>
      <c r="K442" s="38"/>
      <c r="L442" s="38"/>
      <c r="M442" s="38"/>
      <c r="N442" s="38"/>
      <c r="O442" s="38"/>
      <c r="P442" s="38"/>
    </row>
    <row r="443">
      <c r="A443" s="41"/>
      <c r="C443" s="7"/>
      <c r="D443" s="7"/>
      <c r="E443" s="18"/>
      <c r="F443" s="38"/>
      <c r="G443" s="38"/>
      <c r="H443" s="38"/>
      <c r="I443" s="38"/>
      <c r="J443" s="38"/>
      <c r="K443" s="38"/>
      <c r="L443" s="38"/>
      <c r="M443" s="38"/>
      <c r="N443" s="38"/>
      <c r="O443" s="38"/>
      <c r="P443" s="38"/>
    </row>
    <row r="444">
      <c r="A444" s="41"/>
      <c r="C444" s="7"/>
      <c r="D444" s="7"/>
      <c r="E444" s="18"/>
      <c r="F444" s="38"/>
      <c r="G444" s="38"/>
      <c r="H444" s="38"/>
      <c r="I444" s="38"/>
      <c r="J444" s="38"/>
      <c r="K444" s="38"/>
      <c r="L444" s="38"/>
      <c r="M444" s="38"/>
      <c r="N444" s="38"/>
      <c r="O444" s="38"/>
      <c r="P444" s="38"/>
    </row>
    <row r="445">
      <c r="A445" s="41"/>
      <c r="C445" s="7"/>
      <c r="D445" s="7"/>
      <c r="E445" s="18"/>
      <c r="F445" s="38"/>
      <c r="G445" s="38"/>
      <c r="H445" s="38"/>
      <c r="I445" s="38"/>
      <c r="J445" s="38"/>
      <c r="K445" s="38"/>
      <c r="L445" s="38"/>
      <c r="M445" s="38"/>
      <c r="N445" s="38"/>
      <c r="O445" s="38"/>
      <c r="P445" s="38"/>
    </row>
    <row r="446">
      <c r="A446" s="41"/>
      <c r="C446" s="7"/>
      <c r="D446" s="7"/>
      <c r="E446" s="18"/>
      <c r="F446" s="38"/>
      <c r="G446" s="38"/>
      <c r="H446" s="38"/>
      <c r="I446" s="38"/>
      <c r="J446" s="38"/>
      <c r="K446" s="38"/>
      <c r="L446" s="38"/>
      <c r="M446" s="38"/>
      <c r="N446" s="38"/>
      <c r="O446" s="38"/>
      <c r="P446" s="38"/>
    </row>
    <row r="447">
      <c r="A447" s="41"/>
      <c r="C447" s="7"/>
      <c r="D447" s="7"/>
      <c r="E447" s="18"/>
      <c r="F447" s="38"/>
      <c r="G447" s="38"/>
      <c r="H447" s="38"/>
      <c r="I447" s="38"/>
      <c r="J447" s="38"/>
      <c r="K447" s="38"/>
      <c r="L447" s="38"/>
      <c r="M447" s="38"/>
      <c r="N447" s="38"/>
      <c r="O447" s="38"/>
      <c r="P447" s="38"/>
    </row>
    <row r="448">
      <c r="A448" s="41"/>
      <c r="C448" s="7"/>
      <c r="D448" s="7"/>
      <c r="E448" s="18"/>
      <c r="F448" s="38"/>
      <c r="G448" s="38"/>
      <c r="H448" s="38"/>
      <c r="I448" s="38"/>
      <c r="J448" s="38"/>
      <c r="K448" s="38"/>
      <c r="L448" s="38"/>
      <c r="M448" s="38"/>
      <c r="N448" s="38"/>
      <c r="O448" s="38"/>
      <c r="P448" s="38"/>
    </row>
    <row r="449">
      <c r="A449" s="41"/>
      <c r="C449" s="7"/>
      <c r="D449" s="7"/>
      <c r="E449" s="18"/>
      <c r="F449" s="38"/>
      <c r="G449" s="38"/>
      <c r="H449" s="38"/>
      <c r="I449" s="38"/>
      <c r="J449" s="38"/>
      <c r="K449" s="38"/>
      <c r="L449" s="38"/>
      <c r="M449" s="38"/>
      <c r="N449" s="38"/>
      <c r="O449" s="38"/>
      <c r="P449" s="38"/>
    </row>
    <row r="450">
      <c r="A450" s="41"/>
      <c r="C450" s="7"/>
      <c r="D450" s="7"/>
      <c r="E450" s="18"/>
      <c r="F450" s="38"/>
      <c r="G450" s="38"/>
      <c r="H450" s="38"/>
      <c r="I450" s="38"/>
      <c r="J450" s="38"/>
      <c r="K450" s="38"/>
      <c r="L450" s="38"/>
      <c r="M450" s="38"/>
      <c r="N450" s="38"/>
      <c r="O450" s="38"/>
      <c r="P450" s="38"/>
    </row>
    <row r="451">
      <c r="A451" s="41"/>
      <c r="C451" s="7"/>
      <c r="D451" s="7"/>
      <c r="E451" s="18"/>
      <c r="F451" s="38"/>
      <c r="G451" s="38"/>
      <c r="H451" s="38"/>
      <c r="I451" s="38"/>
      <c r="J451" s="38"/>
      <c r="K451" s="38"/>
      <c r="L451" s="38"/>
      <c r="M451" s="38"/>
      <c r="N451" s="38"/>
      <c r="O451" s="38"/>
      <c r="P451" s="38"/>
    </row>
    <row r="452">
      <c r="A452" s="41"/>
      <c r="C452" s="7"/>
      <c r="D452" s="7"/>
      <c r="E452" s="18"/>
      <c r="F452" s="38"/>
      <c r="G452" s="38"/>
      <c r="H452" s="38"/>
      <c r="I452" s="38"/>
      <c r="J452" s="38"/>
      <c r="K452" s="38"/>
      <c r="L452" s="38"/>
      <c r="M452" s="38"/>
      <c r="N452" s="38"/>
      <c r="O452" s="38"/>
      <c r="P452" s="38"/>
    </row>
    <row r="453">
      <c r="A453" s="41"/>
      <c r="C453" s="7"/>
      <c r="D453" s="7"/>
      <c r="E453" s="18"/>
      <c r="F453" s="38"/>
      <c r="G453" s="38"/>
      <c r="H453" s="38"/>
      <c r="I453" s="38"/>
      <c r="J453" s="38"/>
      <c r="K453" s="38"/>
      <c r="L453" s="38"/>
      <c r="M453" s="38"/>
      <c r="N453" s="38"/>
      <c r="O453" s="38"/>
      <c r="P453" s="38"/>
    </row>
    <row r="454">
      <c r="A454" s="41"/>
      <c r="C454" s="7"/>
      <c r="D454" s="7"/>
      <c r="E454" s="18"/>
      <c r="F454" s="38"/>
      <c r="G454" s="38"/>
      <c r="H454" s="38"/>
      <c r="I454" s="38"/>
      <c r="J454" s="38"/>
      <c r="K454" s="38"/>
      <c r="L454" s="38"/>
      <c r="M454" s="38"/>
      <c r="N454" s="38"/>
      <c r="O454" s="38"/>
      <c r="P454" s="38"/>
    </row>
    <row r="455">
      <c r="A455" s="19"/>
      <c r="B455" s="19"/>
      <c r="C455" s="42"/>
      <c r="D455" s="42"/>
      <c r="E455" s="19"/>
      <c r="F455" s="39"/>
      <c r="G455" s="39"/>
      <c r="H455" s="39"/>
      <c r="I455" s="39"/>
      <c r="J455" s="39"/>
      <c r="K455" s="19"/>
      <c r="L455" s="19"/>
      <c r="M455" s="38"/>
      <c r="N455" s="38"/>
      <c r="O455" s="38"/>
      <c r="P455" s="38"/>
    </row>
    <row r="456">
      <c r="A456" s="41"/>
      <c r="C456" s="7"/>
      <c r="D456" s="7"/>
      <c r="E456" s="18"/>
      <c r="F456" s="38"/>
      <c r="G456" s="38"/>
      <c r="H456" s="38"/>
      <c r="I456" s="38"/>
      <c r="J456" s="38"/>
      <c r="K456" s="38"/>
      <c r="L456" s="38"/>
      <c r="M456" s="38"/>
      <c r="N456" s="38"/>
      <c r="O456" s="38"/>
      <c r="P456" s="38"/>
    </row>
    <row r="457">
      <c r="A457" s="41"/>
      <c r="C457" s="7"/>
      <c r="D457" s="7"/>
      <c r="E457" s="18"/>
      <c r="F457" s="38"/>
      <c r="G457" s="38"/>
      <c r="H457" s="38"/>
      <c r="I457" s="38"/>
      <c r="J457" s="38"/>
      <c r="K457" s="38"/>
      <c r="L457" s="38"/>
      <c r="M457" s="38"/>
      <c r="N457" s="38"/>
      <c r="O457" s="38"/>
      <c r="P457" s="38"/>
    </row>
    <row r="458">
      <c r="A458" s="41"/>
      <c r="C458" s="7"/>
      <c r="D458" s="7"/>
      <c r="E458" s="18"/>
      <c r="F458" s="38"/>
      <c r="G458" s="38"/>
      <c r="H458" s="38"/>
      <c r="I458" s="38"/>
      <c r="J458" s="38"/>
      <c r="K458" s="38"/>
      <c r="L458" s="38"/>
      <c r="M458" s="38"/>
      <c r="N458" s="38"/>
      <c r="O458" s="38"/>
      <c r="P458" s="38"/>
    </row>
    <row r="459">
      <c r="A459" s="41"/>
      <c r="C459" s="7"/>
      <c r="D459" s="7"/>
      <c r="E459" s="18"/>
      <c r="F459" s="38"/>
      <c r="G459" s="38"/>
      <c r="H459" s="38"/>
      <c r="I459" s="38"/>
      <c r="J459" s="38"/>
      <c r="K459" s="38"/>
      <c r="L459" s="38"/>
      <c r="M459" s="38"/>
      <c r="N459" s="38"/>
      <c r="O459" s="38"/>
      <c r="P459" s="38"/>
    </row>
    <row r="460">
      <c r="A460" s="41"/>
      <c r="C460" s="7"/>
      <c r="D460" s="7"/>
      <c r="E460" s="18"/>
      <c r="F460" s="38"/>
      <c r="G460" s="38"/>
      <c r="H460" s="38"/>
      <c r="I460" s="38"/>
      <c r="J460" s="38"/>
      <c r="K460" s="38"/>
      <c r="L460" s="38"/>
      <c r="M460" s="38"/>
      <c r="N460" s="38"/>
      <c r="O460" s="38"/>
      <c r="P460" s="38"/>
    </row>
    <row r="461">
      <c r="A461" s="41"/>
      <c r="C461" s="7"/>
      <c r="D461" s="7"/>
      <c r="E461" s="18"/>
      <c r="F461" s="38"/>
      <c r="G461" s="38"/>
      <c r="H461" s="38"/>
      <c r="I461" s="38"/>
      <c r="J461" s="38"/>
      <c r="K461" s="38"/>
      <c r="L461" s="38"/>
      <c r="M461" s="38"/>
      <c r="N461" s="38"/>
      <c r="O461" s="38"/>
      <c r="P461" s="38"/>
    </row>
    <row r="462">
      <c r="A462" s="41"/>
      <c r="C462" s="7"/>
      <c r="D462" s="7"/>
      <c r="E462" s="18"/>
      <c r="F462" s="38"/>
      <c r="G462" s="38"/>
      <c r="H462" s="38"/>
      <c r="I462" s="38"/>
      <c r="J462" s="38"/>
      <c r="K462" s="38"/>
      <c r="L462" s="38"/>
      <c r="M462" s="38"/>
      <c r="N462" s="38"/>
      <c r="O462" s="38"/>
      <c r="P462" s="38"/>
    </row>
    <row r="463">
      <c r="A463" s="41"/>
      <c r="C463" s="7"/>
      <c r="D463" s="7"/>
      <c r="E463" s="18"/>
      <c r="F463" s="38"/>
      <c r="G463" s="38"/>
      <c r="H463" s="38"/>
      <c r="I463" s="38"/>
      <c r="J463" s="38"/>
      <c r="K463" s="38"/>
      <c r="L463" s="38"/>
      <c r="M463" s="38"/>
      <c r="N463" s="38"/>
      <c r="O463" s="38"/>
      <c r="P463" s="38"/>
    </row>
    <row r="464">
      <c r="A464" s="41"/>
      <c r="C464" s="7"/>
      <c r="D464" s="7"/>
      <c r="E464" s="18"/>
      <c r="F464" s="38"/>
      <c r="G464" s="38"/>
      <c r="H464" s="38"/>
      <c r="I464" s="38"/>
      <c r="J464" s="38"/>
      <c r="K464" s="38"/>
      <c r="L464" s="38"/>
      <c r="M464" s="38"/>
      <c r="N464" s="38"/>
      <c r="O464" s="38"/>
      <c r="P464" s="38"/>
    </row>
    <row r="465">
      <c r="A465" s="41"/>
      <c r="C465" s="7"/>
      <c r="D465" s="7"/>
      <c r="E465" s="18"/>
      <c r="F465" s="38"/>
      <c r="G465" s="38"/>
      <c r="H465" s="38"/>
      <c r="I465" s="38"/>
      <c r="J465" s="38"/>
      <c r="K465" s="38"/>
      <c r="L465" s="38"/>
      <c r="M465" s="38"/>
      <c r="N465" s="38"/>
      <c r="O465" s="38"/>
      <c r="P465" s="38"/>
    </row>
    <row r="466">
      <c r="A466" s="41"/>
      <c r="C466" s="7"/>
      <c r="D466" s="7"/>
      <c r="E466" s="18"/>
      <c r="F466" s="38"/>
      <c r="G466" s="38"/>
      <c r="H466" s="38"/>
      <c r="I466" s="38"/>
      <c r="J466" s="38"/>
      <c r="K466" s="38"/>
      <c r="L466" s="38"/>
      <c r="M466" s="38"/>
      <c r="N466" s="38"/>
      <c r="O466" s="38"/>
      <c r="P466" s="38"/>
    </row>
    <row r="467">
      <c r="A467" s="41"/>
      <c r="C467" s="7"/>
      <c r="D467" s="7"/>
      <c r="E467" s="18"/>
      <c r="F467" s="38"/>
      <c r="G467" s="38"/>
      <c r="H467" s="38"/>
      <c r="I467" s="38"/>
      <c r="J467" s="38"/>
      <c r="K467" s="38"/>
      <c r="L467" s="38"/>
      <c r="M467" s="38"/>
      <c r="N467" s="38"/>
      <c r="O467" s="38"/>
      <c r="P467" s="38"/>
    </row>
    <row r="468">
      <c r="A468" s="41"/>
      <c r="C468" s="7"/>
      <c r="D468" s="7"/>
      <c r="E468" s="18"/>
      <c r="F468" s="38"/>
      <c r="G468" s="38"/>
      <c r="H468" s="38"/>
      <c r="I468" s="38"/>
      <c r="J468" s="38"/>
      <c r="K468" s="38"/>
      <c r="L468" s="38"/>
      <c r="M468" s="38"/>
      <c r="N468" s="38"/>
      <c r="O468" s="38"/>
      <c r="P468" s="38"/>
    </row>
    <row r="469">
      <c r="A469" s="41"/>
      <c r="C469" s="7"/>
      <c r="D469" s="7"/>
      <c r="E469" s="18"/>
      <c r="F469" s="38"/>
      <c r="G469" s="38"/>
      <c r="H469" s="38"/>
      <c r="I469" s="38"/>
      <c r="J469" s="38"/>
      <c r="K469" s="38"/>
      <c r="L469" s="38"/>
      <c r="M469" s="38"/>
      <c r="N469" s="38"/>
      <c r="O469" s="38"/>
      <c r="P469" s="38"/>
    </row>
    <row r="470">
      <c r="A470" s="41"/>
      <c r="C470" s="7"/>
      <c r="D470" s="7"/>
      <c r="E470" s="18"/>
      <c r="F470" s="38"/>
      <c r="G470" s="38"/>
      <c r="H470" s="38"/>
      <c r="I470" s="38"/>
      <c r="J470" s="38"/>
      <c r="K470" s="38"/>
      <c r="L470" s="38"/>
      <c r="M470" s="38"/>
      <c r="N470" s="38"/>
      <c r="O470" s="38"/>
      <c r="P470" s="38"/>
    </row>
    <row r="471">
      <c r="A471" s="41"/>
      <c r="C471" s="7"/>
      <c r="D471" s="7"/>
      <c r="E471" s="18"/>
      <c r="F471" s="38"/>
      <c r="G471" s="38"/>
      <c r="H471" s="38"/>
      <c r="I471" s="38"/>
      <c r="J471" s="38"/>
      <c r="K471" s="38"/>
      <c r="L471" s="38"/>
      <c r="M471" s="38"/>
      <c r="N471" s="38"/>
      <c r="O471" s="38"/>
      <c r="P471" s="38"/>
    </row>
    <row r="472">
      <c r="A472" s="41"/>
      <c r="C472" s="7"/>
      <c r="D472" s="7"/>
      <c r="E472" s="18"/>
      <c r="F472" s="38"/>
      <c r="G472" s="38"/>
      <c r="H472" s="38"/>
      <c r="I472" s="38"/>
      <c r="J472" s="38"/>
      <c r="K472" s="38"/>
      <c r="L472" s="38"/>
      <c r="M472" s="38"/>
      <c r="N472" s="38"/>
      <c r="O472" s="38"/>
      <c r="P472" s="38"/>
    </row>
    <row r="473">
      <c r="A473" s="41"/>
      <c r="C473" s="7"/>
      <c r="D473" s="7"/>
      <c r="E473" s="18"/>
      <c r="F473" s="38"/>
      <c r="G473" s="38"/>
      <c r="H473" s="38"/>
      <c r="I473" s="38"/>
      <c r="J473" s="38"/>
      <c r="K473" s="38"/>
      <c r="L473" s="38"/>
      <c r="M473" s="38"/>
      <c r="N473" s="38"/>
      <c r="O473" s="38"/>
      <c r="P473" s="38"/>
    </row>
    <row r="474">
      <c r="A474" s="41"/>
      <c r="C474" s="7"/>
      <c r="D474" s="7"/>
      <c r="E474" s="18"/>
      <c r="F474" s="38"/>
      <c r="G474" s="38"/>
      <c r="H474" s="38"/>
      <c r="I474" s="38"/>
      <c r="J474" s="38"/>
      <c r="K474" s="38"/>
      <c r="L474" s="38"/>
      <c r="M474" s="38"/>
      <c r="N474" s="38"/>
      <c r="O474" s="38"/>
      <c r="P474" s="38"/>
    </row>
    <row r="475">
      <c r="A475" s="41"/>
      <c r="C475" s="7"/>
      <c r="D475" s="7"/>
      <c r="E475" s="18"/>
      <c r="F475" s="38"/>
      <c r="G475" s="38"/>
      <c r="H475" s="38"/>
      <c r="I475" s="38"/>
      <c r="J475" s="38"/>
      <c r="K475" s="38"/>
      <c r="L475" s="38"/>
      <c r="M475" s="38"/>
      <c r="N475" s="38"/>
      <c r="O475" s="38"/>
      <c r="P475" s="38"/>
    </row>
    <row r="476">
      <c r="A476" s="41"/>
      <c r="C476" s="7"/>
      <c r="D476" s="7"/>
      <c r="E476" s="18"/>
      <c r="F476" s="38"/>
      <c r="G476" s="38"/>
      <c r="H476" s="38"/>
      <c r="I476" s="38"/>
      <c r="J476" s="38"/>
      <c r="K476" s="38"/>
      <c r="L476" s="38"/>
      <c r="M476" s="38"/>
      <c r="N476" s="38"/>
      <c r="O476" s="38"/>
      <c r="P476" s="38"/>
    </row>
    <row r="477">
      <c r="A477" s="41"/>
      <c r="C477" s="7"/>
      <c r="D477" s="7"/>
      <c r="E477" s="18"/>
      <c r="F477" s="38"/>
      <c r="G477" s="38"/>
      <c r="H477" s="38"/>
      <c r="I477" s="38"/>
      <c r="J477" s="38"/>
      <c r="K477" s="38"/>
      <c r="L477" s="38"/>
      <c r="M477" s="38"/>
      <c r="N477" s="38"/>
      <c r="O477" s="38"/>
      <c r="P477" s="38"/>
    </row>
    <row r="478">
      <c r="A478" s="41"/>
      <c r="C478" s="7"/>
      <c r="D478" s="7"/>
      <c r="E478" s="18"/>
      <c r="F478" s="38"/>
      <c r="G478" s="38"/>
      <c r="H478" s="38"/>
      <c r="I478" s="38"/>
      <c r="J478" s="38"/>
      <c r="K478" s="38"/>
      <c r="L478" s="38"/>
      <c r="M478" s="38"/>
      <c r="N478" s="38"/>
      <c r="O478" s="38"/>
      <c r="P478" s="38"/>
    </row>
    <row r="479">
      <c r="A479" s="41"/>
      <c r="C479" s="7"/>
      <c r="D479" s="7"/>
      <c r="E479" s="18"/>
      <c r="F479" s="38"/>
      <c r="G479" s="38"/>
      <c r="H479" s="38"/>
      <c r="I479" s="38"/>
      <c r="J479" s="38"/>
      <c r="K479" s="38"/>
      <c r="L479" s="38"/>
      <c r="M479" s="38"/>
      <c r="N479" s="38"/>
      <c r="O479" s="38"/>
      <c r="P479" s="38"/>
    </row>
    <row r="480">
      <c r="A480" s="41"/>
      <c r="C480" s="7"/>
      <c r="D480" s="7"/>
      <c r="E480" s="18"/>
      <c r="F480" s="38"/>
      <c r="G480" s="38"/>
      <c r="H480" s="38"/>
      <c r="I480" s="38"/>
      <c r="J480" s="38"/>
      <c r="K480" s="38"/>
      <c r="L480" s="38"/>
      <c r="M480" s="38"/>
      <c r="N480" s="38"/>
      <c r="O480" s="38"/>
      <c r="P480" s="38"/>
    </row>
    <row r="481">
      <c r="A481" s="41"/>
      <c r="C481" s="7"/>
      <c r="D481" s="7"/>
      <c r="E481" s="18"/>
      <c r="F481" s="38"/>
      <c r="G481" s="38"/>
      <c r="H481" s="38"/>
      <c r="I481" s="38"/>
      <c r="J481" s="38"/>
      <c r="K481" s="38"/>
      <c r="L481" s="38"/>
      <c r="M481" s="38"/>
      <c r="N481" s="38"/>
      <c r="O481" s="38"/>
      <c r="P481" s="38"/>
    </row>
    <row r="482">
      <c r="A482" s="41"/>
      <c r="C482" s="7"/>
      <c r="D482" s="7"/>
      <c r="E482" s="18"/>
      <c r="F482" s="38"/>
      <c r="G482" s="38"/>
      <c r="H482" s="38"/>
      <c r="I482" s="38"/>
      <c r="J482" s="38"/>
      <c r="K482" s="38"/>
      <c r="L482" s="38"/>
      <c r="M482" s="38"/>
      <c r="N482" s="38"/>
      <c r="O482" s="38"/>
      <c r="P482" s="38"/>
    </row>
    <row r="483">
      <c r="A483" s="41"/>
      <c r="C483" s="7"/>
      <c r="D483" s="7"/>
      <c r="E483" s="18"/>
      <c r="F483" s="38"/>
      <c r="G483" s="38"/>
      <c r="H483" s="38"/>
      <c r="I483" s="38"/>
      <c r="J483" s="38"/>
      <c r="K483" s="38"/>
      <c r="L483" s="38"/>
      <c r="M483" s="38"/>
      <c r="N483" s="38"/>
      <c r="O483" s="38"/>
      <c r="P483" s="38"/>
    </row>
    <row r="484">
      <c r="A484" s="41"/>
      <c r="C484" s="7"/>
      <c r="D484" s="7"/>
      <c r="E484" s="18"/>
      <c r="F484" s="38"/>
      <c r="G484" s="38"/>
      <c r="H484" s="38"/>
      <c r="I484" s="38"/>
      <c r="J484" s="38"/>
      <c r="K484" s="38"/>
      <c r="L484" s="38"/>
      <c r="M484" s="38"/>
      <c r="N484" s="38"/>
      <c r="O484" s="38"/>
      <c r="P484" s="38"/>
    </row>
    <row r="485">
      <c r="A485" s="41"/>
      <c r="C485" s="7"/>
      <c r="D485" s="7"/>
      <c r="E485" s="18"/>
      <c r="F485" s="38"/>
      <c r="G485" s="38"/>
      <c r="H485" s="38"/>
      <c r="I485" s="38"/>
      <c r="J485" s="38"/>
      <c r="K485" s="38"/>
      <c r="L485" s="38"/>
      <c r="M485" s="38"/>
      <c r="N485" s="38"/>
      <c r="O485" s="38"/>
      <c r="P485" s="38"/>
    </row>
    <row r="486">
      <c r="A486" s="41"/>
      <c r="C486" s="7"/>
      <c r="D486" s="7"/>
      <c r="E486" s="18"/>
      <c r="F486" s="38"/>
      <c r="G486" s="38"/>
      <c r="H486" s="38"/>
      <c r="I486" s="38"/>
      <c r="J486" s="38"/>
      <c r="K486" s="38"/>
      <c r="L486" s="38"/>
      <c r="M486" s="38"/>
      <c r="N486" s="38"/>
      <c r="O486" s="38"/>
      <c r="P486" s="38"/>
    </row>
    <row r="487">
      <c r="A487" s="41"/>
      <c r="C487" s="7"/>
      <c r="D487" s="7"/>
      <c r="E487" s="18"/>
      <c r="F487" s="38"/>
      <c r="G487" s="38"/>
      <c r="H487" s="38"/>
      <c r="I487" s="38"/>
      <c r="J487" s="38"/>
      <c r="K487" s="38"/>
      <c r="L487" s="38"/>
      <c r="M487" s="38"/>
      <c r="N487" s="38"/>
      <c r="O487" s="38"/>
      <c r="P487" s="38"/>
    </row>
    <row r="488">
      <c r="A488" s="41"/>
      <c r="C488" s="7"/>
      <c r="D488" s="7"/>
      <c r="E488" s="18"/>
      <c r="F488" s="38"/>
      <c r="G488" s="38"/>
      <c r="H488" s="38"/>
      <c r="I488" s="38"/>
      <c r="J488" s="38"/>
      <c r="K488" s="38"/>
      <c r="L488" s="38"/>
      <c r="M488" s="38"/>
      <c r="N488" s="38"/>
      <c r="O488" s="38"/>
      <c r="P488" s="38"/>
    </row>
    <row r="489">
      <c r="A489" s="41"/>
      <c r="C489" s="7"/>
      <c r="D489" s="7"/>
      <c r="E489" s="18"/>
      <c r="F489" s="38"/>
      <c r="G489" s="38"/>
      <c r="H489" s="38"/>
      <c r="I489" s="38"/>
      <c r="J489" s="38"/>
      <c r="K489" s="38"/>
      <c r="L489" s="38"/>
      <c r="M489" s="38"/>
      <c r="N489" s="38"/>
      <c r="O489" s="38"/>
      <c r="P489" s="38"/>
    </row>
    <row r="490">
      <c r="A490" s="41"/>
      <c r="C490" s="7"/>
      <c r="D490" s="7"/>
      <c r="E490" s="18"/>
      <c r="F490" s="38"/>
      <c r="G490" s="38"/>
      <c r="H490" s="38"/>
      <c r="I490" s="38"/>
      <c r="J490" s="38"/>
      <c r="K490" s="38"/>
      <c r="L490" s="38"/>
      <c r="M490" s="38"/>
      <c r="N490" s="38"/>
      <c r="O490" s="38"/>
      <c r="P490" s="38"/>
    </row>
    <row r="491">
      <c r="A491" s="41"/>
      <c r="C491" s="7"/>
      <c r="D491" s="7"/>
      <c r="E491" s="18"/>
      <c r="F491" s="38"/>
      <c r="G491" s="38"/>
      <c r="H491" s="38"/>
      <c r="I491" s="38"/>
      <c r="J491" s="38"/>
      <c r="K491" s="38"/>
      <c r="L491" s="38"/>
      <c r="M491" s="38"/>
      <c r="N491" s="38"/>
      <c r="O491" s="38"/>
      <c r="P491" s="38"/>
    </row>
    <row r="492">
      <c r="A492" s="41"/>
      <c r="C492" s="7"/>
      <c r="D492" s="7"/>
      <c r="E492" s="18"/>
      <c r="F492" s="38"/>
      <c r="G492" s="38"/>
      <c r="H492" s="38"/>
      <c r="I492" s="38"/>
      <c r="J492" s="38"/>
      <c r="K492" s="38"/>
      <c r="L492" s="38"/>
      <c r="M492" s="38"/>
      <c r="N492" s="38"/>
      <c r="O492" s="38"/>
      <c r="P492" s="38"/>
    </row>
    <row r="493">
      <c r="A493" s="41"/>
      <c r="C493" s="7"/>
      <c r="D493" s="7"/>
      <c r="E493" s="18"/>
      <c r="F493" s="38"/>
      <c r="G493" s="38"/>
      <c r="H493" s="38"/>
      <c r="I493" s="38"/>
      <c r="J493" s="38"/>
      <c r="K493" s="38"/>
      <c r="L493" s="38"/>
      <c r="M493" s="38"/>
      <c r="N493" s="38"/>
      <c r="O493" s="38"/>
      <c r="P493" s="38"/>
    </row>
    <row r="494">
      <c r="A494" s="41"/>
      <c r="C494" s="7"/>
      <c r="D494" s="7"/>
      <c r="E494" s="18"/>
      <c r="F494" s="38"/>
      <c r="G494" s="38"/>
      <c r="H494" s="38"/>
      <c r="I494" s="38"/>
      <c r="J494" s="38"/>
      <c r="K494" s="38"/>
      <c r="L494" s="38"/>
      <c r="M494" s="38"/>
      <c r="N494" s="38"/>
      <c r="O494" s="38"/>
      <c r="P494" s="38"/>
    </row>
    <row r="495">
      <c r="A495" s="41"/>
      <c r="C495" s="7"/>
      <c r="D495" s="7"/>
      <c r="E495" s="18"/>
      <c r="F495" s="38"/>
      <c r="G495" s="38"/>
      <c r="H495" s="38"/>
      <c r="I495" s="38"/>
      <c r="J495" s="38"/>
      <c r="K495" s="38"/>
      <c r="L495" s="38"/>
      <c r="M495" s="38"/>
      <c r="N495" s="38"/>
      <c r="O495" s="38"/>
      <c r="P495" s="38"/>
    </row>
    <row r="496">
      <c r="A496" s="19"/>
      <c r="B496" s="19"/>
      <c r="C496" s="42"/>
      <c r="D496" s="42"/>
      <c r="E496" s="19"/>
      <c r="F496" s="39"/>
      <c r="G496" s="39"/>
      <c r="H496" s="39"/>
      <c r="I496" s="39"/>
      <c r="J496" s="39"/>
      <c r="K496" s="19"/>
      <c r="L496" s="19"/>
      <c r="M496" s="38"/>
      <c r="N496" s="38"/>
      <c r="O496" s="38"/>
      <c r="P496" s="38"/>
    </row>
    <row r="497">
      <c r="A497" s="41"/>
      <c r="C497" s="7"/>
      <c r="D497" s="7"/>
      <c r="E497" s="18"/>
      <c r="F497" s="38"/>
      <c r="G497" s="38"/>
      <c r="H497" s="38"/>
      <c r="I497" s="38"/>
      <c r="J497" s="38"/>
      <c r="K497" s="38"/>
      <c r="L497" s="38"/>
      <c r="M497" s="38"/>
      <c r="N497" s="38"/>
      <c r="O497" s="38"/>
      <c r="P497" s="38"/>
    </row>
    <row r="498">
      <c r="A498" s="41"/>
      <c r="C498" s="7"/>
      <c r="D498" s="7"/>
      <c r="E498" s="18"/>
      <c r="F498" s="38"/>
      <c r="G498" s="38"/>
      <c r="H498" s="38"/>
      <c r="I498" s="38"/>
      <c r="J498" s="38"/>
      <c r="K498" s="38"/>
      <c r="L498" s="38"/>
      <c r="M498" s="38"/>
      <c r="N498" s="38"/>
      <c r="O498" s="38"/>
      <c r="P498" s="38"/>
    </row>
    <row r="499">
      <c r="A499" s="41"/>
      <c r="C499" s="7"/>
      <c r="D499" s="7"/>
      <c r="E499" s="18"/>
      <c r="F499" s="38"/>
      <c r="G499" s="38"/>
      <c r="H499" s="38"/>
      <c r="I499" s="38"/>
      <c r="J499" s="38"/>
      <c r="K499" s="38"/>
      <c r="L499" s="38"/>
      <c r="M499" s="38"/>
      <c r="N499" s="38"/>
      <c r="O499" s="38"/>
      <c r="P499" s="38"/>
    </row>
    <row r="500">
      <c r="A500" s="41"/>
      <c r="C500" s="7"/>
      <c r="D500" s="7"/>
      <c r="E500" s="18"/>
      <c r="F500" s="38"/>
      <c r="G500" s="38"/>
      <c r="H500" s="38"/>
      <c r="I500" s="38"/>
      <c r="J500" s="38"/>
      <c r="K500" s="38"/>
      <c r="L500" s="38"/>
      <c r="M500" s="38"/>
      <c r="N500" s="38"/>
      <c r="O500" s="38"/>
      <c r="P500" s="38"/>
    </row>
    <row r="501">
      <c r="A501" s="41"/>
      <c r="C501" s="7"/>
      <c r="D501" s="7"/>
      <c r="E501" s="18"/>
      <c r="F501" s="38"/>
      <c r="G501" s="38"/>
      <c r="H501" s="38"/>
      <c r="I501" s="38"/>
      <c r="J501" s="38"/>
      <c r="K501" s="38"/>
      <c r="L501" s="38"/>
      <c r="M501" s="38"/>
      <c r="N501" s="38"/>
      <c r="O501" s="38"/>
      <c r="P501" s="38"/>
    </row>
    <row r="502">
      <c r="A502" s="41"/>
      <c r="C502" s="7"/>
      <c r="D502" s="7"/>
      <c r="E502" s="18"/>
      <c r="F502" s="38"/>
      <c r="G502" s="38"/>
      <c r="H502" s="38"/>
      <c r="I502" s="38"/>
      <c r="J502" s="38"/>
      <c r="K502" s="38"/>
      <c r="L502" s="38"/>
      <c r="M502" s="38"/>
      <c r="N502" s="38"/>
      <c r="O502" s="38"/>
      <c r="P502" s="38"/>
    </row>
    <row r="503">
      <c r="A503" s="41"/>
      <c r="C503" s="7"/>
      <c r="D503" s="7"/>
      <c r="E503" s="18"/>
      <c r="F503" s="38"/>
      <c r="G503" s="38"/>
      <c r="H503" s="38"/>
      <c r="I503" s="38"/>
      <c r="J503" s="38"/>
      <c r="K503" s="38"/>
      <c r="L503" s="38"/>
      <c r="M503" s="38"/>
      <c r="N503" s="38"/>
      <c r="O503" s="38"/>
      <c r="P503" s="38"/>
    </row>
    <row r="504">
      <c r="A504" s="41"/>
      <c r="C504" s="7"/>
      <c r="D504" s="7"/>
      <c r="E504" s="18"/>
      <c r="F504" s="38"/>
      <c r="G504" s="38"/>
      <c r="H504" s="38"/>
      <c r="I504" s="38"/>
      <c r="J504" s="38"/>
      <c r="K504" s="38"/>
      <c r="L504" s="38"/>
      <c r="M504" s="38"/>
      <c r="N504" s="38"/>
      <c r="O504" s="38"/>
      <c r="P504" s="38"/>
    </row>
    <row r="505">
      <c r="A505" s="41"/>
      <c r="C505" s="7"/>
      <c r="D505" s="7"/>
      <c r="E505" s="18"/>
      <c r="F505" s="38"/>
      <c r="G505" s="38"/>
      <c r="H505" s="38"/>
      <c r="I505" s="38"/>
      <c r="J505" s="38"/>
      <c r="K505" s="38"/>
      <c r="L505" s="38"/>
      <c r="M505" s="38"/>
      <c r="N505" s="38"/>
      <c r="O505" s="38"/>
      <c r="P505" s="38"/>
    </row>
    <row r="506">
      <c r="A506" s="41"/>
      <c r="C506" s="7"/>
      <c r="D506" s="7"/>
      <c r="E506" s="18"/>
      <c r="F506" s="38"/>
      <c r="G506" s="38"/>
      <c r="H506" s="38"/>
      <c r="I506" s="38"/>
      <c r="J506" s="38"/>
      <c r="K506" s="38"/>
      <c r="L506" s="38"/>
      <c r="M506" s="38"/>
      <c r="N506" s="38"/>
      <c r="O506" s="38"/>
      <c r="P506" s="38"/>
    </row>
    <row r="507">
      <c r="A507" s="41"/>
      <c r="C507" s="7"/>
      <c r="D507" s="7"/>
      <c r="E507" s="18"/>
      <c r="F507" s="38"/>
      <c r="G507" s="38"/>
      <c r="H507" s="38"/>
      <c r="I507" s="38"/>
      <c r="J507" s="38"/>
      <c r="K507" s="38"/>
      <c r="L507" s="38"/>
      <c r="M507" s="38"/>
      <c r="N507" s="38"/>
      <c r="O507" s="38"/>
      <c r="P507" s="38"/>
    </row>
    <row r="508">
      <c r="A508" s="41"/>
      <c r="C508" s="7"/>
      <c r="D508" s="7"/>
      <c r="E508" s="18"/>
      <c r="F508" s="38"/>
      <c r="G508" s="38"/>
      <c r="H508" s="38"/>
      <c r="I508" s="38"/>
      <c r="J508" s="38"/>
      <c r="K508" s="38"/>
      <c r="L508" s="38"/>
      <c r="M508" s="38"/>
      <c r="N508" s="38"/>
      <c r="O508" s="38"/>
      <c r="P508" s="38"/>
    </row>
    <row r="509">
      <c r="A509" s="41"/>
      <c r="C509" s="7"/>
      <c r="D509" s="7"/>
      <c r="E509" s="18"/>
      <c r="F509" s="38"/>
      <c r="G509" s="38"/>
      <c r="H509" s="38"/>
      <c r="I509" s="38"/>
      <c r="J509" s="38"/>
      <c r="K509" s="38"/>
      <c r="L509" s="38"/>
      <c r="M509" s="38"/>
      <c r="N509" s="38"/>
      <c r="O509" s="38"/>
      <c r="P509" s="38"/>
    </row>
    <row r="510">
      <c r="A510" s="41"/>
      <c r="C510" s="7"/>
      <c r="D510" s="7"/>
      <c r="E510" s="18"/>
      <c r="F510" s="38"/>
      <c r="G510" s="38"/>
      <c r="H510" s="38"/>
      <c r="I510" s="38"/>
      <c r="J510" s="38"/>
      <c r="K510" s="38"/>
      <c r="L510" s="38"/>
      <c r="M510" s="38"/>
      <c r="N510" s="38"/>
      <c r="O510" s="38"/>
      <c r="P510" s="38"/>
    </row>
    <row r="511">
      <c r="A511" s="41"/>
      <c r="C511" s="7"/>
      <c r="D511" s="7"/>
      <c r="E511" s="18"/>
      <c r="F511" s="38"/>
      <c r="G511" s="38"/>
      <c r="H511" s="38"/>
      <c r="I511" s="38"/>
      <c r="J511" s="38"/>
      <c r="K511" s="38"/>
      <c r="L511" s="38"/>
      <c r="M511" s="38"/>
      <c r="N511" s="38"/>
      <c r="O511" s="38"/>
      <c r="P511" s="38"/>
    </row>
    <row r="512">
      <c r="A512" s="41"/>
      <c r="C512" s="7"/>
      <c r="D512" s="7"/>
      <c r="E512" s="18"/>
      <c r="F512" s="38"/>
      <c r="G512" s="38"/>
      <c r="H512" s="38"/>
      <c r="I512" s="38"/>
      <c r="J512" s="38"/>
      <c r="K512" s="38"/>
      <c r="L512" s="38"/>
      <c r="M512" s="38"/>
      <c r="N512" s="38"/>
      <c r="O512" s="38"/>
      <c r="P512" s="38"/>
    </row>
    <row r="513">
      <c r="A513" s="41"/>
      <c r="C513" s="7"/>
      <c r="D513" s="7"/>
      <c r="E513" s="18"/>
      <c r="F513" s="38"/>
      <c r="G513" s="38"/>
      <c r="H513" s="38"/>
      <c r="I513" s="38"/>
      <c r="J513" s="38"/>
      <c r="K513" s="38"/>
      <c r="L513" s="38"/>
      <c r="M513" s="38"/>
      <c r="N513" s="38"/>
      <c r="O513" s="38"/>
      <c r="P513" s="38"/>
    </row>
    <row r="514">
      <c r="A514" s="41"/>
      <c r="C514" s="7"/>
      <c r="D514" s="7"/>
      <c r="E514" s="18"/>
      <c r="F514" s="38"/>
      <c r="G514" s="38"/>
      <c r="H514" s="38"/>
      <c r="I514" s="38"/>
      <c r="J514" s="38"/>
      <c r="K514" s="38"/>
      <c r="L514" s="38"/>
      <c r="M514" s="38"/>
      <c r="N514" s="38"/>
      <c r="O514" s="38"/>
      <c r="P514" s="38"/>
    </row>
    <row r="515">
      <c r="A515" s="41"/>
      <c r="C515" s="7"/>
      <c r="D515" s="7"/>
      <c r="E515" s="18"/>
      <c r="F515" s="38"/>
      <c r="G515" s="38"/>
      <c r="H515" s="38"/>
      <c r="I515" s="38"/>
      <c r="J515" s="38"/>
      <c r="K515" s="38"/>
      <c r="L515" s="38"/>
      <c r="M515" s="38"/>
      <c r="N515" s="38"/>
      <c r="O515" s="38"/>
      <c r="P515" s="38"/>
    </row>
    <row r="516">
      <c r="A516" s="41"/>
      <c r="C516" s="7"/>
      <c r="D516" s="7"/>
      <c r="E516" s="18"/>
      <c r="F516" s="38"/>
      <c r="G516" s="38"/>
      <c r="H516" s="38"/>
      <c r="I516" s="38"/>
      <c r="J516" s="38"/>
      <c r="K516" s="38"/>
      <c r="L516" s="38"/>
      <c r="M516" s="38"/>
      <c r="N516" s="38"/>
      <c r="O516" s="38"/>
      <c r="P516" s="38"/>
    </row>
    <row r="517">
      <c r="A517" s="41"/>
      <c r="C517" s="7"/>
      <c r="D517" s="7"/>
      <c r="E517" s="18"/>
      <c r="F517" s="38"/>
      <c r="G517" s="38"/>
      <c r="H517" s="38"/>
      <c r="I517" s="38"/>
      <c r="J517" s="38"/>
      <c r="K517" s="38"/>
      <c r="L517" s="38"/>
      <c r="M517" s="38"/>
      <c r="N517" s="38"/>
      <c r="O517" s="38"/>
      <c r="P517" s="38"/>
    </row>
    <row r="518">
      <c r="A518" s="41"/>
      <c r="C518" s="7"/>
      <c r="D518" s="7"/>
      <c r="E518" s="18"/>
      <c r="F518" s="38"/>
      <c r="G518" s="38"/>
      <c r="H518" s="38"/>
      <c r="I518" s="38"/>
      <c r="J518" s="38"/>
      <c r="K518" s="38"/>
      <c r="L518" s="38"/>
      <c r="M518" s="38"/>
      <c r="N518" s="38"/>
      <c r="O518" s="38"/>
      <c r="P518" s="38"/>
    </row>
    <row r="519">
      <c r="A519" s="41"/>
      <c r="C519" s="7"/>
      <c r="D519" s="7"/>
      <c r="E519" s="18"/>
      <c r="F519" s="38"/>
      <c r="G519" s="38"/>
      <c r="H519" s="38"/>
      <c r="I519" s="38"/>
      <c r="J519" s="38"/>
      <c r="K519" s="38"/>
      <c r="L519" s="38"/>
      <c r="M519" s="38"/>
      <c r="N519" s="38"/>
      <c r="O519" s="38"/>
      <c r="P519" s="38"/>
    </row>
    <row r="520">
      <c r="A520" s="41"/>
      <c r="C520" s="7"/>
      <c r="D520" s="7"/>
      <c r="E520" s="18"/>
      <c r="F520" s="38"/>
      <c r="G520" s="38"/>
      <c r="H520" s="38"/>
      <c r="I520" s="38"/>
      <c r="J520" s="38"/>
      <c r="K520" s="38"/>
      <c r="L520" s="38"/>
      <c r="M520" s="38"/>
      <c r="N520" s="38"/>
      <c r="O520" s="38"/>
      <c r="P520" s="38"/>
    </row>
    <row r="521">
      <c r="A521" s="41"/>
      <c r="C521" s="7"/>
      <c r="D521" s="7"/>
      <c r="E521" s="18"/>
      <c r="F521" s="38"/>
      <c r="G521" s="38"/>
      <c r="H521" s="38"/>
      <c r="I521" s="38"/>
      <c r="J521" s="38"/>
      <c r="K521" s="38"/>
      <c r="L521" s="38"/>
      <c r="M521" s="38"/>
      <c r="N521" s="38"/>
      <c r="O521" s="38"/>
      <c r="P521" s="38"/>
    </row>
    <row r="522">
      <c r="A522" s="41"/>
      <c r="C522" s="7"/>
      <c r="D522" s="7"/>
      <c r="E522" s="18"/>
      <c r="F522" s="38"/>
      <c r="G522" s="38"/>
      <c r="H522" s="38"/>
      <c r="I522" s="38"/>
      <c r="J522" s="38"/>
      <c r="K522" s="38"/>
      <c r="L522" s="38"/>
      <c r="M522" s="38"/>
      <c r="N522" s="38"/>
      <c r="O522" s="38"/>
      <c r="P522" s="38"/>
    </row>
    <row r="523">
      <c r="A523" s="41"/>
      <c r="C523" s="7"/>
      <c r="D523" s="7"/>
      <c r="E523" s="18"/>
      <c r="F523" s="38"/>
      <c r="G523" s="38"/>
      <c r="H523" s="38"/>
      <c r="I523" s="38"/>
      <c r="J523" s="38"/>
      <c r="K523" s="38"/>
      <c r="L523" s="38"/>
      <c r="M523" s="38"/>
      <c r="N523" s="38"/>
      <c r="O523" s="38"/>
      <c r="P523" s="38"/>
    </row>
    <row r="524">
      <c r="A524" s="41"/>
      <c r="C524" s="7"/>
      <c r="D524" s="7"/>
      <c r="E524" s="18"/>
      <c r="F524" s="38"/>
      <c r="G524" s="38"/>
      <c r="H524" s="38"/>
      <c r="I524" s="38"/>
      <c r="J524" s="38"/>
      <c r="K524" s="38"/>
      <c r="L524" s="38"/>
      <c r="M524" s="38"/>
      <c r="N524" s="38"/>
      <c r="O524" s="38"/>
      <c r="P524" s="38"/>
    </row>
    <row r="525">
      <c r="A525" s="41"/>
      <c r="C525" s="7"/>
      <c r="D525" s="7"/>
      <c r="E525" s="18"/>
      <c r="F525" s="38"/>
      <c r="G525" s="38"/>
      <c r="H525" s="38"/>
      <c r="I525" s="38"/>
      <c r="J525" s="38"/>
      <c r="K525" s="38"/>
      <c r="L525" s="38"/>
      <c r="M525" s="38"/>
      <c r="N525" s="38"/>
      <c r="O525" s="38"/>
      <c r="P525" s="38"/>
    </row>
    <row r="526">
      <c r="A526" s="41"/>
      <c r="C526" s="7"/>
      <c r="D526" s="7"/>
      <c r="E526" s="18"/>
      <c r="F526" s="38"/>
      <c r="G526" s="38"/>
      <c r="H526" s="38"/>
      <c r="I526" s="38"/>
      <c r="J526" s="38"/>
      <c r="K526" s="38"/>
      <c r="L526" s="38"/>
      <c r="M526" s="38"/>
      <c r="N526" s="38"/>
      <c r="O526" s="38"/>
      <c r="P526" s="38"/>
    </row>
    <row r="527">
      <c r="A527" s="41"/>
      <c r="C527" s="7"/>
      <c r="D527" s="7"/>
      <c r="E527" s="18"/>
      <c r="F527" s="38"/>
      <c r="G527" s="38"/>
      <c r="H527" s="38"/>
      <c r="I527" s="38"/>
      <c r="J527" s="38"/>
      <c r="K527" s="38"/>
      <c r="L527" s="38"/>
      <c r="M527" s="38"/>
      <c r="N527" s="38"/>
      <c r="O527" s="38"/>
      <c r="P527" s="38"/>
    </row>
    <row r="528">
      <c r="A528" s="41"/>
      <c r="C528" s="7"/>
      <c r="D528" s="7"/>
      <c r="E528" s="18"/>
      <c r="F528" s="38"/>
      <c r="G528" s="38"/>
      <c r="H528" s="38"/>
      <c r="I528" s="38"/>
      <c r="J528" s="38"/>
      <c r="K528" s="38"/>
      <c r="L528" s="38"/>
      <c r="M528" s="38"/>
      <c r="N528" s="38"/>
      <c r="O528" s="38"/>
      <c r="P528" s="38"/>
    </row>
    <row r="529">
      <c r="A529" s="41"/>
      <c r="C529" s="7"/>
      <c r="D529" s="7"/>
      <c r="E529" s="18"/>
      <c r="F529" s="38"/>
      <c r="G529" s="38"/>
      <c r="H529" s="38"/>
      <c r="I529" s="38"/>
      <c r="J529" s="38"/>
      <c r="K529" s="38"/>
      <c r="L529" s="38"/>
      <c r="M529" s="38"/>
      <c r="N529" s="38"/>
      <c r="O529" s="38"/>
      <c r="P529" s="38"/>
    </row>
    <row r="530">
      <c r="A530" s="41"/>
      <c r="C530" s="7"/>
      <c r="D530" s="7"/>
      <c r="E530" s="18"/>
      <c r="F530" s="38"/>
      <c r="G530" s="38"/>
      <c r="H530" s="38"/>
      <c r="I530" s="38"/>
      <c r="J530" s="38"/>
      <c r="K530" s="38"/>
      <c r="L530" s="38"/>
      <c r="M530" s="38"/>
      <c r="N530" s="38"/>
      <c r="O530" s="38"/>
      <c r="P530" s="38"/>
    </row>
    <row r="531">
      <c r="A531" s="41"/>
      <c r="C531" s="7"/>
      <c r="D531" s="7"/>
      <c r="E531" s="18"/>
      <c r="F531" s="38"/>
      <c r="G531" s="38"/>
      <c r="H531" s="38"/>
      <c r="I531" s="38"/>
      <c r="J531" s="38"/>
      <c r="K531" s="38"/>
      <c r="L531" s="38"/>
      <c r="M531" s="38"/>
      <c r="N531" s="38"/>
      <c r="O531" s="38"/>
      <c r="P531" s="38"/>
    </row>
    <row r="532">
      <c r="A532" s="41"/>
      <c r="C532" s="7"/>
      <c r="D532" s="7"/>
      <c r="E532" s="18"/>
      <c r="F532" s="38"/>
      <c r="G532" s="38"/>
      <c r="H532" s="38"/>
      <c r="I532" s="38"/>
      <c r="J532" s="38"/>
      <c r="K532" s="38"/>
      <c r="L532" s="38"/>
      <c r="M532" s="38"/>
      <c r="N532" s="38"/>
      <c r="O532" s="38"/>
      <c r="P532" s="38"/>
    </row>
    <row r="533">
      <c r="A533" s="41"/>
      <c r="C533" s="7"/>
      <c r="D533" s="7"/>
      <c r="E533" s="18"/>
      <c r="F533" s="38"/>
      <c r="G533" s="38"/>
      <c r="H533" s="38"/>
      <c r="I533" s="38"/>
      <c r="J533" s="38"/>
      <c r="K533" s="38"/>
      <c r="L533" s="38"/>
      <c r="M533" s="38"/>
      <c r="N533" s="38"/>
      <c r="O533" s="38"/>
      <c r="P533" s="38"/>
    </row>
    <row r="534">
      <c r="A534" s="41"/>
      <c r="C534" s="7"/>
      <c r="D534" s="7"/>
      <c r="E534" s="18"/>
      <c r="F534" s="38"/>
      <c r="G534" s="38"/>
      <c r="H534" s="38"/>
      <c r="I534" s="38"/>
      <c r="J534" s="38"/>
      <c r="K534" s="38"/>
      <c r="L534" s="38"/>
      <c r="M534" s="38"/>
      <c r="N534" s="38"/>
      <c r="O534" s="38"/>
      <c r="P534" s="38"/>
    </row>
    <row r="535">
      <c r="A535" s="41"/>
      <c r="C535" s="7"/>
      <c r="D535" s="7"/>
      <c r="E535" s="18"/>
      <c r="F535" s="38"/>
      <c r="G535" s="38"/>
      <c r="H535" s="38"/>
      <c r="I535" s="38"/>
      <c r="J535" s="38"/>
      <c r="K535" s="38"/>
      <c r="L535" s="38"/>
      <c r="M535" s="38"/>
      <c r="N535" s="38"/>
      <c r="O535" s="38"/>
      <c r="P535" s="38"/>
    </row>
    <row r="536">
      <c r="A536" s="41"/>
      <c r="C536" s="7"/>
      <c r="D536" s="7"/>
      <c r="E536" s="18"/>
      <c r="F536" s="38"/>
      <c r="G536" s="38"/>
      <c r="H536" s="38"/>
      <c r="I536" s="38"/>
      <c r="J536" s="38"/>
      <c r="K536" s="38"/>
      <c r="L536" s="38"/>
      <c r="M536" s="38"/>
      <c r="N536" s="38"/>
      <c r="O536" s="38"/>
      <c r="P536" s="38"/>
    </row>
    <row r="537">
      <c r="A537" s="19"/>
      <c r="B537" s="19"/>
      <c r="C537" s="42"/>
      <c r="D537" s="42"/>
      <c r="E537" s="19"/>
      <c r="F537" s="39"/>
      <c r="G537" s="39"/>
      <c r="H537" s="39"/>
      <c r="I537" s="39"/>
      <c r="J537" s="39"/>
      <c r="K537" s="19"/>
      <c r="L537" s="19"/>
      <c r="M537" s="38"/>
      <c r="N537" s="38"/>
      <c r="O537" s="38"/>
      <c r="P537" s="38"/>
    </row>
    <row r="538">
      <c r="A538" s="41"/>
      <c r="C538" s="7"/>
      <c r="D538" s="7"/>
      <c r="E538" s="18"/>
      <c r="F538" s="38"/>
      <c r="G538" s="38"/>
      <c r="H538" s="38"/>
      <c r="I538" s="38"/>
      <c r="J538" s="38"/>
      <c r="K538" s="38"/>
      <c r="L538" s="38"/>
      <c r="M538" s="38"/>
      <c r="N538" s="38"/>
      <c r="O538" s="38"/>
      <c r="P538" s="38"/>
    </row>
    <row r="539">
      <c r="A539" s="41"/>
      <c r="C539" s="7"/>
      <c r="D539" s="7"/>
      <c r="E539" s="18"/>
      <c r="F539" s="38"/>
      <c r="G539" s="38"/>
      <c r="H539" s="38"/>
      <c r="I539" s="38"/>
      <c r="J539" s="38"/>
      <c r="K539" s="38"/>
      <c r="L539" s="38"/>
      <c r="M539" s="38"/>
      <c r="N539" s="38"/>
      <c r="O539" s="38"/>
      <c r="P539" s="38"/>
    </row>
    <row r="540">
      <c r="A540" s="41"/>
      <c r="C540" s="7"/>
      <c r="D540" s="7"/>
      <c r="E540" s="18"/>
      <c r="F540" s="38"/>
      <c r="G540" s="38"/>
      <c r="H540" s="38"/>
      <c r="I540" s="38"/>
      <c r="J540" s="38"/>
      <c r="K540" s="38"/>
      <c r="L540" s="38"/>
      <c r="M540" s="38"/>
      <c r="N540" s="38"/>
      <c r="O540" s="38"/>
      <c r="P540" s="38"/>
    </row>
    <row r="541">
      <c r="A541" s="41"/>
      <c r="C541" s="7"/>
      <c r="D541" s="7"/>
      <c r="E541" s="18"/>
      <c r="F541" s="38"/>
      <c r="G541" s="38"/>
      <c r="H541" s="38"/>
      <c r="I541" s="38"/>
      <c r="J541" s="38"/>
      <c r="K541" s="38"/>
      <c r="L541" s="38"/>
      <c r="M541" s="38"/>
      <c r="N541" s="38"/>
      <c r="O541" s="38"/>
      <c r="P541" s="38"/>
    </row>
    <row r="542">
      <c r="A542" s="41"/>
      <c r="C542" s="7"/>
      <c r="D542" s="7"/>
      <c r="E542" s="18"/>
      <c r="F542" s="38"/>
      <c r="G542" s="38"/>
      <c r="H542" s="38"/>
      <c r="I542" s="38"/>
      <c r="J542" s="38"/>
      <c r="K542" s="38"/>
      <c r="L542" s="38"/>
      <c r="M542" s="38"/>
      <c r="N542" s="38"/>
      <c r="O542" s="38"/>
      <c r="P542" s="38"/>
    </row>
    <row r="543">
      <c r="A543" s="41"/>
      <c r="C543" s="7"/>
      <c r="D543" s="7"/>
      <c r="E543" s="18"/>
      <c r="F543" s="38"/>
      <c r="G543" s="38"/>
      <c r="H543" s="38"/>
      <c r="I543" s="38"/>
      <c r="J543" s="38"/>
      <c r="K543" s="38"/>
      <c r="L543" s="38"/>
      <c r="M543" s="38"/>
      <c r="N543" s="38"/>
      <c r="O543" s="38"/>
      <c r="P543" s="38"/>
    </row>
    <row r="544">
      <c r="A544" s="41"/>
      <c r="C544" s="7"/>
      <c r="D544" s="7"/>
      <c r="E544" s="18"/>
      <c r="F544" s="38"/>
      <c r="G544" s="38"/>
      <c r="H544" s="38"/>
      <c r="I544" s="38"/>
      <c r="J544" s="38"/>
      <c r="K544" s="38"/>
      <c r="L544" s="38"/>
      <c r="M544" s="38"/>
      <c r="N544" s="38"/>
      <c r="O544" s="38"/>
      <c r="P544" s="38"/>
    </row>
    <row r="545">
      <c r="A545" s="41"/>
      <c r="C545" s="7"/>
      <c r="D545" s="7"/>
      <c r="E545" s="18"/>
      <c r="F545" s="38"/>
      <c r="G545" s="38"/>
      <c r="H545" s="38"/>
      <c r="I545" s="38"/>
      <c r="J545" s="38"/>
      <c r="K545" s="38"/>
      <c r="L545" s="38"/>
      <c r="M545" s="38"/>
      <c r="N545" s="38"/>
      <c r="O545" s="38"/>
      <c r="P545" s="38"/>
    </row>
    <row r="546">
      <c r="A546" s="41"/>
      <c r="C546" s="7"/>
      <c r="D546" s="7"/>
      <c r="E546" s="18"/>
      <c r="F546" s="38"/>
      <c r="G546" s="38"/>
      <c r="H546" s="38"/>
      <c r="I546" s="38"/>
      <c r="J546" s="38"/>
      <c r="K546" s="38"/>
      <c r="L546" s="38"/>
      <c r="M546" s="38"/>
      <c r="N546" s="38"/>
      <c r="O546" s="38"/>
      <c r="P546" s="38"/>
    </row>
    <row r="547">
      <c r="A547" s="41"/>
      <c r="C547" s="7"/>
      <c r="D547" s="7"/>
      <c r="E547" s="18"/>
      <c r="F547" s="38"/>
      <c r="G547" s="38"/>
      <c r="H547" s="38"/>
      <c r="I547" s="38"/>
      <c r="J547" s="38"/>
      <c r="K547" s="38"/>
      <c r="L547" s="38"/>
      <c r="M547" s="38"/>
      <c r="N547" s="38"/>
      <c r="O547" s="38"/>
      <c r="P547" s="38"/>
    </row>
    <row r="548">
      <c r="A548" s="41"/>
      <c r="C548" s="7"/>
      <c r="D548" s="7"/>
      <c r="E548" s="18"/>
      <c r="F548" s="38"/>
      <c r="G548" s="38"/>
      <c r="H548" s="38"/>
      <c r="I548" s="38"/>
      <c r="J548" s="38"/>
      <c r="K548" s="38"/>
      <c r="L548" s="38"/>
      <c r="M548" s="38"/>
      <c r="N548" s="38"/>
      <c r="O548" s="38"/>
      <c r="P548" s="38"/>
    </row>
    <row r="549">
      <c r="A549" s="41"/>
      <c r="C549" s="7"/>
      <c r="D549" s="7"/>
      <c r="E549" s="18"/>
      <c r="F549" s="38"/>
      <c r="G549" s="38"/>
      <c r="H549" s="38"/>
      <c r="I549" s="38"/>
      <c r="J549" s="38"/>
      <c r="K549" s="38"/>
      <c r="L549" s="38"/>
      <c r="M549" s="38"/>
      <c r="N549" s="38"/>
      <c r="O549" s="38"/>
      <c r="P549" s="38"/>
    </row>
    <row r="550">
      <c r="A550" s="41"/>
      <c r="C550" s="7"/>
      <c r="D550" s="7"/>
      <c r="E550" s="18"/>
      <c r="F550" s="38"/>
      <c r="G550" s="38"/>
      <c r="H550" s="38"/>
      <c r="I550" s="38"/>
      <c r="J550" s="38"/>
      <c r="K550" s="38"/>
      <c r="L550" s="38"/>
      <c r="M550" s="38"/>
      <c r="N550" s="38"/>
      <c r="O550" s="38"/>
      <c r="P550" s="38"/>
    </row>
    <row r="551">
      <c r="A551" s="41"/>
      <c r="C551" s="7"/>
      <c r="D551" s="7"/>
      <c r="E551" s="18"/>
      <c r="F551" s="38"/>
      <c r="G551" s="38"/>
      <c r="H551" s="38"/>
      <c r="I551" s="38"/>
      <c r="J551" s="38"/>
      <c r="K551" s="38"/>
      <c r="L551" s="38"/>
      <c r="M551" s="38"/>
      <c r="N551" s="38"/>
      <c r="O551" s="38"/>
      <c r="P551" s="38"/>
    </row>
    <row r="552">
      <c r="A552" s="41"/>
      <c r="C552" s="7"/>
      <c r="D552" s="7"/>
      <c r="E552" s="18"/>
      <c r="F552" s="38"/>
      <c r="G552" s="38"/>
      <c r="H552" s="38"/>
      <c r="I552" s="38"/>
      <c r="J552" s="38"/>
      <c r="K552" s="38"/>
      <c r="L552" s="38"/>
      <c r="M552" s="38"/>
      <c r="N552" s="38"/>
      <c r="O552" s="38"/>
      <c r="P552" s="38"/>
    </row>
    <row r="553">
      <c r="A553" s="41"/>
      <c r="C553" s="7"/>
      <c r="D553" s="7"/>
      <c r="E553" s="18"/>
      <c r="F553" s="38"/>
      <c r="G553" s="38"/>
      <c r="H553" s="38"/>
      <c r="I553" s="38"/>
      <c r="J553" s="38"/>
      <c r="K553" s="38"/>
      <c r="L553" s="38"/>
      <c r="M553" s="38"/>
      <c r="N553" s="38"/>
      <c r="O553" s="38"/>
      <c r="P553" s="38"/>
    </row>
    <row r="554">
      <c r="A554" s="41"/>
      <c r="C554" s="7"/>
      <c r="D554" s="7"/>
      <c r="E554" s="18"/>
      <c r="F554" s="38"/>
      <c r="G554" s="38"/>
      <c r="H554" s="38"/>
      <c r="I554" s="38"/>
      <c r="J554" s="38"/>
      <c r="K554" s="38"/>
      <c r="L554" s="38"/>
      <c r="M554" s="38"/>
      <c r="N554" s="38"/>
      <c r="O554" s="38"/>
      <c r="P554" s="38"/>
    </row>
    <row r="555">
      <c r="A555" s="41"/>
      <c r="C555" s="7"/>
      <c r="D555" s="7"/>
      <c r="E555" s="18"/>
      <c r="F555" s="38"/>
      <c r="G555" s="38"/>
      <c r="H555" s="38"/>
      <c r="I555" s="38"/>
      <c r="J555" s="38"/>
      <c r="K555" s="38"/>
      <c r="L555" s="38"/>
      <c r="M555" s="38"/>
      <c r="N555" s="38"/>
      <c r="O555" s="38"/>
      <c r="P555" s="38"/>
    </row>
    <row r="556">
      <c r="A556" s="41"/>
      <c r="C556" s="7"/>
      <c r="D556" s="7"/>
      <c r="E556" s="18"/>
      <c r="F556" s="38"/>
      <c r="G556" s="38"/>
      <c r="H556" s="38"/>
      <c r="I556" s="38"/>
      <c r="J556" s="38"/>
      <c r="K556" s="38"/>
      <c r="L556" s="38"/>
      <c r="M556" s="38"/>
      <c r="N556" s="38"/>
      <c r="O556" s="38"/>
      <c r="P556" s="38"/>
    </row>
    <row r="557">
      <c r="A557" s="41"/>
      <c r="C557" s="7"/>
      <c r="D557" s="7"/>
      <c r="E557" s="18"/>
      <c r="F557" s="38"/>
      <c r="G557" s="38"/>
      <c r="H557" s="38"/>
      <c r="I557" s="38"/>
      <c r="J557" s="38"/>
      <c r="K557" s="38"/>
      <c r="L557" s="38"/>
      <c r="M557" s="38"/>
      <c r="N557" s="38"/>
      <c r="O557" s="38"/>
      <c r="P557" s="38"/>
    </row>
    <row r="558">
      <c r="A558" s="41"/>
      <c r="C558" s="7"/>
      <c r="D558" s="7"/>
      <c r="E558" s="18"/>
      <c r="F558" s="38"/>
      <c r="G558" s="38"/>
      <c r="H558" s="38"/>
      <c r="I558" s="38"/>
      <c r="J558" s="38"/>
      <c r="K558" s="38"/>
      <c r="L558" s="38"/>
      <c r="M558" s="38"/>
      <c r="N558" s="38"/>
      <c r="O558" s="38"/>
      <c r="P558" s="38"/>
    </row>
    <row r="559">
      <c r="A559" s="41"/>
      <c r="C559" s="7"/>
      <c r="D559" s="7"/>
      <c r="E559" s="18"/>
      <c r="F559" s="38"/>
      <c r="G559" s="38"/>
      <c r="H559" s="38"/>
      <c r="I559" s="38"/>
      <c r="J559" s="38"/>
      <c r="K559" s="38"/>
      <c r="L559" s="38"/>
      <c r="M559" s="38"/>
      <c r="N559" s="38"/>
      <c r="O559" s="38"/>
      <c r="P559" s="38"/>
    </row>
    <row r="560">
      <c r="A560" s="41"/>
      <c r="C560" s="7"/>
      <c r="D560" s="7"/>
      <c r="E560" s="18"/>
      <c r="F560" s="38"/>
      <c r="G560" s="38"/>
      <c r="H560" s="38"/>
      <c r="I560" s="38"/>
      <c r="J560" s="38"/>
      <c r="K560" s="38"/>
      <c r="L560" s="38"/>
      <c r="M560" s="38"/>
      <c r="N560" s="38"/>
      <c r="O560" s="38"/>
      <c r="P560" s="38"/>
    </row>
    <row r="561">
      <c r="A561" s="41"/>
      <c r="C561" s="7"/>
      <c r="D561" s="7"/>
      <c r="E561" s="18"/>
      <c r="F561" s="38"/>
      <c r="G561" s="38"/>
      <c r="H561" s="38"/>
      <c r="I561" s="38"/>
      <c r="J561" s="38"/>
      <c r="K561" s="38"/>
      <c r="L561" s="38"/>
      <c r="M561" s="38"/>
      <c r="N561" s="38"/>
      <c r="O561" s="38"/>
      <c r="P561" s="38"/>
    </row>
    <row r="562">
      <c r="A562" s="41"/>
      <c r="C562" s="7"/>
      <c r="D562" s="7"/>
      <c r="E562" s="18"/>
      <c r="F562" s="38"/>
      <c r="G562" s="38"/>
      <c r="H562" s="38"/>
      <c r="I562" s="38"/>
      <c r="J562" s="38"/>
      <c r="K562" s="38"/>
      <c r="L562" s="38"/>
      <c r="M562" s="38"/>
      <c r="N562" s="38"/>
      <c r="O562" s="38"/>
      <c r="P562" s="38"/>
    </row>
    <row r="563">
      <c r="A563" s="41"/>
      <c r="C563" s="7"/>
      <c r="D563" s="7"/>
      <c r="E563" s="18"/>
      <c r="F563" s="38"/>
      <c r="G563" s="38"/>
      <c r="H563" s="38"/>
      <c r="I563" s="38"/>
      <c r="J563" s="38"/>
      <c r="K563" s="38"/>
      <c r="L563" s="38"/>
      <c r="M563" s="38"/>
      <c r="N563" s="38"/>
      <c r="O563" s="38"/>
      <c r="P563" s="38"/>
    </row>
    <row r="564">
      <c r="A564" s="41"/>
      <c r="C564" s="7"/>
      <c r="D564" s="7"/>
      <c r="E564" s="18"/>
      <c r="F564" s="38"/>
      <c r="G564" s="38"/>
      <c r="H564" s="38"/>
      <c r="I564" s="38"/>
      <c r="J564" s="38"/>
      <c r="K564" s="38"/>
      <c r="L564" s="38"/>
      <c r="M564" s="38"/>
      <c r="N564" s="38"/>
      <c r="O564" s="38"/>
      <c r="P564" s="38"/>
    </row>
    <row r="565">
      <c r="A565" s="41"/>
      <c r="C565" s="7"/>
      <c r="D565" s="7"/>
      <c r="E565" s="18"/>
      <c r="F565" s="38"/>
      <c r="G565" s="38"/>
      <c r="H565" s="38"/>
      <c r="I565" s="38"/>
      <c r="J565" s="38"/>
      <c r="K565" s="38"/>
      <c r="L565" s="38"/>
      <c r="M565" s="38"/>
      <c r="N565" s="38"/>
      <c r="O565" s="38"/>
      <c r="P565" s="38"/>
    </row>
    <row r="566">
      <c r="A566" s="41"/>
      <c r="C566" s="7"/>
      <c r="D566" s="7"/>
      <c r="E566" s="18"/>
      <c r="F566" s="38"/>
      <c r="G566" s="38"/>
      <c r="H566" s="38"/>
      <c r="I566" s="38"/>
      <c r="J566" s="38"/>
      <c r="K566" s="38"/>
      <c r="L566" s="38"/>
      <c r="M566" s="38"/>
      <c r="N566" s="38"/>
      <c r="O566" s="38"/>
      <c r="P566" s="38"/>
    </row>
    <row r="567">
      <c r="A567" s="41"/>
      <c r="C567" s="7"/>
      <c r="D567" s="7"/>
      <c r="E567" s="18"/>
      <c r="F567" s="38"/>
      <c r="G567" s="38"/>
      <c r="H567" s="38"/>
      <c r="I567" s="38"/>
      <c r="J567" s="38"/>
      <c r="K567" s="38"/>
      <c r="L567" s="38"/>
      <c r="M567" s="38"/>
      <c r="N567" s="38"/>
      <c r="O567" s="38"/>
      <c r="P567" s="38"/>
    </row>
    <row r="568">
      <c r="A568" s="41"/>
      <c r="C568" s="7"/>
      <c r="D568" s="7"/>
      <c r="E568" s="18"/>
      <c r="F568" s="38"/>
      <c r="G568" s="38"/>
      <c r="H568" s="38"/>
      <c r="I568" s="38"/>
      <c r="J568" s="38"/>
      <c r="K568" s="38"/>
      <c r="L568" s="38"/>
      <c r="M568" s="38"/>
      <c r="N568" s="38"/>
      <c r="O568" s="38"/>
      <c r="P568" s="38"/>
    </row>
    <row r="569">
      <c r="A569" s="41"/>
      <c r="C569" s="7"/>
      <c r="D569" s="7"/>
      <c r="E569" s="18"/>
      <c r="F569" s="38"/>
      <c r="G569" s="38"/>
      <c r="H569" s="38"/>
      <c r="I569" s="38"/>
      <c r="J569" s="38"/>
      <c r="K569" s="38"/>
      <c r="L569" s="38"/>
      <c r="M569" s="38"/>
      <c r="N569" s="38"/>
      <c r="O569" s="38"/>
      <c r="P569" s="38"/>
    </row>
    <row r="570">
      <c r="A570" s="41"/>
      <c r="C570" s="7"/>
      <c r="D570" s="7"/>
      <c r="E570" s="18"/>
      <c r="F570" s="38"/>
      <c r="G570" s="38"/>
      <c r="H570" s="38"/>
      <c r="I570" s="38"/>
      <c r="J570" s="38"/>
      <c r="K570" s="38"/>
      <c r="L570" s="38"/>
      <c r="M570" s="38"/>
      <c r="N570" s="38"/>
      <c r="O570" s="38"/>
      <c r="P570" s="38"/>
    </row>
    <row r="571">
      <c r="A571" s="41"/>
      <c r="C571" s="7"/>
      <c r="D571" s="7"/>
      <c r="E571" s="18"/>
      <c r="F571" s="38"/>
      <c r="G571" s="38"/>
      <c r="H571" s="38"/>
      <c r="I571" s="38"/>
      <c r="J571" s="38"/>
      <c r="K571" s="38"/>
      <c r="L571" s="38"/>
      <c r="M571" s="38"/>
      <c r="N571" s="38"/>
      <c r="O571" s="38"/>
      <c r="P571" s="38"/>
    </row>
    <row r="572">
      <c r="A572" s="41"/>
      <c r="C572" s="7"/>
      <c r="D572" s="7"/>
      <c r="E572" s="18"/>
      <c r="F572" s="38"/>
      <c r="G572" s="38"/>
      <c r="H572" s="38"/>
      <c r="I572" s="38"/>
      <c r="J572" s="38"/>
      <c r="K572" s="38"/>
      <c r="L572" s="38"/>
      <c r="M572" s="38"/>
      <c r="N572" s="38"/>
      <c r="O572" s="38"/>
      <c r="P572" s="38"/>
    </row>
    <row r="573">
      <c r="A573" s="41"/>
      <c r="C573" s="7"/>
      <c r="D573" s="7"/>
      <c r="E573" s="18"/>
      <c r="F573" s="38"/>
      <c r="G573" s="38"/>
      <c r="H573" s="38"/>
      <c r="I573" s="38"/>
      <c r="J573" s="38"/>
      <c r="K573" s="38"/>
      <c r="L573" s="38"/>
      <c r="M573" s="38"/>
      <c r="N573" s="38"/>
      <c r="O573" s="38"/>
      <c r="P573" s="38"/>
    </row>
    <row r="574">
      <c r="A574" s="41"/>
      <c r="C574" s="7"/>
      <c r="D574" s="7"/>
      <c r="E574" s="18"/>
      <c r="F574" s="38"/>
      <c r="G574" s="38"/>
      <c r="H574" s="38"/>
      <c r="I574" s="38"/>
      <c r="J574" s="38"/>
      <c r="K574" s="38"/>
      <c r="L574" s="38"/>
      <c r="M574" s="38"/>
      <c r="N574" s="38"/>
      <c r="O574" s="38"/>
      <c r="P574" s="38"/>
    </row>
    <row r="575">
      <c r="A575" s="41"/>
      <c r="C575" s="7"/>
      <c r="D575" s="7"/>
      <c r="E575" s="18"/>
      <c r="F575" s="38"/>
      <c r="G575" s="38"/>
      <c r="H575" s="38"/>
      <c r="I575" s="38"/>
      <c r="J575" s="38"/>
      <c r="K575" s="38"/>
      <c r="L575" s="38"/>
      <c r="M575" s="38"/>
      <c r="N575" s="38"/>
      <c r="O575" s="38"/>
      <c r="P575" s="38"/>
    </row>
    <row r="576">
      <c r="A576" s="41"/>
      <c r="C576" s="7"/>
      <c r="D576" s="7"/>
      <c r="E576" s="18"/>
      <c r="F576" s="38"/>
      <c r="G576" s="38"/>
      <c r="H576" s="38"/>
      <c r="I576" s="38"/>
      <c r="J576" s="38"/>
      <c r="K576" s="38"/>
      <c r="L576" s="38"/>
      <c r="M576" s="38"/>
      <c r="N576" s="38"/>
      <c r="O576" s="38"/>
      <c r="P576" s="38"/>
    </row>
    <row r="577">
      <c r="A577" s="41"/>
      <c r="C577" s="7"/>
      <c r="D577" s="7"/>
      <c r="E577" s="18"/>
      <c r="F577" s="38"/>
      <c r="G577" s="38"/>
      <c r="H577" s="38"/>
      <c r="I577" s="38"/>
      <c r="J577" s="38"/>
      <c r="K577" s="38"/>
      <c r="L577" s="38"/>
      <c r="M577" s="38"/>
      <c r="N577" s="38"/>
      <c r="O577" s="38"/>
      <c r="P577" s="38"/>
    </row>
    <row r="578">
      <c r="A578" s="19"/>
      <c r="B578" s="19"/>
      <c r="C578" s="42"/>
      <c r="D578" s="42"/>
      <c r="E578" s="19"/>
      <c r="F578" s="39"/>
      <c r="G578" s="39"/>
      <c r="H578" s="39"/>
      <c r="I578" s="39"/>
      <c r="J578" s="39"/>
      <c r="K578" s="19"/>
      <c r="L578" s="19"/>
      <c r="M578" s="38"/>
      <c r="N578" s="38"/>
      <c r="O578" s="38"/>
      <c r="P578" s="38"/>
    </row>
    <row r="579">
      <c r="A579" s="41"/>
      <c r="C579" s="7"/>
      <c r="D579" s="7"/>
      <c r="E579" s="18"/>
      <c r="F579" s="38"/>
      <c r="G579" s="38"/>
      <c r="H579" s="38"/>
      <c r="I579" s="38"/>
      <c r="J579" s="38"/>
      <c r="K579" s="38"/>
      <c r="L579" s="38"/>
      <c r="M579" s="38"/>
      <c r="N579" s="38"/>
      <c r="O579" s="38"/>
      <c r="P579" s="38"/>
    </row>
    <row r="580">
      <c r="A580" s="41"/>
      <c r="C580" s="7"/>
      <c r="D580" s="7"/>
      <c r="E580" s="18"/>
      <c r="F580" s="38"/>
      <c r="G580" s="38"/>
      <c r="H580" s="38"/>
      <c r="I580" s="38"/>
      <c r="J580" s="38"/>
      <c r="K580" s="38"/>
      <c r="L580" s="38"/>
      <c r="M580" s="38"/>
      <c r="N580" s="38"/>
      <c r="O580" s="38"/>
      <c r="P580" s="38"/>
    </row>
    <row r="581">
      <c r="A581" s="41"/>
      <c r="C581" s="7"/>
      <c r="D581" s="7"/>
      <c r="E581" s="18"/>
      <c r="F581" s="38"/>
      <c r="G581" s="38"/>
      <c r="H581" s="38"/>
      <c r="I581" s="38"/>
      <c r="J581" s="38"/>
      <c r="K581" s="38"/>
      <c r="L581" s="38"/>
      <c r="M581" s="38"/>
      <c r="N581" s="38"/>
      <c r="O581" s="38"/>
      <c r="P581" s="38"/>
    </row>
    <row r="582">
      <c r="A582" s="41"/>
      <c r="C582" s="7"/>
      <c r="D582" s="7"/>
      <c r="E582" s="18"/>
      <c r="F582" s="38"/>
      <c r="G582" s="38"/>
      <c r="H582" s="38"/>
      <c r="I582" s="38"/>
      <c r="J582" s="38"/>
      <c r="K582" s="38"/>
      <c r="L582" s="38"/>
      <c r="M582" s="38"/>
      <c r="N582" s="38"/>
      <c r="O582" s="38"/>
      <c r="P582" s="38"/>
    </row>
    <row r="583">
      <c r="A583" s="41"/>
      <c r="C583" s="7"/>
      <c r="D583" s="7"/>
      <c r="E583" s="18"/>
      <c r="F583" s="38"/>
      <c r="G583" s="38"/>
      <c r="H583" s="38"/>
      <c r="I583" s="38"/>
      <c r="J583" s="38"/>
      <c r="K583" s="38"/>
      <c r="L583" s="38"/>
      <c r="M583" s="38"/>
      <c r="N583" s="38"/>
      <c r="O583" s="38"/>
      <c r="P583" s="38"/>
    </row>
    <row r="584">
      <c r="A584" s="41"/>
      <c r="C584" s="7"/>
      <c r="D584" s="7"/>
      <c r="E584" s="18"/>
      <c r="F584" s="38"/>
      <c r="G584" s="38"/>
      <c r="H584" s="38"/>
      <c r="I584" s="38"/>
      <c r="J584" s="38"/>
      <c r="K584" s="38"/>
      <c r="L584" s="38"/>
      <c r="M584" s="38"/>
      <c r="N584" s="38"/>
      <c r="O584" s="38"/>
      <c r="P584" s="38"/>
    </row>
    <row r="585">
      <c r="A585" s="41"/>
      <c r="C585" s="7"/>
      <c r="D585" s="7"/>
      <c r="E585" s="18"/>
      <c r="F585" s="38"/>
      <c r="G585" s="38"/>
      <c r="H585" s="38"/>
      <c r="I585" s="38"/>
      <c r="J585" s="38"/>
      <c r="K585" s="38"/>
      <c r="L585" s="38"/>
      <c r="M585" s="38"/>
      <c r="N585" s="38"/>
      <c r="O585" s="38"/>
      <c r="P585" s="38"/>
    </row>
    <row r="586">
      <c r="A586" s="41"/>
      <c r="C586" s="7"/>
      <c r="D586" s="7"/>
      <c r="E586" s="18"/>
      <c r="F586" s="38"/>
      <c r="G586" s="38"/>
      <c r="H586" s="38"/>
      <c r="I586" s="38"/>
      <c r="J586" s="38"/>
      <c r="K586" s="38"/>
      <c r="L586" s="38"/>
      <c r="M586" s="38"/>
      <c r="N586" s="38"/>
      <c r="O586" s="38"/>
      <c r="P586" s="38"/>
    </row>
    <row r="587">
      <c r="A587" s="41"/>
      <c r="C587" s="7"/>
      <c r="D587" s="7"/>
      <c r="E587" s="18"/>
      <c r="F587" s="38"/>
      <c r="G587" s="38"/>
      <c r="H587" s="38"/>
      <c r="I587" s="38"/>
      <c r="J587" s="38"/>
      <c r="K587" s="38"/>
      <c r="L587" s="38"/>
      <c r="M587" s="38"/>
      <c r="N587" s="38"/>
      <c r="O587" s="38"/>
      <c r="P587" s="38"/>
    </row>
    <row r="588">
      <c r="A588" s="41"/>
      <c r="C588" s="7"/>
      <c r="D588" s="7"/>
      <c r="E588" s="18"/>
      <c r="F588" s="38"/>
      <c r="G588" s="38"/>
      <c r="H588" s="38"/>
      <c r="I588" s="38"/>
      <c r="J588" s="38"/>
      <c r="K588" s="38"/>
      <c r="L588" s="38"/>
      <c r="M588" s="38"/>
      <c r="N588" s="38"/>
      <c r="O588" s="38"/>
      <c r="P588" s="38"/>
    </row>
    <row r="589">
      <c r="A589" s="41"/>
      <c r="C589" s="7"/>
      <c r="D589" s="7"/>
      <c r="E589" s="18"/>
      <c r="F589" s="38"/>
      <c r="G589" s="38"/>
      <c r="H589" s="38"/>
      <c r="I589" s="38"/>
      <c r="J589" s="38"/>
      <c r="K589" s="38"/>
      <c r="L589" s="38"/>
      <c r="M589" s="38"/>
      <c r="N589" s="38"/>
      <c r="O589" s="38"/>
      <c r="P589" s="38"/>
    </row>
    <row r="590">
      <c r="A590" s="41"/>
      <c r="C590" s="7"/>
      <c r="D590" s="7"/>
      <c r="E590" s="18"/>
      <c r="F590" s="38"/>
      <c r="G590" s="38"/>
      <c r="H590" s="38"/>
      <c r="I590" s="38"/>
      <c r="J590" s="38"/>
      <c r="K590" s="38"/>
      <c r="L590" s="38"/>
      <c r="M590" s="38"/>
      <c r="N590" s="38"/>
      <c r="O590" s="38"/>
      <c r="P590" s="38"/>
    </row>
    <row r="591">
      <c r="A591" s="41"/>
      <c r="C591" s="7"/>
      <c r="D591" s="7"/>
      <c r="E591" s="18"/>
      <c r="F591" s="38"/>
      <c r="G591" s="38"/>
      <c r="H591" s="38"/>
      <c r="I591" s="38"/>
      <c r="J591" s="38"/>
      <c r="K591" s="38"/>
      <c r="L591" s="38"/>
      <c r="M591" s="38"/>
      <c r="N591" s="38"/>
      <c r="O591" s="38"/>
      <c r="P591" s="38"/>
    </row>
    <row r="592">
      <c r="A592" s="41"/>
      <c r="C592" s="7"/>
      <c r="D592" s="7"/>
      <c r="E592" s="18"/>
      <c r="F592" s="38"/>
      <c r="G592" s="38"/>
      <c r="H592" s="38"/>
      <c r="I592" s="38"/>
      <c r="J592" s="38"/>
      <c r="K592" s="38"/>
      <c r="L592" s="38"/>
      <c r="M592" s="38"/>
      <c r="N592" s="38"/>
      <c r="O592" s="38"/>
      <c r="P592" s="38"/>
    </row>
    <row r="593">
      <c r="A593" s="41"/>
      <c r="C593" s="7"/>
      <c r="D593" s="7"/>
      <c r="E593" s="18"/>
      <c r="F593" s="38"/>
      <c r="G593" s="38"/>
      <c r="H593" s="38"/>
      <c r="I593" s="38"/>
      <c r="J593" s="38"/>
      <c r="K593" s="38"/>
      <c r="L593" s="38"/>
      <c r="M593" s="38"/>
      <c r="N593" s="38"/>
      <c r="O593" s="38"/>
      <c r="P593" s="38"/>
    </row>
    <row r="594">
      <c r="A594" s="41"/>
      <c r="C594" s="7"/>
      <c r="D594" s="7"/>
      <c r="E594" s="18"/>
      <c r="F594" s="38"/>
      <c r="G594" s="38"/>
      <c r="H594" s="38"/>
      <c r="I594" s="38"/>
      <c r="J594" s="38"/>
      <c r="K594" s="38"/>
      <c r="L594" s="38"/>
      <c r="M594" s="38"/>
      <c r="N594" s="38"/>
      <c r="O594" s="38"/>
      <c r="P594" s="38"/>
    </row>
    <row r="595">
      <c r="A595" s="41"/>
      <c r="C595" s="7"/>
      <c r="D595" s="7"/>
      <c r="E595" s="18"/>
      <c r="F595" s="38"/>
      <c r="G595" s="38"/>
      <c r="H595" s="38"/>
      <c r="I595" s="38"/>
      <c r="J595" s="38"/>
      <c r="K595" s="38"/>
      <c r="L595" s="38"/>
      <c r="M595" s="38"/>
      <c r="N595" s="38"/>
      <c r="O595" s="38"/>
      <c r="P595" s="38"/>
    </row>
    <row r="596">
      <c r="A596" s="41"/>
      <c r="C596" s="7"/>
      <c r="D596" s="7"/>
      <c r="E596" s="18"/>
      <c r="F596" s="38"/>
      <c r="G596" s="38"/>
      <c r="H596" s="38"/>
      <c r="I596" s="38"/>
      <c r="J596" s="38"/>
      <c r="K596" s="38"/>
      <c r="L596" s="38"/>
      <c r="M596" s="38"/>
      <c r="N596" s="38"/>
      <c r="O596" s="38"/>
      <c r="P596" s="38"/>
    </row>
    <row r="597">
      <c r="A597" s="41"/>
      <c r="C597" s="7"/>
      <c r="D597" s="7"/>
      <c r="E597" s="18"/>
      <c r="F597" s="38"/>
      <c r="G597" s="38"/>
      <c r="H597" s="38"/>
      <c r="I597" s="38"/>
      <c r="J597" s="38"/>
      <c r="K597" s="38"/>
      <c r="L597" s="38"/>
      <c r="M597" s="38"/>
      <c r="N597" s="38"/>
      <c r="O597" s="38"/>
      <c r="P597" s="38"/>
    </row>
    <row r="598">
      <c r="A598" s="41"/>
      <c r="C598" s="7"/>
      <c r="D598" s="7"/>
      <c r="E598" s="18"/>
      <c r="F598" s="38"/>
      <c r="G598" s="38"/>
      <c r="H598" s="38"/>
      <c r="I598" s="38"/>
      <c r="J598" s="38"/>
      <c r="K598" s="38"/>
      <c r="L598" s="38"/>
      <c r="M598" s="38"/>
      <c r="N598" s="38"/>
      <c r="O598" s="38"/>
      <c r="P598" s="38"/>
    </row>
    <row r="599">
      <c r="A599" s="41"/>
      <c r="C599" s="7"/>
      <c r="D599" s="7"/>
      <c r="E599" s="18"/>
      <c r="F599" s="38"/>
      <c r="G599" s="38"/>
      <c r="H599" s="38"/>
      <c r="I599" s="38"/>
      <c r="J599" s="38"/>
      <c r="K599" s="38"/>
      <c r="L599" s="38"/>
      <c r="M599" s="38"/>
      <c r="N599" s="38"/>
      <c r="O599" s="38"/>
      <c r="P599" s="38"/>
    </row>
    <row r="600">
      <c r="A600" s="41"/>
      <c r="C600" s="7"/>
      <c r="D600" s="7"/>
      <c r="E600" s="18"/>
      <c r="F600" s="38"/>
      <c r="G600" s="38"/>
      <c r="H600" s="38"/>
      <c r="I600" s="38"/>
      <c r="J600" s="38"/>
      <c r="K600" s="38"/>
      <c r="L600" s="38"/>
      <c r="M600" s="38"/>
      <c r="N600" s="38"/>
      <c r="O600" s="38"/>
      <c r="P600" s="38"/>
    </row>
    <row r="601">
      <c r="A601" s="41"/>
      <c r="C601" s="7"/>
      <c r="D601" s="7"/>
      <c r="E601" s="18"/>
      <c r="F601" s="38"/>
      <c r="G601" s="38"/>
      <c r="H601" s="38"/>
      <c r="I601" s="38"/>
      <c r="J601" s="38"/>
      <c r="K601" s="38"/>
      <c r="L601" s="38"/>
      <c r="M601" s="38"/>
      <c r="N601" s="38"/>
      <c r="O601" s="38"/>
      <c r="P601" s="38"/>
    </row>
    <row r="602">
      <c r="A602" s="41"/>
      <c r="C602" s="7"/>
      <c r="D602" s="7"/>
      <c r="E602" s="18"/>
      <c r="F602" s="38"/>
      <c r="G602" s="38"/>
      <c r="H602" s="38"/>
      <c r="I602" s="38"/>
      <c r="J602" s="38"/>
      <c r="K602" s="38"/>
      <c r="L602" s="38"/>
      <c r="M602" s="38"/>
      <c r="N602" s="38"/>
      <c r="O602" s="38"/>
      <c r="P602" s="38"/>
    </row>
    <row r="603">
      <c r="A603" s="41"/>
      <c r="C603" s="7"/>
      <c r="D603" s="7"/>
      <c r="E603" s="18"/>
      <c r="F603" s="38"/>
      <c r="G603" s="38"/>
      <c r="H603" s="38"/>
      <c r="I603" s="38"/>
      <c r="J603" s="38"/>
      <c r="K603" s="38"/>
      <c r="L603" s="38"/>
      <c r="M603" s="38"/>
      <c r="N603" s="38"/>
      <c r="O603" s="38"/>
      <c r="P603" s="38"/>
    </row>
    <row r="604">
      <c r="A604" s="41"/>
      <c r="C604" s="7"/>
      <c r="D604" s="7"/>
      <c r="E604" s="18"/>
      <c r="F604" s="38"/>
      <c r="G604" s="38"/>
      <c r="H604" s="38"/>
      <c r="I604" s="38"/>
      <c r="J604" s="38"/>
      <c r="K604" s="38"/>
      <c r="L604" s="38"/>
      <c r="M604" s="38"/>
      <c r="N604" s="38"/>
      <c r="O604" s="38"/>
      <c r="P604" s="38"/>
    </row>
    <row r="605">
      <c r="A605" s="41"/>
      <c r="C605" s="7"/>
      <c r="D605" s="7"/>
      <c r="E605" s="18"/>
      <c r="F605" s="38"/>
      <c r="G605" s="38"/>
      <c r="H605" s="38"/>
      <c r="I605" s="38"/>
      <c r="J605" s="38"/>
      <c r="K605" s="38"/>
      <c r="L605" s="38"/>
      <c r="M605" s="38"/>
      <c r="N605" s="38"/>
      <c r="O605" s="38"/>
      <c r="P605" s="38"/>
    </row>
    <row r="606">
      <c r="A606" s="41"/>
      <c r="C606" s="7"/>
      <c r="D606" s="7"/>
      <c r="E606" s="18"/>
      <c r="F606" s="38"/>
      <c r="G606" s="38"/>
      <c r="H606" s="38"/>
      <c r="I606" s="38"/>
      <c r="J606" s="38"/>
      <c r="K606" s="38"/>
      <c r="L606" s="38"/>
      <c r="M606" s="38"/>
      <c r="N606" s="38"/>
      <c r="O606" s="38"/>
      <c r="P606" s="38"/>
    </row>
    <row r="607">
      <c r="A607" s="41"/>
      <c r="C607" s="7"/>
      <c r="D607" s="7"/>
      <c r="E607" s="18"/>
      <c r="F607" s="38"/>
      <c r="G607" s="38"/>
      <c r="H607" s="38"/>
      <c r="I607" s="38"/>
      <c r="J607" s="38"/>
      <c r="K607" s="38"/>
      <c r="L607" s="38"/>
      <c r="M607" s="38"/>
      <c r="N607" s="38"/>
      <c r="O607" s="38"/>
      <c r="P607" s="38"/>
    </row>
    <row r="608">
      <c r="A608" s="41"/>
      <c r="C608" s="7"/>
      <c r="D608" s="7"/>
      <c r="E608" s="18"/>
      <c r="F608" s="38"/>
      <c r="G608" s="38"/>
      <c r="H608" s="38"/>
      <c r="I608" s="38"/>
      <c r="J608" s="38"/>
      <c r="K608" s="38"/>
      <c r="L608" s="38"/>
      <c r="M608" s="38"/>
      <c r="N608" s="38"/>
      <c r="O608" s="38"/>
      <c r="P608" s="38"/>
    </row>
    <row r="609">
      <c r="A609" s="41"/>
      <c r="C609" s="7"/>
      <c r="D609" s="7"/>
      <c r="E609" s="18"/>
      <c r="F609" s="38"/>
      <c r="G609" s="38"/>
      <c r="H609" s="38"/>
      <c r="I609" s="38"/>
      <c r="J609" s="38"/>
      <c r="K609" s="38"/>
      <c r="L609" s="38"/>
      <c r="M609" s="38"/>
      <c r="N609" s="38"/>
      <c r="O609" s="38"/>
      <c r="P609" s="38"/>
    </row>
    <row r="610">
      <c r="A610" s="41"/>
      <c r="C610" s="7"/>
      <c r="D610" s="7"/>
      <c r="E610" s="18"/>
      <c r="F610" s="38"/>
      <c r="G610" s="38"/>
      <c r="H610" s="38"/>
      <c r="I610" s="38"/>
      <c r="J610" s="38"/>
      <c r="K610" s="38"/>
      <c r="L610" s="38"/>
      <c r="M610" s="38"/>
      <c r="N610" s="38"/>
      <c r="O610" s="38"/>
      <c r="P610" s="38"/>
    </row>
    <row r="611">
      <c r="A611" s="41"/>
      <c r="C611" s="7"/>
      <c r="D611" s="7"/>
      <c r="E611" s="18"/>
      <c r="F611" s="38"/>
      <c r="G611" s="38"/>
      <c r="H611" s="38"/>
      <c r="I611" s="38"/>
      <c r="J611" s="38"/>
      <c r="K611" s="38"/>
      <c r="L611" s="38"/>
      <c r="M611" s="38"/>
      <c r="N611" s="38"/>
      <c r="O611" s="38"/>
      <c r="P611" s="38"/>
    </row>
    <row r="612">
      <c r="A612" s="41"/>
      <c r="C612" s="7"/>
      <c r="D612" s="7"/>
      <c r="E612" s="18"/>
      <c r="F612" s="38"/>
      <c r="G612" s="38"/>
      <c r="H612" s="38"/>
      <c r="I612" s="38"/>
      <c r="J612" s="38"/>
      <c r="K612" s="38"/>
      <c r="L612" s="38"/>
      <c r="M612" s="38"/>
      <c r="N612" s="38"/>
      <c r="O612" s="38"/>
      <c r="P612" s="38"/>
    </row>
    <row r="613">
      <c r="A613" s="41"/>
      <c r="C613" s="7"/>
      <c r="D613" s="7"/>
      <c r="E613" s="18"/>
      <c r="F613" s="38"/>
      <c r="G613" s="38"/>
      <c r="H613" s="38"/>
      <c r="I613" s="38"/>
      <c r="J613" s="38"/>
      <c r="K613" s="38"/>
      <c r="L613" s="38"/>
      <c r="M613" s="38"/>
      <c r="N613" s="38"/>
      <c r="O613" s="38"/>
      <c r="P613" s="38"/>
    </row>
    <row r="614">
      <c r="A614" s="41"/>
      <c r="C614" s="7"/>
      <c r="D614" s="7"/>
      <c r="E614" s="18"/>
      <c r="F614" s="38"/>
      <c r="G614" s="38"/>
      <c r="H614" s="38"/>
      <c r="I614" s="38"/>
      <c r="J614" s="38"/>
      <c r="K614" s="38"/>
      <c r="L614" s="38"/>
      <c r="M614" s="38"/>
      <c r="N614" s="38"/>
      <c r="O614" s="38"/>
      <c r="P614" s="38"/>
    </row>
    <row r="615">
      <c r="A615" s="41"/>
      <c r="C615" s="7"/>
      <c r="D615" s="7"/>
      <c r="E615" s="18"/>
      <c r="F615" s="38"/>
      <c r="G615" s="38"/>
      <c r="H615" s="38"/>
      <c r="I615" s="38"/>
      <c r="J615" s="38"/>
      <c r="K615" s="38"/>
      <c r="L615" s="38"/>
      <c r="M615" s="38"/>
      <c r="N615" s="38"/>
      <c r="O615" s="38"/>
      <c r="P615" s="38"/>
    </row>
    <row r="616">
      <c r="A616" s="41"/>
      <c r="C616" s="7"/>
      <c r="D616" s="7"/>
      <c r="E616" s="18"/>
      <c r="F616" s="38"/>
      <c r="G616" s="38"/>
      <c r="H616" s="38"/>
      <c r="I616" s="38"/>
      <c r="J616" s="38"/>
      <c r="K616" s="38"/>
      <c r="L616" s="38"/>
      <c r="M616" s="38"/>
      <c r="N616" s="38"/>
      <c r="O616" s="38"/>
      <c r="P616" s="38"/>
    </row>
    <row r="617">
      <c r="A617" s="41"/>
      <c r="C617" s="7"/>
      <c r="D617" s="7"/>
      <c r="E617" s="18"/>
      <c r="F617" s="38"/>
      <c r="G617" s="38"/>
      <c r="H617" s="38"/>
      <c r="I617" s="38"/>
      <c r="J617" s="38"/>
      <c r="K617" s="38"/>
      <c r="L617" s="38"/>
      <c r="M617" s="38"/>
      <c r="N617" s="38"/>
      <c r="O617" s="38"/>
      <c r="P617" s="38"/>
    </row>
    <row r="618">
      <c r="A618" s="41"/>
      <c r="C618" s="7"/>
      <c r="D618" s="7"/>
      <c r="E618" s="18"/>
      <c r="F618" s="38"/>
      <c r="G618" s="38"/>
      <c r="H618" s="38"/>
      <c r="I618" s="38"/>
      <c r="J618" s="38"/>
      <c r="K618" s="38"/>
      <c r="L618" s="38"/>
      <c r="M618" s="38"/>
      <c r="N618" s="38"/>
      <c r="O618" s="38"/>
      <c r="P618" s="38"/>
    </row>
    <row r="619">
      <c r="A619" s="19"/>
      <c r="B619" s="19"/>
      <c r="C619" s="42"/>
      <c r="D619" s="42"/>
      <c r="E619" s="19"/>
      <c r="F619" s="39"/>
      <c r="G619" s="39"/>
      <c r="H619" s="39"/>
      <c r="I619" s="39"/>
      <c r="J619" s="39"/>
      <c r="K619" s="19"/>
      <c r="L619" s="19"/>
      <c r="M619" s="38"/>
      <c r="N619" s="38"/>
      <c r="O619" s="38"/>
      <c r="P619" s="38"/>
    </row>
    <row r="620">
      <c r="A620" s="41"/>
      <c r="C620" s="7"/>
      <c r="D620" s="7"/>
      <c r="E620" s="18"/>
      <c r="F620" s="38"/>
      <c r="G620" s="38"/>
      <c r="H620" s="38"/>
      <c r="I620" s="38"/>
      <c r="J620" s="38"/>
      <c r="K620" s="38"/>
      <c r="L620" s="38"/>
      <c r="M620" s="38"/>
      <c r="N620" s="38"/>
      <c r="O620" s="38"/>
      <c r="P620" s="38"/>
    </row>
    <row r="621">
      <c r="A621" s="41"/>
      <c r="C621" s="7"/>
      <c r="D621" s="7"/>
      <c r="E621" s="18"/>
      <c r="F621" s="38"/>
      <c r="G621" s="38"/>
      <c r="H621" s="38"/>
      <c r="I621" s="38"/>
      <c r="J621" s="38"/>
      <c r="K621" s="38"/>
      <c r="L621" s="38"/>
      <c r="M621" s="38"/>
      <c r="N621" s="38"/>
      <c r="O621" s="38"/>
      <c r="P621" s="38"/>
    </row>
    <row r="622">
      <c r="A622" s="41"/>
      <c r="C622" s="7"/>
      <c r="D622" s="7"/>
      <c r="E622" s="18"/>
      <c r="F622" s="38"/>
      <c r="G622" s="38"/>
      <c r="H622" s="38"/>
      <c r="I622" s="38"/>
      <c r="J622" s="38"/>
      <c r="K622" s="38"/>
      <c r="L622" s="38"/>
      <c r="M622" s="38"/>
      <c r="N622" s="38"/>
      <c r="O622" s="38"/>
      <c r="P622" s="38"/>
    </row>
    <row r="623">
      <c r="A623" s="41"/>
      <c r="C623" s="7"/>
      <c r="D623" s="7"/>
      <c r="E623" s="18"/>
      <c r="F623" s="38"/>
      <c r="G623" s="38"/>
      <c r="H623" s="38"/>
      <c r="I623" s="38"/>
      <c r="J623" s="38"/>
      <c r="K623" s="38"/>
      <c r="L623" s="38"/>
      <c r="M623" s="38"/>
      <c r="N623" s="38"/>
      <c r="O623" s="38"/>
      <c r="P623" s="38"/>
    </row>
    <row r="624">
      <c r="A624" s="41"/>
      <c r="C624" s="7"/>
      <c r="D624" s="7"/>
      <c r="E624" s="18"/>
      <c r="F624" s="38"/>
      <c r="G624" s="38"/>
      <c r="H624" s="38"/>
      <c r="I624" s="38"/>
      <c r="J624" s="38"/>
      <c r="K624" s="38"/>
      <c r="L624" s="38"/>
      <c r="M624" s="38"/>
      <c r="N624" s="38"/>
      <c r="O624" s="38"/>
      <c r="P624" s="38"/>
    </row>
    <row r="625">
      <c r="A625" s="41"/>
      <c r="C625" s="7"/>
      <c r="D625" s="7"/>
      <c r="E625" s="18"/>
      <c r="F625" s="38"/>
      <c r="G625" s="38"/>
      <c r="H625" s="38"/>
      <c r="I625" s="38"/>
      <c r="J625" s="38"/>
      <c r="K625" s="38"/>
      <c r="L625" s="38"/>
      <c r="M625" s="38"/>
      <c r="N625" s="38"/>
      <c r="O625" s="38"/>
      <c r="P625" s="38"/>
    </row>
    <row r="626">
      <c r="A626" s="41"/>
      <c r="C626" s="7"/>
      <c r="D626" s="7"/>
      <c r="E626" s="18"/>
      <c r="F626" s="38"/>
      <c r="G626" s="38"/>
      <c r="H626" s="38"/>
      <c r="I626" s="38"/>
      <c r="J626" s="38"/>
      <c r="K626" s="38"/>
      <c r="L626" s="38"/>
      <c r="M626" s="38"/>
      <c r="N626" s="38"/>
      <c r="O626" s="38"/>
      <c r="P626" s="38"/>
    </row>
    <row r="627">
      <c r="A627" s="41"/>
      <c r="C627" s="7"/>
      <c r="D627" s="7"/>
      <c r="E627" s="18"/>
      <c r="F627" s="38"/>
      <c r="G627" s="38"/>
      <c r="H627" s="38"/>
      <c r="I627" s="38"/>
      <c r="J627" s="38"/>
      <c r="K627" s="38"/>
      <c r="L627" s="38"/>
      <c r="M627" s="38"/>
      <c r="N627" s="38"/>
      <c r="O627" s="38"/>
      <c r="P627" s="38"/>
    </row>
    <row r="628">
      <c r="A628" s="41"/>
      <c r="C628" s="7"/>
      <c r="D628" s="7"/>
      <c r="E628" s="18"/>
      <c r="F628" s="38"/>
      <c r="G628" s="38"/>
      <c r="H628" s="38"/>
      <c r="I628" s="38"/>
      <c r="J628" s="38"/>
      <c r="K628" s="38"/>
      <c r="L628" s="38"/>
      <c r="M628" s="38"/>
      <c r="N628" s="38"/>
      <c r="O628" s="38"/>
      <c r="P628" s="38"/>
    </row>
    <row r="629">
      <c r="A629" s="41"/>
      <c r="C629" s="7"/>
      <c r="D629" s="7"/>
      <c r="E629" s="18"/>
      <c r="F629" s="38"/>
      <c r="G629" s="38"/>
      <c r="H629" s="38"/>
      <c r="I629" s="38"/>
      <c r="J629" s="38"/>
      <c r="K629" s="38"/>
      <c r="L629" s="38"/>
      <c r="M629" s="38"/>
      <c r="N629" s="38"/>
      <c r="O629" s="38"/>
      <c r="P629" s="38"/>
    </row>
    <row r="630">
      <c r="A630" s="41"/>
      <c r="C630" s="7"/>
      <c r="D630" s="7"/>
      <c r="E630" s="18"/>
      <c r="F630" s="38"/>
      <c r="G630" s="38"/>
      <c r="H630" s="38"/>
      <c r="I630" s="38"/>
      <c r="J630" s="38"/>
      <c r="K630" s="38"/>
      <c r="L630" s="38"/>
      <c r="M630" s="38"/>
      <c r="N630" s="38"/>
      <c r="O630" s="38"/>
      <c r="P630" s="38"/>
    </row>
    <row r="631">
      <c r="A631" s="41"/>
      <c r="C631" s="7"/>
      <c r="D631" s="7"/>
      <c r="E631" s="18"/>
      <c r="F631" s="38"/>
      <c r="G631" s="38"/>
      <c r="H631" s="38"/>
      <c r="I631" s="38"/>
      <c r="J631" s="38"/>
      <c r="K631" s="38"/>
      <c r="L631" s="38"/>
      <c r="M631" s="38"/>
      <c r="N631" s="38"/>
      <c r="O631" s="38"/>
      <c r="P631" s="38"/>
    </row>
    <row r="632">
      <c r="A632" s="41"/>
      <c r="C632" s="7"/>
      <c r="D632" s="7"/>
      <c r="E632" s="18"/>
      <c r="F632" s="38"/>
      <c r="G632" s="38"/>
      <c r="H632" s="38"/>
      <c r="I632" s="38"/>
      <c r="J632" s="38"/>
      <c r="K632" s="38"/>
      <c r="L632" s="38"/>
      <c r="M632" s="38"/>
      <c r="N632" s="38"/>
      <c r="O632" s="38"/>
      <c r="P632" s="38"/>
    </row>
    <row r="633">
      <c r="A633" s="41"/>
      <c r="C633" s="7"/>
      <c r="D633" s="7"/>
      <c r="E633" s="18"/>
      <c r="F633" s="38"/>
      <c r="G633" s="38"/>
      <c r="H633" s="38"/>
      <c r="I633" s="38"/>
      <c r="J633" s="38"/>
      <c r="K633" s="38"/>
      <c r="L633" s="38"/>
      <c r="M633" s="38"/>
      <c r="N633" s="38"/>
      <c r="O633" s="38"/>
      <c r="P633" s="38"/>
    </row>
    <row r="634">
      <c r="A634" s="41"/>
      <c r="C634" s="7"/>
      <c r="D634" s="7"/>
      <c r="E634" s="18"/>
      <c r="F634" s="38"/>
      <c r="G634" s="38"/>
      <c r="H634" s="38"/>
      <c r="I634" s="38"/>
      <c r="J634" s="38"/>
      <c r="K634" s="38"/>
      <c r="L634" s="38"/>
      <c r="M634" s="38"/>
      <c r="N634" s="38"/>
      <c r="O634" s="38"/>
      <c r="P634" s="38"/>
    </row>
    <row r="635">
      <c r="A635" s="41"/>
      <c r="C635" s="7"/>
      <c r="D635" s="7"/>
      <c r="E635" s="18"/>
      <c r="F635" s="38"/>
      <c r="G635" s="38"/>
      <c r="H635" s="38"/>
      <c r="I635" s="38"/>
      <c r="J635" s="38"/>
      <c r="K635" s="38"/>
      <c r="L635" s="38"/>
      <c r="M635" s="38"/>
      <c r="N635" s="38"/>
      <c r="O635" s="38"/>
      <c r="P635" s="38"/>
    </row>
    <row r="636">
      <c r="A636" s="41"/>
      <c r="C636" s="7"/>
      <c r="D636" s="7"/>
      <c r="E636" s="18"/>
      <c r="F636" s="38"/>
      <c r="G636" s="38"/>
      <c r="H636" s="38"/>
      <c r="I636" s="38"/>
      <c r="J636" s="38"/>
      <c r="K636" s="38"/>
      <c r="L636" s="38"/>
      <c r="M636" s="38"/>
      <c r="N636" s="38"/>
      <c r="O636" s="38"/>
      <c r="P636" s="38"/>
    </row>
    <row r="637">
      <c r="A637" s="41"/>
      <c r="C637" s="7"/>
      <c r="D637" s="7"/>
      <c r="E637" s="18"/>
      <c r="F637" s="38"/>
      <c r="G637" s="38"/>
      <c r="H637" s="38"/>
      <c r="I637" s="38"/>
      <c r="J637" s="38"/>
      <c r="K637" s="38"/>
      <c r="L637" s="38"/>
      <c r="M637" s="38"/>
      <c r="N637" s="38"/>
      <c r="O637" s="38"/>
      <c r="P637" s="38"/>
    </row>
    <row r="638">
      <c r="A638" s="41"/>
      <c r="C638" s="7"/>
      <c r="D638" s="7"/>
      <c r="E638" s="18"/>
      <c r="F638" s="38"/>
      <c r="G638" s="38"/>
      <c r="H638" s="38"/>
      <c r="I638" s="38"/>
      <c r="J638" s="38"/>
      <c r="K638" s="38"/>
      <c r="L638" s="38"/>
      <c r="M638" s="38"/>
      <c r="N638" s="38"/>
      <c r="O638" s="38"/>
      <c r="P638" s="38"/>
    </row>
    <row r="639">
      <c r="A639" s="41"/>
      <c r="C639" s="7"/>
      <c r="D639" s="7"/>
      <c r="E639" s="18"/>
      <c r="F639" s="38"/>
      <c r="G639" s="38"/>
      <c r="H639" s="38"/>
      <c r="I639" s="38"/>
      <c r="J639" s="38"/>
      <c r="K639" s="38"/>
      <c r="L639" s="38"/>
      <c r="M639" s="38"/>
      <c r="N639" s="38"/>
      <c r="O639" s="38"/>
      <c r="P639" s="38"/>
    </row>
    <row r="640">
      <c r="A640" s="41"/>
      <c r="C640" s="7"/>
      <c r="D640" s="7"/>
      <c r="E640" s="18"/>
      <c r="F640" s="38"/>
      <c r="G640" s="38"/>
      <c r="H640" s="38"/>
      <c r="I640" s="38"/>
      <c r="J640" s="38"/>
      <c r="K640" s="38"/>
      <c r="L640" s="38"/>
      <c r="M640" s="38"/>
      <c r="N640" s="38"/>
      <c r="O640" s="38"/>
      <c r="P640" s="38"/>
    </row>
    <row r="641">
      <c r="A641" s="41"/>
      <c r="C641" s="7"/>
      <c r="D641" s="7"/>
      <c r="E641" s="18"/>
      <c r="F641" s="38"/>
      <c r="G641" s="38"/>
      <c r="H641" s="38"/>
      <c r="I641" s="38"/>
      <c r="J641" s="38"/>
      <c r="K641" s="38"/>
      <c r="L641" s="38"/>
      <c r="M641" s="38"/>
      <c r="N641" s="38"/>
      <c r="O641" s="38"/>
      <c r="P641" s="38"/>
    </row>
    <row r="642">
      <c r="A642" s="41"/>
      <c r="C642" s="7"/>
      <c r="D642" s="7"/>
      <c r="E642" s="18"/>
      <c r="F642" s="38"/>
      <c r="G642" s="38"/>
      <c r="H642" s="38"/>
      <c r="I642" s="38"/>
      <c r="J642" s="38"/>
      <c r="K642" s="38"/>
      <c r="L642" s="38"/>
      <c r="M642" s="38"/>
      <c r="N642" s="38"/>
      <c r="O642" s="38"/>
      <c r="P642" s="38"/>
    </row>
    <row r="643">
      <c r="A643" s="41"/>
      <c r="C643" s="7"/>
      <c r="D643" s="7"/>
      <c r="E643" s="18"/>
      <c r="F643" s="38"/>
      <c r="G643" s="38"/>
      <c r="H643" s="38"/>
      <c r="I643" s="38"/>
      <c r="J643" s="38"/>
      <c r="K643" s="38"/>
      <c r="L643" s="38"/>
      <c r="M643" s="38"/>
      <c r="N643" s="38"/>
      <c r="O643" s="38"/>
      <c r="P643" s="38"/>
    </row>
    <row r="644">
      <c r="A644" s="41"/>
      <c r="C644" s="7"/>
      <c r="D644" s="7"/>
      <c r="E644" s="18"/>
      <c r="F644" s="38"/>
      <c r="G644" s="38"/>
      <c r="H644" s="38"/>
      <c r="I644" s="38"/>
      <c r="J644" s="38"/>
      <c r="K644" s="38"/>
      <c r="L644" s="38"/>
      <c r="M644" s="38"/>
      <c r="N644" s="38"/>
      <c r="O644" s="38"/>
      <c r="P644" s="38"/>
    </row>
    <row r="645">
      <c r="A645" s="41"/>
      <c r="C645" s="7"/>
      <c r="D645" s="7"/>
      <c r="E645" s="18"/>
      <c r="F645" s="38"/>
      <c r="G645" s="38"/>
      <c r="H645" s="38"/>
      <c r="I645" s="38"/>
      <c r="J645" s="38"/>
      <c r="K645" s="38"/>
      <c r="L645" s="38"/>
      <c r="M645" s="38"/>
      <c r="N645" s="38"/>
      <c r="O645" s="38"/>
      <c r="P645" s="38"/>
    </row>
    <row r="646">
      <c r="A646" s="41"/>
      <c r="C646" s="7"/>
      <c r="D646" s="7"/>
      <c r="E646" s="18"/>
      <c r="F646" s="38"/>
      <c r="G646" s="38"/>
      <c r="H646" s="38"/>
      <c r="I646" s="38"/>
      <c r="J646" s="38"/>
      <c r="K646" s="38"/>
      <c r="L646" s="38"/>
      <c r="M646" s="38"/>
      <c r="N646" s="38"/>
      <c r="O646" s="38"/>
      <c r="P646" s="38"/>
    </row>
    <row r="647">
      <c r="A647" s="41"/>
      <c r="C647" s="7"/>
      <c r="D647" s="7"/>
      <c r="E647" s="18"/>
      <c r="F647" s="38"/>
      <c r="G647" s="38"/>
      <c r="H647" s="38"/>
      <c r="I647" s="38"/>
      <c r="J647" s="38"/>
      <c r="K647" s="38"/>
      <c r="L647" s="38"/>
      <c r="M647" s="38"/>
      <c r="N647" s="38"/>
      <c r="O647" s="38"/>
      <c r="P647" s="38"/>
    </row>
    <row r="648">
      <c r="A648" s="41"/>
      <c r="C648" s="7"/>
      <c r="D648" s="7"/>
      <c r="E648" s="18"/>
      <c r="F648" s="38"/>
      <c r="G648" s="38"/>
      <c r="H648" s="38"/>
      <c r="I648" s="38"/>
      <c r="J648" s="38"/>
      <c r="K648" s="38"/>
      <c r="L648" s="38"/>
      <c r="M648" s="38"/>
      <c r="N648" s="38"/>
      <c r="O648" s="38"/>
      <c r="P648" s="38"/>
    </row>
    <row r="649">
      <c r="A649" s="41"/>
      <c r="C649" s="7"/>
      <c r="D649" s="7"/>
      <c r="E649" s="18"/>
      <c r="F649" s="38"/>
      <c r="G649" s="38"/>
      <c r="H649" s="38"/>
      <c r="I649" s="38"/>
      <c r="J649" s="38"/>
      <c r="K649" s="38"/>
      <c r="L649" s="38"/>
      <c r="M649" s="38"/>
      <c r="N649" s="38"/>
      <c r="O649" s="38"/>
      <c r="P649" s="38"/>
    </row>
    <row r="650">
      <c r="A650" s="41"/>
      <c r="C650" s="7"/>
      <c r="D650" s="7"/>
      <c r="E650" s="18"/>
      <c r="F650" s="38"/>
      <c r="G650" s="38"/>
      <c r="H650" s="38"/>
      <c r="I650" s="38"/>
      <c r="J650" s="38"/>
      <c r="K650" s="38"/>
      <c r="L650" s="38"/>
      <c r="M650" s="38"/>
      <c r="N650" s="38"/>
      <c r="O650" s="38"/>
      <c r="P650" s="38"/>
    </row>
    <row r="651">
      <c r="A651" s="41"/>
      <c r="C651" s="7"/>
      <c r="D651" s="7"/>
      <c r="E651" s="18"/>
      <c r="F651" s="38"/>
      <c r="G651" s="38"/>
      <c r="H651" s="38"/>
      <c r="I651" s="38"/>
      <c r="J651" s="38"/>
      <c r="K651" s="38"/>
      <c r="L651" s="38"/>
      <c r="M651" s="38"/>
      <c r="N651" s="38"/>
      <c r="O651" s="38"/>
      <c r="P651" s="38"/>
    </row>
    <row r="652">
      <c r="A652" s="41"/>
      <c r="C652" s="7"/>
      <c r="D652" s="7"/>
      <c r="E652" s="18"/>
      <c r="F652" s="38"/>
      <c r="G652" s="38"/>
      <c r="H652" s="38"/>
      <c r="I652" s="38"/>
      <c r="J652" s="38"/>
      <c r="K652" s="38"/>
      <c r="L652" s="38"/>
      <c r="M652" s="38"/>
      <c r="N652" s="38"/>
      <c r="O652" s="38"/>
      <c r="P652" s="38"/>
    </row>
    <row r="653">
      <c r="A653" s="41"/>
      <c r="C653" s="7"/>
      <c r="D653" s="7"/>
      <c r="E653" s="18"/>
      <c r="F653" s="38"/>
      <c r="G653" s="38"/>
      <c r="H653" s="38"/>
      <c r="I653" s="38"/>
      <c r="J653" s="38"/>
      <c r="K653" s="38"/>
      <c r="L653" s="38"/>
      <c r="M653" s="38"/>
      <c r="N653" s="38"/>
      <c r="O653" s="38"/>
      <c r="P653" s="38"/>
    </row>
    <row r="654">
      <c r="A654" s="41"/>
      <c r="C654" s="7"/>
      <c r="D654" s="7"/>
      <c r="E654" s="18"/>
      <c r="F654" s="38"/>
      <c r="G654" s="38"/>
      <c r="H654" s="38"/>
      <c r="I654" s="38"/>
      <c r="J654" s="38"/>
      <c r="K654" s="38"/>
      <c r="L654" s="38"/>
      <c r="M654" s="38"/>
      <c r="N654" s="38"/>
      <c r="O654" s="38"/>
      <c r="P654" s="38"/>
    </row>
    <row r="655">
      <c r="A655" s="41"/>
      <c r="C655" s="7"/>
      <c r="D655" s="7"/>
      <c r="E655" s="18"/>
      <c r="F655" s="38"/>
      <c r="G655" s="38"/>
      <c r="H655" s="38"/>
      <c r="I655" s="38"/>
      <c r="J655" s="38"/>
      <c r="K655" s="38"/>
      <c r="L655" s="38"/>
      <c r="M655" s="38"/>
      <c r="N655" s="38"/>
      <c r="O655" s="38"/>
      <c r="P655" s="38"/>
    </row>
    <row r="656">
      <c r="A656" s="41"/>
      <c r="C656" s="7"/>
      <c r="D656" s="7"/>
      <c r="E656" s="18"/>
      <c r="F656" s="38"/>
      <c r="G656" s="38"/>
      <c r="H656" s="38"/>
      <c r="I656" s="38"/>
      <c r="J656" s="38"/>
      <c r="K656" s="38"/>
      <c r="L656" s="38"/>
      <c r="M656" s="38"/>
      <c r="N656" s="38"/>
      <c r="O656" s="38"/>
      <c r="P656" s="38"/>
    </row>
    <row r="657">
      <c r="A657" s="41"/>
      <c r="C657" s="7"/>
      <c r="D657" s="7"/>
      <c r="E657" s="18"/>
      <c r="F657" s="38"/>
      <c r="G657" s="38"/>
      <c r="H657" s="38"/>
      <c r="I657" s="38"/>
      <c r="J657" s="38"/>
      <c r="K657" s="38"/>
      <c r="L657" s="38"/>
      <c r="M657" s="38"/>
      <c r="N657" s="38"/>
      <c r="O657" s="38"/>
      <c r="P657" s="38"/>
    </row>
    <row r="658">
      <c r="A658" s="41"/>
      <c r="C658" s="7"/>
      <c r="D658" s="7"/>
      <c r="E658" s="18"/>
      <c r="F658" s="38"/>
      <c r="G658" s="38"/>
      <c r="H658" s="38"/>
      <c r="I658" s="38"/>
      <c r="J658" s="38"/>
      <c r="K658" s="38"/>
      <c r="L658" s="38"/>
      <c r="M658" s="38"/>
      <c r="N658" s="38"/>
      <c r="O658" s="38"/>
      <c r="P658" s="38"/>
    </row>
    <row r="659">
      <c r="A659" s="41"/>
      <c r="C659" s="7"/>
      <c r="D659" s="7"/>
      <c r="E659" s="18"/>
      <c r="F659" s="38"/>
      <c r="G659" s="38"/>
      <c r="H659" s="38"/>
      <c r="I659" s="38"/>
      <c r="J659" s="38"/>
      <c r="K659" s="38"/>
      <c r="L659" s="38"/>
      <c r="M659" s="38"/>
      <c r="N659" s="38"/>
      <c r="O659" s="38"/>
      <c r="P659" s="38"/>
    </row>
    <row r="660">
      <c r="A660" s="19"/>
      <c r="B660" s="19"/>
      <c r="C660" s="42"/>
      <c r="D660" s="42"/>
      <c r="E660" s="19"/>
      <c r="F660" s="39"/>
      <c r="G660" s="39"/>
      <c r="H660" s="39"/>
      <c r="I660" s="39"/>
      <c r="J660" s="39"/>
      <c r="K660" s="19"/>
      <c r="L660" s="19"/>
      <c r="M660" s="38"/>
      <c r="N660" s="38"/>
      <c r="O660" s="38"/>
      <c r="P660" s="38"/>
    </row>
    <row r="661">
      <c r="A661" s="41"/>
      <c r="C661" s="7"/>
      <c r="D661" s="7"/>
      <c r="E661" s="18"/>
      <c r="F661" s="38"/>
      <c r="G661" s="38"/>
      <c r="H661" s="38"/>
      <c r="I661" s="38"/>
      <c r="J661" s="38"/>
      <c r="K661" s="38"/>
      <c r="L661" s="38"/>
      <c r="M661" s="38"/>
      <c r="N661" s="38"/>
      <c r="O661" s="38"/>
      <c r="P661" s="38"/>
    </row>
    <row r="662">
      <c r="A662" s="41"/>
      <c r="C662" s="7"/>
      <c r="D662" s="7"/>
      <c r="E662" s="18"/>
      <c r="F662" s="38"/>
      <c r="G662" s="38"/>
      <c r="H662" s="38"/>
      <c r="I662" s="38"/>
      <c r="J662" s="38"/>
      <c r="K662" s="38"/>
      <c r="L662" s="38"/>
      <c r="M662" s="38"/>
      <c r="N662" s="38"/>
      <c r="O662" s="38"/>
      <c r="P662" s="38"/>
    </row>
    <row r="663">
      <c r="A663" s="41"/>
      <c r="C663" s="7"/>
      <c r="D663" s="7"/>
      <c r="E663" s="18"/>
      <c r="F663" s="38"/>
      <c r="G663" s="38"/>
      <c r="H663" s="38"/>
      <c r="I663" s="38"/>
      <c r="J663" s="38"/>
      <c r="K663" s="38"/>
      <c r="L663" s="38"/>
      <c r="M663" s="38"/>
      <c r="N663" s="38"/>
      <c r="O663" s="38"/>
      <c r="P663" s="38"/>
    </row>
    <row r="664">
      <c r="A664" s="41"/>
      <c r="C664" s="7"/>
      <c r="D664" s="7"/>
      <c r="E664" s="18"/>
      <c r="F664" s="38"/>
      <c r="G664" s="38"/>
      <c r="H664" s="38"/>
      <c r="I664" s="38"/>
      <c r="J664" s="38"/>
      <c r="K664" s="38"/>
      <c r="L664" s="38"/>
      <c r="M664" s="38"/>
      <c r="N664" s="38"/>
      <c r="O664" s="38"/>
      <c r="P664" s="38"/>
    </row>
    <row r="665">
      <c r="A665" s="41"/>
      <c r="C665" s="7"/>
      <c r="D665" s="7"/>
      <c r="E665" s="18"/>
      <c r="F665" s="38"/>
      <c r="G665" s="38"/>
      <c r="H665" s="38"/>
      <c r="I665" s="38"/>
      <c r="J665" s="38"/>
      <c r="K665" s="38"/>
      <c r="L665" s="38"/>
      <c r="M665" s="38"/>
      <c r="N665" s="38"/>
      <c r="O665" s="38"/>
      <c r="P665" s="38"/>
    </row>
    <row r="666">
      <c r="A666" s="41"/>
      <c r="C666" s="7"/>
      <c r="D666" s="7"/>
      <c r="E666" s="18"/>
      <c r="F666" s="38"/>
      <c r="G666" s="38"/>
      <c r="H666" s="38"/>
      <c r="I666" s="38"/>
      <c r="J666" s="38"/>
      <c r="K666" s="38"/>
      <c r="L666" s="38"/>
      <c r="M666" s="38"/>
      <c r="N666" s="38"/>
      <c r="O666" s="38"/>
      <c r="P666" s="38"/>
    </row>
    <row r="667">
      <c r="A667" s="41"/>
      <c r="C667" s="7"/>
      <c r="D667" s="7"/>
      <c r="E667" s="18"/>
      <c r="F667" s="38"/>
      <c r="G667" s="38"/>
      <c r="H667" s="38"/>
      <c r="I667" s="38"/>
      <c r="J667" s="38"/>
      <c r="K667" s="38"/>
      <c r="L667" s="38"/>
      <c r="M667" s="38"/>
      <c r="N667" s="38"/>
      <c r="O667" s="38"/>
      <c r="P667" s="38"/>
    </row>
    <row r="668">
      <c r="A668" s="41"/>
      <c r="C668" s="7"/>
      <c r="D668" s="7"/>
      <c r="E668" s="18"/>
      <c r="F668" s="38"/>
      <c r="G668" s="38"/>
      <c r="H668" s="38"/>
      <c r="I668" s="38"/>
      <c r="J668" s="38"/>
      <c r="K668" s="38"/>
      <c r="L668" s="38"/>
      <c r="M668" s="38"/>
      <c r="N668" s="38"/>
      <c r="O668" s="38"/>
      <c r="P668" s="38"/>
    </row>
    <row r="669">
      <c r="A669" s="41"/>
      <c r="C669" s="7"/>
      <c r="D669" s="7"/>
      <c r="E669" s="18"/>
      <c r="F669" s="38"/>
      <c r="G669" s="38"/>
      <c r="H669" s="38"/>
      <c r="I669" s="38"/>
      <c r="J669" s="38"/>
      <c r="K669" s="38"/>
      <c r="L669" s="38"/>
      <c r="M669" s="38"/>
      <c r="N669" s="38"/>
      <c r="O669" s="38"/>
      <c r="P669" s="38"/>
    </row>
    <row r="670">
      <c r="A670" s="41"/>
      <c r="C670" s="7"/>
      <c r="D670" s="7"/>
      <c r="E670" s="18"/>
      <c r="F670" s="38"/>
      <c r="G670" s="38"/>
      <c r="H670" s="38"/>
      <c r="I670" s="38"/>
      <c r="J670" s="38"/>
      <c r="K670" s="38"/>
      <c r="L670" s="38"/>
      <c r="M670" s="38"/>
      <c r="N670" s="38"/>
      <c r="O670" s="38"/>
      <c r="P670" s="38"/>
    </row>
    <row r="671">
      <c r="A671" s="41"/>
      <c r="C671" s="7"/>
      <c r="D671" s="7"/>
      <c r="E671" s="18"/>
      <c r="F671" s="38"/>
      <c r="G671" s="38"/>
      <c r="H671" s="38"/>
      <c r="I671" s="38"/>
      <c r="J671" s="38"/>
      <c r="K671" s="38"/>
      <c r="L671" s="38"/>
      <c r="M671" s="38"/>
      <c r="N671" s="38"/>
      <c r="O671" s="38"/>
      <c r="P671" s="38"/>
    </row>
    <row r="672">
      <c r="A672" s="41"/>
      <c r="C672" s="7"/>
      <c r="D672" s="7"/>
      <c r="E672" s="18"/>
      <c r="F672" s="38"/>
      <c r="G672" s="38"/>
      <c r="H672" s="38"/>
      <c r="I672" s="38"/>
      <c r="J672" s="38"/>
      <c r="K672" s="38"/>
      <c r="L672" s="38"/>
      <c r="M672" s="38"/>
      <c r="N672" s="38"/>
      <c r="O672" s="38"/>
      <c r="P672" s="38"/>
    </row>
    <row r="673">
      <c r="A673" s="41"/>
      <c r="C673" s="7"/>
      <c r="D673" s="7"/>
      <c r="E673" s="18"/>
      <c r="F673" s="38"/>
      <c r="G673" s="38"/>
      <c r="H673" s="38"/>
      <c r="I673" s="38"/>
      <c r="J673" s="38"/>
      <c r="K673" s="38"/>
      <c r="L673" s="38"/>
      <c r="M673" s="38"/>
      <c r="N673" s="38"/>
      <c r="O673" s="38"/>
      <c r="P673" s="38"/>
    </row>
    <row r="674">
      <c r="A674" s="41"/>
      <c r="C674" s="7"/>
      <c r="D674" s="7"/>
      <c r="E674" s="18"/>
      <c r="F674" s="38"/>
      <c r="G674" s="38"/>
      <c r="H674" s="38"/>
      <c r="I674" s="38"/>
      <c r="J674" s="38"/>
      <c r="K674" s="38"/>
      <c r="L674" s="38"/>
      <c r="M674" s="38"/>
      <c r="N674" s="38"/>
      <c r="O674" s="38"/>
      <c r="P674" s="38"/>
    </row>
    <row r="675">
      <c r="A675" s="41"/>
      <c r="C675" s="7"/>
      <c r="D675" s="7"/>
      <c r="E675" s="18"/>
      <c r="F675" s="38"/>
      <c r="G675" s="38"/>
      <c r="H675" s="38"/>
      <c r="I675" s="38"/>
      <c r="J675" s="38"/>
      <c r="K675" s="38"/>
      <c r="L675" s="38"/>
      <c r="M675" s="38"/>
      <c r="N675" s="38"/>
      <c r="O675" s="38"/>
      <c r="P675" s="38"/>
    </row>
    <row r="676">
      <c r="A676" s="41"/>
      <c r="C676" s="7"/>
      <c r="D676" s="7"/>
      <c r="E676" s="18"/>
      <c r="F676" s="38"/>
      <c r="G676" s="38"/>
      <c r="H676" s="38"/>
      <c r="I676" s="38"/>
      <c r="J676" s="38"/>
      <c r="K676" s="38"/>
      <c r="L676" s="38"/>
      <c r="M676" s="38"/>
      <c r="N676" s="38"/>
      <c r="O676" s="38"/>
      <c r="P676" s="38"/>
    </row>
    <row r="677">
      <c r="A677" s="41"/>
      <c r="C677" s="7"/>
      <c r="D677" s="7"/>
      <c r="E677" s="18"/>
      <c r="F677" s="38"/>
      <c r="G677" s="38"/>
      <c r="H677" s="38"/>
      <c r="I677" s="38"/>
      <c r="J677" s="38"/>
      <c r="K677" s="38"/>
      <c r="L677" s="38"/>
      <c r="M677" s="38"/>
      <c r="N677" s="38"/>
      <c r="O677" s="38"/>
      <c r="P677" s="38"/>
    </row>
    <row r="678">
      <c r="A678" s="41"/>
      <c r="C678" s="7"/>
      <c r="D678" s="7"/>
      <c r="E678" s="18"/>
      <c r="F678" s="38"/>
      <c r="G678" s="38"/>
      <c r="H678" s="38"/>
      <c r="I678" s="38"/>
      <c r="J678" s="38"/>
      <c r="K678" s="38"/>
      <c r="L678" s="38"/>
      <c r="M678" s="38"/>
      <c r="N678" s="38"/>
      <c r="O678" s="38"/>
      <c r="P678" s="38"/>
    </row>
    <row r="679">
      <c r="A679" s="41"/>
      <c r="C679" s="7"/>
      <c r="D679" s="7"/>
      <c r="E679" s="18"/>
      <c r="F679" s="38"/>
      <c r="G679" s="38"/>
      <c r="H679" s="38"/>
      <c r="I679" s="38"/>
      <c r="J679" s="38"/>
      <c r="K679" s="38"/>
      <c r="L679" s="38"/>
      <c r="M679" s="38"/>
      <c r="N679" s="38"/>
      <c r="O679" s="38"/>
      <c r="P679" s="38"/>
    </row>
    <row r="680">
      <c r="A680" s="41"/>
      <c r="C680" s="7"/>
      <c r="D680" s="7"/>
      <c r="E680" s="18"/>
      <c r="F680" s="38"/>
      <c r="G680" s="38"/>
      <c r="H680" s="38"/>
      <c r="I680" s="38"/>
      <c r="J680" s="38"/>
      <c r="K680" s="38"/>
      <c r="L680" s="38"/>
      <c r="M680" s="38"/>
      <c r="N680" s="38"/>
      <c r="O680" s="38"/>
      <c r="P680" s="38"/>
    </row>
    <row r="681">
      <c r="A681" s="41"/>
      <c r="C681" s="7"/>
      <c r="D681" s="7"/>
      <c r="E681" s="18"/>
      <c r="F681" s="38"/>
      <c r="G681" s="38"/>
      <c r="H681" s="38"/>
      <c r="I681" s="38"/>
      <c r="J681" s="38"/>
      <c r="K681" s="38"/>
      <c r="L681" s="38"/>
      <c r="M681" s="38"/>
      <c r="N681" s="38"/>
      <c r="O681" s="38"/>
      <c r="P681" s="38"/>
    </row>
    <row r="682">
      <c r="A682" s="41"/>
      <c r="C682" s="7"/>
      <c r="D682" s="7"/>
      <c r="E682" s="18"/>
      <c r="F682" s="38"/>
      <c r="G682" s="38"/>
      <c r="H682" s="38"/>
      <c r="I682" s="38"/>
      <c r="J682" s="38"/>
      <c r="K682" s="38"/>
      <c r="L682" s="38"/>
      <c r="M682" s="38"/>
      <c r="N682" s="38"/>
      <c r="O682" s="38"/>
      <c r="P682" s="38"/>
    </row>
    <row r="683">
      <c r="A683" s="41"/>
      <c r="C683" s="7"/>
      <c r="D683" s="7"/>
      <c r="E683" s="18"/>
      <c r="F683" s="38"/>
      <c r="G683" s="38"/>
      <c r="H683" s="38"/>
      <c r="I683" s="38"/>
      <c r="J683" s="38"/>
      <c r="K683" s="38"/>
      <c r="L683" s="38"/>
      <c r="M683" s="38"/>
      <c r="N683" s="38"/>
      <c r="O683" s="38"/>
      <c r="P683" s="38"/>
    </row>
    <row r="684">
      <c r="A684" s="41"/>
      <c r="C684" s="7"/>
      <c r="D684" s="7"/>
      <c r="E684" s="18"/>
      <c r="F684" s="38"/>
      <c r="G684" s="38"/>
      <c r="H684" s="38"/>
      <c r="I684" s="38"/>
      <c r="J684" s="38"/>
      <c r="K684" s="38"/>
      <c r="L684" s="38"/>
      <c r="M684" s="38"/>
      <c r="N684" s="38"/>
      <c r="O684" s="38"/>
      <c r="P684" s="38"/>
    </row>
    <row r="685">
      <c r="A685" s="41"/>
      <c r="C685" s="7"/>
      <c r="D685" s="7"/>
      <c r="E685" s="18"/>
      <c r="F685" s="38"/>
      <c r="G685" s="38"/>
      <c r="H685" s="38"/>
      <c r="I685" s="38"/>
      <c r="J685" s="38"/>
      <c r="K685" s="38"/>
      <c r="L685" s="38"/>
      <c r="M685" s="38"/>
      <c r="N685" s="38"/>
      <c r="O685" s="38"/>
      <c r="P685" s="38"/>
    </row>
    <row r="686">
      <c r="A686" s="41"/>
      <c r="C686" s="7"/>
      <c r="D686" s="7"/>
      <c r="E686" s="18"/>
      <c r="F686" s="38"/>
      <c r="G686" s="38"/>
      <c r="H686" s="38"/>
      <c r="I686" s="38"/>
      <c r="J686" s="38"/>
      <c r="K686" s="38"/>
      <c r="L686" s="38"/>
      <c r="M686" s="38"/>
      <c r="N686" s="38"/>
      <c r="O686" s="38"/>
      <c r="P686" s="38"/>
    </row>
    <row r="687">
      <c r="A687" s="41"/>
      <c r="C687" s="7"/>
      <c r="D687" s="7"/>
      <c r="E687" s="18"/>
      <c r="F687" s="38"/>
      <c r="G687" s="38"/>
      <c r="H687" s="38"/>
      <c r="I687" s="38"/>
      <c r="J687" s="38"/>
      <c r="K687" s="38"/>
      <c r="L687" s="38"/>
      <c r="M687" s="38"/>
      <c r="N687" s="38"/>
      <c r="O687" s="38"/>
      <c r="P687" s="38"/>
    </row>
    <row r="688">
      <c r="A688" s="41"/>
      <c r="C688" s="7"/>
      <c r="D688" s="7"/>
      <c r="E688" s="18"/>
      <c r="F688" s="38"/>
      <c r="G688" s="38"/>
      <c r="H688" s="38"/>
      <c r="I688" s="38"/>
      <c r="J688" s="38"/>
      <c r="K688" s="38"/>
      <c r="L688" s="38"/>
      <c r="M688" s="38"/>
      <c r="N688" s="38"/>
      <c r="O688" s="38"/>
      <c r="P688" s="38"/>
    </row>
    <row r="689">
      <c r="A689" s="41"/>
      <c r="C689" s="7"/>
      <c r="D689" s="7"/>
      <c r="E689" s="18"/>
      <c r="F689" s="38"/>
      <c r="G689" s="38"/>
      <c r="H689" s="38"/>
      <c r="I689" s="38"/>
      <c r="J689" s="38"/>
      <c r="K689" s="38"/>
      <c r="L689" s="38"/>
      <c r="M689" s="38"/>
      <c r="N689" s="38"/>
      <c r="O689" s="38"/>
      <c r="P689" s="38"/>
    </row>
    <row r="690">
      <c r="A690" s="41"/>
      <c r="C690" s="7"/>
      <c r="D690" s="7"/>
      <c r="E690" s="18"/>
      <c r="F690" s="38"/>
      <c r="G690" s="38"/>
      <c r="H690" s="38"/>
      <c r="I690" s="38"/>
      <c r="J690" s="38"/>
      <c r="K690" s="38"/>
      <c r="L690" s="38"/>
      <c r="M690" s="38"/>
      <c r="N690" s="38"/>
      <c r="O690" s="38"/>
      <c r="P690" s="38"/>
    </row>
    <row r="691">
      <c r="A691" s="41"/>
      <c r="C691" s="7"/>
      <c r="D691" s="7"/>
      <c r="E691" s="18"/>
      <c r="F691" s="38"/>
      <c r="G691" s="38"/>
      <c r="H691" s="38"/>
      <c r="I691" s="38"/>
      <c r="J691" s="38"/>
      <c r="K691" s="38"/>
      <c r="L691" s="38"/>
      <c r="M691" s="38"/>
      <c r="N691" s="38"/>
      <c r="O691" s="38"/>
      <c r="P691" s="38"/>
    </row>
    <row r="692">
      <c r="A692" s="41"/>
      <c r="C692" s="7"/>
      <c r="D692" s="7"/>
      <c r="E692" s="18"/>
      <c r="F692" s="38"/>
      <c r="G692" s="38"/>
      <c r="H692" s="38"/>
      <c r="I692" s="38"/>
      <c r="J692" s="38"/>
      <c r="K692" s="38"/>
      <c r="L692" s="38"/>
      <c r="M692" s="38"/>
      <c r="N692" s="38"/>
      <c r="O692" s="38"/>
      <c r="P692" s="38"/>
    </row>
    <row r="693">
      <c r="A693" s="41"/>
      <c r="C693" s="7"/>
      <c r="D693" s="7"/>
      <c r="E693" s="18"/>
      <c r="F693" s="38"/>
      <c r="G693" s="38"/>
      <c r="H693" s="38"/>
      <c r="I693" s="38"/>
      <c r="J693" s="38"/>
      <c r="K693" s="38"/>
      <c r="L693" s="38"/>
      <c r="M693" s="38"/>
      <c r="N693" s="38"/>
      <c r="O693" s="38"/>
      <c r="P693" s="38"/>
    </row>
    <row r="694">
      <c r="A694" s="41"/>
      <c r="C694" s="7"/>
      <c r="D694" s="7"/>
      <c r="E694" s="18"/>
      <c r="F694" s="38"/>
      <c r="G694" s="38"/>
      <c r="H694" s="38"/>
      <c r="I694" s="38"/>
      <c r="J694" s="38"/>
      <c r="K694" s="38"/>
      <c r="L694" s="38"/>
      <c r="M694" s="38"/>
      <c r="N694" s="38"/>
      <c r="O694" s="38"/>
      <c r="P694" s="38"/>
    </row>
    <row r="695">
      <c r="A695" s="41"/>
      <c r="C695" s="7"/>
      <c r="D695" s="7"/>
      <c r="E695" s="18"/>
      <c r="F695" s="38"/>
      <c r="G695" s="38"/>
      <c r="H695" s="38"/>
      <c r="I695" s="38"/>
      <c r="J695" s="38"/>
      <c r="K695" s="38"/>
      <c r="L695" s="38"/>
      <c r="M695" s="38"/>
      <c r="N695" s="38"/>
      <c r="O695" s="38"/>
      <c r="P695" s="38"/>
    </row>
    <row r="696">
      <c r="A696" s="41"/>
      <c r="C696" s="7"/>
      <c r="D696" s="7"/>
      <c r="E696" s="18"/>
      <c r="F696" s="38"/>
      <c r="G696" s="38"/>
      <c r="H696" s="38"/>
      <c r="I696" s="38"/>
      <c r="J696" s="38"/>
      <c r="K696" s="38"/>
      <c r="L696" s="38"/>
      <c r="M696" s="38"/>
      <c r="N696" s="38"/>
      <c r="O696" s="38"/>
      <c r="P696" s="38"/>
    </row>
    <row r="697">
      <c r="A697" s="41"/>
      <c r="C697" s="7"/>
      <c r="D697" s="7"/>
      <c r="E697" s="18"/>
      <c r="F697" s="38"/>
      <c r="G697" s="38"/>
      <c r="H697" s="38"/>
      <c r="I697" s="38"/>
      <c r="J697" s="38"/>
      <c r="K697" s="38"/>
      <c r="L697" s="38"/>
      <c r="M697" s="38"/>
      <c r="N697" s="38"/>
      <c r="O697" s="38"/>
      <c r="P697" s="38"/>
    </row>
    <row r="698">
      <c r="A698" s="41"/>
      <c r="C698" s="7"/>
      <c r="D698" s="7"/>
      <c r="E698" s="18"/>
      <c r="F698" s="38"/>
      <c r="G698" s="38"/>
      <c r="H698" s="38"/>
      <c r="I698" s="38"/>
      <c r="J698" s="38"/>
      <c r="K698" s="38"/>
      <c r="L698" s="38"/>
      <c r="M698" s="38"/>
      <c r="N698" s="38"/>
      <c r="O698" s="38"/>
      <c r="P698" s="38"/>
    </row>
    <row r="699">
      <c r="A699" s="41"/>
      <c r="C699" s="7"/>
      <c r="D699" s="7"/>
      <c r="E699" s="18"/>
      <c r="F699" s="38"/>
      <c r="G699" s="38"/>
      <c r="H699" s="38"/>
      <c r="I699" s="38"/>
      <c r="J699" s="38"/>
      <c r="K699" s="38"/>
      <c r="L699" s="38"/>
      <c r="M699" s="38"/>
      <c r="N699" s="38"/>
      <c r="O699" s="38"/>
      <c r="P699" s="38"/>
    </row>
    <row r="700">
      <c r="A700" s="41"/>
      <c r="C700" s="7"/>
      <c r="D700" s="7"/>
      <c r="E700" s="18"/>
      <c r="F700" s="38"/>
      <c r="G700" s="38"/>
      <c r="H700" s="38"/>
      <c r="I700" s="38"/>
      <c r="J700" s="38"/>
      <c r="K700" s="38"/>
      <c r="L700" s="38"/>
      <c r="M700" s="38"/>
      <c r="N700" s="38"/>
      <c r="O700" s="38"/>
      <c r="P700" s="38"/>
    </row>
    <row r="701">
      <c r="A701" s="19"/>
      <c r="B701" s="19"/>
      <c r="C701" s="42"/>
      <c r="D701" s="42"/>
      <c r="E701" s="19"/>
      <c r="F701" s="39"/>
      <c r="G701" s="39"/>
      <c r="H701" s="39"/>
      <c r="I701" s="39"/>
      <c r="J701" s="39"/>
      <c r="K701" s="19"/>
      <c r="L701" s="19"/>
      <c r="M701" s="38"/>
      <c r="N701" s="38"/>
      <c r="O701" s="38"/>
      <c r="P701" s="38"/>
    </row>
    <row r="702">
      <c r="A702" s="41"/>
      <c r="C702" s="7"/>
      <c r="D702" s="7"/>
      <c r="E702" s="18"/>
      <c r="F702" s="38"/>
      <c r="G702" s="38"/>
      <c r="H702" s="38"/>
      <c r="I702" s="38"/>
      <c r="J702" s="38"/>
      <c r="K702" s="38"/>
      <c r="L702" s="38"/>
      <c r="M702" s="38"/>
      <c r="N702" s="38"/>
      <c r="O702" s="38"/>
      <c r="P702" s="38"/>
    </row>
    <row r="703">
      <c r="A703" s="41"/>
      <c r="C703" s="7"/>
      <c r="D703" s="7"/>
      <c r="E703" s="18"/>
      <c r="F703" s="38"/>
      <c r="G703" s="38"/>
      <c r="H703" s="38"/>
      <c r="I703" s="38"/>
      <c r="J703" s="38"/>
      <c r="K703" s="38"/>
      <c r="L703" s="38"/>
      <c r="M703" s="38"/>
      <c r="N703" s="38"/>
      <c r="O703" s="38"/>
      <c r="P703" s="38"/>
    </row>
    <row r="704">
      <c r="A704" s="41"/>
      <c r="C704" s="7"/>
      <c r="D704" s="7"/>
      <c r="E704" s="18"/>
      <c r="F704" s="38"/>
      <c r="G704" s="38"/>
      <c r="H704" s="38"/>
      <c r="I704" s="38"/>
      <c r="J704" s="38"/>
      <c r="K704" s="38"/>
      <c r="L704" s="38"/>
      <c r="M704" s="38"/>
      <c r="N704" s="38"/>
      <c r="O704" s="38"/>
      <c r="P704" s="38"/>
    </row>
    <row r="705">
      <c r="A705" s="41"/>
      <c r="C705" s="7"/>
      <c r="D705" s="7"/>
      <c r="E705" s="18"/>
      <c r="F705" s="38"/>
      <c r="G705" s="38"/>
      <c r="H705" s="38"/>
      <c r="I705" s="38"/>
      <c r="J705" s="38"/>
      <c r="K705" s="38"/>
      <c r="L705" s="38"/>
      <c r="M705" s="38"/>
      <c r="N705" s="38"/>
      <c r="O705" s="38"/>
      <c r="P705" s="38"/>
    </row>
    <row r="706">
      <c r="A706" s="41"/>
      <c r="C706" s="7"/>
      <c r="D706" s="7"/>
      <c r="E706" s="18"/>
      <c r="F706" s="38"/>
      <c r="G706" s="38"/>
      <c r="H706" s="38"/>
      <c r="I706" s="38"/>
      <c r="J706" s="38"/>
      <c r="K706" s="38"/>
      <c r="L706" s="38"/>
      <c r="M706" s="38"/>
      <c r="N706" s="38"/>
      <c r="O706" s="38"/>
      <c r="P706" s="38"/>
    </row>
    <row r="707">
      <c r="A707" s="41"/>
      <c r="C707" s="7"/>
      <c r="D707" s="7"/>
      <c r="E707" s="18"/>
      <c r="F707" s="38"/>
      <c r="G707" s="38"/>
      <c r="H707" s="38"/>
      <c r="I707" s="38"/>
      <c r="J707" s="38"/>
      <c r="K707" s="38"/>
      <c r="L707" s="38"/>
      <c r="M707" s="38"/>
      <c r="N707" s="38"/>
      <c r="O707" s="38"/>
      <c r="P707" s="38"/>
    </row>
    <row r="708">
      <c r="A708" s="41"/>
      <c r="C708" s="7"/>
      <c r="D708" s="7"/>
      <c r="E708" s="18"/>
      <c r="F708" s="38"/>
      <c r="G708" s="38"/>
      <c r="H708" s="38"/>
      <c r="I708" s="38"/>
      <c r="J708" s="38"/>
      <c r="K708" s="38"/>
      <c r="L708" s="38"/>
      <c r="M708" s="38"/>
      <c r="N708" s="38"/>
      <c r="O708" s="38"/>
      <c r="P708" s="38"/>
    </row>
    <row r="709">
      <c r="A709" s="41"/>
      <c r="C709" s="7"/>
      <c r="D709" s="7"/>
      <c r="E709" s="18"/>
      <c r="F709" s="38"/>
      <c r="G709" s="38"/>
      <c r="H709" s="38"/>
      <c r="I709" s="38"/>
      <c r="J709" s="38"/>
      <c r="K709" s="38"/>
      <c r="L709" s="38"/>
      <c r="M709" s="38"/>
      <c r="N709" s="38"/>
      <c r="O709" s="38"/>
      <c r="P709" s="38"/>
    </row>
    <row r="710">
      <c r="A710" s="41"/>
      <c r="C710" s="7"/>
      <c r="D710" s="7"/>
      <c r="E710" s="18"/>
      <c r="F710" s="38"/>
      <c r="G710" s="38"/>
      <c r="H710" s="38"/>
      <c r="I710" s="38"/>
      <c r="J710" s="38"/>
      <c r="K710" s="38"/>
      <c r="L710" s="38"/>
      <c r="M710" s="38"/>
      <c r="N710" s="38"/>
      <c r="O710" s="38"/>
      <c r="P710" s="38"/>
    </row>
    <row r="711">
      <c r="A711" s="41"/>
      <c r="C711" s="7"/>
      <c r="D711" s="7"/>
      <c r="E711" s="18"/>
      <c r="F711" s="38"/>
      <c r="G711" s="38"/>
      <c r="H711" s="38"/>
      <c r="I711" s="38"/>
      <c r="J711" s="38"/>
      <c r="K711" s="38"/>
      <c r="L711" s="38"/>
      <c r="M711" s="38"/>
      <c r="N711" s="38"/>
      <c r="O711" s="38"/>
      <c r="P711" s="38"/>
    </row>
    <row r="712">
      <c r="A712" s="41"/>
      <c r="C712" s="7"/>
      <c r="D712" s="7"/>
      <c r="E712" s="18"/>
      <c r="F712" s="38"/>
      <c r="G712" s="38"/>
      <c r="H712" s="38"/>
      <c r="I712" s="38"/>
      <c r="J712" s="38"/>
      <c r="K712" s="38"/>
      <c r="L712" s="38"/>
      <c r="M712" s="38"/>
      <c r="N712" s="38"/>
      <c r="O712" s="38"/>
      <c r="P712" s="38"/>
    </row>
    <row r="713">
      <c r="A713" s="41"/>
      <c r="C713" s="7"/>
      <c r="D713" s="7"/>
      <c r="E713" s="18"/>
      <c r="F713" s="38"/>
      <c r="G713" s="38"/>
      <c r="H713" s="38"/>
      <c r="I713" s="38"/>
      <c r="J713" s="38"/>
      <c r="K713" s="38"/>
      <c r="L713" s="38"/>
      <c r="M713" s="38"/>
      <c r="N713" s="38"/>
      <c r="O713" s="38"/>
      <c r="P713" s="38"/>
    </row>
    <row r="714">
      <c r="A714" s="41"/>
      <c r="C714" s="7"/>
      <c r="D714" s="7"/>
      <c r="E714" s="18"/>
      <c r="F714" s="38"/>
      <c r="G714" s="38"/>
      <c r="H714" s="38"/>
      <c r="I714" s="38"/>
      <c r="J714" s="38"/>
      <c r="K714" s="38"/>
      <c r="L714" s="38"/>
      <c r="M714" s="38"/>
      <c r="N714" s="38"/>
      <c r="O714" s="38"/>
      <c r="P714" s="38"/>
    </row>
    <row r="715">
      <c r="A715" s="41"/>
      <c r="C715" s="7"/>
      <c r="D715" s="7"/>
      <c r="E715" s="18"/>
      <c r="F715" s="38"/>
      <c r="G715" s="38"/>
      <c r="H715" s="38"/>
      <c r="I715" s="38"/>
      <c r="J715" s="38"/>
      <c r="K715" s="38"/>
      <c r="L715" s="38"/>
      <c r="M715" s="38"/>
      <c r="N715" s="38"/>
      <c r="O715" s="38"/>
      <c r="P715" s="38"/>
    </row>
    <row r="716">
      <c r="A716" s="41"/>
      <c r="C716" s="7"/>
      <c r="D716" s="7"/>
      <c r="E716" s="18"/>
      <c r="F716" s="38"/>
      <c r="G716" s="38"/>
      <c r="H716" s="38"/>
      <c r="I716" s="38"/>
      <c r="J716" s="38"/>
      <c r="K716" s="38"/>
      <c r="L716" s="38"/>
      <c r="M716" s="38"/>
      <c r="N716" s="38"/>
      <c r="O716" s="38"/>
      <c r="P716" s="38"/>
    </row>
    <row r="717">
      <c r="A717" s="41"/>
      <c r="C717" s="7"/>
      <c r="D717" s="7"/>
      <c r="E717" s="18"/>
      <c r="F717" s="38"/>
      <c r="G717" s="38"/>
      <c r="H717" s="38"/>
      <c r="I717" s="38"/>
      <c r="J717" s="38"/>
      <c r="K717" s="38"/>
      <c r="L717" s="38"/>
      <c r="M717" s="38"/>
      <c r="N717" s="38"/>
      <c r="O717" s="38"/>
      <c r="P717" s="38"/>
    </row>
    <row r="718">
      <c r="A718" s="41"/>
      <c r="C718" s="7"/>
      <c r="D718" s="7"/>
      <c r="E718" s="18"/>
      <c r="F718" s="38"/>
      <c r="G718" s="38"/>
      <c r="H718" s="38"/>
      <c r="I718" s="38"/>
      <c r="J718" s="38"/>
      <c r="K718" s="38"/>
      <c r="L718" s="38"/>
      <c r="M718" s="38"/>
      <c r="N718" s="38"/>
      <c r="O718" s="38"/>
      <c r="P718" s="38"/>
    </row>
    <row r="719">
      <c r="A719" s="41"/>
      <c r="C719" s="7"/>
      <c r="D719" s="7"/>
      <c r="E719" s="18"/>
      <c r="F719" s="38"/>
      <c r="G719" s="38"/>
      <c r="H719" s="38"/>
      <c r="I719" s="38"/>
      <c r="J719" s="38"/>
      <c r="K719" s="38"/>
      <c r="L719" s="38"/>
      <c r="M719" s="38"/>
      <c r="N719" s="38"/>
      <c r="O719" s="38"/>
      <c r="P719" s="38"/>
    </row>
    <row r="720">
      <c r="A720" s="41"/>
      <c r="C720" s="7"/>
      <c r="D720" s="7"/>
      <c r="E720" s="18"/>
      <c r="F720" s="38"/>
      <c r="G720" s="38"/>
      <c r="H720" s="38"/>
      <c r="I720" s="38"/>
      <c r="J720" s="38"/>
      <c r="K720" s="38"/>
      <c r="L720" s="38"/>
      <c r="M720" s="38"/>
      <c r="N720" s="38"/>
      <c r="O720" s="38"/>
      <c r="P720" s="38"/>
    </row>
    <row r="721">
      <c r="A721" s="41"/>
      <c r="C721" s="7"/>
      <c r="D721" s="7"/>
      <c r="E721" s="18"/>
      <c r="F721" s="38"/>
      <c r="G721" s="38"/>
      <c r="H721" s="38"/>
      <c r="I721" s="38"/>
      <c r="J721" s="38"/>
      <c r="K721" s="38"/>
      <c r="L721" s="38"/>
      <c r="M721" s="38"/>
      <c r="N721" s="38"/>
      <c r="O721" s="38"/>
      <c r="P721" s="38"/>
    </row>
    <row r="722">
      <c r="A722" s="41"/>
      <c r="C722" s="7"/>
      <c r="D722" s="7"/>
      <c r="E722" s="18"/>
      <c r="F722" s="38"/>
      <c r="G722" s="38"/>
      <c r="H722" s="38"/>
      <c r="I722" s="38"/>
      <c r="J722" s="38"/>
      <c r="K722" s="38"/>
      <c r="L722" s="38"/>
      <c r="M722" s="38"/>
      <c r="N722" s="38"/>
      <c r="O722" s="38"/>
      <c r="P722" s="38"/>
    </row>
    <row r="723">
      <c r="A723" s="41"/>
      <c r="C723" s="7"/>
      <c r="D723" s="7"/>
      <c r="E723" s="18"/>
      <c r="F723" s="38"/>
      <c r="G723" s="38"/>
      <c r="H723" s="38"/>
      <c r="I723" s="38"/>
      <c r="J723" s="38"/>
      <c r="K723" s="38"/>
      <c r="L723" s="38"/>
      <c r="M723" s="38"/>
      <c r="N723" s="38"/>
      <c r="O723" s="38"/>
      <c r="P723" s="38"/>
    </row>
    <row r="724">
      <c r="A724" s="41"/>
      <c r="C724" s="7"/>
      <c r="D724" s="7"/>
      <c r="E724" s="18"/>
      <c r="F724" s="38"/>
      <c r="G724" s="38"/>
      <c r="H724" s="38"/>
      <c r="I724" s="38"/>
      <c r="J724" s="38"/>
      <c r="K724" s="38"/>
      <c r="L724" s="38"/>
      <c r="M724" s="38"/>
      <c r="N724" s="38"/>
      <c r="O724" s="38"/>
      <c r="P724" s="38"/>
    </row>
    <row r="725">
      <c r="A725" s="41"/>
      <c r="C725" s="7"/>
      <c r="D725" s="7"/>
      <c r="E725" s="18"/>
      <c r="F725" s="38"/>
      <c r="G725" s="38"/>
      <c r="H725" s="38"/>
      <c r="I725" s="38"/>
      <c r="J725" s="38"/>
      <c r="K725" s="38"/>
      <c r="L725" s="38"/>
      <c r="M725" s="38"/>
      <c r="N725" s="38"/>
      <c r="O725" s="38"/>
      <c r="P725" s="38"/>
    </row>
    <row r="726">
      <c r="A726" s="41"/>
      <c r="C726" s="7"/>
      <c r="D726" s="7"/>
      <c r="E726" s="18"/>
      <c r="F726" s="38"/>
      <c r="G726" s="38"/>
      <c r="H726" s="38"/>
      <c r="I726" s="38"/>
      <c r="J726" s="38"/>
      <c r="K726" s="38"/>
      <c r="L726" s="38"/>
      <c r="M726" s="38"/>
      <c r="N726" s="38"/>
      <c r="O726" s="38"/>
      <c r="P726" s="38"/>
    </row>
    <row r="727">
      <c r="A727" s="41"/>
      <c r="C727" s="7"/>
      <c r="D727" s="7"/>
      <c r="E727" s="18"/>
      <c r="F727" s="38"/>
      <c r="G727" s="38"/>
      <c r="H727" s="38"/>
      <c r="I727" s="38"/>
      <c r="J727" s="38"/>
      <c r="K727" s="38"/>
      <c r="L727" s="38"/>
      <c r="M727" s="38"/>
      <c r="N727" s="38"/>
      <c r="O727" s="38"/>
      <c r="P727" s="38"/>
    </row>
    <row r="728">
      <c r="A728" s="41"/>
      <c r="C728" s="7"/>
      <c r="D728" s="7"/>
      <c r="E728" s="18"/>
      <c r="F728" s="38"/>
      <c r="G728" s="38"/>
      <c r="H728" s="38"/>
      <c r="I728" s="38"/>
      <c r="J728" s="38"/>
      <c r="K728" s="38"/>
      <c r="L728" s="38"/>
      <c r="M728" s="38"/>
      <c r="N728" s="38"/>
      <c r="O728" s="38"/>
      <c r="P728" s="38"/>
    </row>
    <row r="729">
      <c r="A729" s="41"/>
      <c r="C729" s="7"/>
      <c r="D729" s="7"/>
      <c r="E729" s="18"/>
      <c r="F729" s="38"/>
      <c r="G729" s="38"/>
      <c r="H729" s="38"/>
      <c r="I729" s="38"/>
      <c r="J729" s="38"/>
      <c r="K729" s="38"/>
      <c r="L729" s="38"/>
      <c r="M729" s="38"/>
      <c r="N729" s="38"/>
      <c r="O729" s="38"/>
      <c r="P729" s="38"/>
    </row>
    <row r="730">
      <c r="A730" s="41"/>
      <c r="C730" s="7"/>
      <c r="D730" s="7"/>
      <c r="E730" s="18"/>
      <c r="F730" s="38"/>
      <c r="G730" s="38"/>
      <c r="H730" s="38"/>
      <c r="I730" s="38"/>
      <c r="J730" s="38"/>
      <c r="K730" s="38"/>
      <c r="L730" s="38"/>
      <c r="M730" s="38"/>
      <c r="N730" s="38"/>
      <c r="O730" s="38"/>
      <c r="P730" s="38"/>
    </row>
    <row r="731">
      <c r="A731" s="41"/>
      <c r="C731" s="7"/>
      <c r="D731" s="7"/>
      <c r="E731" s="18"/>
      <c r="F731" s="38"/>
      <c r="G731" s="38"/>
      <c r="H731" s="38"/>
      <c r="I731" s="38"/>
      <c r="J731" s="38"/>
      <c r="K731" s="38"/>
      <c r="L731" s="38"/>
      <c r="M731" s="38"/>
      <c r="N731" s="38"/>
      <c r="O731" s="38"/>
      <c r="P731" s="38"/>
    </row>
    <row r="732">
      <c r="A732" s="41"/>
      <c r="C732" s="7"/>
      <c r="D732" s="7"/>
      <c r="E732" s="18"/>
      <c r="F732" s="38"/>
      <c r="G732" s="38"/>
      <c r="H732" s="38"/>
      <c r="I732" s="38"/>
      <c r="J732" s="38"/>
      <c r="K732" s="38"/>
      <c r="L732" s="38"/>
      <c r="M732" s="38"/>
      <c r="N732" s="38"/>
      <c r="O732" s="38"/>
      <c r="P732" s="38"/>
    </row>
    <row r="733">
      <c r="A733" s="41"/>
      <c r="C733" s="7"/>
      <c r="D733" s="7"/>
      <c r="E733" s="18"/>
      <c r="F733" s="38"/>
      <c r="G733" s="38"/>
      <c r="H733" s="38"/>
      <c r="I733" s="38"/>
      <c r="J733" s="38"/>
      <c r="K733" s="38"/>
      <c r="L733" s="38"/>
      <c r="M733" s="38"/>
      <c r="N733" s="38"/>
      <c r="O733" s="38"/>
      <c r="P733" s="38"/>
    </row>
    <row r="734">
      <c r="A734" s="41"/>
      <c r="C734" s="7"/>
      <c r="D734" s="7"/>
      <c r="E734" s="18"/>
      <c r="F734" s="38"/>
      <c r="G734" s="38"/>
      <c r="H734" s="38"/>
      <c r="I734" s="38"/>
      <c r="J734" s="38"/>
      <c r="K734" s="38"/>
      <c r="L734" s="38"/>
      <c r="M734" s="38"/>
      <c r="N734" s="38"/>
      <c r="O734" s="38"/>
      <c r="P734" s="38"/>
    </row>
    <row r="735">
      <c r="A735" s="41"/>
      <c r="C735" s="7"/>
      <c r="D735" s="7"/>
      <c r="E735" s="18"/>
      <c r="F735" s="38"/>
      <c r="G735" s="38"/>
      <c r="H735" s="38"/>
      <c r="I735" s="38"/>
      <c r="J735" s="38"/>
      <c r="K735" s="38"/>
      <c r="L735" s="38"/>
      <c r="M735" s="38"/>
      <c r="N735" s="38"/>
      <c r="O735" s="38"/>
      <c r="P735" s="38"/>
    </row>
    <row r="736">
      <c r="A736" s="41"/>
      <c r="C736" s="7"/>
      <c r="D736" s="7"/>
      <c r="E736" s="18"/>
      <c r="F736" s="38"/>
      <c r="G736" s="38"/>
      <c r="H736" s="38"/>
      <c r="I736" s="38"/>
      <c r="J736" s="38"/>
      <c r="K736" s="38"/>
      <c r="L736" s="38"/>
      <c r="M736" s="38"/>
      <c r="N736" s="38"/>
      <c r="O736" s="38"/>
      <c r="P736" s="38"/>
    </row>
    <row r="737">
      <c r="A737" s="41"/>
      <c r="C737" s="7"/>
      <c r="D737" s="7"/>
      <c r="E737" s="18"/>
      <c r="F737" s="38"/>
      <c r="G737" s="38"/>
      <c r="H737" s="38"/>
      <c r="I737" s="38"/>
      <c r="J737" s="38"/>
      <c r="K737" s="38"/>
      <c r="L737" s="38"/>
      <c r="M737" s="38"/>
      <c r="N737" s="38"/>
      <c r="O737" s="38"/>
      <c r="P737" s="38"/>
    </row>
    <row r="738">
      <c r="A738" s="41"/>
      <c r="C738" s="7"/>
      <c r="D738" s="7"/>
      <c r="E738" s="18"/>
      <c r="F738" s="38"/>
      <c r="G738" s="38"/>
      <c r="H738" s="38"/>
      <c r="I738" s="38"/>
      <c r="J738" s="38"/>
      <c r="K738" s="38"/>
      <c r="L738" s="38"/>
      <c r="M738" s="38"/>
      <c r="N738" s="38"/>
      <c r="O738" s="38"/>
      <c r="P738" s="38"/>
    </row>
    <row r="739">
      <c r="A739" s="41"/>
      <c r="C739" s="7"/>
      <c r="D739" s="7"/>
      <c r="E739" s="18"/>
      <c r="F739" s="38"/>
      <c r="G739" s="38"/>
      <c r="H739" s="38"/>
      <c r="I739" s="38"/>
      <c r="J739" s="38"/>
      <c r="K739" s="38"/>
      <c r="L739" s="38"/>
      <c r="M739" s="38"/>
      <c r="N739" s="38"/>
      <c r="O739" s="38"/>
      <c r="P739" s="38"/>
    </row>
    <row r="740">
      <c r="A740" s="41"/>
      <c r="C740" s="7"/>
      <c r="D740" s="7"/>
      <c r="E740" s="18"/>
      <c r="F740" s="38"/>
      <c r="G740" s="38"/>
      <c r="H740" s="38"/>
      <c r="I740" s="38"/>
      <c r="J740" s="38"/>
      <c r="K740" s="38"/>
      <c r="L740" s="38"/>
      <c r="M740" s="38"/>
      <c r="N740" s="38"/>
      <c r="O740" s="38"/>
      <c r="P740" s="38"/>
    </row>
    <row r="741">
      <c r="A741" s="41"/>
      <c r="C741" s="7"/>
      <c r="D741" s="7"/>
      <c r="E741" s="18"/>
      <c r="F741" s="38"/>
      <c r="G741" s="38"/>
      <c r="H741" s="38"/>
      <c r="I741" s="38"/>
      <c r="J741" s="38"/>
      <c r="K741" s="38"/>
      <c r="L741" s="38"/>
      <c r="M741" s="38"/>
      <c r="N741" s="38"/>
      <c r="O741" s="38"/>
      <c r="P741" s="38"/>
    </row>
    <row r="742">
      <c r="A742" s="19"/>
      <c r="B742" s="19"/>
      <c r="C742" s="42"/>
      <c r="D742" s="42"/>
      <c r="E742" s="19"/>
      <c r="F742" s="39"/>
      <c r="G742" s="39"/>
      <c r="H742" s="39"/>
      <c r="I742" s="39"/>
      <c r="J742" s="39"/>
      <c r="K742" s="19"/>
      <c r="L742" s="19"/>
      <c r="M742" s="38"/>
      <c r="N742" s="38"/>
      <c r="O742" s="38"/>
      <c r="P742" s="38"/>
    </row>
    <row r="743">
      <c r="A743" s="41"/>
      <c r="C743" s="7"/>
      <c r="D743" s="7"/>
      <c r="E743" s="18"/>
      <c r="F743" s="38"/>
      <c r="G743" s="38"/>
      <c r="H743" s="38"/>
      <c r="I743" s="38"/>
      <c r="J743" s="38"/>
      <c r="K743" s="38"/>
      <c r="L743" s="38"/>
      <c r="M743" s="38"/>
      <c r="N743" s="38"/>
      <c r="O743" s="38"/>
      <c r="P743" s="38"/>
    </row>
    <row r="744">
      <c r="A744" s="41"/>
      <c r="C744" s="7"/>
      <c r="D744" s="7"/>
      <c r="E744" s="18"/>
      <c r="F744" s="38"/>
      <c r="G744" s="38"/>
      <c r="H744" s="38"/>
      <c r="I744" s="38"/>
      <c r="J744" s="38"/>
      <c r="K744" s="38"/>
      <c r="L744" s="38"/>
      <c r="M744" s="38"/>
      <c r="N744" s="38"/>
      <c r="O744" s="38"/>
      <c r="P744" s="38"/>
    </row>
    <row r="745">
      <c r="A745" s="41"/>
      <c r="C745" s="7"/>
      <c r="D745" s="7"/>
      <c r="E745" s="18"/>
      <c r="F745" s="38"/>
      <c r="G745" s="38"/>
      <c r="H745" s="38"/>
      <c r="I745" s="38"/>
      <c r="J745" s="38"/>
      <c r="K745" s="38"/>
      <c r="L745" s="38"/>
      <c r="M745" s="38"/>
      <c r="N745" s="38"/>
      <c r="O745" s="38"/>
      <c r="P745" s="38"/>
    </row>
    <row r="746">
      <c r="A746" s="41"/>
      <c r="C746" s="7"/>
      <c r="D746" s="7"/>
      <c r="E746" s="18"/>
      <c r="F746" s="38"/>
      <c r="G746" s="38"/>
      <c r="H746" s="38"/>
      <c r="I746" s="38"/>
      <c r="J746" s="38"/>
      <c r="K746" s="38"/>
      <c r="L746" s="38"/>
      <c r="M746" s="38"/>
      <c r="N746" s="38"/>
      <c r="O746" s="38"/>
      <c r="P746" s="38"/>
    </row>
    <row r="747">
      <c r="A747" s="41"/>
      <c r="C747" s="7"/>
      <c r="D747" s="7"/>
      <c r="E747" s="18"/>
      <c r="F747" s="38"/>
      <c r="G747" s="38"/>
      <c r="H747" s="38"/>
      <c r="I747" s="38"/>
      <c r="J747" s="38"/>
      <c r="K747" s="38"/>
      <c r="L747" s="38"/>
      <c r="M747" s="38"/>
      <c r="N747" s="38"/>
      <c r="O747" s="38"/>
      <c r="P747" s="38"/>
    </row>
    <row r="748">
      <c r="A748" s="41"/>
      <c r="C748" s="7"/>
      <c r="D748" s="7"/>
      <c r="E748" s="18"/>
      <c r="F748" s="38"/>
      <c r="G748" s="38"/>
      <c r="H748" s="38"/>
      <c r="I748" s="38"/>
      <c r="J748" s="38"/>
      <c r="K748" s="38"/>
      <c r="L748" s="38"/>
      <c r="M748" s="38"/>
      <c r="N748" s="38"/>
      <c r="O748" s="38"/>
      <c r="P748" s="38"/>
    </row>
    <row r="749">
      <c r="A749" s="41"/>
      <c r="C749" s="7"/>
      <c r="D749" s="7"/>
      <c r="E749" s="18"/>
      <c r="F749" s="38"/>
      <c r="G749" s="38"/>
      <c r="H749" s="38"/>
      <c r="I749" s="38"/>
      <c r="J749" s="38"/>
      <c r="K749" s="38"/>
      <c r="L749" s="38"/>
      <c r="M749" s="38"/>
      <c r="N749" s="38"/>
      <c r="O749" s="38"/>
      <c r="P749" s="38"/>
    </row>
    <row r="750">
      <c r="A750" s="41"/>
      <c r="C750" s="7"/>
      <c r="D750" s="7"/>
      <c r="E750" s="18"/>
      <c r="F750" s="38"/>
      <c r="G750" s="38"/>
      <c r="H750" s="38"/>
      <c r="I750" s="38"/>
      <c r="J750" s="38"/>
      <c r="K750" s="38"/>
      <c r="L750" s="38"/>
      <c r="M750" s="38"/>
      <c r="N750" s="38"/>
      <c r="O750" s="38"/>
      <c r="P750" s="38"/>
    </row>
    <row r="751">
      <c r="A751" s="41"/>
      <c r="C751" s="7"/>
      <c r="D751" s="7"/>
      <c r="E751" s="18"/>
      <c r="F751" s="38"/>
      <c r="G751" s="38"/>
      <c r="H751" s="38"/>
      <c r="I751" s="38"/>
      <c r="J751" s="38"/>
      <c r="K751" s="38"/>
      <c r="L751" s="38"/>
      <c r="M751" s="38"/>
      <c r="N751" s="38"/>
      <c r="O751" s="38"/>
      <c r="P751" s="38"/>
    </row>
    <row r="752">
      <c r="A752" s="41"/>
      <c r="C752" s="7"/>
      <c r="D752" s="7"/>
      <c r="E752" s="18"/>
      <c r="F752" s="38"/>
      <c r="G752" s="38"/>
      <c r="H752" s="38"/>
      <c r="I752" s="38"/>
      <c r="J752" s="38"/>
      <c r="K752" s="38"/>
      <c r="L752" s="38"/>
      <c r="M752" s="38"/>
      <c r="N752" s="38"/>
      <c r="O752" s="38"/>
      <c r="P752" s="38"/>
    </row>
    <row r="753">
      <c r="A753" s="41"/>
      <c r="C753" s="7"/>
      <c r="D753" s="7"/>
      <c r="E753" s="18"/>
      <c r="F753" s="38"/>
      <c r="G753" s="38"/>
      <c r="H753" s="38"/>
      <c r="I753" s="38"/>
      <c r="J753" s="38"/>
      <c r="K753" s="38"/>
      <c r="L753" s="38"/>
      <c r="M753" s="38"/>
      <c r="N753" s="38"/>
      <c r="O753" s="38"/>
      <c r="P753" s="38"/>
    </row>
    <row r="754">
      <c r="A754" s="41"/>
      <c r="C754" s="7"/>
      <c r="D754" s="7"/>
      <c r="E754" s="18"/>
      <c r="F754" s="38"/>
      <c r="G754" s="38"/>
      <c r="H754" s="38"/>
      <c r="I754" s="38"/>
      <c r="J754" s="38"/>
      <c r="K754" s="38"/>
      <c r="L754" s="38"/>
      <c r="M754" s="38"/>
      <c r="N754" s="38"/>
      <c r="O754" s="38"/>
      <c r="P754" s="38"/>
    </row>
    <row r="755">
      <c r="A755" s="41"/>
      <c r="C755" s="7"/>
      <c r="D755" s="7"/>
      <c r="E755" s="18"/>
      <c r="F755" s="38"/>
      <c r="G755" s="38"/>
      <c r="H755" s="38"/>
      <c r="I755" s="38"/>
      <c r="J755" s="38"/>
      <c r="K755" s="38"/>
      <c r="L755" s="38"/>
      <c r="M755" s="38"/>
      <c r="N755" s="38"/>
      <c r="O755" s="38"/>
      <c r="P755" s="38"/>
    </row>
    <row r="756">
      <c r="A756" s="41"/>
      <c r="C756" s="7"/>
      <c r="D756" s="7"/>
      <c r="E756" s="18"/>
      <c r="F756" s="38"/>
      <c r="G756" s="38"/>
      <c r="H756" s="38"/>
      <c r="I756" s="38"/>
      <c r="J756" s="38"/>
      <c r="K756" s="38"/>
      <c r="L756" s="38"/>
      <c r="M756" s="38"/>
      <c r="N756" s="38"/>
      <c r="O756" s="38"/>
      <c r="P756" s="38"/>
    </row>
    <row r="757">
      <c r="A757" s="41"/>
      <c r="C757" s="7"/>
      <c r="D757" s="7"/>
      <c r="E757" s="18"/>
      <c r="F757" s="38"/>
      <c r="G757" s="38"/>
      <c r="H757" s="38"/>
      <c r="I757" s="38"/>
      <c r="J757" s="38"/>
      <c r="K757" s="38"/>
      <c r="L757" s="38"/>
      <c r="M757" s="38"/>
      <c r="N757" s="38"/>
      <c r="O757" s="38"/>
      <c r="P757" s="38"/>
    </row>
    <row r="758">
      <c r="A758" s="41"/>
      <c r="C758" s="7"/>
      <c r="D758" s="7"/>
      <c r="E758" s="18"/>
      <c r="F758" s="38"/>
      <c r="G758" s="38"/>
      <c r="H758" s="38"/>
      <c r="I758" s="38"/>
      <c r="J758" s="38"/>
      <c r="K758" s="38"/>
      <c r="L758" s="38"/>
      <c r="M758" s="38"/>
      <c r="N758" s="38"/>
      <c r="O758" s="38"/>
      <c r="P758" s="38"/>
    </row>
    <row r="759">
      <c r="A759" s="41"/>
      <c r="C759" s="7"/>
      <c r="D759" s="7"/>
      <c r="E759" s="18"/>
      <c r="F759" s="38"/>
      <c r="G759" s="38"/>
      <c r="H759" s="38"/>
      <c r="I759" s="38"/>
      <c r="J759" s="38"/>
      <c r="K759" s="38"/>
      <c r="L759" s="38"/>
      <c r="M759" s="38"/>
      <c r="N759" s="38"/>
      <c r="O759" s="38"/>
      <c r="P759" s="38"/>
    </row>
    <row r="760">
      <c r="A760" s="41"/>
      <c r="C760" s="7"/>
      <c r="D760" s="7"/>
      <c r="E760" s="18"/>
      <c r="F760" s="38"/>
      <c r="G760" s="38"/>
      <c r="H760" s="38"/>
      <c r="I760" s="38"/>
      <c r="J760" s="38"/>
      <c r="K760" s="38"/>
      <c r="L760" s="38"/>
      <c r="M760" s="38"/>
      <c r="N760" s="38"/>
      <c r="O760" s="38"/>
      <c r="P760" s="38"/>
    </row>
    <row r="761">
      <c r="A761" s="41"/>
      <c r="C761" s="7"/>
      <c r="D761" s="7"/>
      <c r="E761" s="18"/>
      <c r="F761" s="38"/>
      <c r="G761" s="38"/>
      <c r="H761" s="38"/>
      <c r="I761" s="38"/>
      <c r="J761" s="38"/>
      <c r="K761" s="38"/>
      <c r="L761" s="38"/>
      <c r="M761" s="38"/>
      <c r="N761" s="38"/>
      <c r="O761" s="38"/>
      <c r="P761" s="38"/>
    </row>
    <row r="762">
      <c r="A762" s="41"/>
      <c r="C762" s="7"/>
      <c r="D762" s="7"/>
      <c r="E762" s="18"/>
      <c r="F762" s="38"/>
      <c r="G762" s="38"/>
      <c r="H762" s="38"/>
      <c r="I762" s="38"/>
      <c r="J762" s="38"/>
      <c r="K762" s="38"/>
      <c r="L762" s="38"/>
      <c r="M762" s="38"/>
      <c r="N762" s="38"/>
      <c r="O762" s="38"/>
      <c r="P762" s="38"/>
    </row>
    <row r="763">
      <c r="A763" s="41"/>
      <c r="C763" s="7"/>
      <c r="D763" s="7"/>
      <c r="E763" s="18"/>
      <c r="F763" s="38"/>
      <c r="G763" s="38"/>
      <c r="H763" s="38"/>
      <c r="I763" s="38"/>
      <c r="J763" s="38"/>
      <c r="K763" s="38"/>
      <c r="L763" s="38"/>
      <c r="M763" s="38"/>
      <c r="N763" s="38"/>
      <c r="O763" s="38"/>
      <c r="P763" s="38"/>
    </row>
    <row r="764">
      <c r="A764" s="41"/>
      <c r="C764" s="7"/>
      <c r="D764" s="7"/>
      <c r="E764" s="18"/>
      <c r="F764" s="38"/>
      <c r="G764" s="38"/>
      <c r="H764" s="38"/>
      <c r="I764" s="38"/>
      <c r="J764" s="38"/>
      <c r="K764" s="38"/>
      <c r="L764" s="38"/>
      <c r="M764" s="38"/>
      <c r="N764" s="38"/>
      <c r="O764" s="38"/>
      <c r="P764" s="38"/>
    </row>
    <row r="765">
      <c r="A765" s="41"/>
      <c r="C765" s="7"/>
      <c r="D765" s="7"/>
      <c r="E765" s="18"/>
      <c r="F765" s="38"/>
      <c r="G765" s="38"/>
      <c r="H765" s="38"/>
      <c r="I765" s="38"/>
      <c r="J765" s="38"/>
      <c r="K765" s="38"/>
      <c r="L765" s="38"/>
      <c r="M765" s="38"/>
      <c r="N765" s="38"/>
      <c r="O765" s="38"/>
      <c r="P765" s="38"/>
    </row>
    <row r="766">
      <c r="A766" s="41"/>
      <c r="C766" s="7"/>
      <c r="D766" s="7"/>
      <c r="E766" s="18"/>
      <c r="F766" s="38"/>
      <c r="G766" s="38"/>
      <c r="H766" s="38"/>
      <c r="I766" s="38"/>
      <c r="J766" s="38"/>
      <c r="K766" s="38"/>
      <c r="L766" s="38"/>
      <c r="M766" s="38"/>
      <c r="N766" s="38"/>
      <c r="O766" s="38"/>
      <c r="P766" s="38"/>
    </row>
    <row r="767">
      <c r="A767" s="41"/>
      <c r="C767" s="7"/>
      <c r="D767" s="7"/>
      <c r="E767" s="18"/>
      <c r="F767" s="38"/>
      <c r="G767" s="38"/>
      <c r="H767" s="38"/>
      <c r="I767" s="38"/>
      <c r="J767" s="38"/>
      <c r="K767" s="38"/>
      <c r="L767" s="38"/>
      <c r="M767" s="38"/>
      <c r="N767" s="38"/>
      <c r="O767" s="38"/>
      <c r="P767" s="38"/>
    </row>
    <row r="768">
      <c r="A768" s="41"/>
      <c r="C768" s="7"/>
      <c r="D768" s="7"/>
      <c r="E768" s="18"/>
      <c r="F768" s="38"/>
      <c r="G768" s="38"/>
      <c r="H768" s="38"/>
      <c r="I768" s="38"/>
      <c r="J768" s="38"/>
      <c r="K768" s="38"/>
      <c r="L768" s="38"/>
      <c r="M768" s="38"/>
      <c r="N768" s="38"/>
      <c r="O768" s="38"/>
      <c r="P768" s="38"/>
    </row>
    <row r="769">
      <c r="A769" s="41"/>
      <c r="C769" s="7"/>
      <c r="D769" s="7"/>
      <c r="E769" s="18"/>
      <c r="F769" s="38"/>
      <c r="G769" s="38"/>
      <c r="H769" s="38"/>
      <c r="I769" s="38"/>
      <c r="J769" s="38"/>
      <c r="K769" s="38"/>
      <c r="L769" s="38"/>
      <c r="M769" s="38"/>
      <c r="N769" s="38"/>
      <c r="O769" s="38"/>
      <c r="P769" s="38"/>
    </row>
    <row r="770">
      <c r="A770" s="41"/>
      <c r="C770" s="7"/>
      <c r="D770" s="7"/>
      <c r="E770" s="18"/>
      <c r="F770" s="38"/>
      <c r="G770" s="38"/>
      <c r="H770" s="38"/>
      <c r="I770" s="38"/>
      <c r="J770" s="38"/>
      <c r="K770" s="38"/>
      <c r="L770" s="38"/>
      <c r="M770" s="38"/>
      <c r="N770" s="38"/>
      <c r="O770" s="38"/>
      <c r="P770" s="38"/>
    </row>
    <row r="771">
      <c r="A771" s="41"/>
      <c r="C771" s="7"/>
      <c r="D771" s="7"/>
      <c r="E771" s="18"/>
      <c r="F771" s="38"/>
      <c r="G771" s="38"/>
      <c r="H771" s="38"/>
      <c r="I771" s="38"/>
      <c r="J771" s="38"/>
      <c r="K771" s="38"/>
      <c r="L771" s="38"/>
      <c r="M771" s="38"/>
      <c r="N771" s="38"/>
      <c r="O771" s="38"/>
      <c r="P771" s="38"/>
    </row>
    <row r="772">
      <c r="A772" s="41"/>
      <c r="C772" s="7"/>
      <c r="D772" s="7"/>
      <c r="E772" s="18"/>
      <c r="F772" s="38"/>
      <c r="G772" s="38"/>
      <c r="H772" s="38"/>
      <c r="I772" s="38"/>
      <c r="J772" s="38"/>
      <c r="K772" s="38"/>
      <c r="L772" s="38"/>
      <c r="M772" s="38"/>
      <c r="N772" s="38"/>
      <c r="O772" s="38"/>
      <c r="P772" s="38"/>
    </row>
    <row r="773">
      <c r="A773" s="41"/>
      <c r="C773" s="7"/>
      <c r="D773" s="7"/>
      <c r="E773" s="18"/>
      <c r="F773" s="38"/>
      <c r="G773" s="38"/>
      <c r="H773" s="38"/>
      <c r="I773" s="38"/>
      <c r="J773" s="38"/>
      <c r="K773" s="38"/>
      <c r="L773" s="38"/>
      <c r="M773" s="38"/>
      <c r="N773" s="38"/>
      <c r="O773" s="38"/>
      <c r="P773" s="38"/>
    </row>
    <row r="774">
      <c r="A774" s="41"/>
      <c r="C774" s="7"/>
      <c r="D774" s="7"/>
      <c r="E774" s="18"/>
      <c r="F774" s="38"/>
      <c r="G774" s="38"/>
      <c r="H774" s="38"/>
      <c r="I774" s="38"/>
      <c r="J774" s="38"/>
      <c r="K774" s="38"/>
      <c r="L774" s="38"/>
      <c r="M774" s="38"/>
      <c r="N774" s="38"/>
      <c r="O774" s="38"/>
      <c r="P774" s="38"/>
    </row>
    <row r="775">
      <c r="A775" s="41"/>
      <c r="C775" s="7"/>
      <c r="D775" s="7"/>
      <c r="E775" s="18"/>
      <c r="F775" s="38"/>
      <c r="G775" s="38"/>
      <c r="H775" s="38"/>
      <c r="I775" s="38"/>
      <c r="J775" s="38"/>
      <c r="K775" s="38"/>
      <c r="L775" s="38"/>
      <c r="M775" s="38"/>
      <c r="N775" s="38"/>
      <c r="O775" s="38"/>
      <c r="P775" s="38"/>
    </row>
    <row r="776">
      <c r="A776" s="41"/>
      <c r="C776" s="7"/>
      <c r="D776" s="7"/>
      <c r="E776" s="18"/>
      <c r="F776" s="38"/>
      <c r="G776" s="38"/>
      <c r="H776" s="38"/>
      <c r="I776" s="38"/>
      <c r="J776" s="38"/>
      <c r="K776" s="38"/>
      <c r="L776" s="38"/>
      <c r="M776" s="38"/>
      <c r="N776" s="38"/>
      <c r="O776" s="38"/>
      <c r="P776" s="38"/>
    </row>
    <row r="777">
      <c r="A777" s="41"/>
      <c r="C777" s="7"/>
      <c r="D777" s="7"/>
      <c r="E777" s="18"/>
      <c r="F777" s="38"/>
      <c r="G777" s="38"/>
      <c r="H777" s="38"/>
      <c r="I777" s="38"/>
      <c r="J777" s="38"/>
      <c r="K777" s="38"/>
      <c r="L777" s="38"/>
      <c r="M777" s="38"/>
      <c r="N777" s="38"/>
      <c r="O777" s="38"/>
      <c r="P777" s="38"/>
    </row>
    <row r="778">
      <c r="A778" s="41"/>
      <c r="C778" s="7"/>
      <c r="D778" s="7"/>
      <c r="E778" s="18"/>
      <c r="F778" s="38"/>
      <c r="G778" s="38"/>
      <c r="H778" s="38"/>
      <c r="I778" s="38"/>
      <c r="J778" s="38"/>
      <c r="K778" s="38"/>
      <c r="L778" s="38"/>
      <c r="M778" s="38"/>
      <c r="N778" s="38"/>
      <c r="O778" s="38"/>
      <c r="P778" s="38"/>
    </row>
    <row r="779">
      <c r="A779" s="41"/>
      <c r="C779" s="7"/>
      <c r="D779" s="7"/>
      <c r="E779" s="18"/>
      <c r="F779" s="38"/>
      <c r="G779" s="38"/>
      <c r="H779" s="38"/>
      <c r="I779" s="38"/>
      <c r="J779" s="38"/>
      <c r="K779" s="38"/>
      <c r="L779" s="38"/>
      <c r="M779" s="38"/>
      <c r="N779" s="38"/>
      <c r="O779" s="38"/>
      <c r="P779" s="38"/>
    </row>
    <row r="780">
      <c r="A780" s="41"/>
      <c r="C780" s="7"/>
      <c r="D780" s="7"/>
      <c r="E780" s="18"/>
      <c r="F780" s="38"/>
      <c r="G780" s="38"/>
      <c r="H780" s="38"/>
      <c r="I780" s="38"/>
      <c r="J780" s="38"/>
      <c r="K780" s="38"/>
      <c r="L780" s="38"/>
      <c r="M780" s="38"/>
      <c r="N780" s="38"/>
      <c r="O780" s="38"/>
      <c r="P780" s="38"/>
    </row>
    <row r="781">
      <c r="A781" s="41"/>
      <c r="C781" s="7"/>
      <c r="D781" s="7"/>
      <c r="E781" s="18"/>
      <c r="F781" s="38"/>
      <c r="G781" s="38"/>
      <c r="H781" s="38"/>
      <c r="I781" s="38"/>
      <c r="J781" s="38"/>
      <c r="K781" s="38"/>
      <c r="L781" s="38"/>
      <c r="M781" s="38"/>
      <c r="N781" s="38"/>
      <c r="O781" s="38"/>
      <c r="P781" s="38"/>
    </row>
    <row r="782">
      <c r="A782" s="41"/>
      <c r="C782" s="7"/>
      <c r="D782" s="7"/>
      <c r="E782" s="18"/>
      <c r="F782" s="38"/>
      <c r="G782" s="38"/>
      <c r="H782" s="38"/>
      <c r="I782" s="38"/>
      <c r="J782" s="38"/>
      <c r="K782" s="38"/>
      <c r="L782" s="38"/>
      <c r="M782" s="38"/>
      <c r="N782" s="38"/>
      <c r="O782" s="38"/>
      <c r="P782" s="38"/>
    </row>
    <row r="783">
      <c r="A783" s="19"/>
      <c r="B783" s="19"/>
      <c r="C783" s="42"/>
      <c r="D783" s="42"/>
      <c r="E783" s="19"/>
      <c r="F783" s="39"/>
      <c r="G783" s="39"/>
      <c r="H783" s="39"/>
      <c r="I783" s="39"/>
      <c r="J783" s="39"/>
      <c r="K783" s="19"/>
      <c r="L783" s="19"/>
      <c r="M783" s="38"/>
      <c r="N783" s="38"/>
      <c r="O783" s="38"/>
      <c r="P783" s="38"/>
    </row>
    <row r="784">
      <c r="A784" s="41"/>
      <c r="C784" s="7"/>
      <c r="D784" s="7"/>
      <c r="E784" s="18"/>
      <c r="F784" s="38"/>
      <c r="G784" s="38"/>
      <c r="H784" s="38"/>
      <c r="I784" s="38"/>
      <c r="J784" s="38"/>
      <c r="K784" s="38"/>
      <c r="L784" s="38"/>
      <c r="M784" s="38"/>
      <c r="N784" s="38"/>
      <c r="O784" s="38"/>
      <c r="P784" s="38"/>
    </row>
    <row r="785">
      <c r="A785" s="41"/>
      <c r="C785" s="7"/>
      <c r="D785" s="7"/>
      <c r="E785" s="18"/>
      <c r="F785" s="38"/>
      <c r="G785" s="38"/>
      <c r="H785" s="38"/>
      <c r="I785" s="38"/>
      <c r="J785" s="38"/>
      <c r="K785" s="38"/>
      <c r="L785" s="38"/>
      <c r="M785" s="38"/>
      <c r="N785" s="38"/>
      <c r="O785" s="38"/>
      <c r="P785" s="38"/>
    </row>
    <row r="786">
      <c r="A786" s="41"/>
      <c r="C786" s="7"/>
      <c r="D786" s="7"/>
      <c r="E786" s="18"/>
      <c r="F786" s="38"/>
      <c r="G786" s="38"/>
      <c r="H786" s="38"/>
      <c r="I786" s="38"/>
      <c r="J786" s="38"/>
      <c r="K786" s="38"/>
      <c r="L786" s="38"/>
      <c r="M786" s="38"/>
      <c r="N786" s="38"/>
      <c r="O786" s="38"/>
      <c r="P786" s="38"/>
    </row>
    <row r="787">
      <c r="A787" s="41"/>
      <c r="C787" s="7"/>
      <c r="D787" s="7"/>
      <c r="E787" s="18"/>
      <c r="F787" s="38"/>
      <c r="G787" s="38"/>
      <c r="H787" s="38"/>
      <c r="I787" s="38"/>
      <c r="J787" s="38"/>
      <c r="K787" s="38"/>
      <c r="L787" s="38"/>
      <c r="M787" s="38"/>
      <c r="N787" s="38"/>
      <c r="O787" s="38"/>
      <c r="P787" s="38"/>
    </row>
    <row r="788">
      <c r="A788" s="41"/>
      <c r="C788" s="7"/>
      <c r="D788" s="7"/>
      <c r="E788" s="18"/>
      <c r="F788" s="38"/>
      <c r="G788" s="38"/>
      <c r="H788" s="38"/>
      <c r="I788" s="38"/>
      <c r="J788" s="38"/>
      <c r="K788" s="38"/>
      <c r="L788" s="38"/>
      <c r="M788" s="38"/>
      <c r="N788" s="38"/>
      <c r="O788" s="38"/>
      <c r="P788" s="38"/>
    </row>
    <row r="789">
      <c r="A789" s="41"/>
      <c r="C789" s="7"/>
      <c r="D789" s="7"/>
      <c r="E789" s="18"/>
      <c r="F789" s="38"/>
      <c r="G789" s="38"/>
      <c r="H789" s="38"/>
      <c r="I789" s="38"/>
      <c r="J789" s="38"/>
      <c r="K789" s="38"/>
      <c r="L789" s="38"/>
      <c r="M789" s="38"/>
      <c r="N789" s="38"/>
      <c r="O789" s="38"/>
      <c r="P789" s="38"/>
    </row>
    <row r="790">
      <c r="A790" s="41"/>
      <c r="C790" s="7"/>
      <c r="D790" s="7"/>
      <c r="E790" s="18"/>
      <c r="F790" s="38"/>
      <c r="G790" s="38"/>
      <c r="H790" s="38"/>
      <c r="I790" s="38"/>
      <c r="J790" s="38"/>
      <c r="K790" s="38"/>
      <c r="L790" s="38"/>
      <c r="M790" s="38"/>
      <c r="N790" s="38"/>
      <c r="O790" s="38"/>
      <c r="P790" s="38"/>
    </row>
    <row r="791">
      <c r="A791" s="41"/>
      <c r="C791" s="7"/>
      <c r="D791" s="7"/>
      <c r="E791" s="18"/>
      <c r="F791" s="38"/>
      <c r="G791" s="38"/>
      <c r="H791" s="38"/>
      <c r="I791" s="38"/>
      <c r="J791" s="38"/>
      <c r="K791" s="38"/>
      <c r="L791" s="38"/>
      <c r="M791" s="38"/>
      <c r="N791" s="38"/>
      <c r="O791" s="38"/>
      <c r="P791" s="38"/>
    </row>
    <row r="792">
      <c r="A792" s="41"/>
      <c r="C792" s="7"/>
      <c r="D792" s="7"/>
      <c r="E792" s="18"/>
      <c r="F792" s="38"/>
      <c r="G792" s="38"/>
      <c r="H792" s="38"/>
      <c r="I792" s="38"/>
      <c r="J792" s="38"/>
      <c r="K792" s="38"/>
      <c r="L792" s="38"/>
      <c r="M792" s="38"/>
      <c r="N792" s="38"/>
      <c r="O792" s="38"/>
      <c r="P792" s="38"/>
    </row>
    <row r="793">
      <c r="A793" s="41"/>
      <c r="C793" s="7"/>
      <c r="D793" s="7"/>
      <c r="E793" s="18"/>
      <c r="F793" s="38"/>
      <c r="G793" s="38"/>
      <c r="H793" s="38"/>
      <c r="I793" s="38"/>
      <c r="J793" s="38"/>
      <c r="K793" s="38"/>
      <c r="L793" s="38"/>
      <c r="M793" s="38"/>
      <c r="N793" s="38"/>
      <c r="O793" s="38"/>
      <c r="P793" s="38"/>
    </row>
    <row r="794">
      <c r="A794" s="41"/>
      <c r="C794" s="7"/>
      <c r="D794" s="7"/>
      <c r="E794" s="18"/>
      <c r="F794" s="38"/>
      <c r="G794" s="38"/>
      <c r="H794" s="38"/>
      <c r="I794" s="38"/>
      <c r="J794" s="38"/>
      <c r="K794" s="38"/>
      <c r="L794" s="38"/>
      <c r="M794" s="38"/>
      <c r="N794" s="38"/>
      <c r="O794" s="38"/>
      <c r="P794" s="38"/>
    </row>
    <row r="795">
      <c r="A795" s="41"/>
      <c r="C795" s="7"/>
      <c r="D795" s="7"/>
      <c r="E795" s="18"/>
      <c r="F795" s="38"/>
      <c r="G795" s="38"/>
      <c r="H795" s="38"/>
      <c r="I795" s="38"/>
      <c r="J795" s="38"/>
      <c r="K795" s="38"/>
      <c r="L795" s="38"/>
      <c r="M795" s="38"/>
      <c r="N795" s="38"/>
      <c r="O795" s="38"/>
      <c r="P795" s="38"/>
    </row>
    <row r="796">
      <c r="A796" s="41"/>
      <c r="C796" s="7"/>
      <c r="D796" s="7"/>
      <c r="E796" s="18"/>
      <c r="F796" s="38"/>
      <c r="G796" s="38"/>
      <c r="H796" s="38"/>
      <c r="I796" s="38"/>
      <c r="J796" s="38"/>
      <c r="K796" s="38"/>
      <c r="L796" s="38"/>
      <c r="M796" s="38"/>
      <c r="N796" s="38"/>
      <c r="O796" s="38"/>
      <c r="P796" s="38"/>
    </row>
    <row r="797">
      <c r="A797" s="41"/>
      <c r="C797" s="7"/>
      <c r="D797" s="7"/>
      <c r="E797" s="18"/>
      <c r="F797" s="38"/>
      <c r="G797" s="38"/>
      <c r="H797" s="38"/>
      <c r="I797" s="38"/>
      <c r="J797" s="38"/>
      <c r="K797" s="38"/>
      <c r="L797" s="38"/>
      <c r="M797" s="38"/>
      <c r="N797" s="38"/>
      <c r="O797" s="38"/>
      <c r="P797" s="38"/>
    </row>
    <row r="798">
      <c r="A798" s="41"/>
      <c r="C798" s="7"/>
      <c r="D798" s="7"/>
      <c r="E798" s="18"/>
      <c r="F798" s="38"/>
      <c r="G798" s="38"/>
      <c r="H798" s="38"/>
      <c r="I798" s="38"/>
      <c r="J798" s="38"/>
      <c r="K798" s="38"/>
      <c r="L798" s="38"/>
      <c r="M798" s="38"/>
      <c r="N798" s="38"/>
      <c r="O798" s="38"/>
      <c r="P798" s="38"/>
    </row>
    <row r="799">
      <c r="A799" s="41"/>
      <c r="C799" s="7"/>
      <c r="D799" s="7"/>
      <c r="E799" s="18"/>
      <c r="F799" s="38"/>
      <c r="G799" s="38"/>
      <c r="H799" s="38"/>
      <c r="I799" s="38"/>
      <c r="J799" s="38"/>
      <c r="K799" s="38"/>
      <c r="L799" s="38"/>
      <c r="M799" s="38"/>
      <c r="N799" s="38"/>
      <c r="O799" s="38"/>
      <c r="P799" s="38"/>
    </row>
    <row r="800">
      <c r="A800" s="41"/>
      <c r="C800" s="7"/>
      <c r="D800" s="7"/>
      <c r="E800" s="18"/>
      <c r="F800" s="38"/>
      <c r="G800" s="38"/>
      <c r="H800" s="38"/>
      <c r="I800" s="38"/>
      <c r="J800" s="38"/>
      <c r="K800" s="38"/>
      <c r="L800" s="38"/>
      <c r="M800" s="38"/>
      <c r="N800" s="38"/>
      <c r="O800" s="38"/>
      <c r="P800" s="38"/>
    </row>
    <row r="801">
      <c r="A801" s="41"/>
      <c r="C801" s="7"/>
      <c r="D801" s="7"/>
      <c r="E801" s="18"/>
      <c r="F801" s="38"/>
      <c r="G801" s="38"/>
      <c r="H801" s="38"/>
      <c r="I801" s="38"/>
      <c r="J801" s="38"/>
      <c r="K801" s="38"/>
      <c r="L801" s="38"/>
      <c r="M801" s="38"/>
      <c r="N801" s="38"/>
      <c r="O801" s="38"/>
      <c r="P801" s="38"/>
    </row>
    <row r="802">
      <c r="A802" s="41"/>
      <c r="C802" s="7"/>
      <c r="D802" s="7"/>
      <c r="E802" s="18"/>
      <c r="F802" s="38"/>
      <c r="G802" s="38"/>
      <c r="H802" s="38"/>
      <c r="I802" s="38"/>
      <c r="J802" s="38"/>
      <c r="K802" s="38"/>
      <c r="L802" s="38"/>
      <c r="M802" s="38"/>
      <c r="N802" s="38"/>
      <c r="O802" s="38"/>
      <c r="P802" s="38"/>
    </row>
    <row r="803">
      <c r="A803" s="41"/>
      <c r="C803" s="7"/>
      <c r="D803" s="7"/>
      <c r="E803" s="18"/>
      <c r="F803" s="38"/>
      <c r="G803" s="38"/>
      <c r="H803" s="38"/>
      <c r="I803" s="38"/>
      <c r="J803" s="38"/>
      <c r="K803" s="38"/>
      <c r="L803" s="38"/>
      <c r="M803" s="38"/>
      <c r="N803" s="38"/>
      <c r="O803" s="38"/>
      <c r="P803" s="38"/>
    </row>
    <row r="804">
      <c r="A804" s="41"/>
      <c r="C804" s="7"/>
      <c r="D804" s="7"/>
      <c r="E804" s="18"/>
      <c r="F804" s="38"/>
      <c r="G804" s="38"/>
      <c r="H804" s="38"/>
      <c r="I804" s="38"/>
      <c r="J804" s="38"/>
      <c r="K804" s="38"/>
      <c r="L804" s="38"/>
      <c r="M804" s="38"/>
      <c r="N804" s="38"/>
      <c r="O804" s="38"/>
      <c r="P804" s="38"/>
    </row>
    <row r="805">
      <c r="A805" s="41"/>
      <c r="C805" s="7"/>
      <c r="D805" s="7"/>
      <c r="E805" s="18"/>
      <c r="F805" s="38"/>
      <c r="G805" s="38"/>
      <c r="H805" s="38"/>
      <c r="I805" s="38"/>
      <c r="J805" s="38"/>
      <c r="K805" s="38"/>
      <c r="L805" s="38"/>
      <c r="M805" s="38"/>
      <c r="N805" s="38"/>
      <c r="O805" s="38"/>
      <c r="P805" s="38"/>
    </row>
    <row r="806">
      <c r="A806" s="41"/>
      <c r="C806" s="7"/>
      <c r="D806" s="7"/>
      <c r="E806" s="18"/>
      <c r="F806" s="38"/>
      <c r="G806" s="38"/>
      <c r="H806" s="38"/>
      <c r="I806" s="38"/>
      <c r="J806" s="38"/>
      <c r="K806" s="38"/>
      <c r="L806" s="38"/>
      <c r="M806" s="38"/>
      <c r="N806" s="38"/>
      <c r="O806" s="38"/>
      <c r="P806" s="38"/>
    </row>
    <row r="807">
      <c r="A807" s="41"/>
      <c r="C807" s="7"/>
      <c r="D807" s="7"/>
      <c r="E807" s="18"/>
      <c r="F807" s="38"/>
      <c r="G807" s="38"/>
      <c r="H807" s="38"/>
      <c r="I807" s="38"/>
      <c r="J807" s="38"/>
      <c r="K807" s="38"/>
      <c r="L807" s="38"/>
      <c r="M807" s="38"/>
      <c r="N807" s="38"/>
      <c r="O807" s="38"/>
      <c r="P807" s="38"/>
    </row>
    <row r="808">
      <c r="A808" s="41"/>
      <c r="C808" s="7"/>
      <c r="D808" s="7"/>
      <c r="E808" s="18"/>
      <c r="F808" s="38"/>
      <c r="G808" s="38"/>
      <c r="H808" s="38"/>
      <c r="I808" s="38"/>
      <c r="J808" s="38"/>
      <c r="K808" s="38"/>
      <c r="L808" s="38"/>
      <c r="M808" s="38"/>
      <c r="N808" s="38"/>
      <c r="O808" s="38"/>
      <c r="P808" s="38"/>
    </row>
    <row r="809">
      <c r="A809" s="41"/>
      <c r="C809" s="7"/>
      <c r="D809" s="7"/>
      <c r="E809" s="18"/>
      <c r="F809" s="38"/>
      <c r="G809" s="38"/>
      <c r="H809" s="38"/>
      <c r="I809" s="38"/>
      <c r="J809" s="38"/>
      <c r="K809" s="38"/>
      <c r="L809" s="38"/>
      <c r="M809" s="38"/>
      <c r="N809" s="38"/>
      <c r="O809" s="38"/>
      <c r="P809" s="38"/>
    </row>
    <row r="810">
      <c r="A810" s="41"/>
      <c r="C810" s="7"/>
      <c r="D810" s="7"/>
      <c r="E810" s="18"/>
      <c r="F810" s="38"/>
      <c r="G810" s="38"/>
      <c r="H810" s="38"/>
      <c r="I810" s="38"/>
      <c r="J810" s="38"/>
      <c r="K810" s="38"/>
      <c r="L810" s="38"/>
      <c r="M810" s="38"/>
      <c r="N810" s="38"/>
      <c r="O810" s="38"/>
      <c r="P810" s="38"/>
    </row>
    <row r="811">
      <c r="A811" s="41"/>
      <c r="C811" s="7"/>
      <c r="D811" s="7"/>
      <c r="E811" s="18"/>
      <c r="F811" s="38"/>
      <c r="G811" s="38"/>
      <c r="H811" s="38"/>
      <c r="I811" s="38"/>
      <c r="J811" s="38"/>
      <c r="K811" s="38"/>
      <c r="L811" s="38"/>
      <c r="M811" s="38"/>
      <c r="N811" s="38"/>
      <c r="O811" s="38"/>
      <c r="P811" s="38"/>
    </row>
    <row r="812">
      <c r="A812" s="41"/>
      <c r="C812" s="7"/>
      <c r="D812" s="7"/>
      <c r="E812" s="18"/>
      <c r="F812" s="38"/>
      <c r="G812" s="38"/>
      <c r="H812" s="38"/>
      <c r="I812" s="38"/>
      <c r="J812" s="38"/>
      <c r="K812" s="38"/>
      <c r="L812" s="38"/>
      <c r="M812" s="38"/>
      <c r="N812" s="38"/>
      <c r="O812" s="38"/>
      <c r="P812" s="38"/>
    </row>
    <row r="813">
      <c r="A813" s="41"/>
      <c r="C813" s="7"/>
      <c r="D813" s="7"/>
      <c r="E813" s="18"/>
      <c r="F813" s="38"/>
      <c r="G813" s="38"/>
      <c r="H813" s="38"/>
      <c r="I813" s="38"/>
      <c r="J813" s="38"/>
      <c r="K813" s="38"/>
      <c r="L813" s="38"/>
      <c r="M813" s="38"/>
      <c r="N813" s="38"/>
      <c r="O813" s="38"/>
      <c r="P813" s="38"/>
    </row>
    <row r="814">
      <c r="A814" s="41"/>
      <c r="C814" s="7"/>
      <c r="D814" s="7"/>
      <c r="E814" s="18"/>
      <c r="F814" s="38"/>
      <c r="G814" s="38"/>
      <c r="H814" s="38"/>
      <c r="I814" s="38"/>
      <c r="J814" s="38"/>
      <c r="K814" s="38"/>
      <c r="L814" s="38"/>
      <c r="M814" s="38"/>
      <c r="N814" s="38"/>
      <c r="O814" s="38"/>
      <c r="P814" s="38"/>
    </row>
    <row r="815">
      <c r="A815" s="41"/>
      <c r="C815" s="7"/>
      <c r="D815" s="7"/>
      <c r="E815" s="18"/>
      <c r="F815" s="38"/>
      <c r="G815" s="38"/>
      <c r="H815" s="38"/>
      <c r="I815" s="38"/>
      <c r="J815" s="38"/>
      <c r="K815" s="38"/>
      <c r="L815" s="38"/>
      <c r="M815" s="38"/>
      <c r="N815" s="38"/>
      <c r="O815" s="38"/>
      <c r="P815" s="38"/>
    </row>
    <row r="816">
      <c r="A816" s="41"/>
      <c r="C816" s="7"/>
      <c r="D816" s="7"/>
      <c r="E816" s="18"/>
      <c r="F816" s="38"/>
      <c r="G816" s="38"/>
      <c r="H816" s="38"/>
      <c r="I816" s="38"/>
      <c r="J816" s="38"/>
      <c r="K816" s="38"/>
      <c r="L816" s="38"/>
      <c r="M816" s="38"/>
      <c r="N816" s="38"/>
      <c r="O816" s="38"/>
      <c r="P816" s="38"/>
    </row>
    <row r="817">
      <c r="A817" s="41"/>
      <c r="C817" s="7"/>
      <c r="D817" s="7"/>
      <c r="E817" s="18"/>
      <c r="F817" s="38"/>
      <c r="G817" s="38"/>
      <c r="H817" s="38"/>
      <c r="I817" s="38"/>
      <c r="J817" s="38"/>
      <c r="K817" s="38"/>
      <c r="L817" s="38"/>
      <c r="M817" s="38"/>
      <c r="N817" s="38"/>
      <c r="O817" s="38"/>
      <c r="P817" s="38"/>
    </row>
    <row r="818">
      <c r="A818" s="41"/>
      <c r="C818" s="7"/>
      <c r="D818" s="7"/>
      <c r="E818" s="18"/>
      <c r="F818" s="38"/>
      <c r="G818" s="38"/>
      <c r="H818" s="38"/>
      <c r="I818" s="38"/>
      <c r="J818" s="38"/>
      <c r="K818" s="38"/>
      <c r="L818" s="38"/>
      <c r="M818" s="38"/>
      <c r="N818" s="38"/>
      <c r="O818" s="38"/>
      <c r="P818" s="38"/>
    </row>
    <row r="819">
      <c r="A819" s="41"/>
      <c r="C819" s="7"/>
      <c r="D819" s="7"/>
      <c r="E819" s="18"/>
      <c r="F819" s="38"/>
      <c r="G819" s="38"/>
      <c r="H819" s="38"/>
      <c r="I819" s="38"/>
      <c r="J819" s="38"/>
      <c r="K819" s="38"/>
      <c r="L819" s="38"/>
      <c r="M819" s="38"/>
      <c r="N819" s="38"/>
      <c r="O819" s="38"/>
      <c r="P819" s="38"/>
    </row>
    <row r="820">
      <c r="A820" s="41"/>
      <c r="C820" s="7"/>
      <c r="D820" s="7"/>
      <c r="E820" s="18"/>
      <c r="F820" s="38"/>
      <c r="G820" s="38"/>
      <c r="H820" s="38"/>
      <c r="I820" s="38"/>
      <c r="J820" s="38"/>
      <c r="K820" s="38"/>
      <c r="L820" s="38"/>
      <c r="M820" s="38"/>
      <c r="N820" s="38"/>
      <c r="O820" s="38"/>
      <c r="P820" s="38"/>
    </row>
    <row r="821">
      <c r="A821" s="41"/>
      <c r="C821" s="7"/>
      <c r="D821" s="7"/>
      <c r="E821" s="18"/>
      <c r="F821" s="38"/>
      <c r="G821" s="38"/>
      <c r="H821" s="38"/>
      <c r="I821" s="38"/>
      <c r="J821" s="38"/>
      <c r="K821" s="38"/>
      <c r="L821" s="38"/>
      <c r="M821" s="38"/>
      <c r="N821" s="38"/>
      <c r="O821" s="38"/>
      <c r="P821" s="38"/>
    </row>
    <row r="822">
      <c r="A822" s="41"/>
      <c r="C822" s="7"/>
      <c r="D822" s="7"/>
      <c r="E822" s="18"/>
      <c r="F822" s="38"/>
      <c r="G822" s="38"/>
      <c r="H822" s="38"/>
      <c r="I822" s="38"/>
      <c r="J822" s="38"/>
      <c r="K822" s="38"/>
      <c r="L822" s="38"/>
      <c r="M822" s="38"/>
      <c r="N822" s="38"/>
      <c r="O822" s="38"/>
      <c r="P822" s="38"/>
    </row>
    <row r="823">
      <c r="A823" s="41"/>
      <c r="C823" s="7"/>
      <c r="D823" s="7"/>
      <c r="E823" s="18"/>
      <c r="F823" s="38"/>
      <c r="G823" s="38"/>
      <c r="H823" s="38"/>
      <c r="I823" s="38"/>
      <c r="J823" s="38"/>
      <c r="K823" s="38"/>
      <c r="L823" s="38"/>
      <c r="M823" s="38"/>
      <c r="N823" s="38"/>
      <c r="O823" s="38"/>
      <c r="P823" s="38"/>
    </row>
    <row r="824">
      <c r="A824" s="19"/>
      <c r="B824" s="19"/>
      <c r="C824" s="42"/>
      <c r="D824" s="42"/>
      <c r="E824" s="19"/>
      <c r="F824" s="39"/>
      <c r="G824" s="39"/>
      <c r="H824" s="39"/>
      <c r="I824" s="39"/>
      <c r="J824" s="39"/>
      <c r="K824" s="19"/>
      <c r="L824" s="19"/>
      <c r="M824" s="38"/>
      <c r="N824" s="38"/>
      <c r="O824" s="38"/>
      <c r="P824" s="38"/>
    </row>
    <row r="825">
      <c r="A825" s="41"/>
      <c r="C825" s="7"/>
      <c r="D825" s="7"/>
      <c r="E825" s="18"/>
      <c r="F825" s="38"/>
      <c r="G825" s="38"/>
      <c r="H825" s="38"/>
      <c r="I825" s="38"/>
      <c r="J825" s="38"/>
      <c r="K825" s="38"/>
      <c r="L825" s="38"/>
      <c r="M825" s="38"/>
      <c r="N825" s="38"/>
      <c r="O825" s="38"/>
      <c r="P825" s="38"/>
    </row>
    <row r="826">
      <c r="A826" s="41"/>
      <c r="C826" s="7"/>
      <c r="D826" s="7"/>
      <c r="E826" s="18"/>
      <c r="F826" s="38"/>
      <c r="G826" s="38"/>
      <c r="H826" s="38"/>
      <c r="I826" s="38"/>
      <c r="J826" s="38"/>
      <c r="K826" s="38"/>
      <c r="L826" s="38"/>
      <c r="M826" s="38"/>
      <c r="N826" s="38"/>
      <c r="O826" s="38"/>
      <c r="P826" s="38"/>
    </row>
    <row r="827">
      <c r="A827" s="41"/>
      <c r="C827" s="7"/>
      <c r="D827" s="7"/>
      <c r="E827" s="18"/>
      <c r="F827" s="38"/>
      <c r="G827" s="38"/>
      <c r="H827" s="38"/>
      <c r="I827" s="38"/>
      <c r="J827" s="38"/>
      <c r="K827" s="38"/>
      <c r="L827" s="38"/>
      <c r="M827" s="38"/>
      <c r="N827" s="38"/>
      <c r="O827" s="38"/>
      <c r="P827" s="38"/>
    </row>
    <row r="828">
      <c r="A828" s="41"/>
      <c r="C828" s="7"/>
      <c r="D828" s="7"/>
      <c r="E828" s="18"/>
      <c r="F828" s="38"/>
      <c r="G828" s="38"/>
      <c r="H828" s="38"/>
      <c r="I828" s="38"/>
      <c r="J828" s="38"/>
      <c r="K828" s="38"/>
      <c r="L828" s="38"/>
      <c r="M828" s="38"/>
      <c r="N828" s="38"/>
      <c r="O828" s="38"/>
      <c r="P828" s="38"/>
    </row>
    <row r="829">
      <c r="A829" s="41"/>
      <c r="C829" s="7"/>
      <c r="D829" s="7"/>
      <c r="E829" s="18"/>
      <c r="F829" s="38"/>
      <c r="G829" s="38"/>
      <c r="H829" s="38"/>
      <c r="I829" s="38"/>
      <c r="J829" s="38"/>
      <c r="K829" s="38"/>
      <c r="L829" s="38"/>
      <c r="M829" s="38"/>
      <c r="N829" s="38"/>
      <c r="O829" s="38"/>
      <c r="P829" s="38"/>
    </row>
    <row r="830">
      <c r="A830" s="41"/>
      <c r="C830" s="7"/>
      <c r="D830" s="7"/>
      <c r="E830" s="18"/>
      <c r="F830" s="38"/>
      <c r="G830" s="38"/>
      <c r="H830" s="38"/>
      <c r="I830" s="38"/>
      <c r="J830" s="38"/>
      <c r="K830" s="38"/>
      <c r="L830" s="38"/>
      <c r="M830" s="38"/>
      <c r="N830" s="38"/>
      <c r="O830" s="38"/>
      <c r="P830" s="38"/>
    </row>
    <row r="831">
      <c r="A831" s="41"/>
      <c r="C831" s="7"/>
      <c r="D831" s="7"/>
      <c r="E831" s="18"/>
      <c r="F831" s="38"/>
      <c r="G831" s="38"/>
      <c r="H831" s="38"/>
      <c r="I831" s="38"/>
      <c r="J831" s="38"/>
      <c r="K831" s="38"/>
      <c r="L831" s="38"/>
      <c r="M831" s="38"/>
      <c r="N831" s="38"/>
      <c r="O831" s="38"/>
      <c r="P831" s="38"/>
    </row>
    <row r="832">
      <c r="A832" s="41"/>
      <c r="C832" s="7"/>
      <c r="D832" s="7"/>
      <c r="E832" s="18"/>
      <c r="F832" s="38"/>
      <c r="G832" s="38"/>
      <c r="H832" s="38"/>
      <c r="I832" s="38"/>
      <c r="J832" s="38"/>
      <c r="K832" s="38"/>
      <c r="L832" s="38"/>
      <c r="M832" s="38"/>
      <c r="N832" s="38"/>
      <c r="O832" s="38"/>
      <c r="P832" s="38"/>
    </row>
    <row r="833">
      <c r="A833" s="41"/>
      <c r="C833" s="7"/>
      <c r="D833" s="7"/>
      <c r="E833" s="18"/>
      <c r="F833" s="38"/>
      <c r="G833" s="38"/>
      <c r="H833" s="38"/>
      <c r="I833" s="38"/>
      <c r="J833" s="38"/>
      <c r="K833" s="38"/>
      <c r="L833" s="38"/>
      <c r="M833" s="38"/>
      <c r="N833" s="38"/>
      <c r="O833" s="38"/>
      <c r="P833" s="38"/>
    </row>
    <row r="834">
      <c r="A834" s="41"/>
      <c r="C834" s="7"/>
      <c r="D834" s="7"/>
      <c r="E834" s="18"/>
      <c r="F834" s="38"/>
      <c r="G834" s="38"/>
      <c r="H834" s="38"/>
      <c r="I834" s="38"/>
      <c r="J834" s="38"/>
      <c r="K834" s="38"/>
      <c r="L834" s="38"/>
      <c r="M834" s="38"/>
      <c r="N834" s="38"/>
      <c r="O834" s="38"/>
      <c r="P834" s="38"/>
    </row>
    <row r="835">
      <c r="A835" s="41"/>
      <c r="C835" s="7"/>
      <c r="D835" s="7"/>
      <c r="E835" s="18"/>
      <c r="F835" s="38"/>
      <c r="G835" s="38"/>
      <c r="H835" s="38"/>
      <c r="I835" s="38"/>
      <c r="J835" s="38"/>
      <c r="K835" s="38"/>
      <c r="L835" s="38"/>
      <c r="M835" s="38"/>
      <c r="N835" s="38"/>
      <c r="O835" s="38"/>
      <c r="P835" s="38"/>
    </row>
    <row r="836">
      <c r="A836" s="41"/>
      <c r="C836" s="7"/>
      <c r="D836" s="7"/>
      <c r="E836" s="18"/>
      <c r="F836" s="38"/>
      <c r="G836" s="38"/>
      <c r="H836" s="38"/>
      <c r="I836" s="38"/>
      <c r="J836" s="38"/>
      <c r="K836" s="38"/>
      <c r="L836" s="38"/>
      <c r="M836" s="38"/>
      <c r="N836" s="38"/>
      <c r="O836" s="38"/>
      <c r="P836" s="38"/>
    </row>
    <row r="837">
      <c r="A837" s="41"/>
      <c r="C837" s="7"/>
      <c r="D837" s="7"/>
      <c r="E837" s="18"/>
      <c r="F837" s="38"/>
      <c r="G837" s="38"/>
      <c r="H837" s="38"/>
      <c r="I837" s="38"/>
      <c r="J837" s="38"/>
      <c r="K837" s="38"/>
      <c r="L837" s="38"/>
      <c r="M837" s="38"/>
      <c r="N837" s="38"/>
      <c r="O837" s="38"/>
      <c r="P837" s="38"/>
    </row>
    <row r="838">
      <c r="A838" s="41"/>
      <c r="C838" s="7"/>
      <c r="D838" s="7"/>
      <c r="E838" s="18"/>
      <c r="F838" s="38"/>
      <c r="G838" s="38"/>
      <c r="H838" s="38"/>
      <c r="I838" s="38"/>
      <c r="J838" s="38"/>
      <c r="K838" s="38"/>
      <c r="L838" s="38"/>
      <c r="M838" s="38"/>
      <c r="N838" s="38"/>
      <c r="O838" s="38"/>
      <c r="P838" s="38"/>
    </row>
    <row r="839">
      <c r="A839" s="41"/>
      <c r="C839" s="7"/>
      <c r="D839" s="7"/>
      <c r="E839" s="18"/>
      <c r="F839" s="38"/>
      <c r="G839" s="38"/>
      <c r="H839" s="38"/>
      <c r="I839" s="38"/>
      <c r="J839" s="38"/>
      <c r="K839" s="38"/>
      <c r="L839" s="38"/>
      <c r="M839" s="38"/>
      <c r="N839" s="38"/>
      <c r="O839" s="38"/>
      <c r="P839" s="38"/>
    </row>
    <row r="840">
      <c r="A840" s="41"/>
      <c r="C840" s="7"/>
      <c r="D840" s="7"/>
      <c r="E840" s="18"/>
      <c r="F840" s="38"/>
      <c r="G840" s="38"/>
      <c r="H840" s="38"/>
      <c r="I840" s="38"/>
      <c r="J840" s="38"/>
      <c r="K840" s="38"/>
      <c r="L840" s="38"/>
      <c r="M840" s="38"/>
      <c r="N840" s="38"/>
      <c r="O840" s="38"/>
      <c r="P840" s="38"/>
    </row>
    <row r="841">
      <c r="A841" s="41"/>
      <c r="C841" s="7"/>
      <c r="D841" s="7"/>
      <c r="E841" s="18"/>
      <c r="F841" s="38"/>
      <c r="G841" s="38"/>
      <c r="H841" s="38"/>
      <c r="I841" s="38"/>
      <c r="J841" s="38"/>
      <c r="K841" s="38"/>
      <c r="L841" s="38"/>
      <c r="M841" s="38"/>
      <c r="N841" s="38"/>
      <c r="O841" s="38"/>
      <c r="P841" s="38"/>
    </row>
    <row r="842">
      <c r="A842" s="41"/>
      <c r="C842" s="7"/>
      <c r="D842" s="7"/>
      <c r="E842" s="18"/>
      <c r="F842" s="38"/>
      <c r="G842" s="38"/>
      <c r="H842" s="38"/>
      <c r="I842" s="38"/>
      <c r="J842" s="38"/>
      <c r="K842" s="38"/>
      <c r="L842" s="38"/>
      <c r="M842" s="38"/>
      <c r="N842" s="38"/>
      <c r="O842" s="38"/>
      <c r="P842" s="38"/>
    </row>
    <row r="843">
      <c r="A843" s="41"/>
      <c r="C843" s="7"/>
      <c r="D843" s="7"/>
      <c r="E843" s="18"/>
      <c r="F843" s="38"/>
      <c r="G843" s="38"/>
      <c r="H843" s="38"/>
      <c r="I843" s="38"/>
      <c r="J843" s="38"/>
      <c r="K843" s="38"/>
      <c r="L843" s="38"/>
      <c r="M843" s="38"/>
      <c r="N843" s="38"/>
      <c r="O843" s="38"/>
      <c r="P843" s="38"/>
    </row>
    <row r="844">
      <c r="A844" s="41"/>
      <c r="C844" s="7"/>
      <c r="D844" s="7"/>
      <c r="E844" s="18"/>
      <c r="F844" s="38"/>
      <c r="G844" s="38"/>
      <c r="H844" s="38"/>
      <c r="I844" s="38"/>
      <c r="J844" s="38"/>
      <c r="K844" s="38"/>
      <c r="L844" s="38"/>
      <c r="M844" s="38"/>
      <c r="N844" s="38"/>
      <c r="O844" s="38"/>
      <c r="P844" s="38"/>
    </row>
    <row r="845">
      <c r="A845" s="41"/>
      <c r="C845" s="7"/>
      <c r="D845" s="7"/>
      <c r="E845" s="18"/>
      <c r="F845" s="38"/>
      <c r="G845" s="38"/>
      <c r="H845" s="38"/>
      <c r="I845" s="38"/>
      <c r="J845" s="38"/>
      <c r="K845" s="38"/>
      <c r="L845" s="38"/>
      <c r="M845" s="38"/>
      <c r="N845" s="38"/>
      <c r="O845" s="38"/>
      <c r="P845" s="38"/>
    </row>
    <row r="846">
      <c r="A846" s="41"/>
      <c r="C846" s="7"/>
      <c r="D846" s="7"/>
      <c r="E846" s="18"/>
      <c r="F846" s="38"/>
      <c r="G846" s="38"/>
      <c r="H846" s="38"/>
      <c r="I846" s="38"/>
      <c r="J846" s="38"/>
      <c r="K846" s="38"/>
      <c r="L846" s="38"/>
      <c r="M846" s="38"/>
      <c r="N846" s="38"/>
      <c r="O846" s="38"/>
      <c r="P846" s="38"/>
    </row>
    <row r="847">
      <c r="A847" s="41"/>
      <c r="C847" s="7"/>
      <c r="D847" s="7"/>
      <c r="E847" s="18"/>
      <c r="F847" s="38"/>
      <c r="G847" s="38"/>
      <c r="H847" s="38"/>
      <c r="I847" s="38"/>
      <c r="J847" s="38"/>
      <c r="K847" s="38"/>
      <c r="L847" s="38"/>
      <c r="M847" s="38"/>
      <c r="N847" s="38"/>
      <c r="O847" s="38"/>
      <c r="P847" s="38"/>
    </row>
    <row r="848">
      <c r="A848" s="41"/>
      <c r="C848" s="7"/>
      <c r="D848" s="7"/>
      <c r="E848" s="18"/>
      <c r="F848" s="38"/>
      <c r="G848" s="38"/>
      <c r="H848" s="38"/>
      <c r="I848" s="38"/>
      <c r="J848" s="38"/>
      <c r="K848" s="38"/>
      <c r="L848" s="38"/>
      <c r="M848" s="38"/>
      <c r="N848" s="38"/>
      <c r="O848" s="38"/>
      <c r="P848" s="38"/>
    </row>
    <row r="849">
      <c r="A849" s="41"/>
      <c r="C849" s="7"/>
      <c r="D849" s="7"/>
      <c r="E849" s="18"/>
      <c r="F849" s="38"/>
      <c r="G849" s="38"/>
      <c r="H849" s="38"/>
      <c r="I849" s="38"/>
      <c r="J849" s="38"/>
      <c r="K849" s="38"/>
      <c r="L849" s="38"/>
      <c r="M849" s="38"/>
      <c r="N849" s="38"/>
      <c r="O849" s="38"/>
      <c r="P849" s="38"/>
    </row>
    <row r="850">
      <c r="A850" s="41"/>
      <c r="C850" s="7"/>
      <c r="D850" s="7"/>
      <c r="E850" s="18"/>
      <c r="F850" s="38"/>
      <c r="G850" s="38"/>
      <c r="H850" s="38"/>
      <c r="I850" s="38"/>
      <c r="J850" s="38"/>
      <c r="K850" s="38"/>
      <c r="L850" s="38"/>
      <c r="M850" s="38"/>
      <c r="N850" s="38"/>
      <c r="O850" s="38"/>
      <c r="P850" s="38"/>
    </row>
    <row r="851">
      <c r="A851" s="41"/>
      <c r="C851" s="7"/>
      <c r="D851" s="7"/>
      <c r="E851" s="18"/>
      <c r="F851" s="38"/>
      <c r="G851" s="38"/>
      <c r="H851" s="38"/>
      <c r="I851" s="38"/>
      <c r="J851" s="38"/>
      <c r="K851" s="38"/>
      <c r="L851" s="38"/>
      <c r="M851" s="38"/>
      <c r="N851" s="38"/>
      <c r="O851" s="38"/>
      <c r="P851" s="38"/>
    </row>
    <row r="852">
      <c r="A852" s="41"/>
      <c r="C852" s="7"/>
      <c r="D852" s="7"/>
      <c r="E852" s="18"/>
      <c r="F852" s="38"/>
      <c r="G852" s="38"/>
      <c r="H852" s="38"/>
      <c r="I852" s="38"/>
      <c r="J852" s="38"/>
      <c r="K852" s="38"/>
      <c r="L852" s="38"/>
      <c r="M852" s="38"/>
      <c r="N852" s="38"/>
      <c r="O852" s="38"/>
      <c r="P852" s="38"/>
    </row>
    <row r="853">
      <c r="A853" s="41"/>
      <c r="C853" s="7"/>
      <c r="D853" s="7"/>
      <c r="E853" s="18"/>
      <c r="F853" s="38"/>
      <c r="G853" s="38"/>
      <c r="H853" s="38"/>
      <c r="I853" s="38"/>
      <c r="J853" s="38"/>
      <c r="K853" s="38"/>
      <c r="L853" s="38"/>
      <c r="M853" s="38"/>
      <c r="N853" s="38"/>
      <c r="O853" s="38"/>
      <c r="P853" s="38"/>
    </row>
    <row r="854">
      <c r="A854" s="41"/>
      <c r="C854" s="7"/>
      <c r="D854" s="7"/>
      <c r="E854" s="18"/>
      <c r="F854" s="38"/>
      <c r="G854" s="38"/>
      <c r="H854" s="38"/>
      <c r="I854" s="38"/>
      <c r="J854" s="38"/>
      <c r="K854" s="38"/>
      <c r="L854" s="38"/>
      <c r="M854" s="38"/>
      <c r="N854" s="38"/>
      <c r="O854" s="38"/>
      <c r="P854" s="38"/>
    </row>
    <row r="855">
      <c r="A855" s="41"/>
      <c r="C855" s="7"/>
      <c r="D855" s="7"/>
      <c r="E855" s="18"/>
      <c r="F855" s="38"/>
      <c r="G855" s="38"/>
      <c r="H855" s="38"/>
      <c r="I855" s="38"/>
      <c r="J855" s="38"/>
      <c r="K855" s="38"/>
      <c r="L855" s="38"/>
      <c r="M855" s="38"/>
      <c r="N855" s="38"/>
      <c r="O855" s="38"/>
      <c r="P855" s="38"/>
    </row>
    <row r="856">
      <c r="A856" s="41"/>
      <c r="C856" s="7"/>
      <c r="D856" s="7"/>
      <c r="E856" s="18"/>
      <c r="F856" s="38"/>
      <c r="G856" s="38"/>
      <c r="H856" s="38"/>
      <c r="I856" s="38"/>
      <c r="J856" s="38"/>
      <c r="K856" s="38"/>
      <c r="L856" s="38"/>
      <c r="M856" s="38"/>
      <c r="N856" s="38"/>
      <c r="O856" s="38"/>
      <c r="P856" s="38"/>
    </row>
    <row r="857">
      <c r="A857" s="41"/>
      <c r="C857" s="7"/>
      <c r="D857" s="7"/>
      <c r="E857" s="18"/>
      <c r="F857" s="38"/>
      <c r="G857" s="38"/>
      <c r="H857" s="38"/>
      <c r="I857" s="38"/>
      <c r="J857" s="38"/>
      <c r="K857" s="38"/>
      <c r="L857" s="38"/>
      <c r="M857" s="38"/>
      <c r="N857" s="38"/>
      <c r="O857" s="38"/>
      <c r="P857" s="38"/>
    </row>
    <row r="858">
      <c r="A858" s="41"/>
      <c r="C858" s="7"/>
      <c r="D858" s="7"/>
      <c r="E858" s="18"/>
      <c r="F858" s="38"/>
      <c r="G858" s="38"/>
      <c r="H858" s="38"/>
      <c r="I858" s="38"/>
      <c r="J858" s="38"/>
      <c r="K858" s="38"/>
      <c r="L858" s="38"/>
      <c r="M858" s="38"/>
      <c r="N858" s="38"/>
      <c r="O858" s="38"/>
      <c r="P858" s="38"/>
    </row>
    <row r="859">
      <c r="A859" s="41"/>
      <c r="C859" s="7"/>
      <c r="D859" s="7"/>
      <c r="E859" s="18"/>
      <c r="F859" s="38"/>
      <c r="G859" s="38"/>
      <c r="H859" s="38"/>
      <c r="I859" s="38"/>
      <c r="J859" s="38"/>
      <c r="K859" s="38"/>
      <c r="L859" s="38"/>
      <c r="M859" s="38"/>
      <c r="N859" s="38"/>
      <c r="O859" s="38"/>
      <c r="P859" s="38"/>
    </row>
    <row r="860">
      <c r="A860" s="41"/>
      <c r="C860" s="7"/>
      <c r="D860" s="7"/>
      <c r="E860" s="18"/>
      <c r="F860" s="38"/>
      <c r="G860" s="38"/>
      <c r="H860" s="38"/>
      <c r="I860" s="38"/>
      <c r="J860" s="38"/>
      <c r="K860" s="38"/>
      <c r="L860" s="38"/>
      <c r="M860" s="38"/>
      <c r="N860" s="38"/>
      <c r="O860" s="38"/>
      <c r="P860" s="38"/>
    </row>
    <row r="861">
      <c r="A861" s="41"/>
      <c r="C861" s="7"/>
      <c r="D861" s="7"/>
      <c r="E861" s="18"/>
      <c r="F861" s="38"/>
      <c r="G861" s="38"/>
      <c r="H861" s="38"/>
      <c r="I861" s="38"/>
      <c r="J861" s="38"/>
      <c r="K861" s="38"/>
      <c r="L861" s="38"/>
      <c r="M861" s="38"/>
      <c r="N861" s="38"/>
      <c r="O861" s="38"/>
      <c r="P861" s="38"/>
    </row>
    <row r="862">
      <c r="A862" s="41"/>
      <c r="C862" s="7"/>
      <c r="D862" s="7"/>
      <c r="E862" s="18"/>
      <c r="F862" s="38"/>
      <c r="G862" s="38"/>
      <c r="H862" s="38"/>
      <c r="I862" s="38"/>
      <c r="J862" s="38"/>
      <c r="K862" s="38"/>
      <c r="L862" s="38"/>
      <c r="M862" s="38"/>
      <c r="N862" s="38"/>
      <c r="O862" s="38"/>
      <c r="P862" s="38"/>
    </row>
    <row r="863">
      <c r="A863" s="41"/>
      <c r="C863" s="7"/>
      <c r="D863" s="7"/>
      <c r="E863" s="18"/>
      <c r="F863" s="38"/>
      <c r="G863" s="38"/>
      <c r="H863" s="38"/>
      <c r="I863" s="38"/>
      <c r="J863" s="38"/>
      <c r="K863" s="38"/>
      <c r="L863" s="38"/>
      <c r="M863" s="38"/>
      <c r="N863" s="38"/>
      <c r="O863" s="38"/>
      <c r="P863" s="38"/>
    </row>
    <row r="864">
      <c r="A864" s="41"/>
      <c r="C864" s="7"/>
      <c r="D864" s="7"/>
      <c r="E864" s="18"/>
      <c r="F864" s="38"/>
      <c r="G864" s="38"/>
      <c r="H864" s="38"/>
      <c r="I864" s="38"/>
      <c r="J864" s="38"/>
      <c r="K864" s="38"/>
      <c r="L864" s="38"/>
      <c r="M864" s="38"/>
      <c r="N864" s="38"/>
      <c r="O864" s="38"/>
      <c r="P864" s="38"/>
    </row>
    <row r="865">
      <c r="A865" s="19"/>
      <c r="B865" s="19"/>
      <c r="C865" s="42"/>
      <c r="D865" s="42"/>
      <c r="E865" s="19"/>
      <c r="F865" s="39"/>
      <c r="G865" s="39"/>
      <c r="H865" s="39"/>
      <c r="I865" s="39"/>
      <c r="J865" s="39"/>
      <c r="K865" s="19"/>
      <c r="L865" s="19"/>
      <c r="M865" s="38"/>
      <c r="N865" s="38"/>
      <c r="O865" s="38"/>
      <c r="P865" s="38"/>
    </row>
    <row r="866">
      <c r="A866" s="41"/>
      <c r="C866" s="7"/>
      <c r="D866" s="7"/>
      <c r="E866" s="18"/>
      <c r="F866" s="38"/>
      <c r="G866" s="38"/>
      <c r="H866" s="38"/>
      <c r="I866" s="38"/>
      <c r="J866" s="38"/>
      <c r="K866" s="38"/>
      <c r="L866" s="38"/>
      <c r="M866" s="38"/>
      <c r="N866" s="38"/>
      <c r="O866" s="38"/>
      <c r="P866" s="38"/>
    </row>
    <row r="867">
      <c r="A867" s="41"/>
      <c r="C867" s="7"/>
      <c r="D867" s="7"/>
      <c r="E867" s="18"/>
      <c r="F867" s="38"/>
      <c r="G867" s="38"/>
      <c r="H867" s="38"/>
      <c r="I867" s="38"/>
      <c r="J867" s="38"/>
      <c r="K867" s="38"/>
      <c r="L867" s="38"/>
      <c r="M867" s="38"/>
      <c r="N867" s="38"/>
      <c r="O867" s="38"/>
      <c r="P867" s="38"/>
    </row>
    <row r="868">
      <c r="A868" s="41"/>
      <c r="C868" s="7"/>
      <c r="D868" s="7"/>
      <c r="E868" s="18"/>
      <c r="F868" s="38"/>
      <c r="G868" s="38"/>
      <c r="H868" s="38"/>
      <c r="I868" s="38"/>
      <c r="J868" s="38"/>
      <c r="K868" s="38"/>
      <c r="L868" s="38"/>
      <c r="M868" s="38"/>
      <c r="N868" s="38"/>
      <c r="O868" s="38"/>
      <c r="P868" s="38"/>
    </row>
    <row r="869">
      <c r="A869" s="41"/>
      <c r="C869" s="7"/>
      <c r="D869" s="7"/>
      <c r="E869" s="18"/>
      <c r="F869" s="38"/>
      <c r="G869" s="38"/>
      <c r="H869" s="38"/>
      <c r="I869" s="38"/>
      <c r="J869" s="38"/>
      <c r="K869" s="38"/>
      <c r="L869" s="38"/>
      <c r="M869" s="38"/>
      <c r="N869" s="38"/>
      <c r="O869" s="38"/>
      <c r="P869" s="38"/>
    </row>
    <row r="870">
      <c r="A870" s="41"/>
      <c r="C870" s="7"/>
      <c r="D870" s="7"/>
      <c r="E870" s="18"/>
      <c r="F870" s="38"/>
      <c r="G870" s="38"/>
      <c r="H870" s="38"/>
      <c r="I870" s="38"/>
      <c r="J870" s="38"/>
      <c r="K870" s="38"/>
      <c r="L870" s="38"/>
      <c r="M870" s="38"/>
      <c r="N870" s="38"/>
      <c r="O870" s="38"/>
      <c r="P870" s="38"/>
    </row>
    <row r="871">
      <c r="A871" s="41"/>
      <c r="C871" s="7"/>
      <c r="D871" s="7"/>
      <c r="E871" s="18"/>
      <c r="F871" s="38"/>
      <c r="G871" s="38"/>
      <c r="H871" s="38"/>
      <c r="I871" s="38"/>
      <c r="J871" s="38"/>
      <c r="K871" s="38"/>
      <c r="L871" s="38"/>
      <c r="M871" s="38"/>
      <c r="N871" s="38"/>
      <c r="O871" s="38"/>
      <c r="P871" s="38"/>
    </row>
    <row r="872">
      <c r="A872" s="41"/>
      <c r="C872" s="7"/>
      <c r="D872" s="7"/>
      <c r="E872" s="18"/>
      <c r="F872" s="38"/>
      <c r="G872" s="38"/>
      <c r="H872" s="38"/>
      <c r="I872" s="38"/>
      <c r="J872" s="38"/>
      <c r="K872" s="38"/>
      <c r="L872" s="38"/>
      <c r="M872" s="38"/>
      <c r="N872" s="38"/>
      <c r="O872" s="38"/>
      <c r="P872" s="38"/>
    </row>
    <row r="873">
      <c r="A873" s="41"/>
      <c r="C873" s="7"/>
      <c r="D873" s="7"/>
      <c r="E873" s="18"/>
      <c r="F873" s="38"/>
      <c r="G873" s="38"/>
      <c r="H873" s="38"/>
      <c r="I873" s="38"/>
      <c r="J873" s="38"/>
      <c r="K873" s="38"/>
      <c r="L873" s="38"/>
      <c r="M873" s="38"/>
      <c r="N873" s="38"/>
      <c r="O873" s="38"/>
      <c r="P873" s="38"/>
    </row>
    <row r="874">
      <c r="A874" s="41"/>
      <c r="C874" s="7"/>
      <c r="D874" s="7"/>
      <c r="E874" s="18"/>
      <c r="F874" s="38"/>
      <c r="G874" s="38"/>
      <c r="H874" s="38"/>
      <c r="I874" s="38"/>
      <c r="J874" s="38"/>
      <c r="K874" s="38"/>
      <c r="L874" s="38"/>
      <c r="M874" s="38"/>
      <c r="N874" s="38"/>
      <c r="O874" s="38"/>
      <c r="P874" s="38"/>
    </row>
    <row r="875">
      <c r="A875" s="41"/>
      <c r="C875" s="7"/>
      <c r="D875" s="7"/>
      <c r="E875" s="18"/>
      <c r="F875" s="38"/>
      <c r="G875" s="38"/>
      <c r="H875" s="38"/>
      <c r="I875" s="38"/>
      <c r="J875" s="38"/>
      <c r="K875" s="38"/>
      <c r="L875" s="38"/>
      <c r="M875" s="38"/>
      <c r="N875" s="38"/>
      <c r="O875" s="38"/>
      <c r="P875" s="38"/>
    </row>
    <row r="876">
      <c r="A876" s="41"/>
      <c r="C876" s="7"/>
      <c r="D876" s="7"/>
      <c r="E876" s="18"/>
      <c r="F876" s="38"/>
      <c r="G876" s="38"/>
      <c r="H876" s="38"/>
      <c r="I876" s="38"/>
      <c r="J876" s="38"/>
      <c r="K876" s="38"/>
      <c r="L876" s="38"/>
      <c r="M876" s="38"/>
      <c r="N876" s="38"/>
      <c r="O876" s="38"/>
      <c r="P876" s="38"/>
    </row>
    <row r="877">
      <c r="A877" s="41"/>
      <c r="C877" s="7"/>
      <c r="D877" s="7"/>
      <c r="E877" s="18"/>
      <c r="F877" s="38"/>
      <c r="G877" s="38"/>
      <c r="H877" s="38"/>
      <c r="I877" s="38"/>
      <c r="J877" s="38"/>
      <c r="K877" s="38"/>
      <c r="L877" s="38"/>
      <c r="M877" s="38"/>
      <c r="N877" s="38"/>
      <c r="O877" s="38"/>
      <c r="P877" s="38"/>
    </row>
    <row r="878">
      <c r="A878" s="41"/>
      <c r="C878" s="7"/>
      <c r="D878" s="7"/>
      <c r="E878" s="18"/>
      <c r="F878" s="38"/>
      <c r="G878" s="38"/>
      <c r="H878" s="38"/>
      <c r="I878" s="38"/>
      <c r="J878" s="38"/>
      <c r="K878" s="38"/>
      <c r="L878" s="38"/>
      <c r="M878" s="38"/>
      <c r="N878" s="38"/>
      <c r="O878" s="38"/>
      <c r="P878" s="38"/>
    </row>
    <row r="879">
      <c r="A879" s="41"/>
      <c r="C879" s="7"/>
      <c r="D879" s="7"/>
      <c r="E879" s="18"/>
      <c r="F879" s="38"/>
      <c r="G879" s="38"/>
      <c r="H879" s="38"/>
      <c r="I879" s="38"/>
      <c r="J879" s="38"/>
      <c r="K879" s="38"/>
      <c r="L879" s="38"/>
      <c r="M879" s="38"/>
      <c r="N879" s="38"/>
      <c r="O879" s="38"/>
      <c r="P879" s="38"/>
    </row>
    <row r="880">
      <c r="A880" s="41"/>
      <c r="C880" s="7"/>
      <c r="D880" s="7"/>
      <c r="E880" s="18"/>
      <c r="F880" s="38"/>
      <c r="G880" s="38"/>
      <c r="H880" s="38"/>
      <c r="I880" s="38"/>
      <c r="J880" s="38"/>
      <c r="K880" s="38"/>
      <c r="L880" s="38"/>
      <c r="M880" s="38"/>
      <c r="N880" s="38"/>
      <c r="O880" s="38"/>
      <c r="P880" s="38"/>
    </row>
    <row r="881">
      <c r="A881" s="41"/>
      <c r="C881" s="7"/>
      <c r="D881" s="7"/>
      <c r="E881" s="18"/>
      <c r="F881" s="38"/>
      <c r="G881" s="38"/>
      <c r="H881" s="38"/>
      <c r="I881" s="38"/>
      <c r="J881" s="38"/>
      <c r="K881" s="38"/>
      <c r="L881" s="38"/>
      <c r="M881" s="38"/>
      <c r="N881" s="38"/>
      <c r="O881" s="38"/>
      <c r="P881" s="38"/>
    </row>
    <row r="882">
      <c r="A882" s="41"/>
      <c r="C882" s="7"/>
      <c r="D882" s="7"/>
      <c r="E882" s="18"/>
      <c r="F882" s="38"/>
      <c r="G882" s="38"/>
      <c r="H882" s="38"/>
      <c r="I882" s="38"/>
      <c r="J882" s="38"/>
      <c r="K882" s="38"/>
      <c r="L882" s="38"/>
      <c r="M882" s="38"/>
      <c r="N882" s="38"/>
      <c r="O882" s="38"/>
      <c r="P882" s="38"/>
    </row>
    <row r="883">
      <c r="A883" s="41"/>
      <c r="C883" s="7"/>
      <c r="D883" s="7"/>
      <c r="E883" s="18"/>
      <c r="F883" s="38"/>
      <c r="G883" s="38"/>
      <c r="H883" s="38"/>
      <c r="I883" s="38"/>
      <c r="J883" s="38"/>
      <c r="K883" s="38"/>
      <c r="L883" s="38"/>
      <c r="M883" s="38"/>
      <c r="N883" s="38"/>
      <c r="O883" s="38"/>
      <c r="P883" s="38"/>
    </row>
    <row r="884">
      <c r="A884" s="41"/>
      <c r="C884" s="7"/>
      <c r="D884" s="7"/>
      <c r="E884" s="18"/>
      <c r="F884" s="38"/>
      <c r="G884" s="38"/>
      <c r="H884" s="38"/>
      <c r="I884" s="38"/>
      <c r="J884" s="38"/>
      <c r="K884" s="38"/>
      <c r="L884" s="38"/>
      <c r="M884" s="38"/>
      <c r="N884" s="38"/>
      <c r="O884" s="38"/>
      <c r="P884" s="38"/>
    </row>
    <row r="885">
      <c r="A885" s="41"/>
      <c r="C885" s="7"/>
      <c r="D885" s="7"/>
      <c r="E885" s="18"/>
      <c r="F885" s="38"/>
      <c r="G885" s="38"/>
      <c r="H885" s="38"/>
      <c r="I885" s="38"/>
      <c r="J885" s="38"/>
      <c r="K885" s="38"/>
      <c r="L885" s="38"/>
      <c r="M885" s="38"/>
      <c r="N885" s="38"/>
      <c r="O885" s="38"/>
      <c r="P885" s="38"/>
    </row>
    <row r="886">
      <c r="A886" s="41"/>
      <c r="C886" s="7"/>
      <c r="D886" s="7"/>
      <c r="E886" s="18"/>
      <c r="F886" s="38"/>
      <c r="G886" s="38"/>
      <c r="H886" s="38"/>
      <c r="I886" s="38"/>
      <c r="J886" s="38"/>
      <c r="K886" s="38"/>
      <c r="L886" s="38"/>
      <c r="M886" s="38"/>
      <c r="N886" s="38"/>
      <c r="O886" s="38"/>
      <c r="P886" s="38"/>
    </row>
    <row r="887">
      <c r="A887" s="41"/>
      <c r="C887" s="7"/>
      <c r="D887" s="7"/>
      <c r="E887" s="18"/>
      <c r="F887" s="38"/>
      <c r="G887" s="38"/>
      <c r="H887" s="38"/>
      <c r="I887" s="38"/>
      <c r="J887" s="38"/>
      <c r="K887" s="38"/>
      <c r="L887" s="38"/>
      <c r="M887" s="38"/>
      <c r="N887" s="38"/>
      <c r="O887" s="38"/>
      <c r="P887" s="38"/>
    </row>
    <row r="888">
      <c r="A888" s="41"/>
      <c r="C888" s="7"/>
      <c r="D888" s="7"/>
      <c r="E888" s="18"/>
      <c r="F888" s="38"/>
      <c r="G888" s="38"/>
      <c r="H888" s="38"/>
      <c r="I888" s="38"/>
      <c r="J888" s="38"/>
      <c r="K888" s="38"/>
      <c r="L888" s="38"/>
      <c r="M888" s="38"/>
      <c r="N888" s="38"/>
      <c r="O888" s="38"/>
      <c r="P888" s="38"/>
    </row>
    <row r="889">
      <c r="A889" s="41"/>
      <c r="C889" s="7"/>
      <c r="D889" s="7"/>
      <c r="E889" s="18"/>
      <c r="F889" s="38"/>
      <c r="G889" s="38"/>
      <c r="H889" s="38"/>
      <c r="I889" s="38"/>
      <c r="J889" s="38"/>
      <c r="K889" s="38"/>
      <c r="L889" s="38"/>
      <c r="M889" s="38"/>
      <c r="N889" s="38"/>
      <c r="O889" s="38"/>
      <c r="P889" s="38"/>
    </row>
    <row r="890">
      <c r="A890" s="41"/>
      <c r="C890" s="7"/>
      <c r="D890" s="7"/>
      <c r="E890" s="18"/>
      <c r="F890" s="38"/>
      <c r="G890" s="38"/>
      <c r="H890" s="38"/>
      <c r="I890" s="38"/>
      <c r="J890" s="38"/>
      <c r="K890" s="38"/>
      <c r="L890" s="38"/>
      <c r="M890" s="38"/>
      <c r="N890" s="38"/>
      <c r="O890" s="38"/>
      <c r="P890" s="38"/>
    </row>
    <row r="891">
      <c r="A891" s="41"/>
      <c r="C891" s="7"/>
      <c r="D891" s="7"/>
      <c r="E891" s="18"/>
      <c r="F891" s="38"/>
      <c r="G891" s="38"/>
      <c r="H891" s="38"/>
      <c r="I891" s="38"/>
      <c r="J891" s="38"/>
      <c r="K891" s="38"/>
      <c r="L891" s="38"/>
      <c r="M891" s="38"/>
      <c r="N891" s="38"/>
      <c r="O891" s="38"/>
      <c r="P891" s="38"/>
    </row>
    <row r="892">
      <c r="A892" s="41"/>
      <c r="C892" s="7"/>
      <c r="D892" s="7"/>
      <c r="E892" s="18"/>
      <c r="F892" s="38"/>
      <c r="G892" s="38"/>
      <c r="H892" s="38"/>
      <c r="I892" s="38"/>
      <c r="J892" s="38"/>
      <c r="K892" s="38"/>
      <c r="L892" s="38"/>
      <c r="M892" s="38"/>
      <c r="N892" s="38"/>
      <c r="O892" s="38"/>
      <c r="P892" s="38"/>
    </row>
    <row r="893">
      <c r="A893" s="41"/>
      <c r="C893" s="7"/>
      <c r="D893" s="7"/>
      <c r="E893" s="18"/>
      <c r="F893" s="38"/>
      <c r="G893" s="38"/>
      <c r="H893" s="38"/>
      <c r="I893" s="38"/>
      <c r="J893" s="38"/>
      <c r="K893" s="38"/>
      <c r="L893" s="38"/>
      <c r="M893" s="38"/>
      <c r="N893" s="38"/>
      <c r="O893" s="38"/>
      <c r="P893" s="38"/>
    </row>
    <row r="894">
      <c r="A894" s="41"/>
      <c r="C894" s="7"/>
      <c r="D894" s="7"/>
      <c r="E894" s="18"/>
      <c r="F894" s="38"/>
      <c r="G894" s="38"/>
      <c r="H894" s="38"/>
      <c r="I894" s="38"/>
      <c r="J894" s="38"/>
      <c r="K894" s="38"/>
      <c r="L894" s="38"/>
      <c r="M894" s="38"/>
      <c r="N894" s="38"/>
      <c r="O894" s="38"/>
      <c r="P894" s="38"/>
    </row>
    <row r="895">
      <c r="A895" s="41"/>
      <c r="C895" s="7"/>
      <c r="D895" s="7"/>
      <c r="E895" s="18"/>
      <c r="F895" s="38"/>
      <c r="G895" s="38"/>
      <c r="H895" s="38"/>
      <c r="I895" s="38"/>
      <c r="J895" s="38"/>
      <c r="K895" s="38"/>
      <c r="L895" s="38"/>
      <c r="M895" s="38"/>
      <c r="N895" s="38"/>
      <c r="O895" s="38"/>
      <c r="P895" s="38"/>
    </row>
    <row r="896">
      <c r="A896" s="41"/>
      <c r="C896" s="7"/>
      <c r="D896" s="7"/>
      <c r="E896" s="18"/>
      <c r="F896" s="38"/>
      <c r="G896" s="38"/>
      <c r="H896" s="38"/>
      <c r="I896" s="38"/>
      <c r="J896" s="38"/>
      <c r="K896" s="38"/>
      <c r="L896" s="38"/>
      <c r="M896" s="38"/>
      <c r="N896" s="38"/>
      <c r="O896" s="38"/>
      <c r="P896" s="38"/>
    </row>
    <row r="897">
      <c r="A897" s="41"/>
      <c r="C897" s="7"/>
      <c r="D897" s="7"/>
      <c r="E897" s="18"/>
      <c r="F897" s="38"/>
      <c r="G897" s="38"/>
      <c r="H897" s="38"/>
      <c r="I897" s="38"/>
      <c r="J897" s="38"/>
      <c r="K897" s="38"/>
      <c r="L897" s="38"/>
      <c r="M897" s="38"/>
      <c r="N897" s="38"/>
      <c r="O897" s="38"/>
      <c r="P897" s="38"/>
    </row>
    <row r="898">
      <c r="A898" s="41"/>
      <c r="C898" s="7"/>
      <c r="D898" s="7"/>
      <c r="E898" s="18"/>
      <c r="F898" s="38"/>
      <c r="G898" s="38"/>
      <c r="H898" s="38"/>
      <c r="I898" s="38"/>
      <c r="J898" s="38"/>
      <c r="K898" s="38"/>
      <c r="L898" s="38"/>
      <c r="M898" s="38"/>
      <c r="N898" s="38"/>
      <c r="O898" s="38"/>
      <c r="P898" s="38"/>
    </row>
    <row r="899">
      <c r="A899" s="41"/>
      <c r="C899" s="7"/>
      <c r="D899" s="7"/>
      <c r="E899" s="18"/>
      <c r="F899" s="38"/>
      <c r="G899" s="38"/>
      <c r="H899" s="38"/>
      <c r="I899" s="38"/>
      <c r="J899" s="38"/>
      <c r="K899" s="38"/>
      <c r="L899" s="38"/>
      <c r="M899" s="38"/>
      <c r="N899" s="38"/>
      <c r="O899" s="38"/>
      <c r="P899" s="38"/>
    </row>
    <row r="900">
      <c r="A900" s="41"/>
      <c r="C900" s="7"/>
      <c r="D900" s="7"/>
      <c r="E900" s="18"/>
      <c r="F900" s="38"/>
      <c r="G900" s="38"/>
      <c r="H900" s="38"/>
      <c r="I900" s="38"/>
      <c r="J900" s="38"/>
      <c r="K900" s="38"/>
      <c r="L900" s="38"/>
      <c r="M900" s="38"/>
      <c r="N900" s="38"/>
      <c r="O900" s="38"/>
      <c r="P900" s="38"/>
    </row>
    <row r="901">
      <c r="A901" s="41"/>
      <c r="C901" s="7"/>
      <c r="D901" s="7"/>
      <c r="E901" s="18"/>
      <c r="F901" s="38"/>
      <c r="G901" s="38"/>
      <c r="H901" s="38"/>
      <c r="I901" s="38"/>
      <c r="J901" s="38"/>
      <c r="K901" s="38"/>
      <c r="L901" s="38"/>
      <c r="M901" s="38"/>
      <c r="N901" s="38"/>
      <c r="O901" s="38"/>
      <c r="P901" s="38"/>
    </row>
    <row r="902">
      <c r="A902" s="41"/>
      <c r="C902" s="7"/>
      <c r="D902" s="7"/>
      <c r="E902" s="18"/>
      <c r="F902" s="38"/>
      <c r="G902" s="38"/>
      <c r="H902" s="38"/>
      <c r="I902" s="38"/>
      <c r="J902" s="38"/>
      <c r="K902" s="38"/>
      <c r="L902" s="38"/>
      <c r="M902" s="38"/>
      <c r="N902" s="38"/>
      <c r="O902" s="38"/>
      <c r="P902" s="38"/>
    </row>
    <row r="903">
      <c r="A903" s="41"/>
      <c r="C903" s="7"/>
      <c r="D903" s="7"/>
      <c r="E903" s="18"/>
      <c r="F903" s="38"/>
      <c r="G903" s="38"/>
      <c r="H903" s="38"/>
      <c r="I903" s="38"/>
      <c r="J903" s="38"/>
      <c r="K903" s="38"/>
      <c r="L903" s="38"/>
      <c r="M903" s="38"/>
      <c r="N903" s="38"/>
      <c r="O903" s="38"/>
      <c r="P903" s="38"/>
    </row>
    <row r="904">
      <c r="A904" s="41"/>
      <c r="C904" s="7"/>
      <c r="D904" s="7"/>
      <c r="E904" s="18"/>
      <c r="F904" s="38"/>
      <c r="G904" s="38"/>
      <c r="H904" s="38"/>
      <c r="I904" s="38"/>
      <c r="J904" s="38"/>
      <c r="K904" s="38"/>
      <c r="L904" s="38"/>
      <c r="M904" s="38"/>
      <c r="N904" s="38"/>
      <c r="O904" s="38"/>
      <c r="P904" s="38"/>
    </row>
    <row r="905">
      <c r="A905" s="41"/>
      <c r="C905" s="7"/>
      <c r="D905" s="7"/>
      <c r="E905" s="18"/>
      <c r="F905" s="38"/>
      <c r="G905" s="38"/>
      <c r="H905" s="38"/>
      <c r="I905" s="38"/>
      <c r="J905" s="38"/>
      <c r="K905" s="38"/>
      <c r="L905" s="38"/>
      <c r="M905" s="38"/>
      <c r="N905" s="38"/>
      <c r="O905" s="38"/>
      <c r="P905" s="38"/>
    </row>
    <row r="906">
      <c r="A906" s="19"/>
      <c r="B906" s="19"/>
      <c r="C906" s="42"/>
      <c r="D906" s="42"/>
      <c r="E906" s="19"/>
      <c r="F906" s="39"/>
      <c r="G906" s="39"/>
      <c r="H906" s="39"/>
      <c r="I906" s="39"/>
      <c r="J906" s="39"/>
      <c r="K906" s="19"/>
      <c r="L906" s="19"/>
      <c r="M906" s="38"/>
      <c r="N906" s="38"/>
      <c r="O906" s="38"/>
      <c r="P906" s="38"/>
    </row>
    <row r="907">
      <c r="A907" s="41"/>
      <c r="C907" s="7"/>
      <c r="D907" s="7"/>
      <c r="E907" s="18"/>
      <c r="F907" s="38"/>
      <c r="G907" s="38"/>
      <c r="H907" s="38"/>
      <c r="I907" s="38"/>
      <c r="J907" s="38"/>
      <c r="K907" s="38"/>
      <c r="L907" s="38"/>
      <c r="M907" s="38"/>
      <c r="N907" s="38"/>
      <c r="O907" s="38"/>
      <c r="P907" s="38"/>
    </row>
    <row r="908">
      <c r="A908" s="41"/>
      <c r="C908" s="7"/>
      <c r="D908" s="7"/>
      <c r="E908" s="18"/>
      <c r="F908" s="38"/>
      <c r="G908" s="38"/>
      <c r="H908" s="38"/>
      <c r="I908" s="38"/>
      <c r="J908" s="38"/>
      <c r="K908" s="38"/>
      <c r="L908" s="38"/>
      <c r="M908" s="38"/>
      <c r="N908" s="38"/>
      <c r="O908" s="38"/>
      <c r="P908" s="38"/>
    </row>
    <row r="909">
      <c r="A909" s="41"/>
      <c r="C909" s="7"/>
      <c r="D909" s="7"/>
      <c r="E909" s="18"/>
      <c r="F909" s="38"/>
      <c r="G909" s="38"/>
      <c r="H909" s="38"/>
      <c r="I909" s="38"/>
      <c r="J909" s="38"/>
      <c r="K909" s="38"/>
      <c r="L909" s="38"/>
      <c r="M909" s="38"/>
      <c r="N909" s="38"/>
      <c r="O909" s="38"/>
      <c r="P909" s="38"/>
    </row>
    <row r="910">
      <c r="A910" s="41"/>
      <c r="C910" s="7"/>
      <c r="D910" s="7"/>
      <c r="E910" s="18"/>
      <c r="F910" s="38"/>
      <c r="G910" s="38"/>
      <c r="H910" s="38"/>
      <c r="I910" s="38"/>
      <c r="J910" s="38"/>
      <c r="K910" s="38"/>
      <c r="L910" s="38"/>
      <c r="M910" s="38"/>
      <c r="N910" s="38"/>
      <c r="O910" s="38"/>
      <c r="P910" s="38"/>
    </row>
    <row r="911">
      <c r="A911" s="41"/>
      <c r="C911" s="7"/>
      <c r="D911" s="7"/>
      <c r="E911" s="18"/>
      <c r="F911" s="38"/>
      <c r="G911" s="38"/>
      <c r="H911" s="38"/>
      <c r="I911" s="38"/>
      <c r="J911" s="38"/>
      <c r="K911" s="38"/>
      <c r="L911" s="38"/>
      <c r="M911" s="38"/>
      <c r="N911" s="38"/>
      <c r="O911" s="38"/>
      <c r="P911" s="38"/>
    </row>
    <row r="912">
      <c r="A912" s="41"/>
      <c r="C912" s="7"/>
      <c r="D912" s="7"/>
      <c r="E912" s="18"/>
      <c r="F912" s="38"/>
      <c r="G912" s="38"/>
      <c r="H912" s="38"/>
      <c r="I912" s="38"/>
      <c r="J912" s="38"/>
      <c r="K912" s="38"/>
      <c r="L912" s="38"/>
      <c r="M912" s="38"/>
      <c r="N912" s="38"/>
      <c r="O912" s="38"/>
      <c r="P912" s="38"/>
    </row>
    <row r="913">
      <c r="A913" s="41"/>
      <c r="C913" s="7"/>
      <c r="D913" s="7"/>
      <c r="E913" s="18"/>
      <c r="F913" s="38"/>
      <c r="G913" s="38"/>
      <c r="H913" s="38"/>
      <c r="I913" s="38"/>
      <c r="J913" s="38"/>
      <c r="K913" s="38"/>
      <c r="L913" s="38"/>
      <c r="M913" s="38"/>
      <c r="N913" s="38"/>
      <c r="O913" s="38"/>
      <c r="P913" s="38"/>
    </row>
    <row r="914">
      <c r="A914" s="41"/>
      <c r="C914" s="7"/>
      <c r="D914" s="7"/>
      <c r="E914" s="18"/>
      <c r="F914" s="38"/>
      <c r="G914" s="38"/>
      <c r="H914" s="38"/>
      <c r="I914" s="38"/>
      <c r="J914" s="38"/>
      <c r="K914" s="38"/>
      <c r="L914" s="38"/>
      <c r="M914" s="38"/>
      <c r="N914" s="38"/>
      <c r="O914" s="38"/>
      <c r="P914" s="38"/>
    </row>
    <row r="915">
      <c r="A915" s="41"/>
      <c r="C915" s="7"/>
      <c r="D915" s="7"/>
      <c r="E915" s="18"/>
      <c r="F915" s="38"/>
      <c r="G915" s="38"/>
      <c r="H915" s="38"/>
      <c r="I915" s="38"/>
      <c r="J915" s="38"/>
      <c r="K915" s="38"/>
      <c r="L915" s="38"/>
      <c r="M915" s="38"/>
      <c r="N915" s="38"/>
      <c r="O915" s="38"/>
      <c r="P915" s="38"/>
    </row>
    <row r="916">
      <c r="A916" s="41"/>
      <c r="C916" s="7"/>
      <c r="D916" s="7"/>
      <c r="E916" s="18"/>
      <c r="F916" s="38"/>
      <c r="G916" s="38"/>
      <c r="H916" s="38"/>
      <c r="I916" s="38"/>
      <c r="J916" s="38"/>
      <c r="K916" s="38"/>
      <c r="L916" s="38"/>
      <c r="M916" s="38"/>
      <c r="N916" s="38"/>
      <c r="O916" s="38"/>
      <c r="P916" s="38"/>
    </row>
    <row r="917">
      <c r="A917" s="41"/>
      <c r="C917" s="7"/>
      <c r="D917" s="7"/>
      <c r="E917" s="18"/>
      <c r="F917" s="38"/>
      <c r="G917" s="38"/>
      <c r="H917" s="38"/>
      <c r="I917" s="38"/>
      <c r="J917" s="38"/>
      <c r="K917" s="38"/>
      <c r="L917" s="38"/>
      <c r="M917" s="38"/>
      <c r="N917" s="38"/>
      <c r="O917" s="38"/>
      <c r="P917" s="38"/>
    </row>
    <row r="918">
      <c r="A918" s="41"/>
      <c r="C918" s="7"/>
      <c r="D918" s="7"/>
      <c r="E918" s="18"/>
      <c r="F918" s="38"/>
      <c r="G918" s="38"/>
      <c r="H918" s="38"/>
      <c r="I918" s="38"/>
      <c r="J918" s="38"/>
      <c r="K918" s="38"/>
      <c r="L918" s="38"/>
      <c r="M918" s="38"/>
      <c r="N918" s="38"/>
      <c r="O918" s="38"/>
      <c r="P918" s="38"/>
    </row>
    <row r="919">
      <c r="A919" s="41"/>
      <c r="C919" s="7"/>
      <c r="D919" s="7"/>
      <c r="E919" s="18"/>
      <c r="F919" s="38"/>
      <c r="G919" s="38"/>
      <c r="H919" s="38"/>
      <c r="I919" s="38"/>
      <c r="J919" s="38"/>
      <c r="K919" s="38"/>
      <c r="L919" s="38"/>
      <c r="M919" s="38"/>
      <c r="N919" s="38"/>
      <c r="O919" s="38"/>
      <c r="P919" s="38"/>
    </row>
    <row r="920">
      <c r="A920" s="41"/>
      <c r="C920" s="7"/>
      <c r="D920" s="7"/>
      <c r="E920" s="18"/>
      <c r="F920" s="38"/>
      <c r="G920" s="38"/>
      <c r="H920" s="38"/>
      <c r="I920" s="38"/>
      <c r="J920" s="38"/>
      <c r="K920" s="38"/>
      <c r="L920" s="38"/>
      <c r="M920" s="38"/>
      <c r="N920" s="38"/>
      <c r="O920" s="38"/>
      <c r="P920" s="38"/>
    </row>
    <row r="921">
      <c r="A921" s="41"/>
      <c r="C921" s="7"/>
      <c r="D921" s="7"/>
      <c r="E921" s="18"/>
      <c r="F921" s="38"/>
      <c r="G921" s="38"/>
      <c r="H921" s="38"/>
      <c r="I921" s="38"/>
      <c r="J921" s="38"/>
      <c r="K921" s="38"/>
      <c r="L921" s="38"/>
      <c r="M921" s="38"/>
      <c r="N921" s="38"/>
      <c r="O921" s="38"/>
      <c r="P921" s="38"/>
    </row>
    <row r="922">
      <c r="A922" s="41"/>
      <c r="C922" s="7"/>
      <c r="D922" s="7"/>
      <c r="E922" s="18"/>
      <c r="F922" s="38"/>
      <c r="G922" s="38"/>
      <c r="H922" s="38"/>
      <c r="I922" s="38"/>
      <c r="J922" s="38"/>
      <c r="K922" s="38"/>
      <c r="L922" s="38"/>
      <c r="M922" s="38"/>
      <c r="N922" s="38"/>
      <c r="O922" s="38"/>
      <c r="P922" s="38"/>
    </row>
    <row r="923">
      <c r="A923" s="41"/>
      <c r="C923" s="7"/>
      <c r="D923" s="7"/>
      <c r="E923" s="18"/>
      <c r="F923" s="38"/>
      <c r="G923" s="38"/>
      <c r="H923" s="38"/>
      <c r="I923" s="38"/>
      <c r="J923" s="38"/>
      <c r="K923" s="38"/>
      <c r="L923" s="38"/>
      <c r="M923" s="38"/>
      <c r="N923" s="38"/>
      <c r="O923" s="38"/>
      <c r="P923" s="38"/>
    </row>
    <row r="924">
      <c r="A924" s="41"/>
      <c r="C924" s="7"/>
      <c r="D924" s="7"/>
      <c r="E924" s="18"/>
      <c r="F924" s="38"/>
      <c r="G924" s="38"/>
      <c r="H924" s="38"/>
      <c r="I924" s="38"/>
      <c r="J924" s="38"/>
      <c r="K924" s="38"/>
      <c r="L924" s="38"/>
      <c r="M924" s="38"/>
      <c r="N924" s="38"/>
      <c r="O924" s="38"/>
      <c r="P924" s="38"/>
    </row>
    <row r="925">
      <c r="A925" s="41"/>
      <c r="C925" s="7"/>
      <c r="D925" s="7"/>
      <c r="E925" s="18"/>
      <c r="F925" s="38"/>
      <c r="G925" s="38"/>
      <c r="H925" s="38"/>
      <c r="I925" s="38"/>
      <c r="J925" s="38"/>
      <c r="K925" s="38"/>
      <c r="L925" s="38"/>
      <c r="M925" s="38"/>
      <c r="N925" s="38"/>
      <c r="O925" s="38"/>
      <c r="P925" s="38"/>
    </row>
    <row r="926">
      <c r="A926" s="41"/>
      <c r="C926" s="7"/>
      <c r="D926" s="7"/>
      <c r="E926" s="18"/>
      <c r="F926" s="38"/>
      <c r="G926" s="38"/>
      <c r="H926" s="38"/>
      <c r="I926" s="38"/>
      <c r="J926" s="38"/>
      <c r="K926" s="38"/>
      <c r="L926" s="38"/>
      <c r="M926" s="38"/>
      <c r="N926" s="38"/>
      <c r="O926" s="38"/>
      <c r="P926" s="38"/>
    </row>
    <row r="927">
      <c r="A927" s="41"/>
      <c r="C927" s="7"/>
      <c r="D927" s="7"/>
      <c r="E927" s="18"/>
      <c r="F927" s="38"/>
      <c r="G927" s="38"/>
      <c r="H927" s="38"/>
      <c r="I927" s="38"/>
      <c r="J927" s="38"/>
      <c r="K927" s="38"/>
      <c r="L927" s="38"/>
      <c r="M927" s="38"/>
      <c r="N927" s="38"/>
      <c r="O927" s="38"/>
      <c r="P927" s="38"/>
    </row>
    <row r="928">
      <c r="A928" s="41"/>
      <c r="C928" s="7"/>
      <c r="D928" s="7"/>
      <c r="E928" s="18"/>
      <c r="F928" s="38"/>
      <c r="G928" s="38"/>
      <c r="H928" s="38"/>
      <c r="I928" s="38"/>
      <c r="J928" s="38"/>
      <c r="K928" s="38"/>
      <c r="L928" s="38"/>
      <c r="M928" s="38"/>
      <c r="N928" s="38"/>
      <c r="O928" s="38"/>
      <c r="P928" s="38"/>
    </row>
    <row r="929">
      <c r="A929" s="41"/>
      <c r="C929" s="7"/>
      <c r="D929" s="7"/>
      <c r="E929" s="18"/>
      <c r="F929" s="38"/>
      <c r="G929" s="38"/>
      <c r="H929" s="38"/>
      <c r="I929" s="38"/>
      <c r="J929" s="38"/>
      <c r="K929" s="38"/>
      <c r="L929" s="38"/>
      <c r="M929" s="38"/>
      <c r="N929" s="38"/>
      <c r="O929" s="38"/>
      <c r="P929" s="38"/>
    </row>
    <row r="930">
      <c r="A930" s="41"/>
      <c r="C930" s="7"/>
      <c r="D930" s="7"/>
      <c r="E930" s="18"/>
      <c r="F930" s="38"/>
      <c r="G930" s="38"/>
      <c r="H930" s="38"/>
      <c r="I930" s="38"/>
      <c r="J930" s="38"/>
      <c r="K930" s="38"/>
      <c r="L930" s="38"/>
      <c r="M930" s="38"/>
      <c r="N930" s="38"/>
      <c r="O930" s="38"/>
      <c r="P930" s="38"/>
    </row>
    <row r="931">
      <c r="A931" s="41"/>
      <c r="C931" s="7"/>
      <c r="D931" s="7"/>
      <c r="E931" s="18"/>
      <c r="F931" s="38"/>
      <c r="G931" s="38"/>
      <c r="H931" s="38"/>
      <c r="I931" s="38"/>
      <c r="J931" s="38"/>
      <c r="K931" s="38"/>
      <c r="L931" s="38"/>
      <c r="M931" s="38"/>
      <c r="N931" s="38"/>
      <c r="O931" s="38"/>
      <c r="P931" s="38"/>
    </row>
    <row r="932">
      <c r="A932" s="41"/>
      <c r="C932" s="7"/>
      <c r="D932" s="7"/>
      <c r="E932" s="18"/>
      <c r="F932" s="38"/>
      <c r="G932" s="38"/>
      <c r="H932" s="38"/>
      <c r="I932" s="38"/>
      <c r="J932" s="38"/>
      <c r="K932" s="38"/>
      <c r="L932" s="38"/>
      <c r="M932" s="38"/>
      <c r="N932" s="38"/>
      <c r="O932" s="38"/>
      <c r="P932" s="38"/>
    </row>
    <row r="933">
      <c r="A933" s="41"/>
      <c r="C933" s="7"/>
      <c r="D933" s="7"/>
      <c r="E933" s="18"/>
      <c r="F933" s="38"/>
      <c r="G933" s="38"/>
      <c r="H933" s="38"/>
      <c r="I933" s="38"/>
      <c r="J933" s="38"/>
      <c r="K933" s="38"/>
      <c r="L933" s="38"/>
      <c r="M933" s="38"/>
      <c r="N933" s="38"/>
      <c r="O933" s="38"/>
      <c r="P933" s="38"/>
    </row>
    <row r="934">
      <c r="A934" s="41"/>
      <c r="C934" s="7"/>
      <c r="D934" s="7"/>
      <c r="E934" s="18"/>
      <c r="F934" s="38"/>
      <c r="G934" s="38"/>
      <c r="H934" s="38"/>
      <c r="I934" s="38"/>
      <c r="J934" s="38"/>
      <c r="K934" s="38"/>
      <c r="L934" s="38"/>
      <c r="M934" s="38"/>
      <c r="N934" s="38"/>
      <c r="O934" s="38"/>
      <c r="P934" s="38"/>
    </row>
    <row r="935">
      <c r="A935" s="41"/>
      <c r="C935" s="7"/>
      <c r="D935" s="7"/>
      <c r="E935" s="18"/>
      <c r="F935" s="38"/>
      <c r="G935" s="38"/>
      <c r="H935" s="38"/>
      <c r="I935" s="38"/>
      <c r="J935" s="38"/>
      <c r="K935" s="38"/>
      <c r="L935" s="38"/>
      <c r="M935" s="38"/>
      <c r="N935" s="38"/>
      <c r="O935" s="38"/>
      <c r="P935" s="38"/>
    </row>
    <row r="936">
      <c r="A936" s="41"/>
      <c r="C936" s="7"/>
      <c r="D936" s="7"/>
      <c r="E936" s="18"/>
      <c r="F936" s="38"/>
      <c r="G936" s="38"/>
      <c r="H936" s="38"/>
      <c r="I936" s="38"/>
      <c r="J936" s="38"/>
      <c r="K936" s="38"/>
      <c r="L936" s="38"/>
      <c r="M936" s="38"/>
      <c r="N936" s="38"/>
      <c r="O936" s="38"/>
      <c r="P936" s="38"/>
    </row>
    <row r="937">
      <c r="A937" s="41"/>
      <c r="C937" s="7"/>
      <c r="D937" s="7"/>
      <c r="E937" s="18"/>
      <c r="F937" s="38"/>
      <c r="G937" s="38"/>
      <c r="H937" s="38"/>
      <c r="I937" s="38"/>
      <c r="J937" s="38"/>
      <c r="K937" s="38"/>
      <c r="L937" s="38"/>
      <c r="M937" s="38"/>
      <c r="N937" s="38"/>
      <c r="O937" s="38"/>
      <c r="P937" s="38"/>
    </row>
    <row r="938">
      <c r="A938" s="41"/>
      <c r="C938" s="7"/>
      <c r="D938" s="7"/>
      <c r="E938" s="18"/>
      <c r="F938" s="38"/>
      <c r="G938" s="38"/>
      <c r="H938" s="38"/>
      <c r="I938" s="38"/>
      <c r="J938" s="38"/>
      <c r="K938" s="38"/>
      <c r="L938" s="38"/>
      <c r="M938" s="38"/>
      <c r="N938" s="38"/>
      <c r="O938" s="38"/>
      <c r="P938" s="38"/>
    </row>
    <row r="939">
      <c r="A939" s="41"/>
      <c r="C939" s="7"/>
      <c r="D939" s="7"/>
      <c r="E939" s="18"/>
      <c r="F939" s="38"/>
      <c r="G939" s="38"/>
      <c r="H939" s="38"/>
      <c r="I939" s="38"/>
      <c r="J939" s="38"/>
      <c r="K939" s="38"/>
      <c r="L939" s="38"/>
      <c r="M939" s="38"/>
      <c r="N939" s="38"/>
      <c r="O939" s="38"/>
      <c r="P939" s="38"/>
    </row>
    <row r="940">
      <c r="A940" s="41"/>
      <c r="C940" s="7"/>
      <c r="D940" s="7"/>
      <c r="E940" s="18"/>
      <c r="F940" s="38"/>
      <c r="G940" s="38"/>
      <c r="H940" s="38"/>
      <c r="I940" s="38"/>
      <c r="J940" s="38"/>
      <c r="K940" s="38"/>
      <c r="L940" s="38"/>
      <c r="M940" s="38"/>
      <c r="N940" s="38"/>
      <c r="O940" s="38"/>
      <c r="P940" s="38"/>
    </row>
    <row r="941">
      <c r="A941" s="41"/>
      <c r="C941" s="7"/>
      <c r="D941" s="7"/>
      <c r="E941" s="18"/>
      <c r="F941" s="38"/>
      <c r="G941" s="38"/>
      <c r="H941" s="38"/>
      <c r="I941" s="38"/>
      <c r="J941" s="38"/>
      <c r="K941" s="38"/>
      <c r="L941" s="38"/>
      <c r="M941" s="38"/>
      <c r="N941" s="38"/>
      <c r="O941" s="38"/>
      <c r="P941" s="38"/>
    </row>
    <row r="942">
      <c r="A942" s="41"/>
      <c r="C942" s="7"/>
      <c r="D942" s="7"/>
      <c r="E942" s="18"/>
      <c r="F942" s="38"/>
      <c r="G942" s="38"/>
      <c r="H942" s="38"/>
      <c r="I942" s="38"/>
      <c r="J942" s="38"/>
      <c r="K942" s="38"/>
      <c r="L942" s="38"/>
      <c r="M942" s="38"/>
      <c r="N942" s="38"/>
      <c r="O942" s="38"/>
      <c r="P942" s="38"/>
    </row>
    <row r="943">
      <c r="A943" s="41"/>
      <c r="C943" s="7"/>
      <c r="D943" s="7"/>
      <c r="E943" s="18"/>
      <c r="F943" s="38"/>
      <c r="G943" s="38"/>
      <c r="H943" s="38"/>
      <c r="I943" s="38"/>
      <c r="J943" s="38"/>
      <c r="K943" s="38"/>
      <c r="L943" s="38"/>
      <c r="M943" s="38"/>
      <c r="N943" s="38"/>
      <c r="O943" s="38"/>
      <c r="P943" s="38"/>
    </row>
    <row r="944">
      <c r="A944" s="41"/>
      <c r="C944" s="7"/>
      <c r="D944" s="7"/>
      <c r="E944" s="18"/>
      <c r="F944" s="38"/>
      <c r="G944" s="38"/>
      <c r="H944" s="38"/>
      <c r="I944" s="38"/>
      <c r="J944" s="38"/>
      <c r="K944" s="38"/>
      <c r="L944" s="38"/>
      <c r="M944" s="38"/>
      <c r="N944" s="38"/>
      <c r="O944" s="38"/>
      <c r="P944" s="38"/>
    </row>
    <row r="945">
      <c r="A945" s="41"/>
      <c r="C945" s="7"/>
      <c r="D945" s="7"/>
      <c r="E945" s="18"/>
      <c r="F945" s="38"/>
      <c r="G945" s="38"/>
      <c r="H945" s="38"/>
      <c r="I945" s="38"/>
      <c r="J945" s="38"/>
      <c r="K945" s="38"/>
      <c r="L945" s="38"/>
      <c r="M945" s="38"/>
      <c r="N945" s="38"/>
      <c r="O945" s="38"/>
      <c r="P945" s="38"/>
    </row>
    <row r="946">
      <c r="A946" s="41"/>
      <c r="C946" s="7"/>
      <c r="D946" s="7"/>
      <c r="E946" s="18"/>
      <c r="F946" s="38"/>
      <c r="G946" s="38"/>
      <c r="H946" s="38"/>
      <c r="I946" s="38"/>
      <c r="J946" s="38"/>
      <c r="K946" s="38"/>
      <c r="L946" s="38"/>
      <c r="M946" s="38"/>
      <c r="N946" s="38"/>
      <c r="O946" s="38"/>
      <c r="P946" s="38"/>
    </row>
    <row r="947">
      <c r="C947" s="30"/>
      <c r="D947" s="30"/>
      <c r="F947" s="38"/>
      <c r="G947" s="38"/>
      <c r="H947" s="38"/>
      <c r="I947" s="38"/>
      <c r="J947" s="38"/>
      <c r="K947" s="38"/>
      <c r="L947" s="38"/>
      <c r="M947" s="38"/>
      <c r="N947" s="38"/>
      <c r="O947" s="38"/>
      <c r="P947" s="38"/>
    </row>
    <row r="948">
      <c r="C948" s="30"/>
      <c r="D948" s="30"/>
      <c r="F948" s="38"/>
      <c r="G948" s="38"/>
      <c r="H948" s="38"/>
      <c r="I948" s="38"/>
      <c r="J948" s="38"/>
      <c r="K948" s="38"/>
      <c r="L948" s="38"/>
      <c r="M948" s="38"/>
      <c r="N948" s="38"/>
      <c r="O948" s="38"/>
      <c r="P948" s="38"/>
    </row>
    <row r="949">
      <c r="C949" s="30"/>
      <c r="D949" s="30"/>
      <c r="F949" s="38"/>
      <c r="G949" s="38"/>
      <c r="H949" s="38"/>
      <c r="I949" s="38"/>
      <c r="J949" s="38"/>
      <c r="K949" s="38"/>
      <c r="L949" s="38"/>
      <c r="M949" s="38"/>
      <c r="N949" s="38"/>
      <c r="O949" s="38"/>
      <c r="P949" s="38"/>
    </row>
    <row r="950">
      <c r="C950" s="30"/>
      <c r="D950" s="30"/>
      <c r="F950" s="38"/>
      <c r="G950" s="38"/>
      <c r="H950" s="38"/>
      <c r="I950" s="38"/>
      <c r="J950" s="38"/>
      <c r="K950" s="38"/>
      <c r="L950" s="38"/>
      <c r="M950" s="38"/>
      <c r="N950" s="38"/>
      <c r="O950" s="38"/>
      <c r="P950" s="38"/>
    </row>
    <row r="951">
      <c r="C951" s="30"/>
      <c r="D951" s="30"/>
      <c r="F951" s="38"/>
      <c r="G951" s="38"/>
      <c r="H951" s="38"/>
      <c r="I951" s="38"/>
      <c r="J951" s="38"/>
      <c r="K951" s="38"/>
      <c r="L951" s="38"/>
      <c r="M951" s="38"/>
      <c r="N951" s="38"/>
      <c r="O951" s="38"/>
      <c r="P951" s="38"/>
    </row>
    <row r="952">
      <c r="C952" s="30"/>
      <c r="D952" s="30"/>
      <c r="F952" s="38"/>
      <c r="G952" s="38"/>
      <c r="H952" s="38"/>
      <c r="I952" s="38"/>
      <c r="J952" s="38"/>
      <c r="K952" s="38"/>
      <c r="L952" s="38"/>
      <c r="M952" s="38"/>
      <c r="N952" s="38"/>
      <c r="O952" s="38"/>
      <c r="P952" s="38"/>
    </row>
    <row r="953">
      <c r="C953" s="30"/>
      <c r="D953" s="30"/>
      <c r="F953" s="38"/>
      <c r="G953" s="38"/>
      <c r="H953" s="38"/>
      <c r="I953" s="38"/>
      <c r="J953" s="38"/>
      <c r="K953" s="38"/>
      <c r="L953" s="38"/>
      <c r="M953" s="38"/>
      <c r="N953" s="38"/>
      <c r="O953" s="38"/>
      <c r="P953" s="38"/>
    </row>
    <row r="954">
      <c r="C954" s="30"/>
      <c r="D954" s="30"/>
      <c r="F954" s="38"/>
      <c r="G954" s="38"/>
      <c r="H954" s="38"/>
      <c r="I954" s="38"/>
      <c r="J954" s="38"/>
      <c r="K954" s="38"/>
      <c r="L954" s="38"/>
      <c r="M954" s="38"/>
      <c r="N954" s="38"/>
      <c r="O954" s="38"/>
      <c r="P954" s="38"/>
    </row>
    <row r="955">
      <c r="C955" s="30"/>
      <c r="D955" s="30"/>
      <c r="F955" s="38"/>
      <c r="G955" s="38"/>
      <c r="H955" s="38"/>
      <c r="I955" s="38"/>
      <c r="J955" s="38"/>
      <c r="K955" s="38"/>
      <c r="L955" s="38"/>
      <c r="M955" s="38"/>
      <c r="N955" s="38"/>
      <c r="O955" s="38"/>
      <c r="P955" s="38"/>
    </row>
    <row r="956">
      <c r="C956" s="30"/>
      <c r="D956" s="30"/>
      <c r="F956" s="38"/>
      <c r="G956" s="38"/>
      <c r="H956" s="38"/>
      <c r="I956" s="38"/>
      <c r="J956" s="38"/>
      <c r="K956" s="38"/>
      <c r="L956" s="38"/>
      <c r="M956" s="38"/>
      <c r="N956" s="38"/>
      <c r="O956" s="38"/>
      <c r="P956" s="38"/>
    </row>
    <row r="957">
      <c r="C957" s="30"/>
      <c r="D957" s="30"/>
      <c r="F957" s="38"/>
      <c r="G957" s="38"/>
      <c r="H957" s="38"/>
      <c r="I957" s="38"/>
      <c r="J957" s="38"/>
      <c r="K957" s="38"/>
      <c r="L957" s="38"/>
      <c r="M957" s="38"/>
      <c r="N957" s="38"/>
      <c r="O957" s="38"/>
      <c r="P957" s="38"/>
    </row>
    <row r="958">
      <c r="C958" s="30"/>
      <c r="D958" s="30"/>
      <c r="F958" s="38"/>
      <c r="G958" s="38"/>
      <c r="H958" s="38"/>
      <c r="I958" s="38"/>
      <c r="J958" s="38"/>
      <c r="K958" s="38"/>
      <c r="L958" s="38"/>
      <c r="M958" s="38"/>
      <c r="N958" s="38"/>
      <c r="O958" s="38"/>
      <c r="P958" s="38"/>
    </row>
    <row r="959">
      <c r="C959" s="30"/>
      <c r="D959" s="30"/>
      <c r="F959" s="38"/>
      <c r="G959" s="38"/>
      <c r="H959" s="38"/>
      <c r="I959" s="38"/>
      <c r="J959" s="38"/>
      <c r="K959" s="38"/>
      <c r="L959" s="38"/>
      <c r="M959" s="38"/>
      <c r="N959" s="38"/>
      <c r="O959" s="38"/>
      <c r="P959" s="38"/>
    </row>
    <row r="960">
      <c r="C960" s="30"/>
      <c r="D960" s="30"/>
      <c r="F960" s="38"/>
      <c r="G960" s="38"/>
      <c r="H960" s="38"/>
      <c r="I960" s="38"/>
      <c r="J960" s="38"/>
      <c r="K960" s="38"/>
      <c r="L960" s="38"/>
      <c r="M960" s="38"/>
      <c r="N960" s="38"/>
      <c r="O960" s="38"/>
      <c r="P960" s="38"/>
    </row>
    <row r="961">
      <c r="C961" s="30"/>
      <c r="D961" s="30"/>
      <c r="F961" s="38"/>
      <c r="G961" s="38"/>
      <c r="H961" s="38"/>
      <c r="I961" s="38"/>
      <c r="J961" s="38"/>
      <c r="K961" s="38"/>
      <c r="L961" s="38"/>
      <c r="M961" s="38"/>
      <c r="N961" s="38"/>
      <c r="O961" s="38"/>
      <c r="P961" s="38"/>
    </row>
    <row r="962">
      <c r="C962" s="30"/>
      <c r="D962" s="30"/>
      <c r="F962" s="38"/>
      <c r="G962" s="38"/>
      <c r="H962" s="38"/>
      <c r="I962" s="38"/>
      <c r="J962" s="38"/>
      <c r="K962" s="38"/>
      <c r="L962" s="38"/>
      <c r="M962" s="38"/>
      <c r="N962" s="38"/>
      <c r="O962" s="38"/>
      <c r="P962" s="38"/>
    </row>
    <row r="963">
      <c r="F963" s="38"/>
      <c r="G963" s="38"/>
      <c r="H963" s="38"/>
      <c r="I963" s="38"/>
      <c r="J963" s="38"/>
      <c r="K963" s="38"/>
      <c r="L963" s="38"/>
      <c r="M963" s="38"/>
      <c r="N963" s="38"/>
      <c r="O963" s="38"/>
      <c r="P963" s="38"/>
    </row>
    <row r="964">
      <c r="F964" s="38"/>
      <c r="G964" s="38"/>
      <c r="H964" s="38"/>
      <c r="I964" s="38"/>
      <c r="J964" s="38"/>
      <c r="K964" s="38"/>
      <c r="L964" s="38"/>
      <c r="M964" s="38"/>
      <c r="N964" s="38"/>
      <c r="O964" s="38"/>
      <c r="P964" s="38"/>
    </row>
    <row r="965">
      <c r="F965" s="38"/>
      <c r="G965" s="38"/>
      <c r="H965" s="38"/>
      <c r="I965" s="38"/>
      <c r="J965" s="38"/>
      <c r="K965" s="38"/>
      <c r="L965" s="38"/>
      <c r="M965" s="38"/>
      <c r="N965" s="38"/>
      <c r="O965" s="38"/>
      <c r="P965" s="38"/>
    </row>
    <row r="966">
      <c r="F966" s="38"/>
      <c r="G966" s="38"/>
      <c r="H966" s="38"/>
      <c r="I966" s="38"/>
      <c r="J966" s="38"/>
      <c r="K966" s="38"/>
      <c r="L966" s="38"/>
      <c r="M966" s="38"/>
      <c r="N966" s="38"/>
      <c r="O966" s="38"/>
      <c r="P966" s="38"/>
    </row>
    <row r="967">
      <c r="F967" s="38"/>
      <c r="G967" s="38"/>
      <c r="H967" s="38"/>
      <c r="I967" s="38"/>
      <c r="J967" s="38"/>
      <c r="K967" s="38"/>
      <c r="L967" s="38"/>
      <c r="M967" s="38"/>
      <c r="N967" s="38"/>
      <c r="O967" s="38"/>
      <c r="P967" s="38"/>
    </row>
    <row r="968">
      <c r="F968" s="38"/>
      <c r="G968" s="38"/>
      <c r="H968" s="38"/>
      <c r="I968" s="38"/>
      <c r="J968" s="38"/>
      <c r="K968" s="38"/>
      <c r="L968" s="38"/>
      <c r="M968" s="38"/>
      <c r="N968" s="38"/>
      <c r="O968" s="38"/>
      <c r="P968" s="38"/>
    </row>
    <row r="969">
      <c r="F969" s="38"/>
      <c r="G969" s="38"/>
      <c r="H969" s="38"/>
      <c r="I969" s="38"/>
      <c r="J969" s="38"/>
      <c r="K969" s="38"/>
      <c r="L969" s="38"/>
      <c r="M969" s="38"/>
      <c r="N969" s="38"/>
      <c r="O969" s="38"/>
      <c r="P969" s="38"/>
    </row>
    <row r="970">
      <c r="F970" s="38"/>
      <c r="G970" s="38"/>
      <c r="H970" s="38"/>
      <c r="I970" s="38"/>
      <c r="J970" s="38"/>
      <c r="K970" s="38"/>
      <c r="L970" s="38"/>
      <c r="M970" s="38"/>
      <c r="N970" s="38"/>
      <c r="O970" s="38"/>
      <c r="P970" s="38"/>
    </row>
    <row r="971">
      <c r="F971" s="38"/>
      <c r="G971" s="38"/>
      <c r="H971" s="38"/>
      <c r="I971" s="38"/>
      <c r="J971" s="38"/>
      <c r="K971" s="38"/>
      <c r="L971" s="38"/>
      <c r="M971" s="38"/>
      <c r="N971" s="38"/>
      <c r="O971" s="38"/>
      <c r="P971" s="38"/>
    </row>
    <row r="972">
      <c r="F972" s="38"/>
      <c r="G972" s="38"/>
      <c r="H972" s="38"/>
      <c r="I972" s="38"/>
      <c r="J972" s="38"/>
      <c r="K972" s="38"/>
      <c r="L972" s="38"/>
      <c r="M972" s="38"/>
      <c r="N972" s="38"/>
      <c r="O972" s="38"/>
      <c r="P972" s="38"/>
    </row>
    <row r="973">
      <c r="F973" s="38"/>
      <c r="G973" s="38"/>
      <c r="H973" s="38"/>
      <c r="I973" s="38"/>
      <c r="J973" s="38"/>
      <c r="K973" s="38"/>
      <c r="L973" s="38"/>
      <c r="M973" s="38"/>
      <c r="N973" s="38"/>
      <c r="O973" s="38"/>
      <c r="P973" s="38"/>
    </row>
    <row r="974">
      <c r="F974" s="38"/>
      <c r="G974" s="38"/>
      <c r="H974" s="38"/>
      <c r="I974" s="38"/>
      <c r="J974" s="38"/>
      <c r="K974" s="38"/>
      <c r="L974" s="38"/>
      <c r="M974" s="38"/>
      <c r="N974" s="38"/>
      <c r="O974" s="38"/>
      <c r="P974" s="38"/>
    </row>
    <row r="975">
      <c r="F975" s="38"/>
      <c r="G975" s="38"/>
      <c r="H975" s="38"/>
      <c r="I975" s="38"/>
      <c r="J975" s="38"/>
      <c r="K975" s="38"/>
      <c r="L975" s="38"/>
      <c r="M975" s="38"/>
      <c r="N975" s="38"/>
      <c r="O975" s="38"/>
      <c r="P975" s="38"/>
    </row>
    <row r="976">
      <c r="F976" s="38"/>
      <c r="G976" s="38"/>
      <c r="H976" s="38"/>
      <c r="I976" s="38"/>
      <c r="J976" s="38"/>
      <c r="K976" s="38"/>
      <c r="L976" s="38"/>
      <c r="M976" s="38"/>
      <c r="N976" s="38"/>
      <c r="O976" s="38"/>
      <c r="P976" s="38"/>
    </row>
    <row r="977">
      <c r="F977" s="38"/>
      <c r="G977" s="38"/>
      <c r="H977" s="38"/>
      <c r="I977" s="38"/>
      <c r="J977" s="38"/>
      <c r="K977" s="38"/>
      <c r="L977" s="38"/>
      <c r="M977" s="38"/>
      <c r="N977" s="38"/>
      <c r="O977" s="38"/>
      <c r="P977" s="38"/>
    </row>
    <row r="978">
      <c r="F978" s="38"/>
      <c r="G978" s="38"/>
      <c r="H978" s="38"/>
      <c r="I978" s="38"/>
      <c r="J978" s="38"/>
      <c r="K978" s="38"/>
      <c r="L978" s="38"/>
      <c r="M978" s="38"/>
      <c r="N978" s="38"/>
      <c r="O978" s="38"/>
      <c r="P978" s="38"/>
    </row>
    <row r="979">
      <c r="F979" s="38"/>
      <c r="G979" s="38"/>
      <c r="H979" s="38"/>
      <c r="I979" s="38"/>
      <c r="J979" s="38"/>
      <c r="K979" s="38"/>
      <c r="L979" s="38"/>
      <c r="M979" s="38"/>
      <c r="N979" s="38"/>
      <c r="O979" s="38"/>
      <c r="P979" s="38"/>
    </row>
    <row r="980">
      <c r="F980" s="38"/>
      <c r="G980" s="38"/>
      <c r="H980" s="38"/>
      <c r="I980" s="38"/>
      <c r="J980" s="38"/>
      <c r="K980" s="38"/>
      <c r="L980" s="38"/>
      <c r="M980" s="38"/>
      <c r="N980" s="38"/>
      <c r="O980" s="38"/>
      <c r="P980" s="38"/>
    </row>
    <row r="981">
      <c r="F981" s="38"/>
      <c r="G981" s="38"/>
      <c r="H981" s="38"/>
      <c r="I981" s="38"/>
      <c r="J981" s="38"/>
      <c r="K981" s="38"/>
      <c r="L981" s="38"/>
      <c r="M981" s="38"/>
      <c r="N981" s="38"/>
      <c r="O981" s="38"/>
      <c r="P981" s="38"/>
    </row>
    <row r="982">
      <c r="F982" s="38"/>
      <c r="G982" s="38"/>
      <c r="H982" s="38"/>
      <c r="I982" s="38"/>
      <c r="J982" s="38"/>
      <c r="K982" s="38"/>
      <c r="L982" s="38"/>
      <c r="M982" s="38"/>
      <c r="N982" s="38"/>
      <c r="O982" s="38"/>
      <c r="P982" s="38"/>
    </row>
    <row r="983">
      <c r="F983" s="38"/>
      <c r="G983" s="38"/>
      <c r="H983" s="38"/>
      <c r="I983" s="38"/>
      <c r="J983" s="38"/>
      <c r="K983" s="38"/>
      <c r="L983" s="38"/>
      <c r="M983" s="38"/>
      <c r="N983" s="38"/>
      <c r="O983" s="38"/>
      <c r="P983" s="38"/>
    </row>
    <row r="984">
      <c r="F984" s="38"/>
      <c r="G984" s="38"/>
      <c r="H984" s="38"/>
      <c r="I984" s="38"/>
      <c r="J984" s="38"/>
      <c r="K984" s="38"/>
      <c r="L984" s="38"/>
      <c r="M984" s="38"/>
      <c r="N984" s="38"/>
      <c r="O984" s="38"/>
      <c r="P984" s="38"/>
    </row>
    <row r="985">
      <c r="F985" s="38"/>
      <c r="G985" s="38"/>
      <c r="H985" s="38"/>
      <c r="I985" s="38"/>
      <c r="J985" s="38"/>
      <c r="K985" s="38"/>
      <c r="L985" s="38"/>
      <c r="M985" s="38"/>
      <c r="N985" s="38"/>
      <c r="O985" s="38"/>
      <c r="P985" s="38"/>
    </row>
    <row r="986">
      <c r="F986" s="38"/>
      <c r="G986" s="38"/>
      <c r="H986" s="38"/>
      <c r="I986" s="38"/>
      <c r="J986" s="38"/>
      <c r="K986" s="38"/>
      <c r="L986" s="38"/>
      <c r="M986" s="38"/>
      <c r="N986" s="38"/>
      <c r="O986" s="38"/>
      <c r="P986" s="38"/>
    </row>
    <row r="987">
      <c r="F987" s="38"/>
      <c r="G987" s="38"/>
      <c r="H987" s="38"/>
      <c r="I987" s="38"/>
      <c r="J987" s="38"/>
      <c r="K987" s="38"/>
      <c r="L987" s="38"/>
      <c r="M987" s="38"/>
      <c r="N987" s="38"/>
      <c r="O987" s="38"/>
      <c r="P987" s="38"/>
    </row>
    <row r="988">
      <c r="F988" s="38"/>
      <c r="G988" s="38"/>
      <c r="H988" s="38"/>
      <c r="I988" s="38"/>
      <c r="J988" s="38"/>
      <c r="K988" s="38"/>
      <c r="L988" s="38"/>
      <c r="M988" s="38"/>
      <c r="N988" s="38"/>
      <c r="O988" s="38"/>
      <c r="P988" s="38"/>
    </row>
    <row r="989">
      <c r="F989" s="38"/>
      <c r="G989" s="38"/>
      <c r="H989" s="38"/>
      <c r="I989" s="38"/>
      <c r="J989" s="38"/>
      <c r="K989" s="38"/>
      <c r="L989" s="38"/>
      <c r="M989" s="38"/>
      <c r="N989" s="38"/>
      <c r="O989" s="38"/>
      <c r="P989" s="38"/>
    </row>
    <row r="990">
      <c r="F990" s="38"/>
      <c r="G990" s="38"/>
      <c r="H990" s="38"/>
      <c r="I990" s="38"/>
      <c r="J990" s="38"/>
      <c r="K990" s="38"/>
      <c r="L990" s="38"/>
      <c r="M990" s="38"/>
      <c r="N990" s="38"/>
      <c r="O990" s="38"/>
      <c r="P990" s="38"/>
    </row>
    <row r="991">
      <c r="F991" s="38"/>
      <c r="G991" s="38"/>
      <c r="H991" s="38"/>
      <c r="I991" s="38"/>
      <c r="J991" s="38"/>
      <c r="K991" s="38"/>
      <c r="L991" s="38"/>
      <c r="M991" s="38"/>
      <c r="N991" s="38"/>
      <c r="O991" s="38"/>
      <c r="P991" s="38"/>
    </row>
    <row r="992">
      <c r="F992" s="38"/>
      <c r="G992" s="38"/>
      <c r="H992" s="38"/>
      <c r="I992" s="38"/>
      <c r="J992" s="38"/>
      <c r="K992" s="38"/>
      <c r="L992" s="38"/>
      <c r="M992" s="38"/>
      <c r="N992" s="38"/>
      <c r="O992" s="38"/>
      <c r="P992" s="38"/>
    </row>
    <row r="993">
      <c r="F993" s="38"/>
      <c r="G993" s="38"/>
      <c r="H993" s="38"/>
      <c r="I993" s="38"/>
      <c r="J993" s="38"/>
      <c r="K993" s="38"/>
      <c r="L993" s="38"/>
      <c r="M993" s="38"/>
      <c r="N993" s="38"/>
      <c r="O993" s="38"/>
      <c r="P993" s="38"/>
    </row>
    <row r="994">
      <c r="F994" s="38"/>
      <c r="G994" s="38"/>
      <c r="H994" s="38"/>
      <c r="I994" s="38"/>
      <c r="J994" s="38"/>
      <c r="K994" s="38"/>
      <c r="L994" s="38"/>
      <c r="M994" s="38"/>
      <c r="N994" s="38"/>
      <c r="O994" s="38"/>
      <c r="P994" s="38"/>
    </row>
    <row r="995">
      <c r="F995" s="38"/>
      <c r="G995" s="38"/>
      <c r="H995" s="38"/>
      <c r="I995" s="38"/>
      <c r="J995" s="38"/>
      <c r="K995" s="38"/>
      <c r="L995" s="38"/>
      <c r="M995" s="38"/>
      <c r="N995" s="38"/>
      <c r="O995" s="38"/>
      <c r="P995" s="38"/>
    </row>
    <row r="996">
      <c r="F996" s="38"/>
      <c r="G996" s="38"/>
      <c r="H996" s="38"/>
      <c r="I996" s="38"/>
      <c r="J996" s="38"/>
      <c r="K996" s="38"/>
      <c r="L996" s="38"/>
      <c r="M996" s="38"/>
      <c r="N996" s="38"/>
      <c r="O996" s="38"/>
      <c r="P996" s="38"/>
    </row>
    <row r="997">
      <c r="F997" s="38"/>
      <c r="G997" s="38"/>
      <c r="H997" s="38"/>
      <c r="I997" s="38"/>
      <c r="J997" s="38"/>
      <c r="K997" s="38"/>
      <c r="L997" s="38"/>
      <c r="M997" s="38"/>
      <c r="N997" s="38"/>
      <c r="O997" s="38"/>
      <c r="P997" s="38"/>
    </row>
    <row r="998">
      <c r="F998" s="38"/>
      <c r="G998" s="38"/>
      <c r="H998" s="38"/>
      <c r="I998" s="38"/>
      <c r="J998" s="38"/>
      <c r="K998" s="38"/>
      <c r="L998" s="38"/>
      <c r="M998" s="38"/>
      <c r="N998" s="38"/>
      <c r="O998" s="38"/>
      <c r="P998" s="38"/>
    </row>
    <row r="999">
      <c r="F999" s="38"/>
      <c r="G999" s="38"/>
      <c r="H999" s="38"/>
      <c r="I999" s="38"/>
      <c r="J999" s="38"/>
      <c r="K999" s="38"/>
      <c r="L999" s="38"/>
      <c r="M999" s="38"/>
      <c r="N999" s="38"/>
      <c r="O999" s="38"/>
      <c r="P999" s="38"/>
    </row>
    <row r="1000">
      <c r="F1000" s="38"/>
      <c r="G1000" s="38"/>
      <c r="H1000" s="38"/>
      <c r="I1000" s="38"/>
      <c r="J1000" s="38"/>
      <c r="K1000" s="38"/>
      <c r="L1000" s="38"/>
      <c r="M1000" s="38"/>
      <c r="N1000" s="38"/>
      <c r="O1000" s="38"/>
      <c r="P1000" s="38"/>
    </row>
    <row r="1001">
      <c r="F1001" s="38"/>
      <c r="G1001" s="38"/>
      <c r="H1001" s="38"/>
      <c r="I1001" s="38"/>
      <c r="J1001" s="38"/>
      <c r="K1001" s="38"/>
      <c r="L1001" s="38"/>
      <c r="M1001" s="38"/>
      <c r="N1001" s="38"/>
      <c r="O1001" s="38"/>
      <c r="P1001" s="38"/>
    </row>
    <row r="1002">
      <c r="F1002" s="38"/>
      <c r="G1002" s="38"/>
      <c r="H1002" s="38"/>
      <c r="I1002" s="38"/>
      <c r="J1002" s="38"/>
      <c r="K1002" s="38"/>
      <c r="L1002" s="38"/>
      <c r="M1002" s="38"/>
      <c r="N1002" s="38"/>
      <c r="O1002" s="38"/>
      <c r="P1002" s="38"/>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3" max="3" width="37.5"/>
    <col customWidth="1" min="4" max="4" width="40.75"/>
    <col customWidth="1" min="6" max="10" width="16.25"/>
    <col customWidth="1" min="11" max="11" width="26.38"/>
    <col customWidth="1" min="12" max="16" width="15.75"/>
  </cols>
  <sheetData>
    <row r="1">
      <c r="A1" s="19" t="s">
        <v>0</v>
      </c>
      <c r="B1" s="19" t="s">
        <v>1</v>
      </c>
      <c r="C1" s="42" t="s">
        <v>2</v>
      </c>
      <c r="D1" s="42" t="s">
        <v>3</v>
      </c>
      <c r="E1" s="19"/>
      <c r="F1" s="45" t="s">
        <v>5</v>
      </c>
      <c r="G1" s="45" t="s">
        <v>6</v>
      </c>
      <c r="H1" s="45" t="s">
        <v>7</v>
      </c>
      <c r="I1" s="45" t="s">
        <v>8</v>
      </c>
      <c r="J1" s="45" t="s">
        <v>9</v>
      </c>
      <c r="K1" s="45" t="s">
        <v>12</v>
      </c>
      <c r="L1" s="45" t="s">
        <v>708</v>
      </c>
      <c r="M1" s="46" t="s">
        <v>16</v>
      </c>
      <c r="N1" s="46" t="s">
        <v>17</v>
      </c>
      <c r="O1" s="46" t="s">
        <v>18</v>
      </c>
      <c r="P1" s="46" t="s">
        <v>19</v>
      </c>
      <c r="Q1" s="52" t="s">
        <v>713</v>
      </c>
    </row>
    <row r="2">
      <c r="A2" s="5" t="s">
        <v>20</v>
      </c>
      <c r="B2" s="6" t="s">
        <v>21</v>
      </c>
      <c r="C2" s="7" t="s">
        <v>22</v>
      </c>
      <c r="D2" s="8" t="s">
        <v>23</v>
      </c>
      <c r="E2" s="9">
        <v>44635.0</v>
      </c>
      <c r="F2" s="6">
        <f>ROUND(('ALL(responses)'!F3 - AVERAGE('ALL(responses)'!F$3:F$322)) / _xlfn.STDEV.S('ALL(responses)'!F$3:F$322),3)
</f>
        <v>-0.571</v>
      </c>
      <c r="G2" s="6">
        <f>ROUND(('ALL(responses)'!G3 - AVERAGE('ALL(responses)'!G$3:G$322)) / _xlfn.STDEV.S('ALL(responses)'!G$3:G$322),3)
</f>
        <v>-0.627</v>
      </c>
      <c r="H2" s="6">
        <f>ROUND(('ALL(responses)'!H3 - AVERAGE('ALL(responses)'!H$3:H$322)) / _xlfn.STDEV.S('ALL(responses)'!H$3:H$322),3)
</f>
        <v>-0.418</v>
      </c>
      <c r="I2" s="6">
        <f>ROUND(('ALL(responses)'!I3 - AVERAGE('ALL(responses)'!I$3:I$322)) / _xlfn.STDEV.S('ALL(responses)'!I$3:I$322),3)
</f>
        <v>-0.673</v>
      </c>
      <c r="J2" s="6">
        <f>ROUND(('ALL(responses)'!J3 - AVERAGE('ALL(responses)'!J$3:J$322)) / _xlfn.STDEV.S('ALL(responses)'!J$3:J$322),3)
</f>
        <v>-0.562</v>
      </c>
      <c r="K2" s="6">
        <f>ROUND(('ALL(responses)'!M3 - AVERAGE('ALL(responses)'!M$3:M$322)) / _xlfn.STDEV.S('ALL(responses)'!M$3:M$322),3)
</f>
        <v>-0.382</v>
      </c>
      <c r="L2" s="6">
        <f>ROUND(('ALL(responses)'!P3 - AVERAGE('ALL(responses)'!P$3:P$322)) / _xlfn.STDEV.S('ALL(responses)'!P$3:P$322),3)
</f>
        <v>-0.72</v>
      </c>
      <c r="M2" s="6">
        <f>ROUND(('ALL(responses)'!Q3 - AVERAGE('ALL(responses)'!Q$3:Q$322)) / _xlfn.STDEV.S('ALL(responses)'!Q$3:Q$322),3)
</f>
        <v>-0.545</v>
      </c>
      <c r="N2" s="6">
        <f>ROUND(('ALL(responses)'!R3 - AVERAGE('ALL(responses)'!R$3:R$322)) / _xlfn.STDEV.S('ALL(responses)'!R$3:R$322),3)
</f>
        <v>0.659</v>
      </c>
      <c r="O2" s="6">
        <f>ROUND(('ALL(responses)'!S3 - AVERAGE('ALL(responses)'!S$3:S$322)) / _xlfn.STDEV.S('ALL(responses)'!S$3:S$322),3)
</f>
        <v>0.519</v>
      </c>
      <c r="P2" s="6">
        <f>ROUND(('ALL(responses)'!T3 - AVERAGE('ALL(responses)'!T$3:T$322)) / _xlfn.STDEV.S('ALL(responses)'!T$3:T$322),3)
</f>
        <v>0.625</v>
      </c>
      <c r="Q2" s="40">
        <f t="shared" ref="Q2:Q41" si="1">ROUND(AVERAGE(F$2:P$41),3)</f>
        <v>-0.185</v>
      </c>
    </row>
    <row r="3">
      <c r="A3" s="5" t="s">
        <v>20</v>
      </c>
      <c r="B3" s="6" t="s">
        <v>21</v>
      </c>
      <c r="C3" s="7" t="s">
        <v>24</v>
      </c>
      <c r="D3" s="8" t="s">
        <v>25</v>
      </c>
      <c r="E3" s="9">
        <v>44635.0</v>
      </c>
      <c r="F3" s="6">
        <f>ROUND(('ALL(responses)'!F4 - AVERAGE('ALL(responses)'!F$3:F$322)) / _xlfn.STDEV.S('ALL(responses)'!F$3:F$322),3)
</f>
        <v>-0.571</v>
      </c>
      <c r="G3" s="6">
        <f>ROUND(('ALL(responses)'!G4 - AVERAGE('ALL(responses)'!G$3:G$322)) / _xlfn.STDEV.S('ALL(responses)'!G$3:G$322),3)
</f>
        <v>-0.627</v>
      </c>
      <c r="H3" s="6">
        <f>ROUND(('ALL(responses)'!H4 - AVERAGE('ALL(responses)'!H$3:H$322)) / _xlfn.STDEV.S('ALL(responses)'!H$3:H$322),3)
</f>
        <v>-0.418</v>
      </c>
      <c r="I3" s="6">
        <f>ROUND(('ALL(responses)'!I4 - AVERAGE('ALL(responses)'!I$3:I$322)) / _xlfn.STDEV.S('ALL(responses)'!I$3:I$322),3)
</f>
        <v>0.146</v>
      </c>
      <c r="J3" s="6">
        <f>ROUND(('ALL(responses)'!J4 - AVERAGE('ALL(responses)'!J$3:J$322)) / _xlfn.STDEV.S('ALL(responses)'!J$3:J$322),3)
</f>
        <v>-0.562</v>
      </c>
      <c r="K3" s="6">
        <f>ROUND(('ALL(responses)'!M4 - AVERAGE('ALL(responses)'!M$3:M$322)) / _xlfn.STDEV.S('ALL(responses)'!M$3:M$322),3)
</f>
        <v>-0.31</v>
      </c>
      <c r="L3" s="6">
        <f>ROUND(('ALL(responses)'!P4 - AVERAGE('ALL(responses)'!P$3:P$322)) / _xlfn.STDEV.S('ALL(responses)'!P$3:P$322),3)
</f>
        <v>0.91</v>
      </c>
      <c r="M3" s="6">
        <f>ROUND(('ALL(responses)'!Q4 - AVERAGE('ALL(responses)'!Q$3:Q$322)) / _xlfn.STDEV.S('ALL(responses)'!Q$3:Q$322),3)
</f>
        <v>0.353</v>
      </c>
      <c r="N3" s="6">
        <f>ROUND(('ALL(responses)'!R4 - AVERAGE('ALL(responses)'!R$3:R$322)) / _xlfn.STDEV.S('ALL(responses)'!R$3:R$322),3)
</f>
        <v>0.074</v>
      </c>
      <c r="O3" s="6">
        <f>ROUND(('ALL(responses)'!S4 - AVERAGE('ALL(responses)'!S$3:S$322)) / _xlfn.STDEV.S('ALL(responses)'!S$3:S$322),3)
</f>
        <v>0.26</v>
      </c>
      <c r="P3" s="6">
        <f>ROUND(('ALL(responses)'!T4 - AVERAGE('ALL(responses)'!T$3:T$322)) / _xlfn.STDEV.S('ALL(responses)'!T$3:T$322),3)
</f>
        <v>-0.89</v>
      </c>
      <c r="Q3" s="40">
        <f t="shared" si="1"/>
        <v>-0.185</v>
      </c>
    </row>
    <row r="4">
      <c r="A4" s="5" t="s">
        <v>20</v>
      </c>
      <c r="B4" s="6" t="s">
        <v>21</v>
      </c>
      <c r="C4" s="8" t="s">
        <v>26</v>
      </c>
      <c r="D4" s="8" t="s">
        <v>27</v>
      </c>
      <c r="E4" s="9">
        <v>44635.0</v>
      </c>
      <c r="F4" s="6">
        <f>ROUND(('ALL(responses)'!F5 - AVERAGE('ALL(responses)'!F$3:F$322)) / _xlfn.STDEV.S('ALL(responses)'!F$3:F$322),3)
</f>
        <v>-0.571</v>
      </c>
      <c r="G4" s="6">
        <f>ROUND(('ALL(responses)'!G5 - AVERAGE('ALL(responses)'!G$3:G$322)) / _xlfn.STDEV.S('ALL(responses)'!G$3:G$322),3)
</f>
        <v>-0.627</v>
      </c>
      <c r="H4" s="6">
        <f>ROUND(('ALL(responses)'!H5 - AVERAGE('ALL(responses)'!H$3:H$322)) / _xlfn.STDEV.S('ALL(responses)'!H$3:H$322),3)
</f>
        <v>1.155</v>
      </c>
      <c r="I4" s="6">
        <f>ROUND(('ALL(responses)'!I5 - AVERAGE('ALL(responses)'!I$3:I$322)) / _xlfn.STDEV.S('ALL(responses)'!I$3:I$322),3)
</f>
        <v>0.146</v>
      </c>
      <c r="J4" s="6">
        <f>ROUND(('ALL(responses)'!J5 - AVERAGE('ALL(responses)'!J$3:J$322)) / _xlfn.STDEV.S('ALL(responses)'!J$3:J$322),3)
</f>
        <v>1.473</v>
      </c>
      <c r="K4" s="6">
        <f>ROUND(('ALL(responses)'!M5 - AVERAGE('ALL(responses)'!M$3:M$322)) / _xlfn.STDEV.S('ALL(responses)'!M$3:M$322),3)
</f>
        <v>0.4</v>
      </c>
      <c r="L4" s="6">
        <f>ROUND(('ALL(responses)'!P5 - AVERAGE('ALL(responses)'!P$3:P$322)) / _xlfn.STDEV.S('ALL(responses)'!P$3:P$322),3)
</f>
        <v>0.966</v>
      </c>
      <c r="M4" s="6">
        <f>ROUND(('ALL(responses)'!Q5 - AVERAGE('ALL(responses)'!Q$3:Q$322)) / _xlfn.STDEV.S('ALL(responses)'!Q$3:Q$322),3)
</f>
        <v>3.001</v>
      </c>
      <c r="N4" s="6">
        <f>ROUND(('ALL(responses)'!R5 - AVERAGE('ALL(responses)'!R$3:R$322)) / _xlfn.STDEV.S('ALL(responses)'!R$3:R$322),3)
</f>
        <v>-0.025</v>
      </c>
      <c r="O4" s="6">
        <f>ROUND(('ALL(responses)'!S5 - AVERAGE('ALL(responses)'!S$3:S$322)) / _xlfn.STDEV.S('ALL(responses)'!S$3:S$322),3)
</f>
        <v>0.216</v>
      </c>
      <c r="P4" s="6">
        <f>ROUND(('ALL(responses)'!T5 - AVERAGE('ALL(responses)'!T$3:T$322)) / _xlfn.STDEV.S('ALL(responses)'!T$3:T$322),3)
</f>
        <v>-1.319</v>
      </c>
      <c r="Q4" s="40">
        <f t="shared" si="1"/>
        <v>-0.185</v>
      </c>
    </row>
    <row r="5">
      <c r="A5" s="5" t="s">
        <v>20</v>
      </c>
      <c r="B5" s="6" t="s">
        <v>21</v>
      </c>
      <c r="C5" s="12" t="s">
        <v>28</v>
      </c>
      <c r="D5" s="13" t="s">
        <v>29</v>
      </c>
      <c r="E5" s="9">
        <v>44635.0</v>
      </c>
      <c r="F5" s="6">
        <f>ROUND(('ALL(responses)'!F6 - AVERAGE('ALL(responses)'!F$3:F$322)) / _xlfn.STDEV.S('ALL(responses)'!F$3:F$322),3)
</f>
        <v>-0.571</v>
      </c>
      <c r="G5" s="6">
        <f>ROUND(('ALL(responses)'!G6 - AVERAGE('ALL(responses)'!G$3:G$322)) / _xlfn.STDEV.S('ALL(responses)'!G$3:G$322),3)
</f>
        <v>-0.627</v>
      </c>
      <c r="H5" s="6">
        <f>ROUND(('ALL(responses)'!H6 - AVERAGE('ALL(responses)'!H$3:H$322)) / _xlfn.STDEV.S('ALL(responses)'!H$3:H$322),3)
</f>
        <v>-0.418</v>
      </c>
      <c r="I5" s="6">
        <f>ROUND(('ALL(responses)'!I6 - AVERAGE('ALL(responses)'!I$3:I$322)) / _xlfn.STDEV.S('ALL(responses)'!I$3:I$322),3)
</f>
        <v>0.146</v>
      </c>
      <c r="J5" s="6">
        <f>ROUND(('ALL(responses)'!J6 - AVERAGE('ALL(responses)'!J$3:J$322)) / _xlfn.STDEV.S('ALL(responses)'!J$3:J$322),3)
</f>
        <v>-0.562</v>
      </c>
      <c r="K5" s="6">
        <f>ROUND(('ALL(responses)'!M6 - AVERAGE('ALL(responses)'!M$3:M$322)) / _xlfn.STDEV.S('ALL(responses)'!M$3:M$322),3)
</f>
        <v>-0.079</v>
      </c>
      <c r="L5" s="6">
        <f>ROUND(('ALL(responses)'!P6 - AVERAGE('ALL(responses)'!P$3:P$322)) / _xlfn.STDEV.S('ALL(responses)'!P$3:P$322),3)
</f>
        <v>0.804</v>
      </c>
      <c r="M5" s="6">
        <f>ROUND(('ALL(responses)'!Q6 - AVERAGE('ALL(responses)'!Q$3:Q$322)) / _xlfn.STDEV.S('ALL(responses)'!Q$3:Q$322),3)
</f>
        <v>0.818</v>
      </c>
      <c r="N5" s="6">
        <f>ROUND(('ALL(responses)'!R6 - AVERAGE('ALL(responses)'!R$3:R$322)) / _xlfn.STDEV.S('ALL(responses)'!R$3:R$322),3)
</f>
        <v>-0.859</v>
      </c>
      <c r="O5" s="6">
        <f>ROUND(('ALL(responses)'!S6 - AVERAGE('ALL(responses)'!S$3:S$322)) / _xlfn.STDEV.S('ALL(responses)'!S$3:S$322),3)
</f>
        <v>-0.153</v>
      </c>
      <c r="P5" s="6">
        <f>ROUND(('ALL(responses)'!T6 - AVERAGE('ALL(responses)'!T$3:T$322)) / _xlfn.STDEV.S('ALL(responses)'!T$3:T$322),3)
</f>
        <v>-1.268</v>
      </c>
      <c r="Q5" s="40">
        <f t="shared" si="1"/>
        <v>-0.185</v>
      </c>
      <c r="R5" s="15"/>
      <c r="S5" s="15"/>
      <c r="T5" s="15"/>
      <c r="U5" s="15"/>
      <c r="V5" s="15"/>
    </row>
    <row r="6">
      <c r="A6" s="5" t="s">
        <v>20</v>
      </c>
      <c r="B6" s="6" t="s">
        <v>21</v>
      </c>
      <c r="C6" s="7" t="s">
        <v>30</v>
      </c>
      <c r="D6" s="8" t="s">
        <v>31</v>
      </c>
      <c r="E6" s="9">
        <v>44635.0</v>
      </c>
      <c r="F6" s="6">
        <f>ROUND(('ALL(responses)'!F7 - AVERAGE('ALL(responses)'!F$3:F$322)) / _xlfn.STDEV.S('ALL(responses)'!F$3:F$322),3)
</f>
        <v>-0.571</v>
      </c>
      <c r="G6" s="6">
        <f>ROUND(('ALL(responses)'!G7 - AVERAGE('ALL(responses)'!G$3:G$322)) / _xlfn.STDEV.S('ALL(responses)'!G$3:G$322),3)
</f>
        <v>-0.627</v>
      </c>
      <c r="H6" s="6">
        <f>ROUND(('ALL(responses)'!H7 - AVERAGE('ALL(responses)'!H$3:H$322)) / _xlfn.STDEV.S('ALL(responses)'!H$3:H$322),3)
</f>
        <v>-0.418</v>
      </c>
      <c r="I6" s="6">
        <f>ROUND(('ALL(responses)'!I7 - AVERAGE('ALL(responses)'!I$3:I$322)) / _xlfn.STDEV.S('ALL(responses)'!I$3:I$322),3)
</f>
        <v>0.146</v>
      </c>
      <c r="J6" s="6">
        <f>ROUND(('ALL(responses)'!J7 - AVERAGE('ALL(responses)'!J$3:J$322)) / _xlfn.STDEV.S('ALL(responses)'!J$3:J$322),3)
</f>
        <v>-0.562</v>
      </c>
      <c r="K6" s="6">
        <f>ROUND(('ALL(responses)'!M7 - AVERAGE('ALL(responses)'!M$3:M$322)) / _xlfn.STDEV.S('ALL(responses)'!M$3:M$322),3)
</f>
        <v>-0.724</v>
      </c>
      <c r="L6" s="6">
        <f>ROUND(('ALL(responses)'!P7 - AVERAGE('ALL(responses)'!P$3:P$322)) / _xlfn.STDEV.S('ALL(responses)'!P$3:P$322),3)
</f>
        <v>-0.397</v>
      </c>
      <c r="M6" s="6">
        <f>ROUND(('ALL(responses)'!Q7 - AVERAGE('ALL(responses)'!Q$3:Q$322)) / _xlfn.STDEV.S('ALL(responses)'!Q$3:Q$322),3)
</f>
        <v>1.243</v>
      </c>
      <c r="N6" s="6">
        <f>ROUND(('ALL(responses)'!R7 - AVERAGE('ALL(responses)'!R$3:R$322)) / _xlfn.STDEV.S('ALL(responses)'!R$3:R$322),3)
</f>
        <v>-1.028</v>
      </c>
      <c r="O6" s="6">
        <f>ROUND(('ALL(responses)'!S7 - AVERAGE('ALL(responses)'!S$3:S$322)) / _xlfn.STDEV.S('ALL(responses)'!S$3:S$322),3)
</f>
        <v>-0.228</v>
      </c>
      <c r="P6" s="6">
        <f>ROUND(('ALL(responses)'!T7 - AVERAGE('ALL(responses)'!T$3:T$322)) / _xlfn.STDEV.S('ALL(responses)'!T$3:T$322),3)
</f>
        <v>-0.212</v>
      </c>
      <c r="Q6" s="40">
        <f t="shared" si="1"/>
        <v>-0.185</v>
      </c>
    </row>
    <row r="7">
      <c r="A7" s="5" t="s">
        <v>20</v>
      </c>
      <c r="B7" s="6" t="s">
        <v>21</v>
      </c>
      <c r="C7" s="7" t="s">
        <v>32</v>
      </c>
      <c r="D7" s="8" t="s">
        <v>33</v>
      </c>
      <c r="E7" s="9">
        <v>44635.0</v>
      </c>
      <c r="F7" s="6">
        <f>ROUND(('ALL(responses)'!F8 - AVERAGE('ALL(responses)'!F$3:F$322)) / _xlfn.STDEV.S('ALL(responses)'!F$3:F$322),3)
</f>
        <v>-0.571</v>
      </c>
      <c r="G7" s="6">
        <f>ROUND(('ALL(responses)'!G8 - AVERAGE('ALL(responses)'!G$3:G$322)) / _xlfn.STDEV.S('ALL(responses)'!G$3:G$322),3)
</f>
        <v>-0.627</v>
      </c>
      <c r="H7" s="6">
        <f>ROUND(('ALL(responses)'!H8 - AVERAGE('ALL(responses)'!H$3:H$322)) / _xlfn.STDEV.S('ALL(responses)'!H$3:H$322),3)
</f>
        <v>-0.418</v>
      </c>
      <c r="I7" s="6">
        <f>ROUND(('ALL(responses)'!I8 - AVERAGE('ALL(responses)'!I$3:I$322)) / _xlfn.STDEV.S('ALL(responses)'!I$3:I$322),3)
</f>
        <v>0.146</v>
      </c>
      <c r="J7" s="6">
        <f>ROUND(('ALL(responses)'!J8 - AVERAGE('ALL(responses)'!J$3:J$322)) / _xlfn.STDEV.S('ALL(responses)'!J$3:J$322),3)
</f>
        <v>-0.562</v>
      </c>
      <c r="K7" s="6">
        <f>ROUND(('ALL(responses)'!M8 - AVERAGE('ALL(responses)'!M$3:M$322)) / _xlfn.STDEV.S('ALL(responses)'!M$3:M$322),3)
</f>
        <v>-0.365</v>
      </c>
      <c r="L7" s="6">
        <f>ROUND(('ALL(responses)'!P8 - AVERAGE('ALL(responses)'!P$3:P$322)) / _xlfn.STDEV.S('ALL(responses)'!P$3:P$322),3)
</f>
        <v>-0.185</v>
      </c>
      <c r="M7" s="6">
        <f>ROUND(('ALL(responses)'!Q8 - AVERAGE('ALL(responses)'!Q$3:Q$322)) / _xlfn.STDEV.S('ALL(responses)'!Q$3:Q$322),3)
</f>
        <v>1.186</v>
      </c>
      <c r="N7" s="6">
        <f>ROUND(('ALL(responses)'!R8 - AVERAGE('ALL(responses)'!R$3:R$322)) / _xlfn.STDEV.S('ALL(responses)'!R$3:R$322),3)
</f>
        <v>-1.028</v>
      </c>
      <c r="O7" s="6">
        <f>ROUND(('ALL(responses)'!S8 - AVERAGE('ALL(responses)'!S$3:S$322)) / _xlfn.STDEV.S('ALL(responses)'!S$3:S$322),3)
</f>
        <v>-0.228</v>
      </c>
      <c r="P7" s="6">
        <f>ROUND(('ALL(responses)'!T8 - AVERAGE('ALL(responses)'!T$3:T$322)) / _xlfn.STDEV.S('ALL(responses)'!T$3:T$322),3)
</f>
        <v>-1.757</v>
      </c>
      <c r="Q7" s="40">
        <f t="shared" si="1"/>
        <v>-0.185</v>
      </c>
    </row>
    <row r="8">
      <c r="A8" s="5" t="s">
        <v>20</v>
      </c>
      <c r="B8" s="6" t="s">
        <v>21</v>
      </c>
      <c r="C8" s="7" t="s">
        <v>34</v>
      </c>
      <c r="D8" s="8" t="s">
        <v>35</v>
      </c>
      <c r="E8" s="9">
        <v>44635.0</v>
      </c>
      <c r="F8" s="6">
        <f>ROUND(('ALL(responses)'!F9 - AVERAGE('ALL(responses)'!F$3:F$322)) / _xlfn.STDEV.S('ALL(responses)'!F$3:F$322),3)
</f>
        <v>-0.571</v>
      </c>
      <c r="G8" s="6">
        <f>ROUND(('ALL(responses)'!G9 - AVERAGE('ALL(responses)'!G$3:G$322)) / _xlfn.STDEV.S('ALL(responses)'!G$3:G$322),3)
</f>
        <v>-0.627</v>
      </c>
      <c r="H8" s="6">
        <f>ROUND(('ALL(responses)'!H9 - AVERAGE('ALL(responses)'!H$3:H$322)) / _xlfn.STDEV.S('ALL(responses)'!H$3:H$322),3)
</f>
        <v>-0.418</v>
      </c>
      <c r="I8" s="6">
        <f>ROUND(('ALL(responses)'!I9 - AVERAGE('ALL(responses)'!I$3:I$322)) / _xlfn.STDEV.S('ALL(responses)'!I$3:I$322),3)
</f>
        <v>0.146</v>
      </c>
      <c r="J8" s="6">
        <f>ROUND(('ALL(responses)'!J9 - AVERAGE('ALL(responses)'!J$3:J$322)) / _xlfn.STDEV.S('ALL(responses)'!J$3:J$322),3)
</f>
        <v>-0.562</v>
      </c>
      <c r="K8" s="6">
        <f>ROUND(('ALL(responses)'!M9 - AVERAGE('ALL(responses)'!M$3:M$322)) / _xlfn.STDEV.S('ALL(responses)'!M$3:M$322),3)
</f>
        <v>-0.242</v>
      </c>
      <c r="L8" s="6">
        <f>ROUND(('ALL(responses)'!P9 - AVERAGE('ALL(responses)'!P$3:P$322)) / _xlfn.STDEV.S('ALL(responses)'!P$3:P$322),3)
</f>
        <v>0.708</v>
      </c>
      <c r="M8" s="6">
        <f>ROUND(('ALL(responses)'!Q9 - AVERAGE('ALL(responses)'!Q$3:Q$322)) / _xlfn.STDEV.S('ALL(responses)'!Q$3:Q$322),3)
</f>
        <v>0.144</v>
      </c>
      <c r="N8" s="6">
        <f>ROUND(('ALL(responses)'!R9 - AVERAGE('ALL(responses)'!R$3:R$322)) / _xlfn.STDEV.S('ALL(responses)'!R$3:R$322),3)
</f>
        <v>-0.349</v>
      </c>
      <c r="O8" s="6">
        <f>ROUND(('ALL(responses)'!S9 - AVERAGE('ALL(responses)'!S$3:S$322)) / _xlfn.STDEV.S('ALL(responses)'!S$3:S$322),3)
</f>
        <v>0.073</v>
      </c>
      <c r="P8" s="6">
        <f>ROUND(('ALL(responses)'!T9 - AVERAGE('ALL(responses)'!T$3:T$322)) / _xlfn.STDEV.S('ALL(responses)'!T$3:T$322),3)
</f>
        <v>-1.319</v>
      </c>
      <c r="Q8" s="40">
        <f t="shared" si="1"/>
        <v>-0.185</v>
      </c>
    </row>
    <row r="9">
      <c r="A9" s="5" t="s">
        <v>20</v>
      </c>
      <c r="B9" s="6" t="s">
        <v>21</v>
      </c>
      <c r="C9" s="7" t="s">
        <v>36</v>
      </c>
      <c r="D9" s="8" t="s">
        <v>37</v>
      </c>
      <c r="E9" s="9">
        <v>44635.0</v>
      </c>
      <c r="F9" s="6">
        <f>ROUND(('ALL(responses)'!F10 - AVERAGE('ALL(responses)'!F$3:F$322)) / _xlfn.STDEV.S('ALL(responses)'!F$3:F$322),3)
</f>
        <v>-0.571</v>
      </c>
      <c r="G9" s="6">
        <f>ROUND(('ALL(responses)'!G10 - AVERAGE('ALL(responses)'!G$3:G$322)) / _xlfn.STDEV.S('ALL(responses)'!G$3:G$322),3)
</f>
        <v>-0.627</v>
      </c>
      <c r="H9" s="6">
        <f>ROUND(('ALL(responses)'!H10 - AVERAGE('ALL(responses)'!H$3:H$322)) / _xlfn.STDEV.S('ALL(responses)'!H$3:H$322),3)
</f>
        <v>-0.418</v>
      </c>
      <c r="I9" s="6">
        <f>ROUND(('ALL(responses)'!I10 - AVERAGE('ALL(responses)'!I$3:I$322)) / _xlfn.STDEV.S('ALL(responses)'!I$3:I$322),3)
</f>
        <v>0.146</v>
      </c>
      <c r="J9" s="6">
        <f>ROUND(('ALL(responses)'!J10 - AVERAGE('ALL(responses)'!J$3:J$322)) / _xlfn.STDEV.S('ALL(responses)'!J$3:J$322),3)
</f>
        <v>-0.562</v>
      </c>
      <c r="K9" s="6">
        <f>ROUND(('ALL(responses)'!M10 - AVERAGE('ALL(responses)'!M$3:M$322)) / _xlfn.STDEV.S('ALL(responses)'!M$3:M$322),3)
</f>
        <v>-1.553</v>
      </c>
      <c r="L9" s="6">
        <f>ROUND(('ALL(responses)'!P10 - AVERAGE('ALL(responses)'!P$3:P$322)) / _xlfn.STDEV.S('ALL(responses)'!P$3:P$322),3)
</f>
        <v>-0.497</v>
      </c>
      <c r="M9" s="6">
        <f>ROUND(('ALL(responses)'!Q10 - AVERAGE('ALL(responses)'!Q$3:Q$322)) / _xlfn.STDEV.S('ALL(responses)'!Q$3:Q$322),3)
</f>
        <v>1.348</v>
      </c>
      <c r="N9" s="6">
        <f>ROUND(('ALL(responses)'!R10 - AVERAGE('ALL(responses)'!R$3:R$322)) / _xlfn.STDEV.S('ALL(responses)'!R$3:R$322),3)
</f>
        <v>-0.533</v>
      </c>
      <c r="O9" s="6">
        <f>ROUND(('ALL(responses)'!S10 - AVERAGE('ALL(responses)'!S$3:S$322)) / _xlfn.STDEV.S('ALL(responses)'!S$3:S$322),3)
</f>
        <v>-0.009</v>
      </c>
      <c r="P9" s="6">
        <f>ROUND(('ALL(responses)'!T10 - AVERAGE('ALL(responses)'!T$3:T$322)) / _xlfn.STDEV.S('ALL(responses)'!T$3:T$322),3)
</f>
        <v>-0.13</v>
      </c>
      <c r="Q9" s="40">
        <f t="shared" si="1"/>
        <v>-0.185</v>
      </c>
    </row>
    <row r="10">
      <c r="A10" s="5" t="s">
        <v>20</v>
      </c>
      <c r="B10" s="6" t="s">
        <v>21</v>
      </c>
      <c r="C10" s="7" t="s">
        <v>38</v>
      </c>
      <c r="D10" s="8" t="s">
        <v>39</v>
      </c>
      <c r="E10" s="9">
        <v>44635.0</v>
      </c>
      <c r="F10" s="6">
        <f>ROUND(('ALL(responses)'!F11 - AVERAGE('ALL(responses)'!F$3:F$322)) / _xlfn.STDEV.S('ALL(responses)'!F$3:F$322),3)
</f>
        <v>-0.571</v>
      </c>
      <c r="G10" s="6">
        <f>ROUND(('ALL(responses)'!G11 - AVERAGE('ALL(responses)'!G$3:G$322)) / _xlfn.STDEV.S('ALL(responses)'!G$3:G$322),3)
</f>
        <v>-0.627</v>
      </c>
      <c r="H10" s="6">
        <f>ROUND(('ALL(responses)'!H11 - AVERAGE('ALL(responses)'!H$3:H$322)) / _xlfn.STDEV.S('ALL(responses)'!H$3:H$322),3)
</f>
        <v>-0.418</v>
      </c>
      <c r="I10" s="6">
        <f>ROUND(('ALL(responses)'!I11 - AVERAGE('ALL(responses)'!I$3:I$322)) / _xlfn.STDEV.S('ALL(responses)'!I$3:I$322),3)
</f>
        <v>-0.673</v>
      </c>
      <c r="J10" s="6">
        <f>ROUND(('ALL(responses)'!J11 - AVERAGE('ALL(responses)'!J$3:J$322)) / _xlfn.STDEV.S('ALL(responses)'!J$3:J$322),3)
</f>
        <v>-0.562</v>
      </c>
      <c r="K10" s="6">
        <f>ROUND(('ALL(responses)'!M11 - AVERAGE('ALL(responses)'!M$3:M$322)) / _xlfn.STDEV.S('ALL(responses)'!M$3:M$322),3)
</f>
        <v>-0.854</v>
      </c>
      <c r="L10" s="6">
        <f>ROUND(('ALL(responses)'!P11 - AVERAGE('ALL(responses)'!P$3:P$322)) / _xlfn.STDEV.S('ALL(responses)'!P$3:P$322),3)
</f>
        <v>0.085</v>
      </c>
      <c r="M10" s="6">
        <f>ROUND(('ALL(responses)'!Q11 - AVERAGE('ALL(responses)'!Q$3:Q$322)) / _xlfn.STDEV.S('ALL(responses)'!Q$3:Q$322),3)
</f>
        <v>1.958</v>
      </c>
      <c r="N10" s="6">
        <f>ROUND(('ALL(responses)'!R11 - AVERAGE('ALL(responses)'!R$3:R$322)) / _xlfn.STDEV.S('ALL(responses)'!R$3:R$322),3)
</f>
        <v>-2.13</v>
      </c>
      <c r="O10" s="6">
        <f>ROUND(('ALL(responses)'!S11 - AVERAGE('ALL(responses)'!S$3:S$322)) / _xlfn.STDEV.S('ALL(responses)'!S$3:S$322),3)
</f>
        <v>-0.716</v>
      </c>
      <c r="P10" s="6">
        <f>ROUND(('ALL(responses)'!T11 - AVERAGE('ALL(responses)'!T$3:T$322)) / _xlfn.STDEV.S('ALL(responses)'!T$3:T$322),3)
</f>
        <v>-1.298</v>
      </c>
      <c r="Q10" s="40">
        <f t="shared" si="1"/>
        <v>-0.185</v>
      </c>
    </row>
    <row r="11">
      <c r="A11" s="5" t="s">
        <v>20</v>
      </c>
      <c r="B11" s="6" t="s">
        <v>21</v>
      </c>
      <c r="C11" s="7" t="s">
        <v>40</v>
      </c>
      <c r="D11" s="8" t="s">
        <v>41</v>
      </c>
      <c r="E11" s="9">
        <v>44635.0</v>
      </c>
      <c r="F11" s="6">
        <f>ROUND(('ALL(responses)'!F12 - AVERAGE('ALL(responses)'!F$3:F$322)) / _xlfn.STDEV.S('ALL(responses)'!F$3:F$322),3)
</f>
        <v>-0.571</v>
      </c>
      <c r="G11" s="6">
        <f>ROUND(('ALL(responses)'!G12 - AVERAGE('ALL(responses)'!G$3:G$322)) / _xlfn.STDEV.S('ALL(responses)'!G$3:G$322),3)
</f>
        <v>-0.627</v>
      </c>
      <c r="H11" s="6">
        <f>ROUND(('ALL(responses)'!H12 - AVERAGE('ALL(responses)'!H$3:H$322)) / _xlfn.STDEV.S('ALL(responses)'!H$3:H$322),3)
</f>
        <v>-0.418</v>
      </c>
      <c r="I11" s="6">
        <f>ROUND(('ALL(responses)'!I12 - AVERAGE('ALL(responses)'!I$3:I$322)) / _xlfn.STDEV.S('ALL(responses)'!I$3:I$322),3)
</f>
        <v>-0.673</v>
      </c>
      <c r="J11" s="6">
        <f>ROUND(('ALL(responses)'!J12 - AVERAGE('ALL(responses)'!J$3:J$322)) / _xlfn.STDEV.S('ALL(responses)'!J$3:J$322),3)
</f>
        <v>-0.562</v>
      </c>
      <c r="K11" s="6">
        <f>ROUND(('ALL(responses)'!M12 - AVERAGE('ALL(responses)'!M$3:M$322)) / _xlfn.STDEV.S('ALL(responses)'!M$3:M$322),3)
</f>
        <v>-0.087</v>
      </c>
      <c r="L11" s="6">
        <f>ROUND(('ALL(responses)'!P12 - AVERAGE('ALL(responses)'!P$3:P$322)) / _xlfn.STDEV.S('ALL(responses)'!P$3:P$322),3)
</f>
        <v>-0.419</v>
      </c>
      <c r="M11" s="6">
        <f>ROUND(('ALL(responses)'!Q12 - AVERAGE('ALL(responses)'!Q$3:Q$322)) / _xlfn.STDEV.S('ALL(responses)'!Q$3:Q$322),3)
</f>
        <v>-0.978</v>
      </c>
      <c r="N11" s="6">
        <f>ROUND(('ALL(responses)'!R12 - AVERAGE('ALL(responses)'!R$3:R$322)) / _xlfn.STDEV.S('ALL(responses)'!R$3:R$322),3)
</f>
        <v>0.627</v>
      </c>
      <c r="O11" s="6">
        <f>ROUND(('ALL(responses)'!S12 - AVERAGE('ALL(responses)'!S$3:S$322)) / _xlfn.STDEV.S('ALL(responses)'!S$3:S$322),3)
</f>
        <v>0.505</v>
      </c>
      <c r="P11" s="6">
        <f>ROUND(('ALL(responses)'!T12 - AVERAGE('ALL(responses)'!T$3:T$322)) / _xlfn.STDEV.S('ALL(responses)'!T$3:T$322),3)
</f>
        <v>-0.529</v>
      </c>
      <c r="Q11" s="40">
        <f t="shared" si="1"/>
        <v>-0.185</v>
      </c>
    </row>
    <row r="12">
      <c r="A12" s="5" t="s">
        <v>42</v>
      </c>
      <c r="B12" s="6" t="s">
        <v>21</v>
      </c>
      <c r="C12" s="7" t="s">
        <v>43</v>
      </c>
      <c r="D12" s="8" t="s">
        <v>44</v>
      </c>
      <c r="E12" s="9">
        <v>44635.0</v>
      </c>
      <c r="F12" s="6">
        <f>ROUND(('ALL(responses)'!F13 - AVERAGE('ALL(responses)'!F$3:F$322)) / _xlfn.STDEV.S('ALL(responses)'!F$3:F$322),3)
</f>
        <v>1.212</v>
      </c>
      <c r="G12" s="6">
        <f>ROUND(('ALL(responses)'!G13 - AVERAGE('ALL(responses)'!G$3:G$322)) / _xlfn.STDEV.S('ALL(responses)'!G$3:G$322),3)
</f>
        <v>-0.627</v>
      </c>
      <c r="H12" s="6">
        <f>ROUND(('ALL(responses)'!H13 - AVERAGE('ALL(responses)'!H$3:H$322)) / _xlfn.STDEV.S('ALL(responses)'!H$3:H$322),3)
</f>
        <v>-0.418</v>
      </c>
      <c r="I12" s="6">
        <f>ROUND(('ALL(responses)'!I13 - AVERAGE('ALL(responses)'!I$3:I$322)) / _xlfn.STDEV.S('ALL(responses)'!I$3:I$322),3)
</f>
        <v>0.146</v>
      </c>
      <c r="J12" s="6">
        <f>ROUND(('ALL(responses)'!J13 - AVERAGE('ALL(responses)'!J$3:J$322)) / _xlfn.STDEV.S('ALL(responses)'!J$3:J$322),3)
</f>
        <v>-0.562</v>
      </c>
      <c r="K12" s="6">
        <f>ROUND(('ALL(responses)'!M13 - AVERAGE('ALL(responses)'!M$3:M$322)) / _xlfn.STDEV.S('ALL(responses)'!M$3:M$322),3)
</f>
        <v>-0.697</v>
      </c>
      <c r="L12" s="6">
        <f>ROUND(('ALL(responses)'!P13 - AVERAGE('ALL(responses)'!P$3:P$322)) / _xlfn.STDEV.S('ALL(responses)'!P$3:P$322),3)
</f>
        <v>-0.497</v>
      </c>
      <c r="M12" s="6">
        <f>ROUND(('ALL(responses)'!Q13 - AVERAGE('ALL(responses)'!Q$3:Q$322)) / _xlfn.STDEV.S('ALL(responses)'!Q$3:Q$322),3)
</f>
        <v>0.473</v>
      </c>
      <c r="N12" s="6">
        <f>ROUND(('ALL(responses)'!R13 - AVERAGE('ALL(responses)'!R$3:R$322)) / _xlfn.STDEV.S('ALL(responses)'!R$3:R$322),3)
</f>
        <v>-1.094</v>
      </c>
      <c r="O12" s="6">
        <f>ROUND(('ALL(responses)'!S13 - AVERAGE('ALL(responses)'!S$3:S$322)) / _xlfn.STDEV.S('ALL(responses)'!S$3:S$322),3)
</f>
        <v>-0.257</v>
      </c>
      <c r="P12" s="6">
        <f>ROUND(('ALL(responses)'!T13 - AVERAGE('ALL(responses)'!T$3:T$322)) / _xlfn.STDEV.S('ALL(responses)'!T$3:T$322),3)
</f>
        <v>0.892</v>
      </c>
      <c r="Q12" s="40">
        <f t="shared" si="1"/>
        <v>-0.185</v>
      </c>
    </row>
    <row r="13">
      <c r="A13" s="5" t="s">
        <v>42</v>
      </c>
      <c r="B13" s="6" t="s">
        <v>21</v>
      </c>
      <c r="C13" s="7" t="s">
        <v>45</v>
      </c>
      <c r="D13" s="8" t="s">
        <v>46</v>
      </c>
      <c r="E13" s="9">
        <v>44635.0</v>
      </c>
      <c r="F13" s="6">
        <f>ROUND(('ALL(responses)'!F14 - AVERAGE('ALL(responses)'!F$3:F$322)) / _xlfn.STDEV.S('ALL(responses)'!F$3:F$322),3)
</f>
        <v>-0.571</v>
      </c>
      <c r="G13" s="6">
        <f>ROUND(('ALL(responses)'!G14 - AVERAGE('ALL(responses)'!G$3:G$322)) / _xlfn.STDEV.S('ALL(responses)'!G$3:G$322),3)
</f>
        <v>-0.627</v>
      </c>
      <c r="H13" s="6">
        <f>ROUND(('ALL(responses)'!H14 - AVERAGE('ALL(responses)'!H$3:H$322)) / _xlfn.STDEV.S('ALL(responses)'!H$3:H$322),3)
</f>
        <v>-0.418</v>
      </c>
      <c r="I13" s="6">
        <f>ROUND(('ALL(responses)'!I14 - AVERAGE('ALL(responses)'!I$3:I$322)) / _xlfn.STDEV.S('ALL(responses)'!I$3:I$322),3)
</f>
        <v>-0.673</v>
      </c>
      <c r="J13" s="6">
        <f>ROUND(('ALL(responses)'!J14 - AVERAGE('ALL(responses)'!J$3:J$322)) / _xlfn.STDEV.S('ALL(responses)'!J$3:J$322),3)
</f>
        <v>-0.562</v>
      </c>
      <c r="K13" s="6">
        <f>ROUND(('ALL(responses)'!M14 - AVERAGE('ALL(responses)'!M$3:M$322)) / _xlfn.STDEV.S('ALL(responses)'!M$3:M$322),3)
</f>
        <v>-0.311</v>
      </c>
      <c r="L13" s="6">
        <f>ROUND(('ALL(responses)'!P14 - AVERAGE('ALL(responses)'!P$3:P$322)) / _xlfn.STDEV.S('ALL(responses)'!P$3:P$322),3)
</f>
        <v>-0.216</v>
      </c>
      <c r="M13" s="6">
        <f>ROUND(('ALL(responses)'!Q14 - AVERAGE('ALL(responses)'!Q$3:Q$322)) / _xlfn.STDEV.S('ALL(responses)'!Q$3:Q$322),3)
</f>
        <v>0.473</v>
      </c>
      <c r="N13" s="6">
        <f>ROUND(('ALL(responses)'!R14 - AVERAGE('ALL(responses)'!R$3:R$322)) / _xlfn.STDEV.S('ALL(responses)'!R$3:R$322),3)
</f>
        <v>-0.859</v>
      </c>
      <c r="O13" s="6">
        <f>ROUND(('ALL(responses)'!S14 - AVERAGE('ALL(responses)'!S$3:S$322)) / _xlfn.STDEV.S('ALL(responses)'!S$3:S$322),3)
</f>
        <v>-0.153</v>
      </c>
      <c r="P13" s="6">
        <f>ROUND(('ALL(responses)'!T14 - AVERAGE('ALL(responses)'!T$3:T$322)) / _xlfn.STDEV.S('ALL(responses)'!T$3:T$322),3)
</f>
        <v>-0.466</v>
      </c>
      <c r="Q13" s="40">
        <f t="shared" si="1"/>
        <v>-0.185</v>
      </c>
    </row>
    <row r="14">
      <c r="A14" s="5" t="s">
        <v>42</v>
      </c>
      <c r="B14" s="6" t="s">
        <v>21</v>
      </c>
      <c r="C14" s="7" t="s">
        <v>47</v>
      </c>
      <c r="D14" s="8" t="s">
        <v>48</v>
      </c>
      <c r="E14" s="9">
        <v>44635.0</v>
      </c>
      <c r="F14" s="6">
        <f>ROUND(('ALL(responses)'!F15 - AVERAGE('ALL(responses)'!F$3:F$322)) / _xlfn.STDEV.S('ALL(responses)'!F$3:F$322),3)
</f>
        <v>-0.571</v>
      </c>
      <c r="G14" s="6">
        <f>ROUND(('ALL(responses)'!G15 - AVERAGE('ALL(responses)'!G$3:G$322)) / _xlfn.STDEV.S('ALL(responses)'!G$3:G$322),3)
</f>
        <v>-0.627</v>
      </c>
      <c r="H14" s="6">
        <f>ROUND(('ALL(responses)'!H15 - AVERAGE('ALL(responses)'!H$3:H$322)) / _xlfn.STDEV.S('ALL(responses)'!H$3:H$322),3)
</f>
        <v>-0.418</v>
      </c>
      <c r="I14" s="6">
        <f>ROUND(('ALL(responses)'!I15 - AVERAGE('ALL(responses)'!I$3:I$322)) / _xlfn.STDEV.S('ALL(responses)'!I$3:I$322),3)
</f>
        <v>-0.673</v>
      </c>
      <c r="J14" s="6">
        <f>ROUND(('ALL(responses)'!J15 - AVERAGE('ALL(responses)'!J$3:J$322)) / _xlfn.STDEV.S('ALL(responses)'!J$3:J$322),3)
</f>
        <v>-0.562</v>
      </c>
      <c r="K14" s="6">
        <f>ROUND(('ALL(responses)'!M15 - AVERAGE('ALL(responses)'!M$3:M$322)) / _xlfn.STDEV.S('ALL(responses)'!M$3:M$322),3)
</f>
        <v>1.071</v>
      </c>
      <c r="L14" s="6">
        <f>ROUND(('ALL(responses)'!P15 - AVERAGE('ALL(responses)'!P$3:P$322)) / _xlfn.STDEV.S('ALL(responses)'!P$3:P$322),3)
</f>
        <v>0.78</v>
      </c>
      <c r="M14" s="6">
        <f>ROUND(('ALL(responses)'!Q15 - AVERAGE('ALL(responses)'!Q$3:Q$322)) / _xlfn.STDEV.S('ALL(responses)'!Q$3:Q$322),3)
</f>
        <v>0.218</v>
      </c>
      <c r="N14" s="6">
        <f>ROUND(('ALL(responses)'!R15 - AVERAGE('ALL(responses)'!R$3:R$322)) / _xlfn.STDEV.S('ALL(responses)'!R$3:R$322),3)
</f>
        <v>0.557</v>
      </c>
      <c r="O14" s="6">
        <f>ROUND(('ALL(responses)'!S15 - AVERAGE('ALL(responses)'!S$3:S$322)) / _xlfn.STDEV.S('ALL(responses)'!S$3:S$322),3)
</f>
        <v>0.474</v>
      </c>
      <c r="P14" s="6">
        <f>ROUND(('ALL(responses)'!T15 - AVERAGE('ALL(responses)'!T$3:T$322)) / _xlfn.STDEV.S('ALL(responses)'!T$3:T$322),3)
</f>
        <v>-1.169</v>
      </c>
      <c r="Q14" s="40">
        <f t="shared" si="1"/>
        <v>-0.185</v>
      </c>
    </row>
    <row r="15">
      <c r="A15" s="5" t="s">
        <v>42</v>
      </c>
      <c r="B15" s="6" t="s">
        <v>21</v>
      </c>
      <c r="C15" s="7" t="s">
        <v>49</v>
      </c>
      <c r="D15" s="8" t="s">
        <v>50</v>
      </c>
      <c r="E15" s="9">
        <v>44635.0</v>
      </c>
      <c r="F15" s="6">
        <f>ROUND(('ALL(responses)'!F16 - AVERAGE('ALL(responses)'!F$3:F$322)) / _xlfn.STDEV.S('ALL(responses)'!F$3:F$322),3)
</f>
        <v>-0.571</v>
      </c>
      <c r="G15" s="6">
        <f>ROUND(('ALL(responses)'!G16 - AVERAGE('ALL(responses)'!G$3:G$322)) / _xlfn.STDEV.S('ALL(responses)'!G$3:G$322),3)
</f>
        <v>-0.627</v>
      </c>
      <c r="H15" s="6">
        <f>ROUND(('ALL(responses)'!H16 - AVERAGE('ALL(responses)'!H$3:H$322)) / _xlfn.STDEV.S('ALL(responses)'!H$3:H$322),3)
</f>
        <v>-0.418</v>
      </c>
      <c r="I15" s="6">
        <f>ROUND(('ALL(responses)'!I16 - AVERAGE('ALL(responses)'!I$3:I$322)) / _xlfn.STDEV.S('ALL(responses)'!I$3:I$322),3)
</f>
        <v>0.146</v>
      </c>
      <c r="J15" s="6">
        <f>ROUND(('ALL(responses)'!J16 - AVERAGE('ALL(responses)'!J$3:J$322)) / _xlfn.STDEV.S('ALL(responses)'!J$3:J$322),3)
</f>
        <v>-0.562</v>
      </c>
      <c r="K15" s="6">
        <f>ROUND(('ALL(responses)'!M16 - AVERAGE('ALL(responses)'!M$3:M$322)) / _xlfn.STDEV.S('ALL(responses)'!M$3:M$322),3)
</f>
        <v>1.219</v>
      </c>
      <c r="L15" s="6">
        <f>ROUND(('ALL(responses)'!P16 - AVERAGE('ALL(responses)'!P$3:P$322)) / _xlfn.STDEV.S('ALL(responses)'!P$3:P$322),3)
</f>
        <v>-1.118</v>
      </c>
      <c r="M15" s="6">
        <f>ROUND(('ALL(responses)'!Q16 - AVERAGE('ALL(responses)'!Q$3:Q$322)) / _xlfn.STDEV.S('ALL(responses)'!Q$3:Q$322),3)
</f>
        <v>-1.022</v>
      </c>
      <c r="N15" s="6">
        <f>ROUND(('ALL(responses)'!R16 - AVERAGE('ALL(responses)'!R$3:R$322)) / _xlfn.STDEV.S('ALL(responses)'!R$3:R$322),3)
</f>
        <v>0.606</v>
      </c>
      <c r="O15" s="6">
        <f>ROUND(('ALL(responses)'!S16 - AVERAGE('ALL(responses)'!S$3:S$322)) / _xlfn.STDEV.S('ALL(responses)'!S$3:S$322),3)
</f>
        <v>0.496</v>
      </c>
      <c r="P15" s="6">
        <f>ROUND(('ALL(responses)'!T16 - AVERAGE('ALL(responses)'!T$3:T$322)) / _xlfn.STDEV.S('ALL(responses)'!T$3:T$322),3)
</f>
        <v>-1.193</v>
      </c>
      <c r="Q15" s="40">
        <f t="shared" si="1"/>
        <v>-0.185</v>
      </c>
    </row>
    <row r="16">
      <c r="A16" s="5" t="s">
        <v>42</v>
      </c>
      <c r="B16" s="6" t="s">
        <v>21</v>
      </c>
      <c r="C16" s="7" t="s">
        <v>51</v>
      </c>
      <c r="D16" s="8" t="s">
        <v>52</v>
      </c>
      <c r="E16" s="9">
        <v>44635.0</v>
      </c>
      <c r="F16" s="6">
        <f>ROUND(('ALL(responses)'!F17 - AVERAGE('ALL(responses)'!F$3:F$322)) / _xlfn.STDEV.S('ALL(responses)'!F$3:F$322),3)
</f>
        <v>-0.571</v>
      </c>
      <c r="G16" s="6">
        <f>ROUND(('ALL(responses)'!G17 - AVERAGE('ALL(responses)'!G$3:G$322)) / _xlfn.STDEV.S('ALL(responses)'!G$3:G$322),3)
</f>
        <v>-0.627</v>
      </c>
      <c r="H16" s="6">
        <f>ROUND(('ALL(responses)'!H17 - AVERAGE('ALL(responses)'!H$3:H$322)) / _xlfn.STDEV.S('ALL(responses)'!H$3:H$322),3)
</f>
        <v>-0.418</v>
      </c>
      <c r="I16" s="6">
        <f>ROUND(('ALL(responses)'!I17 - AVERAGE('ALL(responses)'!I$3:I$322)) / _xlfn.STDEV.S('ALL(responses)'!I$3:I$322),3)
</f>
        <v>0.146</v>
      </c>
      <c r="J16" s="6">
        <f>ROUND(('ALL(responses)'!J17 - AVERAGE('ALL(responses)'!J$3:J$322)) / _xlfn.STDEV.S('ALL(responses)'!J$3:J$322),3)
</f>
        <v>-0.562</v>
      </c>
      <c r="K16" s="6">
        <f>ROUND(('ALL(responses)'!M17 - AVERAGE('ALL(responses)'!M$3:M$322)) / _xlfn.STDEV.S('ALL(responses)'!M$3:M$322),3)
</f>
        <v>-0.318</v>
      </c>
      <c r="L16" s="6">
        <f>ROUND(('ALL(responses)'!P17 - AVERAGE('ALL(responses)'!P$3:P$322)) / _xlfn.STDEV.S('ALL(responses)'!P$3:P$322),3)
</f>
        <v>-1.457</v>
      </c>
      <c r="M16" s="6">
        <f>ROUND(('ALL(responses)'!Q17 - AVERAGE('ALL(responses)'!Q$3:Q$322)) / _xlfn.STDEV.S('ALL(responses)'!Q$3:Q$322),3)
</f>
        <v>0.176</v>
      </c>
      <c r="N16" s="6">
        <f>ROUND(('ALL(responses)'!R17 - AVERAGE('ALL(responses)'!R$3:R$322)) / _xlfn.STDEV.S('ALL(responses)'!R$3:R$322),3)
</f>
        <v>0.566</v>
      </c>
      <c r="O16" s="6">
        <f>ROUND(('ALL(responses)'!S17 - AVERAGE('ALL(responses)'!S$3:S$322)) / _xlfn.STDEV.S('ALL(responses)'!S$3:S$322),3)
</f>
        <v>0.478</v>
      </c>
      <c r="P16" s="6">
        <f>ROUND(('ALL(responses)'!T17 - AVERAGE('ALL(responses)'!T$3:T$322)) / _xlfn.STDEV.S('ALL(responses)'!T$3:T$322),3)
</f>
        <v>0.18</v>
      </c>
      <c r="Q16" s="40">
        <f t="shared" si="1"/>
        <v>-0.185</v>
      </c>
    </row>
    <row r="17">
      <c r="A17" s="5" t="s">
        <v>42</v>
      </c>
      <c r="B17" s="6" t="s">
        <v>21</v>
      </c>
      <c r="C17" s="7" t="s">
        <v>53</v>
      </c>
      <c r="D17" s="8" t="s">
        <v>54</v>
      </c>
      <c r="E17" s="9">
        <v>44635.0</v>
      </c>
      <c r="F17" s="6">
        <f>ROUND(('ALL(responses)'!F18 - AVERAGE('ALL(responses)'!F$3:F$322)) / _xlfn.STDEV.S('ALL(responses)'!F$3:F$322),3)
</f>
        <v>-0.571</v>
      </c>
      <c r="G17" s="6">
        <f>ROUND(('ALL(responses)'!G18 - AVERAGE('ALL(responses)'!G$3:G$322)) / _xlfn.STDEV.S('ALL(responses)'!G$3:G$322),3)
</f>
        <v>-0.627</v>
      </c>
      <c r="H17" s="6">
        <f>ROUND(('ALL(responses)'!H18 - AVERAGE('ALL(responses)'!H$3:H$322)) / _xlfn.STDEV.S('ALL(responses)'!H$3:H$322),3)
</f>
        <v>-0.418</v>
      </c>
      <c r="I17" s="6">
        <f>ROUND(('ALL(responses)'!I18 - AVERAGE('ALL(responses)'!I$3:I$322)) / _xlfn.STDEV.S('ALL(responses)'!I$3:I$322),3)
</f>
        <v>-0.673</v>
      </c>
      <c r="J17" s="6">
        <f>ROUND(('ALL(responses)'!J18 - AVERAGE('ALL(responses)'!J$3:J$322)) / _xlfn.STDEV.S('ALL(responses)'!J$3:J$322),3)
</f>
        <v>-0.562</v>
      </c>
      <c r="K17" s="6">
        <f>ROUND(('ALL(responses)'!M18 - AVERAGE('ALL(responses)'!M$3:M$322)) / _xlfn.STDEV.S('ALL(responses)'!M$3:M$322),3)
</f>
        <v>-0.24</v>
      </c>
      <c r="L17" s="6">
        <f>ROUND(('ALL(responses)'!P18 - AVERAGE('ALL(responses)'!P$3:P$322)) / _xlfn.STDEV.S('ALL(responses)'!P$3:P$322),3)
</f>
        <v>-0.092</v>
      </c>
      <c r="M17" s="6">
        <f>ROUND(('ALL(responses)'!Q18 - AVERAGE('ALL(responses)'!Q$3:Q$322)) / _xlfn.STDEV.S('ALL(responses)'!Q$3:Q$322),3)
</f>
        <v>-1.172</v>
      </c>
      <c r="N17" s="6">
        <f>ROUND(('ALL(responses)'!R18 - AVERAGE('ALL(responses)'!R$3:R$322)) / _xlfn.STDEV.S('ALL(responses)'!R$3:R$322),3)
</f>
        <v>0.187</v>
      </c>
      <c r="O17" s="6">
        <f>ROUND(('ALL(responses)'!S18 - AVERAGE('ALL(responses)'!S$3:S$322)) / _xlfn.STDEV.S('ALL(responses)'!S$3:S$322),3)
</f>
        <v>0.31</v>
      </c>
      <c r="P17" s="6">
        <f>ROUND(('ALL(responses)'!T18 - AVERAGE('ALL(responses)'!T$3:T$322)) / _xlfn.STDEV.S('ALL(responses)'!T$3:T$322),3)
</f>
        <v>0.76</v>
      </c>
      <c r="Q17" s="40">
        <f t="shared" si="1"/>
        <v>-0.185</v>
      </c>
    </row>
    <row r="18">
      <c r="A18" s="5" t="s">
        <v>42</v>
      </c>
      <c r="B18" s="6" t="s">
        <v>21</v>
      </c>
      <c r="C18" s="7" t="s">
        <v>55</v>
      </c>
      <c r="D18" s="8" t="s">
        <v>56</v>
      </c>
      <c r="E18" s="9">
        <v>44635.0</v>
      </c>
      <c r="F18" s="6">
        <f>ROUND(('ALL(responses)'!F19 - AVERAGE('ALL(responses)'!F$3:F$322)) / _xlfn.STDEV.S('ALL(responses)'!F$3:F$322),3)
</f>
        <v>-0.571</v>
      </c>
      <c r="G18" s="6">
        <f>ROUND(('ALL(responses)'!G19 - AVERAGE('ALL(responses)'!G$3:G$322)) / _xlfn.STDEV.S('ALL(responses)'!G$3:G$322),3)
</f>
        <v>-0.627</v>
      </c>
      <c r="H18" s="6">
        <f>ROUND(('ALL(responses)'!H19 - AVERAGE('ALL(responses)'!H$3:H$322)) / _xlfn.STDEV.S('ALL(responses)'!H$3:H$322),3)
</f>
        <v>-0.418</v>
      </c>
      <c r="I18" s="6">
        <f>ROUND(('ALL(responses)'!I19 - AVERAGE('ALL(responses)'!I$3:I$322)) / _xlfn.STDEV.S('ALL(responses)'!I$3:I$322),3)
</f>
        <v>0.146</v>
      </c>
      <c r="J18" s="6">
        <f>ROUND(('ALL(responses)'!J19 - AVERAGE('ALL(responses)'!J$3:J$322)) / _xlfn.STDEV.S('ALL(responses)'!J$3:J$322),3)
</f>
        <v>-0.562</v>
      </c>
      <c r="K18" s="6">
        <f>ROUND(('ALL(responses)'!M19 - AVERAGE('ALL(responses)'!M$3:M$322)) / _xlfn.STDEV.S('ALL(responses)'!M$3:M$322),3)
</f>
        <v>-0.786</v>
      </c>
      <c r="L18" s="6">
        <f>ROUND(('ALL(responses)'!P19 - AVERAGE('ALL(responses)'!P$3:P$322)) / _xlfn.STDEV.S('ALL(responses)'!P$3:P$322),3)
</f>
        <v>-0.13</v>
      </c>
      <c r="M18" s="6">
        <f>ROUND(('ALL(responses)'!Q19 - AVERAGE('ALL(responses)'!Q$3:Q$322)) / _xlfn.STDEV.S('ALL(responses)'!Q$3:Q$322),3)
</f>
        <v>-1.159</v>
      </c>
      <c r="N18" s="6">
        <f>ROUND(('ALL(responses)'!R19 - AVERAGE('ALL(responses)'!R$3:R$322)) / _xlfn.STDEV.S('ALL(responses)'!R$3:R$322),3)
</f>
        <v>0.734</v>
      </c>
      <c r="O18" s="6">
        <f>ROUND(('ALL(responses)'!S19 - AVERAGE('ALL(responses)'!S$3:S$322)) / _xlfn.STDEV.S('ALL(responses)'!S$3:S$322),3)
</f>
        <v>0.552</v>
      </c>
      <c r="P18" s="6">
        <f>ROUND(('ALL(responses)'!T19 - AVERAGE('ALL(responses)'!T$3:T$322)) / _xlfn.STDEV.S('ALL(responses)'!T$3:T$322),3)
</f>
        <v>-0.482</v>
      </c>
      <c r="Q18" s="40">
        <f t="shared" si="1"/>
        <v>-0.185</v>
      </c>
    </row>
    <row r="19">
      <c r="A19" s="5" t="s">
        <v>42</v>
      </c>
      <c r="B19" s="6" t="s">
        <v>21</v>
      </c>
      <c r="C19" s="7" t="s">
        <v>57</v>
      </c>
      <c r="D19" s="8" t="s">
        <v>58</v>
      </c>
      <c r="E19" s="9">
        <v>44635.0</v>
      </c>
      <c r="F19" s="6">
        <f>ROUND(('ALL(responses)'!F20 - AVERAGE('ALL(responses)'!F$3:F$322)) / _xlfn.STDEV.S('ALL(responses)'!F$3:F$322),3)
</f>
        <v>-0.571</v>
      </c>
      <c r="G19" s="6">
        <f>ROUND(('ALL(responses)'!G20 - AVERAGE('ALL(responses)'!G$3:G$322)) / _xlfn.STDEV.S('ALL(responses)'!G$3:G$322),3)
</f>
        <v>0.625</v>
      </c>
      <c r="H19" s="6">
        <f>ROUND(('ALL(responses)'!H20 - AVERAGE('ALL(responses)'!H$3:H$322)) / _xlfn.STDEV.S('ALL(responses)'!H$3:H$322),3)
</f>
        <v>-0.418</v>
      </c>
      <c r="I19" s="6">
        <f>ROUND(('ALL(responses)'!I20 - AVERAGE('ALL(responses)'!I$3:I$322)) / _xlfn.STDEV.S('ALL(responses)'!I$3:I$322),3)
</f>
        <v>-0.673</v>
      </c>
      <c r="J19" s="6">
        <f>ROUND(('ALL(responses)'!J20 - AVERAGE('ALL(responses)'!J$3:J$322)) / _xlfn.STDEV.S('ALL(responses)'!J$3:J$322),3)
</f>
        <v>-0.562</v>
      </c>
      <c r="K19" s="6">
        <f>ROUND(('ALL(responses)'!M20 - AVERAGE('ALL(responses)'!M$3:M$322)) / _xlfn.STDEV.S('ALL(responses)'!M$3:M$322),3)
</f>
        <v>-0.217</v>
      </c>
      <c r="L19" s="6">
        <f>ROUND(('ALL(responses)'!P20 - AVERAGE('ALL(responses)'!P$3:P$322)) / _xlfn.STDEV.S('ALL(responses)'!P$3:P$322),3)
</f>
        <v>-0.73</v>
      </c>
      <c r="M19" s="6">
        <f>ROUND(('ALL(responses)'!Q20 - AVERAGE('ALL(responses)'!Q$3:Q$322)) / _xlfn.STDEV.S('ALL(responses)'!Q$3:Q$322),3)
</f>
        <v>0.176</v>
      </c>
      <c r="N19" s="6">
        <f>ROUND(('ALL(responses)'!R20 - AVERAGE('ALL(responses)'!R$3:R$322)) / _xlfn.STDEV.S('ALL(responses)'!R$3:R$322),3)
</f>
        <v>0.157</v>
      </c>
      <c r="O19" s="6">
        <f>ROUND(('ALL(responses)'!S20 - AVERAGE('ALL(responses)'!S$3:S$322)) / _xlfn.STDEV.S('ALL(responses)'!S$3:S$322),3)
</f>
        <v>0.297</v>
      </c>
      <c r="P19" s="6">
        <f>ROUND(('ALL(responses)'!T20 - AVERAGE('ALL(responses)'!T$3:T$322)) / _xlfn.STDEV.S('ALL(responses)'!T$3:T$322),3)
</f>
        <v>-0.758</v>
      </c>
      <c r="Q19" s="40">
        <f t="shared" si="1"/>
        <v>-0.185</v>
      </c>
    </row>
    <row r="20">
      <c r="A20" s="5" t="s">
        <v>42</v>
      </c>
      <c r="B20" s="6" t="s">
        <v>21</v>
      </c>
      <c r="C20" s="7" t="s">
        <v>59</v>
      </c>
      <c r="D20" s="8" t="s">
        <v>60</v>
      </c>
      <c r="E20" s="9">
        <v>44635.0</v>
      </c>
      <c r="F20" s="6">
        <f>ROUND(('ALL(responses)'!F21 - AVERAGE('ALL(responses)'!F$3:F$322)) / _xlfn.STDEV.S('ALL(responses)'!F$3:F$322),3)
</f>
        <v>-0.571</v>
      </c>
      <c r="G20" s="6">
        <f>ROUND(('ALL(responses)'!G21 - AVERAGE('ALL(responses)'!G$3:G$322)) / _xlfn.STDEV.S('ALL(responses)'!G$3:G$322),3)
</f>
        <v>-0.627</v>
      </c>
      <c r="H20" s="6">
        <f>ROUND(('ALL(responses)'!H21 - AVERAGE('ALL(responses)'!H$3:H$322)) / _xlfn.STDEV.S('ALL(responses)'!H$3:H$322),3)
</f>
        <v>-0.418</v>
      </c>
      <c r="I20" s="6">
        <f>ROUND(('ALL(responses)'!I21 - AVERAGE('ALL(responses)'!I$3:I$322)) / _xlfn.STDEV.S('ALL(responses)'!I$3:I$322),3)
</f>
        <v>0.146</v>
      </c>
      <c r="J20" s="6">
        <f>ROUND(('ALL(responses)'!J21 - AVERAGE('ALL(responses)'!J$3:J$322)) / _xlfn.STDEV.S('ALL(responses)'!J$3:J$322),3)
</f>
        <v>-0.562</v>
      </c>
      <c r="K20" s="6">
        <f>ROUND(('ALL(responses)'!M21 - AVERAGE('ALL(responses)'!M$3:M$322)) / _xlfn.STDEV.S('ALL(responses)'!M$3:M$322),3)
</f>
        <v>0.801</v>
      </c>
      <c r="L20" s="6">
        <f>ROUND(('ALL(responses)'!P21 - AVERAGE('ALL(responses)'!P$3:P$322)) / _xlfn.STDEV.S('ALL(responses)'!P$3:P$322),3)
</f>
        <v>-0.58</v>
      </c>
      <c r="M20" s="6">
        <f>ROUND(('ALL(responses)'!Q21 - AVERAGE('ALL(responses)'!Q$3:Q$322)) / _xlfn.STDEV.S('ALL(responses)'!Q$3:Q$322),3)
</f>
        <v>0.286</v>
      </c>
      <c r="N20" s="6">
        <f>ROUND(('ALL(responses)'!R21 - AVERAGE('ALL(responses)'!R$3:R$322)) / _xlfn.STDEV.S('ALL(responses)'!R$3:R$322),3)
</f>
        <v>0.601</v>
      </c>
      <c r="O20" s="6">
        <f>ROUND(('ALL(responses)'!S21 - AVERAGE('ALL(responses)'!S$3:S$322)) / _xlfn.STDEV.S('ALL(responses)'!S$3:S$322),3)
</f>
        <v>0.493</v>
      </c>
      <c r="P20" s="6">
        <f>ROUND(('ALL(responses)'!T21 - AVERAGE('ALL(responses)'!T$3:T$322)) / _xlfn.STDEV.S('ALL(responses)'!T$3:T$322),3)
</f>
        <v>-1.423</v>
      </c>
      <c r="Q20" s="40">
        <f t="shared" si="1"/>
        <v>-0.185</v>
      </c>
    </row>
    <row r="21">
      <c r="A21" s="5" t="s">
        <v>42</v>
      </c>
      <c r="B21" s="6" t="s">
        <v>21</v>
      </c>
      <c r="C21" s="7" t="s">
        <v>61</v>
      </c>
      <c r="D21" s="8" t="s">
        <v>62</v>
      </c>
      <c r="E21" s="9">
        <v>44635.0</v>
      </c>
      <c r="F21" s="6">
        <f>ROUND(('ALL(responses)'!F22 - AVERAGE('ALL(responses)'!F$3:F$322)) / _xlfn.STDEV.S('ALL(responses)'!F$3:F$322),3)
</f>
        <v>-0.571</v>
      </c>
      <c r="G21" s="6">
        <f>ROUND(('ALL(responses)'!G22 - AVERAGE('ALL(responses)'!G$3:G$322)) / _xlfn.STDEV.S('ALL(responses)'!G$3:G$322),3)
</f>
        <v>-0.627</v>
      </c>
      <c r="H21" s="6">
        <f>ROUND(('ALL(responses)'!H22 - AVERAGE('ALL(responses)'!H$3:H$322)) / _xlfn.STDEV.S('ALL(responses)'!H$3:H$322),3)
</f>
        <v>-0.418</v>
      </c>
      <c r="I21" s="6">
        <f>ROUND(('ALL(responses)'!I22 - AVERAGE('ALL(responses)'!I$3:I$322)) / _xlfn.STDEV.S('ALL(responses)'!I$3:I$322),3)
</f>
        <v>-0.673</v>
      </c>
      <c r="J21" s="6">
        <f>ROUND(('ALL(responses)'!J22 - AVERAGE('ALL(responses)'!J$3:J$322)) / _xlfn.STDEV.S('ALL(responses)'!J$3:J$322),3)
</f>
        <v>-0.562</v>
      </c>
      <c r="K21" s="6">
        <f>ROUND(('ALL(responses)'!M22 - AVERAGE('ALL(responses)'!M$3:M$322)) / _xlfn.STDEV.S('ALL(responses)'!M$3:M$322),3)
</f>
        <v>-1.025</v>
      </c>
      <c r="L21" s="6">
        <f>ROUND(('ALL(responses)'!P22 - AVERAGE('ALL(responses)'!P$3:P$322)) / _xlfn.STDEV.S('ALL(responses)'!P$3:P$322),3)
</f>
        <v>1.37</v>
      </c>
      <c r="M21" s="6">
        <f>ROUND(('ALL(responses)'!Q22 - AVERAGE('ALL(responses)'!Q$3:Q$322)) / _xlfn.STDEV.S('ALL(responses)'!Q$3:Q$322),3)
</f>
        <v>0.51</v>
      </c>
      <c r="N21" s="6">
        <f>ROUND(('ALL(responses)'!R22 - AVERAGE('ALL(responses)'!R$3:R$322)) / _xlfn.STDEV.S('ALL(responses)'!R$3:R$322),3)
</f>
        <v>-0.494</v>
      </c>
      <c r="O21" s="6">
        <f>ROUND(('ALL(responses)'!S22 - AVERAGE('ALL(responses)'!S$3:S$322)) / _xlfn.STDEV.S('ALL(responses)'!S$3:S$322),3)
</f>
        <v>-3.309</v>
      </c>
      <c r="P21" s="6">
        <f>ROUND(('ALL(responses)'!T22 - AVERAGE('ALL(responses)'!T$3:T$322)) / _xlfn.STDEV.S('ALL(responses)'!T$3:T$322),3)
</f>
        <v>-0.223</v>
      </c>
      <c r="Q21" s="40">
        <f t="shared" si="1"/>
        <v>-0.185</v>
      </c>
    </row>
    <row r="22">
      <c r="A22" s="5" t="s">
        <v>63</v>
      </c>
      <c r="B22" s="6" t="s">
        <v>21</v>
      </c>
      <c r="C22" s="7" t="s">
        <v>64</v>
      </c>
      <c r="D22" s="8" t="s">
        <v>65</v>
      </c>
      <c r="E22" s="9">
        <v>44635.0</v>
      </c>
      <c r="F22" s="6">
        <f>ROUND(('ALL(responses)'!F23 - AVERAGE('ALL(responses)'!F$3:F$322)) / _xlfn.STDEV.S('ALL(responses)'!F$3:F$322),3)
</f>
        <v>-0.571</v>
      </c>
      <c r="G22" s="6">
        <f>ROUND(('ALL(responses)'!G23 - AVERAGE('ALL(responses)'!G$3:G$322)) / _xlfn.STDEV.S('ALL(responses)'!G$3:G$322),3)
</f>
        <v>-0.627</v>
      </c>
      <c r="H22" s="6">
        <f>ROUND(('ALL(responses)'!H23 - AVERAGE('ALL(responses)'!H$3:H$322)) / _xlfn.STDEV.S('ALL(responses)'!H$3:H$322),3)
</f>
        <v>-0.418</v>
      </c>
      <c r="I22" s="6">
        <f>ROUND(('ALL(responses)'!I23 - AVERAGE('ALL(responses)'!I$3:I$322)) / _xlfn.STDEV.S('ALL(responses)'!I$3:I$322),3)
</f>
        <v>-0.673</v>
      </c>
      <c r="J22" s="6">
        <f>ROUND(('ALL(responses)'!J23 - AVERAGE('ALL(responses)'!J$3:J$322)) / _xlfn.STDEV.S('ALL(responses)'!J$3:J$322),3)
</f>
        <v>-0.562</v>
      </c>
      <c r="K22" s="6">
        <f>ROUND(('ALL(responses)'!M23 - AVERAGE('ALL(responses)'!M$3:M$322)) / _xlfn.STDEV.S('ALL(responses)'!M$3:M$322),3)
</f>
        <v>-1.11</v>
      </c>
      <c r="L22" s="6">
        <f>ROUND(('ALL(responses)'!P23 - AVERAGE('ALL(responses)'!P$3:P$322)) / _xlfn.STDEV.S('ALL(responses)'!P$3:P$322),3)
</f>
        <v>1.471</v>
      </c>
      <c r="M22" s="6">
        <f>ROUND(('ALL(responses)'!Q23 - AVERAGE('ALL(responses)'!Q$3:Q$322)) / _xlfn.STDEV.S('ALL(responses)'!Q$3:Q$322),3)
</f>
        <v>-0.753</v>
      </c>
      <c r="N22" s="6">
        <f>ROUND(('ALL(responses)'!R23 - AVERAGE('ALL(responses)'!R$3:R$322)) / _xlfn.STDEV.S('ALL(responses)'!R$3:R$322),3)
</f>
        <v>0.339</v>
      </c>
      <c r="O22" s="6">
        <f>ROUND(('ALL(responses)'!S23 - AVERAGE('ALL(responses)'!S$3:S$322)) / _xlfn.STDEV.S('ALL(responses)'!S$3:S$322),3)
</f>
        <v>-3.678</v>
      </c>
      <c r="P22" s="6">
        <f>ROUND(('ALL(responses)'!T23 - AVERAGE('ALL(responses)'!T$3:T$322)) / _xlfn.STDEV.S('ALL(responses)'!T$3:T$322),3)
</f>
        <v>-0.458</v>
      </c>
      <c r="Q22" s="40">
        <f t="shared" si="1"/>
        <v>-0.185</v>
      </c>
    </row>
    <row r="23">
      <c r="A23" s="5" t="s">
        <v>63</v>
      </c>
      <c r="B23" s="6" t="s">
        <v>21</v>
      </c>
      <c r="C23" s="7" t="s">
        <v>66</v>
      </c>
      <c r="D23" s="8" t="s">
        <v>67</v>
      </c>
      <c r="E23" s="9">
        <v>44635.0</v>
      </c>
      <c r="F23" s="6">
        <f>ROUND(('ALL(responses)'!F24 - AVERAGE('ALL(responses)'!F$3:F$322)) / _xlfn.STDEV.S('ALL(responses)'!F$3:F$322),3)
</f>
        <v>-0.571</v>
      </c>
      <c r="G23" s="6">
        <f>ROUND(('ALL(responses)'!G24 - AVERAGE('ALL(responses)'!G$3:G$322)) / _xlfn.STDEV.S('ALL(responses)'!G$3:G$322),3)
</f>
        <v>-0.627</v>
      </c>
      <c r="H23" s="6">
        <f>ROUND(('ALL(responses)'!H24 - AVERAGE('ALL(responses)'!H$3:H$322)) / _xlfn.STDEV.S('ALL(responses)'!H$3:H$322),3)
</f>
        <v>-0.418</v>
      </c>
      <c r="I23" s="6">
        <f>ROUND(('ALL(responses)'!I24 - AVERAGE('ALL(responses)'!I$3:I$322)) / _xlfn.STDEV.S('ALL(responses)'!I$3:I$322),3)
</f>
        <v>-0.673</v>
      </c>
      <c r="J23" s="6">
        <f>ROUND(('ALL(responses)'!J24 - AVERAGE('ALL(responses)'!J$3:J$322)) / _xlfn.STDEV.S('ALL(responses)'!J$3:J$322),3)
</f>
        <v>-0.562</v>
      </c>
      <c r="K23" s="6">
        <f>ROUND(('ALL(responses)'!M24 - AVERAGE('ALL(responses)'!M$3:M$322)) / _xlfn.STDEV.S('ALL(responses)'!M$3:M$322),3)
</f>
        <v>-0.76</v>
      </c>
      <c r="L23" s="6">
        <f>ROUND(('ALL(responses)'!P24 - AVERAGE('ALL(responses)'!P$3:P$322)) / _xlfn.STDEV.S('ALL(responses)'!P$3:P$322),3)
</f>
        <v>-1.457</v>
      </c>
      <c r="M23" s="6">
        <f>ROUND(('ALL(responses)'!Q24 - AVERAGE('ALL(responses)'!Q$3:Q$322)) / _xlfn.STDEV.S('ALL(responses)'!Q$3:Q$322),3)
</f>
        <v>0.052</v>
      </c>
      <c r="N23" s="6">
        <f>ROUND(('ALL(responses)'!R24 - AVERAGE('ALL(responses)'!R$3:R$322)) / _xlfn.STDEV.S('ALL(responses)'!R$3:R$322),3)
</f>
        <v>0.611</v>
      </c>
      <c r="O23" s="6">
        <f>ROUND(('ALL(responses)'!S24 - AVERAGE('ALL(responses)'!S$3:S$322)) / _xlfn.STDEV.S('ALL(responses)'!S$3:S$322),3)
</f>
        <v>0.498</v>
      </c>
      <c r="P23" s="6">
        <f>ROUND(('ALL(responses)'!T24 - AVERAGE('ALL(responses)'!T$3:T$322)) / _xlfn.STDEV.S('ALL(responses)'!T$3:T$322),3)
</f>
        <v>0.819</v>
      </c>
      <c r="Q23" s="40">
        <f t="shared" si="1"/>
        <v>-0.185</v>
      </c>
    </row>
    <row r="24">
      <c r="A24" s="5" t="s">
        <v>63</v>
      </c>
      <c r="B24" s="6" t="s">
        <v>21</v>
      </c>
      <c r="C24" s="7" t="s">
        <v>68</v>
      </c>
      <c r="D24" s="8" t="s">
        <v>69</v>
      </c>
      <c r="E24" s="9">
        <v>44635.0</v>
      </c>
      <c r="F24" s="6">
        <f>ROUND(('ALL(responses)'!F25 - AVERAGE('ALL(responses)'!F$3:F$322)) / _xlfn.STDEV.S('ALL(responses)'!F$3:F$322),3)
</f>
        <v>-0.571</v>
      </c>
      <c r="G24" s="6">
        <f>ROUND(('ALL(responses)'!G25 - AVERAGE('ALL(responses)'!G$3:G$322)) / _xlfn.STDEV.S('ALL(responses)'!G$3:G$322),3)
</f>
        <v>-0.627</v>
      </c>
      <c r="H24" s="6">
        <f>ROUND(('ALL(responses)'!H25 - AVERAGE('ALL(responses)'!H$3:H$322)) / _xlfn.STDEV.S('ALL(responses)'!H$3:H$322),3)
</f>
        <v>-0.418</v>
      </c>
      <c r="I24" s="6">
        <f>ROUND(('ALL(responses)'!I25 - AVERAGE('ALL(responses)'!I$3:I$322)) / _xlfn.STDEV.S('ALL(responses)'!I$3:I$322),3)
</f>
        <v>0.146</v>
      </c>
      <c r="J24" s="6">
        <f>ROUND(('ALL(responses)'!J25 - AVERAGE('ALL(responses)'!J$3:J$322)) / _xlfn.STDEV.S('ALL(responses)'!J$3:J$322),3)
</f>
        <v>-0.562</v>
      </c>
      <c r="K24" s="6">
        <f>ROUND(('ALL(responses)'!M25 - AVERAGE('ALL(responses)'!M$3:M$322)) / _xlfn.STDEV.S('ALL(responses)'!M$3:M$322),3)
</f>
        <v>0.672</v>
      </c>
      <c r="L24" s="6">
        <f>ROUND(('ALL(responses)'!P25 - AVERAGE('ALL(responses)'!P$3:P$322)) / _xlfn.STDEV.S('ALL(responses)'!P$3:P$322),3)
</f>
        <v>-1.457</v>
      </c>
      <c r="M24" s="6">
        <f>ROUND(('ALL(responses)'!Q25 - AVERAGE('ALL(responses)'!Q$3:Q$322)) / _xlfn.STDEV.S('ALL(responses)'!Q$3:Q$322),3)
</f>
        <v>0.193</v>
      </c>
      <c r="N24" s="6">
        <f>ROUND(('ALL(responses)'!R25 - AVERAGE('ALL(responses)'!R$3:R$322)) / _xlfn.STDEV.S('ALL(responses)'!R$3:R$322),3)
</f>
        <v>0.711</v>
      </c>
      <c r="O24" s="6">
        <f>ROUND(('ALL(responses)'!S25 - AVERAGE('ALL(responses)'!S$3:S$322)) / _xlfn.STDEV.S('ALL(responses)'!S$3:S$322),3)
</f>
        <v>0.542</v>
      </c>
      <c r="P24" s="6">
        <f>ROUND(('ALL(responses)'!T25 - AVERAGE('ALL(responses)'!T$3:T$322)) / _xlfn.STDEV.S('ALL(responses)'!T$3:T$322),3)
</f>
        <v>0.76</v>
      </c>
      <c r="Q24" s="40">
        <f t="shared" si="1"/>
        <v>-0.185</v>
      </c>
    </row>
    <row r="25">
      <c r="A25" s="5" t="s">
        <v>63</v>
      </c>
      <c r="B25" s="6" t="s">
        <v>21</v>
      </c>
      <c r="C25" s="7" t="s">
        <v>70</v>
      </c>
      <c r="D25" s="8" t="s">
        <v>71</v>
      </c>
      <c r="E25" s="9">
        <v>44635.0</v>
      </c>
      <c r="F25" s="6">
        <f>ROUND(('ALL(responses)'!F26 - AVERAGE('ALL(responses)'!F$3:F$322)) / _xlfn.STDEV.S('ALL(responses)'!F$3:F$322),3)
</f>
        <v>-0.571</v>
      </c>
      <c r="G25" s="6">
        <f>ROUND(('ALL(responses)'!G26 - AVERAGE('ALL(responses)'!G$3:G$322)) / _xlfn.STDEV.S('ALL(responses)'!G$3:G$322),3)
</f>
        <v>-0.627</v>
      </c>
      <c r="H25" s="6">
        <f>ROUND(('ALL(responses)'!H26 - AVERAGE('ALL(responses)'!H$3:H$322)) / _xlfn.STDEV.S('ALL(responses)'!H$3:H$322),3)
</f>
        <v>-0.418</v>
      </c>
      <c r="I25" s="6">
        <f>ROUND(('ALL(responses)'!I26 - AVERAGE('ALL(responses)'!I$3:I$322)) / _xlfn.STDEV.S('ALL(responses)'!I$3:I$322),3)
</f>
        <v>-0.673</v>
      </c>
      <c r="J25" s="6">
        <f>ROUND(('ALL(responses)'!J26 - AVERAGE('ALL(responses)'!J$3:J$322)) / _xlfn.STDEV.S('ALL(responses)'!J$3:J$322),3)
</f>
        <v>-0.562</v>
      </c>
      <c r="K25" s="6">
        <f>ROUND(('ALL(responses)'!M26 - AVERAGE('ALL(responses)'!M$3:M$322)) / _xlfn.STDEV.S('ALL(responses)'!M$3:M$322),3)
</f>
        <v>-0.241</v>
      </c>
      <c r="L25" s="6">
        <f>ROUND(('ALL(responses)'!P26 - AVERAGE('ALL(responses)'!P$3:P$322)) / _xlfn.STDEV.S('ALL(responses)'!P$3:P$322),3)
</f>
        <v>0.278</v>
      </c>
      <c r="M25" s="6">
        <f>ROUND(('ALL(responses)'!Q26 - AVERAGE('ALL(responses)'!Q$3:Q$322)) / _xlfn.STDEV.S('ALL(responses)'!Q$3:Q$322),3)
</f>
        <v>0.325</v>
      </c>
      <c r="N25" s="6">
        <f>ROUND(('ALL(responses)'!R26 - AVERAGE('ALL(responses)'!R$3:R$322)) / _xlfn.STDEV.S('ALL(responses)'!R$3:R$322),3)
</f>
        <v>0.551</v>
      </c>
      <c r="O25" s="6">
        <f>ROUND(('ALL(responses)'!S26 - AVERAGE('ALL(responses)'!S$3:S$322)) / _xlfn.STDEV.S('ALL(responses)'!S$3:S$322),3)
</f>
        <v>0.471</v>
      </c>
      <c r="P25" s="6">
        <f>ROUND(('ALL(responses)'!T26 - AVERAGE('ALL(responses)'!T$3:T$322)) / _xlfn.STDEV.S('ALL(responses)'!T$3:T$322),3)
</f>
        <v>0.523</v>
      </c>
      <c r="Q25" s="40">
        <f t="shared" si="1"/>
        <v>-0.185</v>
      </c>
    </row>
    <row r="26">
      <c r="A26" s="5" t="s">
        <v>63</v>
      </c>
      <c r="B26" s="6" t="s">
        <v>21</v>
      </c>
      <c r="C26" s="7" t="s">
        <v>72</v>
      </c>
      <c r="D26" s="8" t="s">
        <v>73</v>
      </c>
      <c r="E26" s="9">
        <v>44635.0</v>
      </c>
      <c r="F26" s="6">
        <f>ROUND(('ALL(responses)'!F27 - AVERAGE('ALL(responses)'!F$3:F$322)) / _xlfn.STDEV.S('ALL(responses)'!F$3:F$322),3)
</f>
        <v>-0.571</v>
      </c>
      <c r="G26" s="6">
        <f>ROUND(('ALL(responses)'!G27 - AVERAGE('ALL(responses)'!G$3:G$322)) / _xlfn.STDEV.S('ALL(responses)'!G$3:G$322),3)
</f>
        <v>0.625</v>
      </c>
      <c r="H26" s="6">
        <f>ROUND(('ALL(responses)'!H27 - AVERAGE('ALL(responses)'!H$3:H$322)) / _xlfn.STDEV.S('ALL(responses)'!H$3:H$322),3)
</f>
        <v>-0.418</v>
      </c>
      <c r="I26" s="6">
        <f>ROUND(('ALL(responses)'!I27 - AVERAGE('ALL(responses)'!I$3:I$322)) / _xlfn.STDEV.S('ALL(responses)'!I$3:I$322),3)
</f>
        <v>-0.673</v>
      </c>
      <c r="J26" s="6">
        <f>ROUND(('ALL(responses)'!J27 - AVERAGE('ALL(responses)'!J$3:J$322)) / _xlfn.STDEV.S('ALL(responses)'!J$3:J$322),3)
</f>
        <v>2.151</v>
      </c>
      <c r="K26" s="6">
        <f>ROUND(('ALL(responses)'!M27 - AVERAGE('ALL(responses)'!M$3:M$322)) / _xlfn.STDEV.S('ALL(responses)'!M$3:M$322),3)
</f>
        <v>1.973</v>
      </c>
      <c r="L26" s="6">
        <f>ROUND(('ALL(responses)'!P27 - AVERAGE('ALL(responses)'!P$3:P$322)) / _xlfn.STDEV.S('ALL(responses)'!P$3:P$322),3)
</f>
        <v>0.538</v>
      </c>
      <c r="M26" s="6">
        <f>ROUND(('ALL(responses)'!Q27 - AVERAGE('ALL(responses)'!Q$3:Q$322)) / _xlfn.STDEV.S('ALL(responses)'!Q$3:Q$322),3)
</f>
        <v>-0.052</v>
      </c>
      <c r="N26" s="6">
        <f>ROUND(('ALL(responses)'!R27 - AVERAGE('ALL(responses)'!R$3:R$322)) / _xlfn.STDEV.S('ALL(responses)'!R$3:R$322),3)
</f>
        <v>0.712</v>
      </c>
      <c r="O26" s="6">
        <f>ROUND(('ALL(responses)'!S27 - AVERAGE('ALL(responses)'!S$3:S$322)) / _xlfn.STDEV.S('ALL(responses)'!S$3:S$322),3)
</f>
        <v>0.543</v>
      </c>
      <c r="P26" s="6">
        <f>ROUND(('ALL(responses)'!T27 - AVERAGE('ALL(responses)'!T$3:T$322)) / _xlfn.STDEV.S('ALL(responses)'!T$3:T$322),3)
</f>
        <v>0.825</v>
      </c>
      <c r="Q26" s="40">
        <f t="shared" si="1"/>
        <v>-0.185</v>
      </c>
    </row>
    <row r="27">
      <c r="A27" s="5" t="s">
        <v>63</v>
      </c>
      <c r="B27" s="6" t="s">
        <v>21</v>
      </c>
      <c r="C27" s="7" t="s">
        <v>74</v>
      </c>
      <c r="D27" s="8" t="s">
        <v>75</v>
      </c>
      <c r="E27" s="9">
        <v>44635.0</v>
      </c>
      <c r="F27" s="6">
        <f>ROUND(('ALL(responses)'!F28 - AVERAGE('ALL(responses)'!F$3:F$322)) / _xlfn.STDEV.S('ALL(responses)'!F$3:F$322),3)
</f>
        <v>-0.571</v>
      </c>
      <c r="G27" s="6">
        <f>ROUND(('ALL(responses)'!G28 - AVERAGE('ALL(responses)'!G$3:G$322)) / _xlfn.STDEV.S('ALL(responses)'!G$3:G$322),3)
</f>
        <v>-0.627</v>
      </c>
      <c r="H27" s="6">
        <f>ROUND(('ALL(responses)'!H28 - AVERAGE('ALL(responses)'!H$3:H$322)) / _xlfn.STDEV.S('ALL(responses)'!H$3:H$322),3)
</f>
        <v>-0.418</v>
      </c>
      <c r="I27" s="6">
        <f>ROUND(('ALL(responses)'!I28 - AVERAGE('ALL(responses)'!I$3:I$322)) / _xlfn.STDEV.S('ALL(responses)'!I$3:I$322),3)
</f>
        <v>0.146</v>
      </c>
      <c r="J27" s="6">
        <f>ROUND(('ALL(responses)'!J28 - AVERAGE('ALL(responses)'!J$3:J$322)) / _xlfn.STDEV.S('ALL(responses)'!J$3:J$322),3)
</f>
        <v>-0.562</v>
      </c>
      <c r="K27" s="6">
        <f>ROUND(('ALL(responses)'!M28 - AVERAGE('ALL(responses)'!M$3:M$322)) / _xlfn.STDEV.S('ALL(responses)'!M$3:M$322),3)
</f>
        <v>1.623</v>
      </c>
      <c r="L27" s="6">
        <f>ROUND(('ALL(responses)'!P28 - AVERAGE('ALL(responses)'!P$3:P$322)) / _xlfn.STDEV.S('ALL(responses)'!P$3:P$322),3)
</f>
        <v>-0.264</v>
      </c>
      <c r="M27" s="6">
        <f>ROUND(('ALL(responses)'!Q28 - AVERAGE('ALL(responses)'!Q$3:Q$322)) / _xlfn.STDEV.S('ALL(responses)'!Q$3:Q$322),3)
</f>
        <v>-1.261</v>
      </c>
      <c r="N27" s="6">
        <f>ROUND(('ALL(responses)'!R28 - AVERAGE('ALL(responses)'!R$3:R$322)) / _xlfn.STDEV.S('ALL(responses)'!R$3:R$322),3)
</f>
        <v>0.793</v>
      </c>
      <c r="O27" s="6">
        <f>ROUND(('ALL(responses)'!S28 - AVERAGE('ALL(responses)'!S$3:S$322)) / _xlfn.STDEV.S('ALL(responses)'!S$3:S$322),3)
</f>
        <v>0.578</v>
      </c>
      <c r="P27" s="6">
        <f>ROUND(('ALL(responses)'!T28 - AVERAGE('ALL(responses)'!T$3:T$322)) / _xlfn.STDEV.S('ALL(responses)'!T$3:T$322),3)
</f>
        <v>0.202</v>
      </c>
      <c r="Q27" s="40">
        <f t="shared" si="1"/>
        <v>-0.185</v>
      </c>
    </row>
    <row r="28">
      <c r="A28" s="5" t="s">
        <v>63</v>
      </c>
      <c r="B28" s="6" t="s">
        <v>21</v>
      </c>
      <c r="C28" s="7" t="s">
        <v>76</v>
      </c>
      <c r="D28" s="8" t="s">
        <v>77</v>
      </c>
      <c r="E28" s="9">
        <v>44635.0</v>
      </c>
      <c r="F28" s="6">
        <f>ROUND(('ALL(responses)'!F29 - AVERAGE('ALL(responses)'!F$3:F$322)) / _xlfn.STDEV.S('ALL(responses)'!F$3:F$322),3)
</f>
        <v>-0.571</v>
      </c>
      <c r="G28" s="6">
        <f>ROUND(('ALL(responses)'!G29 - AVERAGE('ALL(responses)'!G$3:G$322)) / _xlfn.STDEV.S('ALL(responses)'!G$3:G$322),3)
</f>
        <v>-0.627</v>
      </c>
      <c r="H28" s="6">
        <f>ROUND(('ALL(responses)'!H29 - AVERAGE('ALL(responses)'!H$3:H$322)) / _xlfn.STDEV.S('ALL(responses)'!H$3:H$322),3)
</f>
        <v>-0.418</v>
      </c>
      <c r="I28" s="6">
        <f>ROUND(('ALL(responses)'!I29 - AVERAGE('ALL(responses)'!I$3:I$322)) / _xlfn.STDEV.S('ALL(responses)'!I$3:I$322),3)
</f>
        <v>0.146</v>
      </c>
      <c r="J28" s="6">
        <f>ROUND(('ALL(responses)'!J29 - AVERAGE('ALL(responses)'!J$3:J$322)) / _xlfn.STDEV.S('ALL(responses)'!J$3:J$322),3)
</f>
        <v>-0.562</v>
      </c>
      <c r="K28" s="6">
        <f>ROUND(('ALL(responses)'!M29 - AVERAGE('ALL(responses)'!M$3:M$322)) / _xlfn.STDEV.S('ALL(responses)'!M$3:M$322),3)
</f>
        <v>-0.606</v>
      </c>
      <c r="L28" s="6">
        <f>ROUND(('ALL(responses)'!P29 - AVERAGE('ALL(responses)'!P$3:P$322)) / _xlfn.STDEV.S('ALL(responses)'!P$3:P$322),3)
</f>
        <v>0.208</v>
      </c>
      <c r="M28" s="6">
        <f>ROUND(('ALL(responses)'!Q29 - AVERAGE('ALL(responses)'!Q$3:Q$322)) / _xlfn.STDEV.S('ALL(responses)'!Q$3:Q$322),3)
</f>
        <v>-1.401</v>
      </c>
      <c r="N28" s="6">
        <f>ROUND(('ALL(responses)'!R29 - AVERAGE('ALL(responses)'!R$3:R$322)) / _xlfn.STDEV.S('ALL(responses)'!R$3:R$322),3)
</f>
        <v>0.797</v>
      </c>
      <c r="O28" s="6">
        <f>ROUND(('ALL(responses)'!S29 - AVERAGE('ALL(responses)'!S$3:S$322)) / _xlfn.STDEV.S('ALL(responses)'!S$3:S$322),3)
</f>
        <v>0.58</v>
      </c>
      <c r="P28" s="6">
        <f>ROUND(('ALL(responses)'!T29 - AVERAGE('ALL(responses)'!T$3:T$322)) / _xlfn.STDEV.S('ALL(responses)'!T$3:T$322),3)
</f>
        <v>0.471</v>
      </c>
      <c r="Q28" s="40">
        <f t="shared" si="1"/>
        <v>-0.185</v>
      </c>
    </row>
    <row r="29">
      <c r="A29" s="5" t="s">
        <v>63</v>
      </c>
      <c r="B29" s="6" t="s">
        <v>21</v>
      </c>
      <c r="C29" s="7" t="s">
        <v>78</v>
      </c>
      <c r="D29" s="8" t="s">
        <v>79</v>
      </c>
      <c r="E29" s="9">
        <v>44635.0</v>
      </c>
      <c r="F29" s="6">
        <f>ROUND(('ALL(responses)'!F30 - AVERAGE('ALL(responses)'!F$3:F$322)) / _xlfn.STDEV.S('ALL(responses)'!F$3:F$322),3)
</f>
        <v>-0.571</v>
      </c>
      <c r="G29" s="6">
        <f>ROUND(('ALL(responses)'!G30 - AVERAGE('ALL(responses)'!G$3:G$322)) / _xlfn.STDEV.S('ALL(responses)'!G$3:G$322),3)
</f>
        <v>-0.627</v>
      </c>
      <c r="H29" s="6">
        <f>ROUND(('ALL(responses)'!H30 - AVERAGE('ALL(responses)'!H$3:H$322)) / _xlfn.STDEV.S('ALL(responses)'!H$3:H$322),3)
</f>
        <v>-0.418</v>
      </c>
      <c r="I29" s="6">
        <f>ROUND(('ALL(responses)'!I30 - AVERAGE('ALL(responses)'!I$3:I$322)) / _xlfn.STDEV.S('ALL(responses)'!I$3:I$322),3)
</f>
        <v>0.146</v>
      </c>
      <c r="J29" s="6">
        <f>ROUND(('ALL(responses)'!J30 - AVERAGE('ALL(responses)'!J$3:J$322)) / _xlfn.STDEV.S('ALL(responses)'!J$3:J$322),3)
</f>
        <v>-0.562</v>
      </c>
      <c r="K29" s="6">
        <f>ROUND(('ALL(responses)'!M30 - AVERAGE('ALL(responses)'!M$3:M$322)) / _xlfn.STDEV.S('ALL(responses)'!M$3:M$322),3)
</f>
        <v>-0.937</v>
      </c>
      <c r="L29" s="6">
        <f>ROUND(('ALL(responses)'!P30 - AVERAGE('ALL(responses)'!P$3:P$322)) / _xlfn.STDEV.S('ALL(responses)'!P$3:P$322),3)
</f>
        <v>0.225</v>
      </c>
      <c r="M29" s="6">
        <f>ROUND(('ALL(responses)'!Q30 - AVERAGE('ALL(responses)'!Q$3:Q$322)) / _xlfn.STDEV.S('ALL(responses)'!Q$3:Q$322),3)
</f>
        <v>0.495</v>
      </c>
      <c r="N29" s="6">
        <f>ROUND(('ALL(responses)'!R30 - AVERAGE('ALL(responses)'!R$3:R$322)) / _xlfn.STDEV.S('ALL(responses)'!R$3:R$322),3)
</f>
        <v>0.53</v>
      </c>
      <c r="O29" s="6">
        <f>ROUND(('ALL(responses)'!S30 - AVERAGE('ALL(responses)'!S$3:S$322)) / _xlfn.STDEV.S('ALL(responses)'!S$3:S$322),3)
</f>
        <v>0.462</v>
      </c>
      <c r="P29" s="6">
        <f>ROUND(('ALL(responses)'!T30 - AVERAGE('ALL(responses)'!T$3:T$322)) / _xlfn.STDEV.S('ALL(responses)'!T$3:T$322),3)
</f>
        <v>0.024</v>
      </c>
      <c r="Q29" s="40">
        <f t="shared" si="1"/>
        <v>-0.185</v>
      </c>
    </row>
    <row r="30">
      <c r="A30" s="5" t="s">
        <v>63</v>
      </c>
      <c r="B30" s="6" t="s">
        <v>21</v>
      </c>
      <c r="C30" s="7" t="s">
        <v>80</v>
      </c>
      <c r="D30" s="8" t="s">
        <v>81</v>
      </c>
      <c r="E30" s="9">
        <v>44635.0</v>
      </c>
      <c r="F30" s="6">
        <f>ROUND(('ALL(responses)'!F31 - AVERAGE('ALL(responses)'!F$3:F$322)) / _xlfn.STDEV.S('ALL(responses)'!F$3:F$322),3)
</f>
        <v>-0.571</v>
      </c>
      <c r="G30" s="6">
        <f>ROUND(('ALL(responses)'!G31 - AVERAGE('ALL(responses)'!G$3:G$322)) / _xlfn.STDEV.S('ALL(responses)'!G$3:G$322),3)
</f>
        <v>-0.627</v>
      </c>
      <c r="H30" s="6">
        <f>ROUND(('ALL(responses)'!H31 - AVERAGE('ALL(responses)'!H$3:H$322)) / _xlfn.STDEV.S('ALL(responses)'!H$3:H$322),3)
</f>
        <v>-0.418</v>
      </c>
      <c r="I30" s="6">
        <f>ROUND(('ALL(responses)'!I31 - AVERAGE('ALL(responses)'!I$3:I$322)) / _xlfn.STDEV.S('ALL(responses)'!I$3:I$322),3)
</f>
        <v>0.146</v>
      </c>
      <c r="J30" s="6">
        <f>ROUND(('ALL(responses)'!J31 - AVERAGE('ALL(responses)'!J$3:J$322)) / _xlfn.STDEV.S('ALL(responses)'!J$3:J$322),3)
</f>
        <v>-0.562</v>
      </c>
      <c r="K30" s="6">
        <f>ROUND(('ALL(responses)'!M31 - AVERAGE('ALL(responses)'!M$3:M$322)) / _xlfn.STDEV.S('ALL(responses)'!M$3:M$322),3)
</f>
        <v>-0.445</v>
      </c>
      <c r="L30" s="6">
        <f>ROUND(('ALL(responses)'!P31 - AVERAGE('ALL(responses)'!P$3:P$322)) / _xlfn.STDEV.S('ALL(responses)'!P$3:P$322),3)
</f>
        <v>1.1</v>
      </c>
      <c r="M30" s="6">
        <f>ROUND(('ALL(responses)'!Q31 - AVERAGE('ALL(responses)'!Q$3:Q$322)) / _xlfn.STDEV.S('ALL(responses)'!Q$3:Q$322),3)
</f>
        <v>-1.151</v>
      </c>
      <c r="N30" s="6">
        <f>ROUND(('ALL(responses)'!R31 - AVERAGE('ALL(responses)'!R$3:R$322)) / _xlfn.STDEV.S('ALL(responses)'!R$3:R$322),3)
</f>
        <v>0.749</v>
      </c>
      <c r="O30" s="6">
        <f>ROUND(('ALL(responses)'!S31 - AVERAGE('ALL(responses)'!S$3:S$322)) / _xlfn.STDEV.S('ALL(responses)'!S$3:S$322),3)
</f>
        <v>0.559</v>
      </c>
      <c r="P30" s="6">
        <f>ROUND(('ALL(responses)'!T31 - AVERAGE('ALL(responses)'!T$3:T$322)) / _xlfn.STDEV.S('ALL(responses)'!T$3:T$322),3)
</f>
        <v>-0.105</v>
      </c>
      <c r="Q30" s="40">
        <f t="shared" si="1"/>
        <v>-0.185</v>
      </c>
    </row>
    <row r="31">
      <c r="A31" s="5" t="s">
        <v>63</v>
      </c>
      <c r="B31" s="6" t="s">
        <v>21</v>
      </c>
      <c r="C31" s="7" t="s">
        <v>82</v>
      </c>
      <c r="D31" s="8" t="s">
        <v>83</v>
      </c>
      <c r="E31" s="9">
        <v>44635.0</v>
      </c>
      <c r="F31" s="6">
        <f>ROUND(('ALL(responses)'!F32 - AVERAGE('ALL(responses)'!F$3:F$322)) / _xlfn.STDEV.S('ALL(responses)'!F$3:F$322),3)
</f>
        <v>-0.571</v>
      </c>
      <c r="G31" s="6">
        <f>ROUND(('ALL(responses)'!G32 - AVERAGE('ALL(responses)'!G$3:G$322)) / _xlfn.STDEV.S('ALL(responses)'!G$3:G$322),3)
</f>
        <v>-0.627</v>
      </c>
      <c r="H31" s="6">
        <f>ROUND(('ALL(responses)'!H32 - AVERAGE('ALL(responses)'!H$3:H$322)) / _xlfn.STDEV.S('ALL(responses)'!H$3:H$322),3)
</f>
        <v>-0.418</v>
      </c>
      <c r="I31" s="6">
        <f>ROUND(('ALL(responses)'!I32 - AVERAGE('ALL(responses)'!I$3:I$322)) / _xlfn.STDEV.S('ALL(responses)'!I$3:I$322),3)
</f>
        <v>-0.673</v>
      </c>
      <c r="J31" s="6">
        <f>ROUND(('ALL(responses)'!J32 - AVERAGE('ALL(responses)'!J$3:J$322)) / _xlfn.STDEV.S('ALL(responses)'!J$3:J$322),3)
</f>
        <v>-0.562</v>
      </c>
      <c r="K31" s="6">
        <f>ROUND(('ALL(responses)'!M32 - AVERAGE('ALL(responses)'!M$3:M$322)) / _xlfn.STDEV.S('ALL(responses)'!M$3:M$322),3)
</f>
        <v>0.707</v>
      </c>
      <c r="L31" s="6">
        <f>ROUND(('ALL(responses)'!P32 - AVERAGE('ALL(responses)'!P$3:P$322)) / _xlfn.STDEV.S('ALL(responses)'!P$3:P$322),3)
</f>
        <v>-0.38</v>
      </c>
      <c r="M31" s="6">
        <f>ROUND(('ALL(responses)'!Q32 - AVERAGE('ALL(responses)'!Q$3:Q$322)) / _xlfn.STDEV.S('ALL(responses)'!Q$3:Q$322),3)
</f>
        <v>-1.501</v>
      </c>
      <c r="N31" s="6">
        <f>ROUND(('ALL(responses)'!R32 - AVERAGE('ALL(responses)'!R$3:R$322)) / _xlfn.STDEV.S('ALL(responses)'!R$3:R$322),3)
</f>
        <v>0.78</v>
      </c>
      <c r="O31" s="6">
        <f>ROUND(('ALL(responses)'!S32 - AVERAGE('ALL(responses)'!S$3:S$322)) / _xlfn.STDEV.S('ALL(responses)'!S$3:S$322),3)
</f>
        <v>0.573</v>
      </c>
      <c r="P31" s="6">
        <f>ROUND(('ALL(responses)'!T32 - AVERAGE('ALL(responses)'!T$3:T$322)) / _xlfn.STDEV.S('ALL(responses)'!T$3:T$322),3)
</f>
        <v>0.612</v>
      </c>
      <c r="Q31" s="40">
        <f t="shared" si="1"/>
        <v>-0.185</v>
      </c>
    </row>
    <row r="32">
      <c r="A32" s="5" t="s">
        <v>84</v>
      </c>
      <c r="B32" s="6" t="s">
        <v>21</v>
      </c>
      <c r="C32" s="7" t="s">
        <v>85</v>
      </c>
      <c r="D32" s="8" t="s">
        <v>86</v>
      </c>
      <c r="E32" s="9">
        <v>44635.0</v>
      </c>
      <c r="F32" s="6">
        <f>ROUND(('ALL(responses)'!F33 - AVERAGE('ALL(responses)'!F$3:F$322)) / _xlfn.STDEV.S('ALL(responses)'!F$3:F$322),3)
</f>
        <v>-0.571</v>
      </c>
      <c r="G32" s="6">
        <f>ROUND(('ALL(responses)'!G33 - AVERAGE('ALL(responses)'!G$3:G$322)) / _xlfn.STDEV.S('ALL(responses)'!G$3:G$322),3)
</f>
        <v>-0.627</v>
      </c>
      <c r="H32" s="6">
        <f>ROUND(('ALL(responses)'!H33 - AVERAGE('ALL(responses)'!H$3:H$322)) / _xlfn.STDEV.S('ALL(responses)'!H$3:H$322),3)
</f>
        <v>-0.418</v>
      </c>
      <c r="I32" s="6">
        <f>ROUND(('ALL(responses)'!I33 - AVERAGE('ALL(responses)'!I$3:I$322)) / _xlfn.STDEV.S('ALL(responses)'!I$3:I$322),3)
</f>
        <v>-0.673</v>
      </c>
      <c r="J32" s="6">
        <f>ROUND(('ALL(responses)'!J33 - AVERAGE('ALL(responses)'!J$3:J$322)) / _xlfn.STDEV.S('ALL(responses)'!J$3:J$322),3)
</f>
        <v>-0.562</v>
      </c>
      <c r="K32" s="6">
        <f>ROUND(('ALL(responses)'!M33 - AVERAGE('ALL(responses)'!M$3:M$322)) / _xlfn.STDEV.S('ALL(responses)'!M$3:M$322),3)
</f>
        <v>-0.03</v>
      </c>
      <c r="L32" s="6">
        <f>ROUND(('ALL(responses)'!P33 - AVERAGE('ALL(responses)'!P$3:P$322)) / _xlfn.STDEV.S('ALL(responses)'!P$3:P$322),3)
</f>
        <v>-0.564</v>
      </c>
      <c r="M32" s="6">
        <f>ROUND(('ALL(responses)'!Q33 - AVERAGE('ALL(responses)'!Q$3:Q$322)) / _xlfn.STDEV.S('ALL(responses)'!Q$3:Q$322),3)
</f>
        <v>0.163</v>
      </c>
      <c r="N32" s="6">
        <f>ROUND(('ALL(responses)'!R33 - AVERAGE('ALL(responses)'!R$3:R$322)) / _xlfn.STDEV.S('ALL(responses)'!R$3:R$322),3)
</f>
        <v>0.176</v>
      </c>
      <c r="O32" s="6">
        <f>ROUND(('ALL(responses)'!S33 - AVERAGE('ALL(responses)'!S$3:S$322)) / _xlfn.STDEV.S('ALL(responses)'!S$3:S$322),3)
</f>
        <v>0.305</v>
      </c>
      <c r="P32" s="6">
        <f>ROUND(('ALL(responses)'!T33 - AVERAGE('ALL(responses)'!T$3:T$322)) / _xlfn.STDEV.S('ALL(responses)'!T$3:T$322),3)
</f>
        <v>-0.711</v>
      </c>
      <c r="Q32" s="40">
        <f t="shared" si="1"/>
        <v>-0.185</v>
      </c>
    </row>
    <row r="33">
      <c r="A33" s="5" t="s">
        <v>84</v>
      </c>
      <c r="B33" s="6" t="s">
        <v>21</v>
      </c>
      <c r="C33" s="7" t="s">
        <v>87</v>
      </c>
      <c r="D33" s="8" t="s">
        <v>88</v>
      </c>
      <c r="E33" s="9">
        <v>44635.0</v>
      </c>
      <c r="F33" s="6">
        <f>ROUND(('ALL(responses)'!F34 - AVERAGE('ALL(responses)'!F$3:F$322)) / _xlfn.STDEV.S('ALL(responses)'!F$3:F$322),3)
</f>
        <v>-0.571</v>
      </c>
      <c r="G33" s="6">
        <f>ROUND(('ALL(responses)'!G34 - AVERAGE('ALL(responses)'!G$3:G$322)) / _xlfn.STDEV.S('ALL(responses)'!G$3:G$322),3)
</f>
        <v>-0.627</v>
      </c>
      <c r="H33" s="6">
        <f>ROUND(('ALL(responses)'!H34 - AVERAGE('ALL(responses)'!H$3:H$322)) / _xlfn.STDEV.S('ALL(responses)'!H$3:H$322),3)
</f>
        <v>-0.418</v>
      </c>
      <c r="I33" s="6">
        <f>ROUND(('ALL(responses)'!I34 - AVERAGE('ALL(responses)'!I$3:I$322)) / _xlfn.STDEV.S('ALL(responses)'!I$3:I$322),3)
</f>
        <v>0.146</v>
      </c>
      <c r="J33" s="6">
        <f>ROUND(('ALL(responses)'!J34 - AVERAGE('ALL(responses)'!J$3:J$322)) / _xlfn.STDEV.S('ALL(responses)'!J$3:J$322),3)
</f>
        <v>-0.562</v>
      </c>
      <c r="K33" s="6">
        <f>ROUND(('ALL(responses)'!M34 - AVERAGE('ALL(responses)'!M$3:M$322)) / _xlfn.STDEV.S('ALL(responses)'!M$3:M$322),3)
</f>
        <v>-0.396</v>
      </c>
      <c r="L33" s="6">
        <f>ROUND(('ALL(responses)'!P34 - AVERAGE('ALL(responses)'!P$3:P$322)) / _xlfn.STDEV.S('ALL(responses)'!P$3:P$322),3)
</f>
        <v>-0.723</v>
      </c>
      <c r="M33" s="6">
        <f>ROUND(('ALL(responses)'!Q34 - AVERAGE('ALL(responses)'!Q$3:Q$322)) / _xlfn.STDEV.S('ALL(responses)'!Q$3:Q$322),3)
</f>
        <v>-1.187</v>
      </c>
      <c r="N33" s="6">
        <f>ROUND(('ALL(responses)'!R34 - AVERAGE('ALL(responses)'!R$3:R$322)) / _xlfn.STDEV.S('ALL(responses)'!R$3:R$322),3)
</f>
        <v>0.53</v>
      </c>
      <c r="O33" s="6">
        <f>ROUND(('ALL(responses)'!S34 - AVERAGE('ALL(responses)'!S$3:S$322)) / _xlfn.STDEV.S('ALL(responses)'!S$3:S$322),3)
</f>
        <v>0.462</v>
      </c>
      <c r="P33" s="6">
        <f>ROUND(('ALL(responses)'!T34 - AVERAGE('ALL(responses)'!T$3:T$322)) / _xlfn.STDEV.S('ALL(responses)'!T$3:T$322),3)
</f>
        <v>0.397</v>
      </c>
      <c r="Q33" s="40">
        <f t="shared" si="1"/>
        <v>-0.185</v>
      </c>
    </row>
    <row r="34">
      <c r="A34" s="5" t="s">
        <v>84</v>
      </c>
      <c r="B34" s="6" t="s">
        <v>21</v>
      </c>
      <c r="C34" s="7" t="s">
        <v>89</v>
      </c>
      <c r="D34" s="8" t="s">
        <v>90</v>
      </c>
      <c r="E34" s="9">
        <v>44635.0</v>
      </c>
      <c r="F34" s="6">
        <f>ROUND(('ALL(responses)'!F35 - AVERAGE('ALL(responses)'!F$3:F$322)) / _xlfn.STDEV.S('ALL(responses)'!F$3:F$322),3)
</f>
        <v>-0.571</v>
      </c>
      <c r="G34" s="6">
        <f>ROUND(('ALL(responses)'!G35 - AVERAGE('ALL(responses)'!G$3:G$322)) / _xlfn.STDEV.S('ALL(responses)'!G$3:G$322),3)
</f>
        <v>-0.627</v>
      </c>
      <c r="H34" s="6">
        <f>ROUND(('ALL(responses)'!H35 - AVERAGE('ALL(responses)'!H$3:H$322)) / _xlfn.STDEV.S('ALL(responses)'!H$3:H$322),3)
</f>
        <v>-0.418</v>
      </c>
      <c r="I34" s="6">
        <f>ROUND(('ALL(responses)'!I35 - AVERAGE('ALL(responses)'!I$3:I$322)) / _xlfn.STDEV.S('ALL(responses)'!I$3:I$322),3)
</f>
        <v>0.146</v>
      </c>
      <c r="J34" s="6">
        <f>ROUND(('ALL(responses)'!J35 - AVERAGE('ALL(responses)'!J$3:J$322)) / _xlfn.STDEV.S('ALL(responses)'!J$3:J$322),3)
</f>
        <v>-0.562</v>
      </c>
      <c r="K34" s="6">
        <f>ROUND(('ALL(responses)'!M35 - AVERAGE('ALL(responses)'!M$3:M$322)) / _xlfn.STDEV.S('ALL(responses)'!M$3:M$322),3)
</f>
        <v>0.875</v>
      </c>
      <c r="L34" s="6">
        <f>ROUND(('ALL(responses)'!P35 - AVERAGE('ALL(responses)'!P$3:P$322)) / _xlfn.STDEV.S('ALL(responses)'!P$3:P$322),3)
</f>
        <v>-0.467</v>
      </c>
      <c r="M34" s="6">
        <f>ROUND(('ALL(responses)'!Q35 - AVERAGE('ALL(responses)'!Q$3:Q$322)) / _xlfn.STDEV.S('ALL(responses)'!Q$3:Q$322),3)
</f>
        <v>-1.357</v>
      </c>
      <c r="N34" s="6">
        <f>ROUND(('ALL(responses)'!R35 - AVERAGE('ALL(responses)'!R$3:R$322)) / _xlfn.STDEV.S('ALL(responses)'!R$3:R$322),3)
</f>
        <v>0.788</v>
      </c>
      <c r="O34" s="6">
        <f>ROUND(('ALL(responses)'!S35 - AVERAGE('ALL(responses)'!S$3:S$322)) / _xlfn.STDEV.S('ALL(responses)'!S$3:S$322),3)
</f>
        <v>0.576</v>
      </c>
      <c r="P34" s="6">
        <f>ROUND(('ALL(responses)'!T35 - AVERAGE('ALL(responses)'!T$3:T$322)) / _xlfn.STDEV.S('ALL(responses)'!T$3:T$322),3)
</f>
        <v>0.188</v>
      </c>
      <c r="Q34" s="40">
        <f t="shared" si="1"/>
        <v>-0.185</v>
      </c>
    </row>
    <row r="35">
      <c r="A35" s="5" t="s">
        <v>84</v>
      </c>
      <c r="B35" s="6" t="s">
        <v>21</v>
      </c>
      <c r="C35" s="7" t="s">
        <v>91</v>
      </c>
      <c r="D35" s="8" t="s">
        <v>92</v>
      </c>
      <c r="E35" s="9">
        <v>44635.0</v>
      </c>
      <c r="F35" s="6">
        <f>ROUND(('ALL(responses)'!F36 - AVERAGE('ALL(responses)'!F$3:F$322)) / _xlfn.STDEV.S('ALL(responses)'!F$3:F$322),3)
</f>
        <v>-0.571</v>
      </c>
      <c r="G35" s="6">
        <f>ROUND(('ALL(responses)'!G36 - AVERAGE('ALL(responses)'!G$3:G$322)) / _xlfn.STDEV.S('ALL(responses)'!G$3:G$322),3)
</f>
        <v>-0.627</v>
      </c>
      <c r="H35" s="6">
        <f>ROUND(('ALL(responses)'!H36 - AVERAGE('ALL(responses)'!H$3:H$322)) / _xlfn.STDEV.S('ALL(responses)'!H$3:H$322),3)
</f>
        <v>-0.418</v>
      </c>
      <c r="I35" s="6">
        <f>ROUND(('ALL(responses)'!I36 - AVERAGE('ALL(responses)'!I$3:I$322)) / _xlfn.STDEV.S('ALL(responses)'!I$3:I$322),3)
</f>
        <v>0.146</v>
      </c>
      <c r="J35" s="6">
        <f>ROUND(('ALL(responses)'!J36 - AVERAGE('ALL(responses)'!J$3:J$322)) / _xlfn.STDEV.S('ALL(responses)'!J$3:J$322),3)
</f>
        <v>-0.562</v>
      </c>
      <c r="K35" s="6">
        <f>ROUND(('ALL(responses)'!M36 - AVERAGE('ALL(responses)'!M$3:M$322)) / _xlfn.STDEV.S('ALL(responses)'!M$3:M$322),3)
</f>
        <v>-0.757</v>
      </c>
      <c r="L35" s="6">
        <f>ROUND(('ALL(responses)'!P36 - AVERAGE('ALL(responses)'!P$3:P$322)) / _xlfn.STDEV.S('ALL(responses)'!P$3:P$322),3)
</f>
        <v>0.712</v>
      </c>
      <c r="M35" s="6">
        <f>ROUND(('ALL(responses)'!Q36 - AVERAGE('ALL(responses)'!Q$3:Q$322)) / _xlfn.STDEV.S('ALL(responses)'!Q$3:Q$322),3)
</f>
        <v>0.708</v>
      </c>
      <c r="N35" s="6">
        <f>ROUND(('ALL(responses)'!R36 - AVERAGE('ALL(responses)'!R$3:R$322)) / _xlfn.STDEV.S('ALL(responses)'!R$3:R$322),3)
</f>
        <v>0.776</v>
      </c>
      <c r="O35" s="6">
        <f>ROUND(('ALL(responses)'!S36 - AVERAGE('ALL(responses)'!S$3:S$322)) / _xlfn.STDEV.S('ALL(responses)'!S$3:S$322),3)
</f>
        <v>0.571</v>
      </c>
      <c r="P35" s="6">
        <f>ROUND(('ALL(responses)'!T36 - AVERAGE('ALL(responses)'!T$3:T$322)) / _xlfn.STDEV.S('ALL(responses)'!T$3:T$322),3)
</f>
        <v>0.247</v>
      </c>
      <c r="Q35" s="40">
        <f t="shared" si="1"/>
        <v>-0.185</v>
      </c>
    </row>
    <row r="36">
      <c r="A36" s="5" t="s">
        <v>84</v>
      </c>
      <c r="B36" s="6" t="s">
        <v>21</v>
      </c>
      <c r="C36" s="7" t="s">
        <v>93</v>
      </c>
      <c r="D36" s="8" t="s">
        <v>94</v>
      </c>
      <c r="E36" s="9">
        <v>44635.0</v>
      </c>
      <c r="F36" s="6">
        <f>ROUND(('ALL(responses)'!F37 - AVERAGE('ALL(responses)'!F$3:F$322)) / _xlfn.STDEV.S('ALL(responses)'!F$3:F$322),3)
</f>
        <v>-0.571</v>
      </c>
      <c r="G36" s="6">
        <f>ROUND(('ALL(responses)'!G37 - AVERAGE('ALL(responses)'!G$3:G$322)) / _xlfn.STDEV.S('ALL(responses)'!G$3:G$322),3)
</f>
        <v>-0.627</v>
      </c>
      <c r="H36" s="6">
        <f>ROUND(('ALL(responses)'!H37 - AVERAGE('ALL(responses)'!H$3:H$322)) / _xlfn.STDEV.S('ALL(responses)'!H$3:H$322),3)
</f>
        <v>-0.418</v>
      </c>
      <c r="I36" s="6">
        <f>ROUND(('ALL(responses)'!I37 - AVERAGE('ALL(responses)'!I$3:I$322)) / _xlfn.STDEV.S('ALL(responses)'!I$3:I$322),3)
</f>
        <v>-0.673</v>
      </c>
      <c r="J36" s="6">
        <f>ROUND(('ALL(responses)'!J37 - AVERAGE('ALL(responses)'!J$3:J$322)) / _xlfn.STDEV.S('ALL(responses)'!J$3:J$322),3)
</f>
        <v>-0.562</v>
      </c>
      <c r="K36" s="6">
        <f>ROUND(('ALL(responses)'!M37 - AVERAGE('ALL(responses)'!M$3:M$322)) / _xlfn.STDEV.S('ALL(responses)'!M$3:M$322),3)
</f>
        <v>-1.527</v>
      </c>
      <c r="L36" s="6">
        <f>ROUND(('ALL(responses)'!P37 - AVERAGE('ALL(responses)'!P$3:P$322)) / _xlfn.STDEV.S('ALL(responses)'!P$3:P$322),3)
</f>
        <v>-0.72</v>
      </c>
      <c r="M36" s="6">
        <f>ROUND(('ALL(responses)'!Q37 - AVERAGE('ALL(responses)'!Q$3:Q$322)) / _xlfn.STDEV.S('ALL(responses)'!Q$3:Q$322),3)
</f>
        <v>-0.223</v>
      </c>
      <c r="N36" s="6">
        <f>ROUND(('ALL(responses)'!R37 - AVERAGE('ALL(responses)'!R$3:R$322)) / _xlfn.STDEV.S('ALL(responses)'!R$3:R$322),3)
</f>
        <v>-0.143</v>
      </c>
      <c r="O36" s="6">
        <f>ROUND(('ALL(responses)'!S37 - AVERAGE('ALL(responses)'!S$3:S$322)) / _xlfn.STDEV.S('ALL(responses)'!S$3:S$322),3)
</f>
        <v>0.164</v>
      </c>
      <c r="P36" s="6">
        <f>ROUND(('ALL(responses)'!T37 - AVERAGE('ALL(responses)'!T$3:T$322)) / _xlfn.STDEV.S('ALL(responses)'!T$3:T$322),3)
</f>
        <v>0.625</v>
      </c>
      <c r="Q36" s="40">
        <f t="shared" si="1"/>
        <v>-0.185</v>
      </c>
    </row>
    <row r="37">
      <c r="A37" s="5" t="s">
        <v>84</v>
      </c>
      <c r="B37" s="6" t="s">
        <v>21</v>
      </c>
      <c r="C37" s="7" t="s">
        <v>95</v>
      </c>
      <c r="D37" s="8" t="s">
        <v>96</v>
      </c>
      <c r="E37" s="9">
        <v>44635.0</v>
      </c>
      <c r="F37" s="6">
        <f>ROUND(('ALL(responses)'!F38 - AVERAGE('ALL(responses)'!F$3:F$322)) / _xlfn.STDEV.S('ALL(responses)'!F$3:F$322),3)
</f>
        <v>-0.571</v>
      </c>
      <c r="G37" s="6">
        <f>ROUND(('ALL(responses)'!G38 - AVERAGE('ALL(responses)'!G$3:G$322)) / _xlfn.STDEV.S('ALL(responses)'!G$3:G$322),3)
</f>
        <v>-0.627</v>
      </c>
      <c r="H37" s="6">
        <f>ROUND(('ALL(responses)'!H38 - AVERAGE('ALL(responses)'!H$3:H$322)) / _xlfn.STDEV.S('ALL(responses)'!H$3:H$322),3)
</f>
        <v>-0.418</v>
      </c>
      <c r="I37" s="6">
        <f>ROUND(('ALL(responses)'!I38 - AVERAGE('ALL(responses)'!I$3:I$322)) / _xlfn.STDEV.S('ALL(responses)'!I$3:I$322),3)
</f>
        <v>0.146</v>
      </c>
      <c r="J37" s="6">
        <f>ROUND(('ALL(responses)'!J38 - AVERAGE('ALL(responses)'!J$3:J$322)) / _xlfn.STDEV.S('ALL(responses)'!J$3:J$322),3)
</f>
        <v>-0.562</v>
      </c>
      <c r="K37" s="6">
        <f>ROUND(('ALL(responses)'!M38 - AVERAGE('ALL(responses)'!M$3:M$322)) / _xlfn.STDEV.S('ALL(responses)'!M$3:M$322),3)
</f>
        <v>2.244</v>
      </c>
      <c r="L37" s="6">
        <f>ROUND(('ALL(responses)'!P38 - AVERAGE('ALL(responses)'!P$3:P$322)) / _xlfn.STDEV.S('ALL(responses)'!P$3:P$322),3)
</f>
        <v>-0.256</v>
      </c>
      <c r="M37" s="6">
        <f>ROUND(('ALL(responses)'!Q38 - AVERAGE('ALL(responses)'!Q$3:Q$322)) / _xlfn.STDEV.S('ALL(responses)'!Q$3:Q$322),3)
</f>
        <v>0.078</v>
      </c>
      <c r="N37" s="6">
        <f>ROUND(('ALL(responses)'!R38 - AVERAGE('ALL(responses)'!R$3:R$322)) / _xlfn.STDEV.S('ALL(responses)'!R$3:R$322),3)
</f>
        <v>0.628</v>
      </c>
      <c r="O37" s="6">
        <f>ROUND(('ALL(responses)'!S38 - AVERAGE('ALL(responses)'!S$3:S$322)) / _xlfn.STDEV.S('ALL(responses)'!S$3:S$322),3)
</f>
        <v>0.505</v>
      </c>
      <c r="P37" s="6">
        <f>ROUND(('ALL(responses)'!T38 - AVERAGE('ALL(responses)'!T$3:T$322)) / _xlfn.STDEV.S('ALL(responses)'!T$3:T$322),3)
</f>
        <v>0.658</v>
      </c>
      <c r="Q37" s="40">
        <f t="shared" si="1"/>
        <v>-0.185</v>
      </c>
    </row>
    <row r="38">
      <c r="A38" s="5" t="s">
        <v>84</v>
      </c>
      <c r="B38" s="6" t="s">
        <v>21</v>
      </c>
      <c r="C38" s="7" t="s">
        <v>97</v>
      </c>
      <c r="D38" s="8" t="s">
        <v>98</v>
      </c>
      <c r="E38" s="9">
        <v>44635.0</v>
      </c>
      <c r="F38" s="6">
        <f>ROUND(('ALL(responses)'!F39 - AVERAGE('ALL(responses)'!F$3:F$322)) / _xlfn.STDEV.S('ALL(responses)'!F$3:F$322),3)
</f>
        <v>-0.571</v>
      </c>
      <c r="G38" s="6">
        <f>ROUND(('ALL(responses)'!G39 - AVERAGE('ALL(responses)'!G$3:G$322)) / _xlfn.STDEV.S('ALL(responses)'!G$3:G$322),3)
</f>
        <v>-0.627</v>
      </c>
      <c r="H38" s="6">
        <f>ROUND(('ALL(responses)'!H39 - AVERAGE('ALL(responses)'!H$3:H$322)) / _xlfn.STDEV.S('ALL(responses)'!H$3:H$322),3)
</f>
        <v>-0.418</v>
      </c>
      <c r="I38" s="6">
        <f>ROUND(('ALL(responses)'!I39 - AVERAGE('ALL(responses)'!I$3:I$322)) / _xlfn.STDEV.S('ALL(responses)'!I$3:I$322),3)
</f>
        <v>0.146</v>
      </c>
      <c r="J38" s="6">
        <f>ROUND(('ALL(responses)'!J39 - AVERAGE('ALL(responses)'!J$3:J$322)) / _xlfn.STDEV.S('ALL(responses)'!J$3:J$322),3)
</f>
        <v>-0.562</v>
      </c>
      <c r="K38" s="6">
        <f>ROUND(('ALL(responses)'!M39 - AVERAGE('ALL(responses)'!M$3:M$322)) / _xlfn.STDEV.S('ALL(responses)'!M$3:M$322),3)
</f>
        <v>-0.394</v>
      </c>
      <c r="L38" s="6">
        <f>ROUND(('ALL(responses)'!P39 - AVERAGE('ALL(responses)'!P$3:P$322)) / _xlfn.STDEV.S('ALL(responses)'!P$3:P$322),3)
</f>
        <v>0.67</v>
      </c>
      <c r="M38" s="6">
        <f>ROUND(('ALL(responses)'!Q39 - AVERAGE('ALL(responses)'!Q$3:Q$322)) / _xlfn.STDEV.S('ALL(responses)'!Q$3:Q$322),3)
</f>
        <v>-1.384</v>
      </c>
      <c r="N38" s="6">
        <f>ROUND(('ALL(responses)'!R39 - AVERAGE('ALL(responses)'!R$3:R$322)) / _xlfn.STDEV.S('ALL(responses)'!R$3:R$322),3)
</f>
        <v>0.793</v>
      </c>
      <c r="O38" s="6">
        <f>ROUND(('ALL(responses)'!S39 - AVERAGE('ALL(responses)'!S$3:S$322)) / _xlfn.STDEV.S('ALL(responses)'!S$3:S$322),3)
</f>
        <v>0.578</v>
      </c>
      <c r="P38" s="6">
        <f>ROUND(('ALL(responses)'!T39 - AVERAGE('ALL(responses)'!T$3:T$322)) / _xlfn.STDEV.S('ALL(responses)'!T$3:T$322),3)
</f>
        <v>0.925</v>
      </c>
      <c r="Q38" s="40">
        <f t="shared" si="1"/>
        <v>-0.185</v>
      </c>
    </row>
    <row r="39">
      <c r="A39" s="5" t="s">
        <v>84</v>
      </c>
      <c r="B39" s="6" t="s">
        <v>21</v>
      </c>
      <c r="C39" s="7" t="s">
        <v>99</v>
      </c>
      <c r="D39" s="8" t="s">
        <v>100</v>
      </c>
      <c r="E39" s="9">
        <v>44635.0</v>
      </c>
      <c r="F39" s="6">
        <f>ROUND(('ALL(responses)'!F40 - AVERAGE('ALL(responses)'!F$3:F$322)) / _xlfn.STDEV.S('ALL(responses)'!F$3:F$322),3)
</f>
        <v>-0.571</v>
      </c>
      <c r="G39" s="6">
        <f>ROUND(('ALL(responses)'!G40 - AVERAGE('ALL(responses)'!G$3:G$322)) / _xlfn.STDEV.S('ALL(responses)'!G$3:G$322),3)
</f>
        <v>-0.627</v>
      </c>
      <c r="H39" s="6">
        <f>ROUND(('ALL(responses)'!H40 - AVERAGE('ALL(responses)'!H$3:H$322)) / _xlfn.STDEV.S('ALL(responses)'!H$3:H$322),3)
</f>
        <v>-0.418</v>
      </c>
      <c r="I39" s="6">
        <f>ROUND(('ALL(responses)'!I40 - AVERAGE('ALL(responses)'!I$3:I$322)) / _xlfn.STDEV.S('ALL(responses)'!I$3:I$322),3)
</f>
        <v>0.146</v>
      </c>
      <c r="J39" s="6">
        <f>ROUND(('ALL(responses)'!J40 - AVERAGE('ALL(responses)'!J$3:J$322)) / _xlfn.STDEV.S('ALL(responses)'!J$3:J$322),3)
</f>
        <v>-0.562</v>
      </c>
      <c r="K39" s="6">
        <f>ROUND(('ALL(responses)'!M40 - AVERAGE('ALL(responses)'!M$3:M$322)) / _xlfn.STDEV.S('ALL(responses)'!M$3:M$322),3)
</f>
        <v>0.607</v>
      </c>
      <c r="L39" s="6">
        <f>ROUND(('ALL(responses)'!P40 - AVERAGE('ALL(responses)'!P$3:P$322)) / _xlfn.STDEV.S('ALL(responses)'!P$3:P$322),3)
</f>
        <v>1.029</v>
      </c>
      <c r="M39" s="6">
        <f>ROUND(('ALL(responses)'!Q40 - AVERAGE('ALL(responses)'!Q$3:Q$322)) / _xlfn.STDEV.S('ALL(responses)'!Q$3:Q$322),3)
</f>
        <v>-1.382</v>
      </c>
      <c r="N39" s="6">
        <f>ROUND(('ALL(responses)'!R40 - AVERAGE('ALL(responses)'!R$3:R$322)) / _xlfn.STDEV.S('ALL(responses)'!R$3:R$322),3)
</f>
        <v>0.594</v>
      </c>
      <c r="O39" s="6">
        <f>ROUND(('ALL(responses)'!S40 - AVERAGE('ALL(responses)'!S$3:S$322)) / _xlfn.STDEV.S('ALL(responses)'!S$3:S$322),3)
</f>
        <v>-3.791</v>
      </c>
      <c r="P39" s="6">
        <f>ROUND(('ALL(responses)'!T40 - AVERAGE('ALL(responses)'!T$3:T$322)) / _xlfn.STDEV.S('ALL(responses)'!T$3:T$322),3)
</f>
        <v>0.704</v>
      </c>
      <c r="Q39" s="40">
        <f t="shared" si="1"/>
        <v>-0.185</v>
      </c>
    </row>
    <row r="40">
      <c r="A40" s="5" t="s">
        <v>84</v>
      </c>
      <c r="B40" s="6" t="s">
        <v>21</v>
      </c>
      <c r="C40" s="7" t="s">
        <v>101</v>
      </c>
      <c r="D40" s="8" t="s">
        <v>102</v>
      </c>
      <c r="E40" s="9">
        <v>44635.0</v>
      </c>
      <c r="F40" s="6">
        <f>ROUND(('ALL(responses)'!F41 - AVERAGE('ALL(responses)'!F$3:F$322)) / _xlfn.STDEV.S('ALL(responses)'!F$3:F$322),3)
</f>
        <v>-0.571</v>
      </c>
      <c r="G40" s="6">
        <f>ROUND(('ALL(responses)'!G41 - AVERAGE('ALL(responses)'!G$3:G$322)) / _xlfn.STDEV.S('ALL(responses)'!G$3:G$322),3)
</f>
        <v>-0.627</v>
      </c>
      <c r="H40" s="6">
        <f>ROUND(('ALL(responses)'!H41 - AVERAGE('ALL(responses)'!H$3:H$322)) / _xlfn.STDEV.S('ALL(responses)'!H$3:H$322),3)
</f>
        <v>-0.418</v>
      </c>
      <c r="I40" s="6">
        <f>ROUND(('ALL(responses)'!I41 - AVERAGE('ALL(responses)'!I$3:I$322)) / _xlfn.STDEV.S('ALL(responses)'!I$3:I$322),3)
</f>
        <v>0.146</v>
      </c>
      <c r="J40" s="6">
        <f>ROUND(('ALL(responses)'!J41 - AVERAGE('ALL(responses)'!J$3:J$322)) / _xlfn.STDEV.S('ALL(responses)'!J$3:J$322),3)
</f>
        <v>-0.562</v>
      </c>
      <c r="K40" s="6">
        <f>ROUND(('ALL(responses)'!M41 - AVERAGE('ALL(responses)'!M$3:M$322)) / _xlfn.STDEV.S('ALL(responses)'!M$3:M$322),3)
</f>
        <v>0.606</v>
      </c>
      <c r="L40" s="6">
        <f>ROUND(('ALL(responses)'!P41 - AVERAGE('ALL(responses)'!P$3:P$322)) / _xlfn.STDEV.S('ALL(responses)'!P$3:P$322),3)
</f>
        <v>-0.73</v>
      </c>
      <c r="M40" s="6">
        <f>ROUND(('ALL(responses)'!Q41 - AVERAGE('ALL(responses)'!Q$3:Q$322)) / _xlfn.STDEV.S('ALL(responses)'!Q$3:Q$322),3)
</f>
        <v>0.614</v>
      </c>
      <c r="N40" s="6">
        <f>ROUND(('ALL(responses)'!R41 - AVERAGE('ALL(responses)'!R$3:R$322)) / _xlfn.STDEV.S('ALL(responses)'!R$3:R$322),3)
</f>
        <v>0.779</v>
      </c>
      <c r="O40" s="6">
        <f>ROUND(('ALL(responses)'!S41 - AVERAGE('ALL(responses)'!S$3:S$322)) / _xlfn.STDEV.S('ALL(responses)'!S$3:S$322),3)
</f>
        <v>0.572</v>
      </c>
      <c r="P40" s="6">
        <f>ROUND(('ALL(responses)'!T41 - AVERAGE('ALL(responses)'!T$3:T$322)) / _xlfn.STDEV.S('ALL(responses)'!T$3:T$322),3)
</f>
        <v>-0.106</v>
      </c>
      <c r="Q40" s="40">
        <f t="shared" si="1"/>
        <v>-0.185</v>
      </c>
    </row>
    <row r="41">
      <c r="A41" s="5" t="s">
        <v>84</v>
      </c>
      <c r="B41" s="6" t="s">
        <v>21</v>
      </c>
      <c r="C41" s="7" t="s">
        <v>103</v>
      </c>
      <c r="D41" s="8" t="s">
        <v>104</v>
      </c>
      <c r="E41" s="9">
        <v>44635.0</v>
      </c>
      <c r="F41" s="6">
        <f>ROUND(('ALL(responses)'!F42 - AVERAGE('ALL(responses)'!F$3:F$322)) / _xlfn.STDEV.S('ALL(responses)'!F$3:F$322),3)
</f>
        <v>0.766</v>
      </c>
      <c r="G41" s="6">
        <f>ROUND(('ALL(responses)'!G42 - AVERAGE('ALL(responses)'!G$3:G$322)) / _xlfn.STDEV.S('ALL(responses)'!G$3:G$322),3)
</f>
        <v>0.625</v>
      </c>
      <c r="H41" s="6">
        <f>ROUND(('ALL(responses)'!H42 - AVERAGE('ALL(responses)'!H$3:H$322)) / _xlfn.STDEV.S('ALL(responses)'!H$3:H$322),3)
</f>
        <v>1.155</v>
      </c>
      <c r="I41" s="6">
        <f>ROUND(('ALL(responses)'!I42 - AVERAGE('ALL(responses)'!I$3:I$322)) / _xlfn.STDEV.S('ALL(responses)'!I$3:I$322),3)
</f>
        <v>-0.264</v>
      </c>
      <c r="J41" s="6">
        <f>ROUND(('ALL(responses)'!J42 - AVERAGE('ALL(responses)'!J$3:J$322)) / _xlfn.STDEV.S('ALL(responses)'!J$3:J$322),3)
</f>
        <v>0.795</v>
      </c>
      <c r="K41" s="6">
        <f>ROUND(('ALL(responses)'!M42 - AVERAGE('ALL(responses)'!M$3:M$322)) / _xlfn.STDEV.S('ALL(responses)'!M$3:M$322),3)
</f>
        <v>0.931</v>
      </c>
      <c r="L41" s="6">
        <f>ROUND(('ALL(responses)'!P42 - AVERAGE('ALL(responses)'!P$3:P$322)) / _xlfn.STDEV.S('ALL(responses)'!P$3:P$322),3)
</f>
        <v>0.427</v>
      </c>
      <c r="M41" s="6">
        <f>ROUND(('ALL(responses)'!Q42 - AVERAGE('ALL(responses)'!Q$3:Q$322)) / _xlfn.STDEV.S('ALL(responses)'!Q$3:Q$322),3)
</f>
        <v>1.105</v>
      </c>
      <c r="N41" s="6">
        <f>ROUND(('ALL(responses)'!R42 - AVERAGE('ALL(responses)'!R$3:R$322)) / _xlfn.STDEV.S('ALL(responses)'!R$3:R$322),3)
</f>
        <v>0.083</v>
      </c>
      <c r="O41" s="6">
        <f>ROUND(('ALL(responses)'!S42 - AVERAGE('ALL(responses)'!S$3:S$322)) / _xlfn.STDEV.S('ALL(responses)'!S$3:S$322),3)
</f>
        <v>0.264</v>
      </c>
      <c r="P41" s="6">
        <f>ROUND(('ALL(responses)'!T42 - AVERAGE('ALL(responses)'!T$3:T$322)) / _xlfn.STDEV.S('ALL(responses)'!T$3:T$322),3)
</f>
        <v>-3.187</v>
      </c>
      <c r="Q41" s="40">
        <f t="shared" si="1"/>
        <v>-0.185</v>
      </c>
    </row>
    <row r="42">
      <c r="A42" s="5" t="s">
        <v>20</v>
      </c>
      <c r="B42" s="6" t="s">
        <v>105</v>
      </c>
      <c r="C42" s="7" t="s">
        <v>22</v>
      </c>
      <c r="D42" s="7" t="s">
        <v>106</v>
      </c>
      <c r="E42" s="9">
        <v>44999.0</v>
      </c>
      <c r="F42" s="6">
        <f>ROUND(('ALL(responses)'!F43 - AVERAGE('ALL(responses)'!F$3:F$322)) / _xlfn.STDEV.S('ALL(responses)'!F$3:F$322),3)
</f>
        <v>1.212</v>
      </c>
      <c r="G42" s="6">
        <f>ROUND(('ALL(responses)'!G43 - AVERAGE('ALL(responses)'!G$3:G$322)) / _xlfn.STDEV.S('ALL(responses)'!G$3:G$322),3)
</f>
        <v>-0.627</v>
      </c>
      <c r="H42" s="6">
        <f>ROUND(('ALL(responses)'!H43 - AVERAGE('ALL(responses)'!H$3:H$322)) / _xlfn.STDEV.S('ALL(responses)'!H$3:H$322),3)
</f>
        <v>-0.942</v>
      </c>
      <c r="I42" s="6">
        <f>ROUND(('ALL(responses)'!I43 - AVERAGE('ALL(responses)'!I$3:I$322)) / _xlfn.STDEV.S('ALL(responses)'!I$3:I$322),3)
</f>
        <v>0.556</v>
      </c>
      <c r="J42" s="6">
        <f>ROUND(('ALL(responses)'!J43 - AVERAGE('ALL(responses)'!J$3:J$322)) / _xlfn.STDEV.S('ALL(responses)'!J$3:J$322),3)
</f>
        <v>-0.562</v>
      </c>
      <c r="K42" s="6">
        <f>ROUND(('ALL(responses)'!M43 - AVERAGE('ALL(responses)'!M$3:M$322)) / _xlfn.STDEV.S('ALL(responses)'!M$3:M$322),3)
</f>
        <v>0.504</v>
      </c>
      <c r="L42" s="6">
        <f>ROUND(('ALL(responses)'!P43 - AVERAGE('ALL(responses)'!P$3:P$322)) / _xlfn.STDEV.S('ALL(responses)'!P$3:P$322),3)
</f>
        <v>1.318</v>
      </c>
      <c r="M42" s="6">
        <f>ROUND(('ALL(responses)'!Q43 - AVERAGE('ALL(responses)'!Q$3:Q$322)) / _xlfn.STDEV.S('ALL(responses)'!Q$3:Q$322),3)
</f>
        <v>-0.623</v>
      </c>
      <c r="N42" s="6">
        <f>ROUND(('ALL(responses)'!R43 - AVERAGE('ALL(responses)'!R$3:R$322)) / _xlfn.STDEV.S('ALL(responses)'!R$3:R$322),3)
</f>
        <v>0.684</v>
      </c>
      <c r="O42" s="6">
        <f>ROUND(('ALL(responses)'!S43 - AVERAGE('ALL(responses)'!S$3:S$322)) / _xlfn.STDEV.S('ALL(responses)'!S$3:S$322),3)
</f>
        <v>0.53</v>
      </c>
      <c r="P42" s="6">
        <f>ROUND(('ALL(responses)'!T43 - AVERAGE('ALL(responses)'!T$3:T$322)) / _xlfn.STDEV.S('ALL(responses)'!T$3:T$322),3)
</f>
        <v>-1.419</v>
      </c>
      <c r="Q42" s="40">
        <f t="shared" ref="Q42:Q81" si="2">ROUND(AVERAGE(F$42:P$81),3)</f>
        <v>0.223</v>
      </c>
    </row>
    <row r="43">
      <c r="A43" s="5" t="s">
        <v>20</v>
      </c>
      <c r="B43" s="6" t="s">
        <v>105</v>
      </c>
      <c r="C43" s="7" t="s">
        <v>24</v>
      </c>
      <c r="D43" s="7" t="s">
        <v>107</v>
      </c>
      <c r="E43" s="9">
        <v>44999.0</v>
      </c>
      <c r="F43" s="6">
        <f>ROUND(('ALL(responses)'!F44 - AVERAGE('ALL(responses)'!F$3:F$322)) / _xlfn.STDEV.S('ALL(responses)'!F$3:F$322),3)
</f>
        <v>0.32</v>
      </c>
      <c r="G43" s="6">
        <f>ROUND(('ALL(responses)'!G44 - AVERAGE('ALL(responses)'!G$3:G$322)) / _xlfn.STDEV.S('ALL(responses)'!G$3:G$322),3)
</f>
        <v>0.625</v>
      </c>
      <c r="H43" s="6">
        <f>ROUND(('ALL(responses)'!H44 - AVERAGE('ALL(responses)'!H$3:H$322)) / _xlfn.STDEV.S('ALL(responses)'!H$3:H$322),3)
</f>
        <v>1.155</v>
      </c>
      <c r="I43" s="6">
        <f>ROUND(('ALL(responses)'!I44 - AVERAGE('ALL(responses)'!I$3:I$322)) / _xlfn.STDEV.S('ALL(responses)'!I$3:I$322),3)
</f>
        <v>0.965</v>
      </c>
      <c r="J43" s="6">
        <f>ROUND(('ALL(responses)'!J44 - AVERAGE('ALL(responses)'!J$3:J$322)) / _xlfn.STDEV.S('ALL(responses)'!J$3:J$322),3)
</f>
        <v>2.151</v>
      </c>
      <c r="K43" s="6">
        <f>ROUND(('ALL(responses)'!M44 - AVERAGE('ALL(responses)'!M$3:M$322)) / _xlfn.STDEV.S('ALL(responses)'!M$3:M$322),3)
</f>
        <v>0.431</v>
      </c>
      <c r="L43" s="6">
        <f>ROUND(('ALL(responses)'!P44 - AVERAGE('ALL(responses)'!P$3:P$322)) / _xlfn.STDEV.S('ALL(responses)'!P$3:P$322),3)
</f>
        <v>-0.497</v>
      </c>
      <c r="M43" s="6">
        <f>ROUND(('ALL(responses)'!Q44 - AVERAGE('ALL(responses)'!Q$3:Q$322)) / _xlfn.STDEV.S('ALL(responses)'!Q$3:Q$322),3)
</f>
        <v>0.979</v>
      </c>
      <c r="N43" s="6">
        <f>ROUND(('ALL(responses)'!R44 - AVERAGE('ALL(responses)'!R$3:R$322)) / _xlfn.STDEV.S('ALL(responses)'!R$3:R$322),3)
</f>
        <v>0.265</v>
      </c>
      <c r="O43" s="6">
        <f>ROUND(('ALL(responses)'!S44 - AVERAGE('ALL(responses)'!S$3:S$322)) / _xlfn.STDEV.S('ALL(responses)'!S$3:S$322),3)
</f>
        <v>0.344</v>
      </c>
      <c r="P43" s="6">
        <f>ROUND(('ALL(responses)'!T44 - AVERAGE('ALL(responses)'!T$3:T$322)) / _xlfn.STDEV.S('ALL(responses)'!T$3:T$322),3)
</f>
        <v>-0.385</v>
      </c>
      <c r="Q43" s="40">
        <f t="shared" si="2"/>
        <v>0.223</v>
      </c>
    </row>
    <row r="44">
      <c r="A44" s="5" t="s">
        <v>20</v>
      </c>
      <c r="B44" s="6" t="s">
        <v>105</v>
      </c>
      <c r="C44" s="7" t="s">
        <v>26</v>
      </c>
      <c r="D44" s="7" t="s">
        <v>108</v>
      </c>
      <c r="E44" s="9">
        <v>44999.0</v>
      </c>
      <c r="F44" s="6">
        <f>ROUND(('ALL(responses)'!F45 - AVERAGE('ALL(responses)'!F$3:F$322)) / _xlfn.STDEV.S('ALL(responses)'!F$3:F$322),3)
</f>
        <v>1.212</v>
      </c>
      <c r="G44" s="6">
        <f>ROUND(('ALL(responses)'!G45 - AVERAGE('ALL(responses)'!G$3:G$322)) / _xlfn.STDEV.S('ALL(responses)'!G$3:G$322),3)
</f>
        <v>-0.21</v>
      </c>
      <c r="H44" s="6">
        <f>ROUND(('ALL(responses)'!H45 - AVERAGE('ALL(responses)'!H$3:H$322)) / _xlfn.STDEV.S('ALL(responses)'!H$3:H$322),3)
</f>
        <v>1.155</v>
      </c>
      <c r="I44" s="6">
        <f>ROUND(('ALL(responses)'!I45 - AVERAGE('ALL(responses)'!I$3:I$322)) / _xlfn.STDEV.S('ALL(responses)'!I$3:I$322),3)
</f>
        <v>0.146</v>
      </c>
      <c r="J44" s="6">
        <f>ROUND(('ALL(responses)'!J45 - AVERAGE('ALL(responses)'!J$3:J$322)) / _xlfn.STDEV.S('ALL(responses)'!J$3:J$322),3)
</f>
        <v>-0.562</v>
      </c>
      <c r="K44" s="6">
        <f>ROUND(('ALL(responses)'!M45 - AVERAGE('ALL(responses)'!M$3:M$322)) / _xlfn.STDEV.S('ALL(responses)'!M$3:M$322),3)
</f>
        <v>0.323</v>
      </c>
      <c r="L44" s="6">
        <f>ROUND(('ALL(responses)'!P45 - AVERAGE('ALL(responses)'!P$3:P$322)) / _xlfn.STDEV.S('ALL(responses)'!P$3:P$322),3)
</f>
        <v>-0.326</v>
      </c>
      <c r="M44" s="6">
        <f>ROUND(('ALL(responses)'!Q45 - AVERAGE('ALL(responses)'!Q$3:Q$322)) / _xlfn.STDEV.S('ALL(responses)'!Q$3:Q$322),3)
</f>
        <v>-0.205</v>
      </c>
      <c r="N44" s="6">
        <f>ROUND(('ALL(responses)'!R45 - AVERAGE('ALL(responses)'!R$3:R$322)) / _xlfn.STDEV.S('ALL(responses)'!R$3:R$322),3)
</f>
        <v>0.156</v>
      </c>
      <c r="O44" s="6">
        <f>ROUND(('ALL(responses)'!S45 - AVERAGE('ALL(responses)'!S$3:S$322)) / _xlfn.STDEV.S('ALL(responses)'!S$3:S$322),3)
</f>
        <v>0.296</v>
      </c>
      <c r="P44" s="6">
        <f>ROUND(('ALL(responses)'!T45 - AVERAGE('ALL(responses)'!T$3:T$322)) / _xlfn.STDEV.S('ALL(responses)'!T$3:T$322),3)
</f>
        <v>-1.776</v>
      </c>
      <c r="Q44" s="40">
        <f t="shared" si="2"/>
        <v>0.223</v>
      </c>
    </row>
    <row r="45">
      <c r="A45" s="5" t="s">
        <v>20</v>
      </c>
      <c r="B45" s="6" t="s">
        <v>105</v>
      </c>
      <c r="C45" s="7" t="s">
        <v>28</v>
      </c>
      <c r="D45" s="7" t="s">
        <v>109</v>
      </c>
      <c r="E45" s="9">
        <v>44999.0</v>
      </c>
      <c r="F45" s="6">
        <f>ROUND(('ALL(responses)'!F46 - AVERAGE('ALL(responses)'!F$3:F$322)) / _xlfn.STDEV.S('ALL(responses)'!F$3:F$322),3)
</f>
        <v>1.212</v>
      </c>
      <c r="G45" s="6">
        <f>ROUND(('ALL(responses)'!G46 - AVERAGE('ALL(responses)'!G$3:G$322)) / _xlfn.STDEV.S('ALL(responses)'!G$3:G$322),3)
</f>
        <v>-0.21</v>
      </c>
      <c r="H45" s="6">
        <f>ROUND(('ALL(responses)'!H46 - AVERAGE('ALL(responses)'!H$3:H$322)) / _xlfn.STDEV.S('ALL(responses)'!H$3:H$322),3)
</f>
        <v>-0.942</v>
      </c>
      <c r="I45" s="6">
        <f>ROUND(('ALL(responses)'!I46 - AVERAGE('ALL(responses)'!I$3:I$322)) / _xlfn.STDEV.S('ALL(responses)'!I$3:I$322),3)
</f>
        <v>-0.673</v>
      </c>
      <c r="J45" s="6">
        <f>ROUND(('ALL(responses)'!J46 - AVERAGE('ALL(responses)'!J$3:J$322)) / _xlfn.STDEV.S('ALL(responses)'!J$3:J$322),3)
</f>
        <v>0.795</v>
      </c>
      <c r="K45" s="6">
        <f>ROUND(('ALL(responses)'!M46 - AVERAGE('ALL(responses)'!M$3:M$322)) / _xlfn.STDEV.S('ALL(responses)'!M$3:M$322),3)
</f>
        <v>0.349</v>
      </c>
      <c r="L45" s="6">
        <f>ROUND(('ALL(responses)'!P46 - AVERAGE('ALL(responses)'!P$3:P$322)) / _xlfn.STDEV.S('ALL(responses)'!P$3:P$322),3)
</f>
        <v>-1.457</v>
      </c>
      <c r="M45" s="6">
        <f>ROUND(('ALL(responses)'!Q46 - AVERAGE('ALL(responses)'!Q$3:Q$322)) / _xlfn.STDEV.S('ALL(responses)'!Q$3:Q$322),3)
</f>
        <v>-1.466</v>
      </c>
      <c r="N45" s="6">
        <f>ROUND(('ALL(responses)'!R46 - AVERAGE('ALL(responses)'!R$3:R$322)) / _xlfn.STDEV.S('ALL(responses)'!R$3:R$322),3)
</f>
        <v>0.592</v>
      </c>
      <c r="O45" s="6">
        <f>ROUND(('ALL(responses)'!S46 - AVERAGE('ALL(responses)'!S$3:S$322)) / _xlfn.STDEV.S('ALL(responses)'!S$3:S$322),3)
</f>
        <v>0.489</v>
      </c>
      <c r="P45" s="6">
        <f>ROUND(('ALL(responses)'!T46 - AVERAGE('ALL(responses)'!T$3:T$322)) / _xlfn.STDEV.S('ALL(responses)'!T$3:T$322),3)
</f>
        <v>-1.599</v>
      </c>
      <c r="Q45" s="40">
        <f t="shared" si="2"/>
        <v>0.223</v>
      </c>
    </row>
    <row r="46">
      <c r="A46" s="5" t="s">
        <v>20</v>
      </c>
      <c r="B46" s="6" t="s">
        <v>105</v>
      </c>
      <c r="C46" s="7" t="s">
        <v>30</v>
      </c>
      <c r="D46" s="7" t="s">
        <v>110</v>
      </c>
      <c r="E46" s="9">
        <v>44999.0</v>
      </c>
      <c r="F46" s="6">
        <f>ROUND(('ALL(responses)'!F47 - AVERAGE('ALL(responses)'!F$3:F$322)) / _xlfn.STDEV.S('ALL(responses)'!F$3:F$322),3)
</f>
        <v>-0.125</v>
      </c>
      <c r="G46" s="6">
        <f>ROUND(('ALL(responses)'!G47 - AVERAGE('ALL(responses)'!G$3:G$322)) / _xlfn.STDEV.S('ALL(responses)'!G$3:G$322),3)
</f>
        <v>-0.627</v>
      </c>
      <c r="H46" s="6">
        <f>ROUND(('ALL(responses)'!H47 - AVERAGE('ALL(responses)'!H$3:H$322)) / _xlfn.STDEV.S('ALL(responses)'!H$3:H$322),3)
</f>
        <v>-0.942</v>
      </c>
      <c r="I46" s="6">
        <f>ROUND(('ALL(responses)'!I47 - AVERAGE('ALL(responses)'!I$3:I$322)) / _xlfn.STDEV.S('ALL(responses)'!I$3:I$322),3)
</f>
        <v>0.556</v>
      </c>
      <c r="J46" s="6">
        <f>ROUND(('ALL(responses)'!J47 - AVERAGE('ALL(responses)'!J$3:J$322)) / _xlfn.STDEV.S('ALL(responses)'!J$3:J$322),3)
</f>
        <v>0.117</v>
      </c>
      <c r="K46" s="6">
        <f>ROUND(('ALL(responses)'!M47 - AVERAGE('ALL(responses)'!M$3:M$322)) / _xlfn.STDEV.S('ALL(responses)'!M$3:M$322),3)
</f>
        <v>-0.232</v>
      </c>
      <c r="L46" s="6">
        <f>ROUND(('ALL(responses)'!P47 - AVERAGE('ALL(responses)'!P$3:P$322)) / _xlfn.STDEV.S('ALL(responses)'!P$3:P$322),3)
</f>
        <v>0.634</v>
      </c>
      <c r="M46" s="6">
        <f>ROUND(('ALL(responses)'!Q47 - AVERAGE('ALL(responses)'!Q$3:Q$322)) / _xlfn.STDEV.S('ALL(responses)'!Q$3:Q$322),3)
</f>
        <v>-0.223</v>
      </c>
      <c r="N46" s="6">
        <f>ROUND(('ALL(responses)'!R47 - AVERAGE('ALL(responses)'!R$3:R$322)) / _xlfn.STDEV.S('ALL(responses)'!R$3:R$322),3)
</f>
        <v>-0.837</v>
      </c>
      <c r="O46" s="6">
        <f>ROUND(('ALL(responses)'!S47 - AVERAGE('ALL(responses)'!S$3:S$322)) / _xlfn.STDEV.S('ALL(responses)'!S$3:S$322),3)
</f>
        <v>-0.144</v>
      </c>
      <c r="P46" s="6">
        <f>ROUND(('ALL(responses)'!T47 - AVERAGE('ALL(responses)'!T$3:T$322)) / _xlfn.STDEV.S('ALL(responses)'!T$3:T$322),3)
</f>
        <v>-0.429</v>
      </c>
      <c r="Q46" s="40">
        <f t="shared" si="2"/>
        <v>0.223</v>
      </c>
    </row>
    <row r="47">
      <c r="A47" s="5" t="s">
        <v>20</v>
      </c>
      <c r="B47" s="6" t="s">
        <v>105</v>
      </c>
      <c r="C47" s="7" t="s">
        <v>32</v>
      </c>
      <c r="D47" s="7" t="s">
        <v>111</v>
      </c>
      <c r="E47" s="9">
        <v>44999.0</v>
      </c>
      <c r="F47" s="6">
        <f>ROUND(('ALL(responses)'!F48 - AVERAGE('ALL(responses)'!F$3:F$322)) / _xlfn.STDEV.S('ALL(responses)'!F$3:F$322),3)
</f>
        <v>0.32</v>
      </c>
      <c r="G47" s="6">
        <f>ROUND(('ALL(responses)'!G48 - AVERAGE('ALL(responses)'!G$3:G$322)) / _xlfn.STDEV.S('ALL(responses)'!G$3:G$322),3)
</f>
        <v>-0.21</v>
      </c>
      <c r="H47" s="6">
        <f>ROUND(('ALL(responses)'!H48 - AVERAGE('ALL(responses)'!H$3:H$322)) / _xlfn.STDEV.S('ALL(responses)'!H$3:H$322),3)
</f>
        <v>-0.942</v>
      </c>
      <c r="I47" s="6">
        <f>ROUND(('ALL(responses)'!I48 - AVERAGE('ALL(responses)'!I$3:I$322)) / _xlfn.STDEV.S('ALL(responses)'!I$3:I$322),3)
</f>
        <v>0.965</v>
      </c>
      <c r="J47" s="6">
        <f>ROUND(('ALL(responses)'!J48 - AVERAGE('ALL(responses)'!J$3:J$322)) / _xlfn.STDEV.S('ALL(responses)'!J$3:J$322),3)
</f>
        <v>1.473</v>
      </c>
      <c r="K47" s="6">
        <f>ROUND(('ALL(responses)'!M48 - AVERAGE('ALL(responses)'!M$3:M$322)) / _xlfn.STDEV.S('ALL(responses)'!M$3:M$322),3)
</f>
        <v>1.098</v>
      </c>
      <c r="L47" s="6">
        <f>ROUND(('ALL(responses)'!P48 - AVERAGE('ALL(responses)'!P$3:P$322)) / _xlfn.STDEV.S('ALL(responses)'!P$3:P$322),3)
</f>
        <v>-1.457</v>
      </c>
      <c r="M47" s="6">
        <f>ROUND(('ALL(responses)'!Q48 - AVERAGE('ALL(responses)'!Q$3:Q$322)) / _xlfn.STDEV.S('ALL(responses)'!Q$3:Q$322),3)
</f>
        <v>3.001</v>
      </c>
      <c r="N47" s="6">
        <f>ROUND(('ALL(responses)'!R48 - AVERAGE('ALL(responses)'!R$3:R$322)) / _xlfn.STDEV.S('ALL(responses)'!R$3:R$322),3)
</f>
        <v>0.547</v>
      </c>
      <c r="O47" s="6">
        <f>ROUND(('ALL(responses)'!S48 - AVERAGE('ALL(responses)'!S$3:S$322)) / _xlfn.STDEV.S('ALL(responses)'!S$3:S$322),3)
</f>
        <v>0.469</v>
      </c>
      <c r="P47" s="6">
        <f>ROUND(('ALL(responses)'!T48 - AVERAGE('ALL(responses)'!T$3:T$322)) / _xlfn.STDEV.S('ALL(responses)'!T$3:T$322),3)
</f>
        <v>-1.058</v>
      </c>
      <c r="Q47" s="40">
        <f t="shared" si="2"/>
        <v>0.223</v>
      </c>
    </row>
    <row r="48">
      <c r="A48" s="5" t="s">
        <v>20</v>
      </c>
      <c r="B48" s="6" t="s">
        <v>105</v>
      </c>
      <c r="C48" s="7" t="s">
        <v>34</v>
      </c>
      <c r="D48" s="7" t="s">
        <v>112</v>
      </c>
      <c r="E48" s="9">
        <v>44999.0</v>
      </c>
      <c r="F48" s="6">
        <f>ROUND(('ALL(responses)'!F49 - AVERAGE('ALL(responses)'!F$3:F$322)) / _xlfn.STDEV.S('ALL(responses)'!F$3:F$322),3)
</f>
        <v>0.32</v>
      </c>
      <c r="G48" s="6">
        <f>ROUND(('ALL(responses)'!G49 - AVERAGE('ALL(responses)'!G$3:G$322)) / _xlfn.STDEV.S('ALL(responses)'!G$3:G$322),3)
</f>
        <v>1.042</v>
      </c>
      <c r="H48" s="6">
        <f>ROUND(('ALL(responses)'!H49 - AVERAGE('ALL(responses)'!H$3:H$322)) / _xlfn.STDEV.S('ALL(responses)'!H$3:H$322),3)
</f>
        <v>-0.942</v>
      </c>
      <c r="I48" s="6">
        <f>ROUND(('ALL(responses)'!I49 - AVERAGE('ALL(responses)'!I$3:I$322)) / _xlfn.STDEV.S('ALL(responses)'!I$3:I$322),3)
</f>
        <v>0.556</v>
      </c>
      <c r="J48" s="6">
        <f>ROUND(('ALL(responses)'!J49 - AVERAGE('ALL(responses)'!J$3:J$322)) / _xlfn.STDEV.S('ALL(responses)'!J$3:J$322),3)
</f>
        <v>0.795</v>
      </c>
      <c r="K48" s="6">
        <f>ROUND(('ALL(responses)'!M49 - AVERAGE('ALL(responses)'!M$3:M$322)) / _xlfn.STDEV.S('ALL(responses)'!M$3:M$322),3)
</f>
        <v>-0.248</v>
      </c>
      <c r="L48" s="6">
        <f>ROUND(('ALL(responses)'!P49 - AVERAGE('ALL(responses)'!P$3:P$322)) / _xlfn.STDEV.S('ALL(responses)'!P$3:P$322),3)
</f>
        <v>-0.459</v>
      </c>
      <c r="M48" s="6">
        <f>ROUND(('ALL(responses)'!Q49 - AVERAGE('ALL(responses)'!Q$3:Q$322)) / _xlfn.STDEV.S('ALL(responses)'!Q$3:Q$322),3)
</f>
        <v>-0.441</v>
      </c>
      <c r="N48" s="6">
        <f>ROUND(('ALL(responses)'!R49 - AVERAGE('ALL(responses)'!R$3:R$322)) / _xlfn.STDEV.S('ALL(responses)'!R$3:R$322),3)
</f>
        <v>0.109</v>
      </c>
      <c r="O48" s="6">
        <f>ROUND(('ALL(responses)'!S49 - AVERAGE('ALL(responses)'!S$3:S$322)) / _xlfn.STDEV.S('ALL(responses)'!S$3:S$322),3)
</f>
        <v>0.275</v>
      </c>
      <c r="P48" s="6">
        <f>ROUND(('ALL(responses)'!T49 - AVERAGE('ALL(responses)'!T$3:T$322)) / _xlfn.STDEV.S('ALL(responses)'!T$3:T$322),3)
</f>
        <v>-0.325</v>
      </c>
      <c r="Q48" s="40">
        <f t="shared" si="2"/>
        <v>0.223</v>
      </c>
    </row>
    <row r="49">
      <c r="A49" s="5" t="s">
        <v>20</v>
      </c>
      <c r="B49" s="6" t="s">
        <v>105</v>
      </c>
      <c r="C49" s="7" t="s">
        <v>36</v>
      </c>
      <c r="D49" s="7" t="s">
        <v>113</v>
      </c>
      <c r="E49" s="9">
        <v>44999.0</v>
      </c>
      <c r="F49" s="6">
        <f>ROUND(('ALL(responses)'!F50 - AVERAGE('ALL(responses)'!F$3:F$322)) / _xlfn.STDEV.S('ALL(responses)'!F$3:F$322),3)
</f>
        <v>0.32</v>
      </c>
      <c r="G49" s="6">
        <f>ROUND(('ALL(responses)'!G50 - AVERAGE('ALL(responses)'!G$3:G$322)) / _xlfn.STDEV.S('ALL(responses)'!G$3:G$322),3)
</f>
        <v>-0.21</v>
      </c>
      <c r="H49" s="6">
        <f>ROUND(('ALL(responses)'!H50 - AVERAGE('ALL(responses)'!H$3:H$322)) / _xlfn.STDEV.S('ALL(responses)'!H$3:H$322),3)
</f>
        <v>0.631</v>
      </c>
      <c r="I49" s="6">
        <f>ROUND(('ALL(responses)'!I50 - AVERAGE('ALL(responses)'!I$3:I$322)) / _xlfn.STDEV.S('ALL(responses)'!I$3:I$322),3)
</f>
        <v>0.965</v>
      </c>
      <c r="J49" s="6">
        <f>ROUND(('ALL(responses)'!J50 - AVERAGE('ALL(responses)'!J$3:J$322)) / _xlfn.STDEV.S('ALL(responses)'!J$3:J$322),3)
</f>
        <v>-0.562</v>
      </c>
      <c r="K49" s="6">
        <f>ROUND(('ALL(responses)'!M50 - AVERAGE('ALL(responses)'!M$3:M$322)) / _xlfn.STDEV.S('ALL(responses)'!M$3:M$322),3)
</f>
        <v>0.013</v>
      </c>
      <c r="L49" s="6">
        <f>ROUND(('ALL(responses)'!P50 - AVERAGE('ALL(responses)'!P$3:P$322)) / _xlfn.STDEV.S('ALL(responses)'!P$3:P$322),3)
</f>
        <v>-0.709</v>
      </c>
      <c r="M49" s="6">
        <f>ROUND(('ALL(responses)'!Q50 - AVERAGE('ALL(responses)'!Q$3:Q$322)) / _xlfn.STDEV.S('ALL(responses)'!Q$3:Q$322),3)
</f>
        <v>0.315</v>
      </c>
      <c r="N49" s="6">
        <f>ROUND(('ALL(responses)'!R50 - AVERAGE('ALL(responses)'!R$3:R$322)) / _xlfn.STDEV.S('ALL(responses)'!R$3:R$322),3)
</f>
        <v>0.157</v>
      </c>
      <c r="O49" s="6">
        <f>ROUND(('ALL(responses)'!S50 - AVERAGE('ALL(responses)'!S$3:S$322)) / _xlfn.STDEV.S('ALL(responses)'!S$3:S$322),3)
</f>
        <v>0.297</v>
      </c>
      <c r="P49" s="6">
        <f>ROUND(('ALL(responses)'!T50 - AVERAGE('ALL(responses)'!T$3:T$322)) / _xlfn.STDEV.S('ALL(responses)'!T$3:T$322),3)
</f>
        <v>-1.35</v>
      </c>
      <c r="Q49" s="40">
        <f t="shared" si="2"/>
        <v>0.223</v>
      </c>
    </row>
    <row r="50">
      <c r="A50" s="5" t="s">
        <v>20</v>
      </c>
      <c r="B50" s="6" t="s">
        <v>105</v>
      </c>
      <c r="C50" s="7" t="s">
        <v>38</v>
      </c>
      <c r="D50" s="7" t="s">
        <v>114</v>
      </c>
      <c r="E50" s="9">
        <v>44999.0</v>
      </c>
      <c r="F50" s="6">
        <f>ROUND(('ALL(responses)'!F51 - AVERAGE('ALL(responses)'!F$3:F$322)) / _xlfn.STDEV.S('ALL(responses)'!F$3:F$322),3)
</f>
        <v>1.212</v>
      </c>
      <c r="G50" s="6">
        <f>ROUND(('ALL(responses)'!G51 - AVERAGE('ALL(responses)'!G$3:G$322)) / _xlfn.STDEV.S('ALL(responses)'!G$3:G$322),3)
</f>
        <v>0.625</v>
      </c>
      <c r="H50" s="6">
        <f>ROUND(('ALL(responses)'!H51 - AVERAGE('ALL(responses)'!H$3:H$322)) / _xlfn.STDEV.S('ALL(responses)'!H$3:H$322),3)
</f>
        <v>0.107</v>
      </c>
      <c r="I50" s="6">
        <f>ROUND(('ALL(responses)'!I51 - AVERAGE('ALL(responses)'!I$3:I$322)) / _xlfn.STDEV.S('ALL(responses)'!I$3:I$322),3)
</f>
        <v>0.965</v>
      </c>
      <c r="J50" s="6">
        <f>ROUND(('ALL(responses)'!J51 - AVERAGE('ALL(responses)'!J$3:J$322)) / _xlfn.STDEV.S('ALL(responses)'!J$3:J$322),3)
</f>
        <v>1.473</v>
      </c>
      <c r="K50" s="6">
        <f>ROUND(('ALL(responses)'!M51 - AVERAGE('ALL(responses)'!M$3:M$322)) / _xlfn.STDEV.S('ALL(responses)'!M$3:M$322),3)
</f>
        <v>0.612</v>
      </c>
      <c r="L50" s="6">
        <f>ROUND(('ALL(responses)'!P51 - AVERAGE('ALL(responses)'!P$3:P$322)) / _xlfn.STDEV.S('ALL(responses)'!P$3:P$322),3)
</f>
        <v>2.177</v>
      </c>
      <c r="M50" s="6">
        <f>ROUND(('ALL(responses)'!Q51 - AVERAGE('ALL(responses)'!Q$3:Q$322)) / _xlfn.STDEV.S('ALL(responses)'!Q$3:Q$322),3)
</f>
        <v>0.754</v>
      </c>
      <c r="N50" s="6">
        <f>ROUND(('ALL(responses)'!R51 - AVERAGE('ALL(responses)'!R$3:R$322)) / _xlfn.STDEV.S('ALL(responses)'!R$3:R$322),3)
</f>
        <v>-3.342</v>
      </c>
      <c r="O50" s="6">
        <f>ROUND(('ALL(responses)'!S51 - AVERAGE('ALL(responses)'!S$3:S$322)) / _xlfn.STDEV.S('ALL(responses)'!S$3:S$322),3)
</f>
        <v>-1.253</v>
      </c>
      <c r="P50" s="6">
        <f>ROUND(('ALL(responses)'!T51 - AVERAGE('ALL(responses)'!T$3:T$322)) / _xlfn.STDEV.S('ALL(responses)'!T$3:T$322),3)
</f>
        <v>-2.147</v>
      </c>
      <c r="Q50" s="40">
        <f t="shared" si="2"/>
        <v>0.223</v>
      </c>
    </row>
    <row r="51">
      <c r="A51" s="5" t="s">
        <v>20</v>
      </c>
      <c r="B51" s="6" t="s">
        <v>105</v>
      </c>
      <c r="C51" s="7" t="s">
        <v>40</v>
      </c>
      <c r="D51" s="7" t="s">
        <v>115</v>
      </c>
      <c r="E51" s="9">
        <v>44999.0</v>
      </c>
      <c r="F51" s="6">
        <f>ROUND(('ALL(responses)'!F52 - AVERAGE('ALL(responses)'!F$3:F$322)) / _xlfn.STDEV.S('ALL(responses)'!F$3:F$322),3)
</f>
        <v>0.766</v>
      </c>
      <c r="G51" s="6">
        <f>ROUND(('ALL(responses)'!G52 - AVERAGE('ALL(responses)'!G$3:G$322)) / _xlfn.STDEV.S('ALL(responses)'!G$3:G$322),3)
</f>
        <v>0.625</v>
      </c>
      <c r="H51" s="6">
        <f>ROUND(('ALL(responses)'!H52 - AVERAGE('ALL(responses)'!H$3:H$322)) / _xlfn.STDEV.S('ALL(responses)'!H$3:H$322),3)
</f>
        <v>0.107</v>
      </c>
      <c r="I51" s="6">
        <f>ROUND(('ALL(responses)'!I52 - AVERAGE('ALL(responses)'!I$3:I$322)) / _xlfn.STDEV.S('ALL(responses)'!I$3:I$322),3)
</f>
        <v>0.146</v>
      </c>
      <c r="J51" s="6">
        <f>ROUND(('ALL(responses)'!J52 - AVERAGE('ALL(responses)'!J$3:J$322)) / _xlfn.STDEV.S('ALL(responses)'!J$3:J$322),3)
</f>
        <v>-0.562</v>
      </c>
      <c r="K51" s="6">
        <f>ROUND(('ALL(responses)'!M52 - AVERAGE('ALL(responses)'!M$3:M$322)) / _xlfn.STDEV.S('ALL(responses)'!M$3:M$322),3)
</f>
        <v>-0.204</v>
      </c>
      <c r="L51" s="6">
        <f>ROUND(('ALL(responses)'!P52 - AVERAGE('ALL(responses)'!P$3:P$322)) / _xlfn.STDEV.S('ALL(responses)'!P$3:P$322),3)
</f>
        <v>1.41</v>
      </c>
      <c r="M51" s="6">
        <f>ROUND(('ALL(responses)'!Q52 - AVERAGE('ALL(responses)'!Q$3:Q$322)) / _xlfn.STDEV.S('ALL(responses)'!Q$3:Q$322),3)
</f>
        <v>-0.869</v>
      </c>
      <c r="N51" s="6">
        <f>ROUND(('ALL(responses)'!R52 - AVERAGE('ALL(responses)'!R$3:R$322)) / _xlfn.STDEV.S('ALL(responses)'!R$3:R$322),3)
</f>
        <v>0.57</v>
      </c>
      <c r="O51" s="6">
        <f>ROUND(('ALL(responses)'!S52 - AVERAGE('ALL(responses)'!S$3:S$322)) / _xlfn.STDEV.S('ALL(responses)'!S$3:S$322),3)
</f>
        <v>0.479</v>
      </c>
      <c r="P51" s="6">
        <f>ROUND(('ALL(responses)'!T52 - AVERAGE('ALL(responses)'!T$3:T$322)) / _xlfn.STDEV.S('ALL(responses)'!T$3:T$322),3)
</f>
        <v>-1.154</v>
      </c>
      <c r="Q51" s="40">
        <f t="shared" si="2"/>
        <v>0.223</v>
      </c>
    </row>
    <row r="52">
      <c r="A52" s="5" t="s">
        <v>42</v>
      </c>
      <c r="B52" s="6" t="s">
        <v>105</v>
      </c>
      <c r="C52" s="7" t="s">
        <v>43</v>
      </c>
      <c r="D52" s="7" t="s">
        <v>116</v>
      </c>
      <c r="E52" s="9">
        <v>44999.0</v>
      </c>
      <c r="F52" s="6">
        <f>ROUND(('ALL(responses)'!F53 - AVERAGE('ALL(responses)'!F$3:F$322)) / _xlfn.STDEV.S('ALL(responses)'!F$3:F$322),3)
</f>
        <v>0.32</v>
      </c>
      <c r="G52" s="6">
        <f>ROUND(('ALL(responses)'!G53 - AVERAGE('ALL(responses)'!G$3:G$322)) / _xlfn.STDEV.S('ALL(responses)'!G$3:G$322),3)
</f>
        <v>0.625</v>
      </c>
      <c r="H52" s="6">
        <f>ROUND(('ALL(responses)'!H53 - AVERAGE('ALL(responses)'!H$3:H$322)) / _xlfn.STDEV.S('ALL(responses)'!H$3:H$322),3)
</f>
        <v>-0.942</v>
      </c>
      <c r="I52" s="6">
        <f>ROUND(('ALL(responses)'!I53 - AVERAGE('ALL(responses)'!I$3:I$322)) / _xlfn.STDEV.S('ALL(responses)'!I$3:I$322),3)
</f>
        <v>0.965</v>
      </c>
      <c r="J52" s="6">
        <f>ROUND(('ALL(responses)'!J53 - AVERAGE('ALL(responses)'!J$3:J$322)) / _xlfn.STDEV.S('ALL(responses)'!J$3:J$322),3)
</f>
        <v>-0.562</v>
      </c>
      <c r="K52" s="6">
        <f>ROUND(('ALL(responses)'!M53 - AVERAGE('ALL(responses)'!M$3:M$322)) / _xlfn.STDEV.S('ALL(responses)'!M$3:M$322),3)
</f>
        <v>-0.103</v>
      </c>
      <c r="L52" s="6">
        <f>ROUND(('ALL(responses)'!P53 - AVERAGE('ALL(responses)'!P$3:P$322)) / _xlfn.STDEV.S('ALL(responses)'!P$3:P$322),3)
</f>
        <v>1.331</v>
      </c>
      <c r="M52" s="6">
        <f>ROUND(('ALL(responses)'!Q53 - AVERAGE('ALL(responses)'!Q$3:Q$322)) / _xlfn.STDEV.S('ALL(responses)'!Q$3:Q$322),3)
</f>
        <v>-0.589</v>
      </c>
      <c r="N52" s="6">
        <f>ROUND(('ALL(responses)'!R53 - AVERAGE('ALL(responses)'!R$3:R$322)) / _xlfn.STDEV.S('ALL(responses)'!R$3:R$322),3)
</f>
        <v>0.504</v>
      </c>
      <c r="O52" s="6">
        <f>ROUND(('ALL(responses)'!S53 - AVERAGE('ALL(responses)'!S$3:S$322)) / _xlfn.STDEV.S('ALL(responses)'!S$3:S$322),3)
</f>
        <v>0.45</v>
      </c>
      <c r="P52" s="6">
        <f>ROUND(('ALL(responses)'!T53 - AVERAGE('ALL(responses)'!T$3:T$322)) / _xlfn.STDEV.S('ALL(responses)'!T$3:T$322),3)
</f>
        <v>-1.994</v>
      </c>
      <c r="Q52" s="40">
        <f t="shared" si="2"/>
        <v>0.223</v>
      </c>
    </row>
    <row r="53">
      <c r="A53" s="5" t="s">
        <v>42</v>
      </c>
      <c r="B53" s="6" t="s">
        <v>105</v>
      </c>
      <c r="C53" s="7" t="s">
        <v>45</v>
      </c>
      <c r="D53" s="7" t="s">
        <v>117</v>
      </c>
      <c r="E53" s="9">
        <v>44999.0</v>
      </c>
      <c r="F53" s="6">
        <f>ROUND(('ALL(responses)'!F54 - AVERAGE('ALL(responses)'!F$3:F$322)) / _xlfn.STDEV.S('ALL(responses)'!F$3:F$322),3)
</f>
        <v>1.212</v>
      </c>
      <c r="G53" s="6">
        <f>ROUND(('ALL(responses)'!G54 - AVERAGE('ALL(responses)'!G$3:G$322)) / _xlfn.STDEV.S('ALL(responses)'!G$3:G$322),3)
</f>
        <v>0.625</v>
      </c>
      <c r="H53" s="6">
        <f>ROUND(('ALL(responses)'!H54 - AVERAGE('ALL(responses)'!H$3:H$322)) / _xlfn.STDEV.S('ALL(responses)'!H$3:H$322),3)
</f>
        <v>0.107</v>
      </c>
      <c r="I53" s="6">
        <f>ROUND(('ALL(responses)'!I54 - AVERAGE('ALL(responses)'!I$3:I$322)) / _xlfn.STDEV.S('ALL(responses)'!I$3:I$322),3)
</f>
        <v>0.556</v>
      </c>
      <c r="J53" s="6">
        <f>ROUND(('ALL(responses)'!J54 - AVERAGE('ALL(responses)'!J$3:J$322)) / _xlfn.STDEV.S('ALL(responses)'!J$3:J$322),3)
</f>
        <v>0.117</v>
      </c>
      <c r="K53" s="6">
        <f>ROUND(('ALL(responses)'!M54 - AVERAGE('ALL(responses)'!M$3:M$322)) / _xlfn.STDEV.S('ALL(responses)'!M$3:M$322),3)
</f>
        <v>0.046</v>
      </c>
      <c r="L53" s="6">
        <f>ROUND(('ALL(responses)'!P54 - AVERAGE('ALL(responses)'!P$3:P$322)) / _xlfn.STDEV.S('ALL(responses)'!P$3:P$322),3)
</f>
        <v>0.551</v>
      </c>
      <c r="M53" s="6">
        <f>ROUND(('ALL(responses)'!Q54 - AVERAGE('ALL(responses)'!Q$3:Q$322)) / _xlfn.STDEV.S('ALL(responses)'!Q$3:Q$322),3)
</f>
        <v>-0.249</v>
      </c>
      <c r="N53" s="6">
        <f>ROUND(('ALL(responses)'!R54 - AVERAGE('ALL(responses)'!R$3:R$322)) / _xlfn.STDEV.S('ALL(responses)'!R$3:R$322),3)
</f>
        <v>-0.048</v>
      </c>
      <c r="O53" s="6">
        <f>ROUND(('ALL(responses)'!S54 - AVERAGE('ALL(responses)'!S$3:S$322)) / _xlfn.STDEV.S('ALL(responses)'!S$3:S$322),3)
</f>
        <v>0.206</v>
      </c>
      <c r="P53" s="6">
        <f>ROUND(('ALL(responses)'!T54 - AVERAGE('ALL(responses)'!T$3:T$322)) / _xlfn.STDEV.S('ALL(responses)'!T$3:T$322),3)
</f>
        <v>-1.364</v>
      </c>
      <c r="Q53" s="40">
        <f t="shared" si="2"/>
        <v>0.223</v>
      </c>
    </row>
    <row r="54">
      <c r="A54" s="5" t="s">
        <v>42</v>
      </c>
      <c r="B54" s="6" t="s">
        <v>105</v>
      </c>
      <c r="C54" s="7" t="s">
        <v>47</v>
      </c>
      <c r="D54" s="7" t="s">
        <v>118</v>
      </c>
      <c r="E54" s="9">
        <v>44999.0</v>
      </c>
      <c r="F54" s="6">
        <f>ROUND(('ALL(responses)'!F55 - AVERAGE('ALL(responses)'!F$3:F$322)) / _xlfn.STDEV.S('ALL(responses)'!F$3:F$322),3)
</f>
        <v>-0.125</v>
      </c>
      <c r="G54" s="6">
        <f>ROUND(('ALL(responses)'!G55 - AVERAGE('ALL(responses)'!G$3:G$322)) / _xlfn.STDEV.S('ALL(responses)'!G$3:G$322),3)
</f>
        <v>1.042</v>
      </c>
      <c r="H54" s="6">
        <f>ROUND(('ALL(responses)'!H55 - AVERAGE('ALL(responses)'!H$3:H$322)) / _xlfn.STDEV.S('ALL(responses)'!H$3:H$322),3)
</f>
        <v>0.107</v>
      </c>
      <c r="I54" s="6">
        <f>ROUND(('ALL(responses)'!I55 - AVERAGE('ALL(responses)'!I$3:I$322)) / _xlfn.STDEV.S('ALL(responses)'!I$3:I$322),3)
</f>
        <v>0.965</v>
      </c>
      <c r="J54" s="6">
        <f>ROUND(('ALL(responses)'!J55 - AVERAGE('ALL(responses)'!J$3:J$322)) / _xlfn.STDEV.S('ALL(responses)'!J$3:J$322),3)
</f>
        <v>1.473</v>
      </c>
      <c r="K54" s="6">
        <f>ROUND(('ALL(responses)'!M55 - AVERAGE('ALL(responses)'!M$3:M$322)) / _xlfn.STDEV.S('ALL(responses)'!M$3:M$322),3)
</f>
        <v>0.59</v>
      </c>
      <c r="L54" s="6">
        <f>ROUND(('ALL(responses)'!P55 - AVERAGE('ALL(responses)'!P$3:P$322)) / _xlfn.STDEV.S('ALL(responses)'!P$3:P$322),3)
</f>
        <v>1.025</v>
      </c>
      <c r="M54" s="6">
        <f>ROUND(('ALL(responses)'!Q55 - AVERAGE('ALL(responses)'!Q$3:Q$322)) / _xlfn.STDEV.S('ALL(responses)'!Q$3:Q$322),3)
</f>
        <v>0.862</v>
      </c>
      <c r="N54" s="6">
        <f>ROUND(('ALL(responses)'!R55 - AVERAGE('ALL(responses)'!R$3:R$322)) / _xlfn.STDEV.S('ALL(responses)'!R$3:R$322),3)
</f>
        <v>0.403</v>
      </c>
      <c r="O54" s="6">
        <f>ROUND(('ALL(responses)'!S55 - AVERAGE('ALL(responses)'!S$3:S$322)) / _xlfn.STDEV.S('ALL(responses)'!S$3:S$322),3)
</f>
        <v>0.406</v>
      </c>
      <c r="P54" s="6">
        <f>ROUND(('ALL(responses)'!T55 - AVERAGE('ALL(responses)'!T$3:T$322)) / _xlfn.STDEV.S('ALL(responses)'!T$3:T$322),3)
</f>
        <v>-1.416</v>
      </c>
      <c r="Q54" s="40">
        <f t="shared" si="2"/>
        <v>0.223</v>
      </c>
    </row>
    <row r="55">
      <c r="A55" s="5" t="s">
        <v>42</v>
      </c>
      <c r="B55" s="6" t="s">
        <v>105</v>
      </c>
      <c r="C55" s="7" t="s">
        <v>49</v>
      </c>
      <c r="D55" s="7" t="s">
        <v>119</v>
      </c>
      <c r="E55" s="9">
        <v>44999.0</v>
      </c>
      <c r="F55" s="6">
        <f>ROUND(('ALL(responses)'!F56 - AVERAGE('ALL(responses)'!F$3:F$322)) / _xlfn.STDEV.S('ALL(responses)'!F$3:F$322),3)
</f>
        <v>0.766</v>
      </c>
      <c r="G55" s="6">
        <f>ROUND(('ALL(responses)'!G56 - AVERAGE('ALL(responses)'!G$3:G$322)) / _xlfn.STDEV.S('ALL(responses)'!G$3:G$322),3)
</f>
        <v>0.207</v>
      </c>
      <c r="H55" s="6">
        <f>ROUND(('ALL(responses)'!H56 - AVERAGE('ALL(responses)'!H$3:H$322)) / _xlfn.STDEV.S('ALL(responses)'!H$3:H$322),3)
</f>
        <v>-0.942</v>
      </c>
      <c r="I55" s="6">
        <f>ROUND(('ALL(responses)'!I56 - AVERAGE('ALL(responses)'!I$3:I$322)) / _xlfn.STDEV.S('ALL(responses)'!I$3:I$322),3)
</f>
        <v>0.146</v>
      </c>
      <c r="J55" s="6">
        <f>ROUND(('ALL(responses)'!J56 - AVERAGE('ALL(responses)'!J$3:J$322)) / _xlfn.STDEV.S('ALL(responses)'!J$3:J$322),3)
</f>
        <v>1.473</v>
      </c>
      <c r="K55" s="6">
        <f>ROUND(('ALL(responses)'!M56 - AVERAGE('ALL(responses)'!M$3:M$322)) / _xlfn.STDEV.S('ALL(responses)'!M$3:M$322),3)
</f>
        <v>1.778</v>
      </c>
      <c r="L55" s="6">
        <f>ROUND(('ALL(responses)'!P56 - AVERAGE('ALL(responses)'!P$3:P$322)) / _xlfn.STDEV.S('ALL(responses)'!P$3:P$322),3)
</f>
        <v>1.037</v>
      </c>
      <c r="M55" s="6">
        <f>ROUND(('ALL(responses)'!Q56 - AVERAGE('ALL(responses)'!Q$3:Q$322)) / _xlfn.STDEV.S('ALL(responses)'!Q$3:Q$322),3)
</f>
        <v>0.052</v>
      </c>
      <c r="N55" s="6">
        <f>ROUND(('ALL(responses)'!R56 - AVERAGE('ALL(responses)'!R$3:R$322)) / _xlfn.STDEV.S('ALL(responses)'!R$3:R$322),3)
</f>
        <v>-0.123</v>
      </c>
      <c r="O55" s="6">
        <f>ROUND(('ALL(responses)'!S56 - AVERAGE('ALL(responses)'!S$3:S$322)) / _xlfn.STDEV.S('ALL(responses)'!S$3:S$322),3)
</f>
        <v>0.173</v>
      </c>
      <c r="P55" s="6">
        <f>ROUND(('ALL(responses)'!T56 - AVERAGE('ALL(responses)'!T$3:T$322)) / _xlfn.STDEV.S('ALL(responses)'!T$3:T$322),3)
</f>
        <v>-1.785</v>
      </c>
      <c r="Q55" s="40">
        <f t="shared" si="2"/>
        <v>0.223</v>
      </c>
    </row>
    <row r="56">
      <c r="A56" s="5" t="s">
        <v>42</v>
      </c>
      <c r="B56" s="6" t="s">
        <v>105</v>
      </c>
      <c r="C56" s="7" t="s">
        <v>51</v>
      </c>
      <c r="D56" s="7" t="s">
        <v>120</v>
      </c>
      <c r="E56" s="9">
        <v>44999.0</v>
      </c>
      <c r="F56" s="6">
        <f>ROUND(('ALL(responses)'!F57 - AVERAGE('ALL(responses)'!F$3:F$322)) / _xlfn.STDEV.S('ALL(responses)'!F$3:F$322),3)
</f>
        <v>-0.125</v>
      </c>
      <c r="G56" s="6">
        <f>ROUND(('ALL(responses)'!G57 - AVERAGE('ALL(responses)'!G$3:G$322)) / _xlfn.STDEV.S('ALL(responses)'!G$3:G$322),3)
</f>
        <v>-0.627</v>
      </c>
      <c r="H56" s="6">
        <f>ROUND(('ALL(responses)'!H57 - AVERAGE('ALL(responses)'!H$3:H$322)) / _xlfn.STDEV.S('ALL(responses)'!H$3:H$322),3)
</f>
        <v>0.107</v>
      </c>
      <c r="I56" s="6">
        <f>ROUND(('ALL(responses)'!I57 - AVERAGE('ALL(responses)'!I$3:I$322)) / _xlfn.STDEV.S('ALL(responses)'!I$3:I$322),3)
</f>
        <v>0.146</v>
      </c>
      <c r="J56" s="6">
        <f>ROUND(('ALL(responses)'!J57 - AVERAGE('ALL(responses)'!J$3:J$322)) / _xlfn.STDEV.S('ALL(responses)'!J$3:J$322),3)
</f>
        <v>0.117</v>
      </c>
      <c r="K56" s="6">
        <f>ROUND(('ALL(responses)'!M57 - AVERAGE('ALL(responses)'!M$3:M$322)) / _xlfn.STDEV.S('ALL(responses)'!M$3:M$322),3)
</f>
        <v>0.491</v>
      </c>
      <c r="L56" s="6">
        <f>ROUND(('ALL(responses)'!P57 - AVERAGE('ALL(responses)'!P$3:P$322)) / _xlfn.STDEV.S('ALL(responses)'!P$3:P$322),3)
</f>
        <v>0.36</v>
      </c>
      <c r="M56" s="6">
        <f>ROUND(('ALL(responses)'!Q57 - AVERAGE('ALL(responses)'!Q$3:Q$322)) / _xlfn.STDEV.S('ALL(responses)'!Q$3:Q$322),3)
</f>
        <v>1.028</v>
      </c>
      <c r="N56" s="6">
        <f>ROUND(('ALL(responses)'!R57 - AVERAGE('ALL(responses)'!R$3:R$322)) / _xlfn.STDEV.S('ALL(responses)'!R$3:R$322),3)
</f>
        <v>0.239</v>
      </c>
      <c r="O56" s="6">
        <f>ROUND(('ALL(responses)'!S57 - AVERAGE('ALL(responses)'!S$3:S$322)) / _xlfn.STDEV.S('ALL(responses)'!S$3:S$322),3)
</f>
        <v>0.333</v>
      </c>
      <c r="P56" s="6">
        <f>ROUND(('ALL(responses)'!T57 - AVERAGE('ALL(responses)'!T$3:T$322)) / _xlfn.STDEV.S('ALL(responses)'!T$3:T$322),3)
</f>
        <v>-0.381</v>
      </c>
      <c r="Q56" s="40">
        <f t="shared" si="2"/>
        <v>0.223</v>
      </c>
    </row>
    <row r="57">
      <c r="A57" s="5" t="s">
        <v>42</v>
      </c>
      <c r="B57" s="6" t="s">
        <v>105</v>
      </c>
      <c r="C57" s="7" t="s">
        <v>53</v>
      </c>
      <c r="D57" s="7" t="s">
        <v>121</v>
      </c>
      <c r="E57" s="9">
        <v>44999.0</v>
      </c>
      <c r="F57" s="6">
        <f>ROUND(('ALL(responses)'!F58 - AVERAGE('ALL(responses)'!F$3:F$322)) / _xlfn.STDEV.S('ALL(responses)'!F$3:F$322),3)
</f>
        <v>0.766</v>
      </c>
      <c r="G57" s="6">
        <f>ROUND(('ALL(responses)'!G58 - AVERAGE('ALL(responses)'!G$3:G$322)) / _xlfn.STDEV.S('ALL(responses)'!G$3:G$322),3)
</f>
        <v>0.625</v>
      </c>
      <c r="H57" s="6">
        <f>ROUND(('ALL(responses)'!H58 - AVERAGE('ALL(responses)'!H$3:H$322)) / _xlfn.STDEV.S('ALL(responses)'!H$3:H$322),3)
</f>
        <v>1.155</v>
      </c>
      <c r="I57" s="6">
        <f>ROUND(('ALL(responses)'!I58 - AVERAGE('ALL(responses)'!I$3:I$322)) / _xlfn.STDEV.S('ALL(responses)'!I$3:I$322),3)
</f>
        <v>0.556</v>
      </c>
      <c r="J57" s="6">
        <f>ROUND(('ALL(responses)'!J58 - AVERAGE('ALL(responses)'!J$3:J$322)) / _xlfn.STDEV.S('ALL(responses)'!J$3:J$322),3)
</f>
        <v>0.795</v>
      </c>
      <c r="K57" s="6">
        <f>ROUND(('ALL(responses)'!M58 - AVERAGE('ALL(responses)'!M$3:M$322)) / _xlfn.STDEV.S('ALL(responses)'!M$3:M$322),3)
</f>
        <v>-0.639</v>
      </c>
      <c r="L57" s="6">
        <f>ROUND(('ALL(responses)'!P58 - AVERAGE('ALL(responses)'!P$3:P$322)) / _xlfn.STDEV.S('ALL(responses)'!P$3:P$322),3)
</f>
        <v>0.611</v>
      </c>
      <c r="M57" s="6">
        <f>ROUND(('ALL(responses)'!Q58 - AVERAGE('ALL(responses)'!Q$3:Q$322)) / _xlfn.STDEV.S('ALL(responses)'!Q$3:Q$322),3)
</f>
        <v>0.343</v>
      </c>
      <c r="N57" s="6">
        <f>ROUND(('ALL(responses)'!R58 - AVERAGE('ALL(responses)'!R$3:R$322)) / _xlfn.STDEV.S('ALL(responses)'!R$3:R$322),3)
</f>
        <v>0.134</v>
      </c>
      <c r="O57" s="6">
        <f>ROUND(('ALL(responses)'!S58 - AVERAGE('ALL(responses)'!S$3:S$322)) / _xlfn.STDEV.S('ALL(responses)'!S$3:S$322),3)
</f>
        <v>0.287</v>
      </c>
      <c r="P57" s="6">
        <f>ROUND(('ALL(responses)'!T58 - AVERAGE('ALL(responses)'!T$3:T$322)) / _xlfn.STDEV.S('ALL(responses)'!T$3:T$322),3)
</f>
        <v>-0.487</v>
      </c>
      <c r="Q57" s="40">
        <f t="shared" si="2"/>
        <v>0.223</v>
      </c>
    </row>
    <row r="58">
      <c r="A58" s="5" t="s">
        <v>42</v>
      </c>
      <c r="B58" s="6" t="s">
        <v>105</v>
      </c>
      <c r="C58" s="7" t="s">
        <v>55</v>
      </c>
      <c r="D58" s="7" t="s">
        <v>122</v>
      </c>
      <c r="E58" s="9">
        <v>44999.0</v>
      </c>
      <c r="F58" s="6">
        <f>ROUND(('ALL(responses)'!F59 - AVERAGE('ALL(responses)'!F$3:F$322)) / _xlfn.STDEV.S('ALL(responses)'!F$3:F$322),3)
</f>
        <v>1.212</v>
      </c>
      <c r="G58" s="6">
        <f>ROUND(('ALL(responses)'!G59 - AVERAGE('ALL(responses)'!G$3:G$322)) / _xlfn.STDEV.S('ALL(responses)'!G$3:G$322),3)
</f>
        <v>-0.21</v>
      </c>
      <c r="H58" s="6">
        <f>ROUND(('ALL(responses)'!H59 - AVERAGE('ALL(responses)'!H$3:H$322)) / _xlfn.STDEV.S('ALL(responses)'!H$3:H$322),3)
</f>
        <v>-0.418</v>
      </c>
      <c r="I58" s="6">
        <f>ROUND(('ALL(responses)'!I59 - AVERAGE('ALL(responses)'!I$3:I$322)) / _xlfn.STDEV.S('ALL(responses)'!I$3:I$322),3)
</f>
        <v>-0.264</v>
      </c>
      <c r="J58" s="6">
        <f>ROUND(('ALL(responses)'!J59 - AVERAGE('ALL(responses)'!J$3:J$322)) / _xlfn.STDEV.S('ALL(responses)'!J$3:J$322),3)
</f>
        <v>-0.562</v>
      </c>
      <c r="K58" s="6">
        <f>ROUND(('ALL(responses)'!M59 - AVERAGE('ALL(responses)'!M$3:M$322)) / _xlfn.STDEV.S('ALL(responses)'!M$3:M$322),3)
</f>
        <v>0.199</v>
      </c>
      <c r="L58" s="6">
        <f>ROUND(('ALL(responses)'!P59 - AVERAGE('ALL(responses)'!P$3:P$322)) / _xlfn.STDEV.S('ALL(responses)'!P$3:P$322),3)
</f>
        <v>1.684</v>
      </c>
      <c r="M58" s="6">
        <f>ROUND(('ALL(responses)'!Q59 - AVERAGE('ALL(responses)'!Q$3:Q$322)) / _xlfn.STDEV.S('ALL(responses)'!Q$3:Q$322),3)
</f>
        <v>1.316</v>
      </c>
      <c r="N58" s="6">
        <f>ROUND(('ALL(responses)'!R59 - AVERAGE('ALL(responses)'!R$3:R$322)) / _xlfn.STDEV.S('ALL(responses)'!R$3:R$322),3)
</f>
        <v>0.462</v>
      </c>
      <c r="O58" s="6">
        <f>ROUND(('ALL(responses)'!S59 - AVERAGE('ALL(responses)'!S$3:S$322)) / _xlfn.STDEV.S('ALL(responses)'!S$3:S$322),3)
</f>
        <v>0.432</v>
      </c>
      <c r="P58" s="6">
        <f>ROUND(('ALL(responses)'!T59 - AVERAGE('ALL(responses)'!T$3:T$322)) / _xlfn.STDEV.S('ALL(responses)'!T$3:T$322),3)
</f>
        <v>-1.271</v>
      </c>
      <c r="Q58" s="40">
        <f t="shared" si="2"/>
        <v>0.223</v>
      </c>
    </row>
    <row r="59">
      <c r="A59" s="5" t="s">
        <v>42</v>
      </c>
      <c r="B59" s="6" t="s">
        <v>105</v>
      </c>
      <c r="C59" s="7" t="s">
        <v>57</v>
      </c>
      <c r="D59" s="7" t="s">
        <v>123</v>
      </c>
      <c r="E59" s="9">
        <v>44999.0</v>
      </c>
      <c r="F59" s="6">
        <f>ROUND(('ALL(responses)'!F60 - AVERAGE('ALL(responses)'!F$3:F$322)) / _xlfn.STDEV.S('ALL(responses)'!F$3:F$322),3)
</f>
        <v>-0.571</v>
      </c>
      <c r="G59" s="6">
        <f>ROUND(('ALL(responses)'!G60 - AVERAGE('ALL(responses)'!G$3:G$322)) / _xlfn.STDEV.S('ALL(responses)'!G$3:G$322),3)
</f>
        <v>0.625</v>
      </c>
      <c r="H59" s="6">
        <f>ROUND(('ALL(responses)'!H60 - AVERAGE('ALL(responses)'!H$3:H$322)) / _xlfn.STDEV.S('ALL(responses)'!H$3:H$322),3)
</f>
        <v>-0.418</v>
      </c>
      <c r="I59" s="6">
        <f>ROUND(('ALL(responses)'!I60 - AVERAGE('ALL(responses)'!I$3:I$322)) / _xlfn.STDEV.S('ALL(responses)'!I$3:I$322),3)
</f>
        <v>-0.264</v>
      </c>
      <c r="J59" s="6">
        <f>ROUND(('ALL(responses)'!J60 - AVERAGE('ALL(responses)'!J$3:J$322)) / _xlfn.STDEV.S('ALL(responses)'!J$3:J$322),3)
</f>
        <v>2.151</v>
      </c>
      <c r="K59" s="6">
        <f>ROUND(('ALL(responses)'!M60 - AVERAGE('ALL(responses)'!M$3:M$322)) / _xlfn.STDEV.S('ALL(responses)'!M$3:M$322),3)
</f>
        <v>0.63</v>
      </c>
      <c r="L59" s="6">
        <f>ROUND(('ALL(responses)'!P60 - AVERAGE('ALL(responses)'!P$3:P$322)) / _xlfn.STDEV.S('ALL(responses)'!P$3:P$322),3)
</f>
        <v>2.093</v>
      </c>
      <c r="M59" s="6">
        <f>ROUND(('ALL(responses)'!Q60 - AVERAGE('ALL(responses)'!Q$3:Q$322)) / _xlfn.STDEV.S('ALL(responses)'!Q$3:Q$322),3)
</f>
        <v>0.027</v>
      </c>
      <c r="N59" s="6">
        <f>ROUND(('ALL(responses)'!R60 - AVERAGE('ALL(responses)'!R$3:R$322)) / _xlfn.STDEV.S('ALL(responses)'!R$3:R$322),3)
</f>
        <v>0.235</v>
      </c>
      <c r="O59" s="6">
        <f>ROUND(('ALL(responses)'!S60 - AVERAGE('ALL(responses)'!S$3:S$322)) / _xlfn.STDEV.S('ALL(responses)'!S$3:S$322),3)
</f>
        <v>0.331</v>
      </c>
      <c r="P59" s="6">
        <f>ROUND(('ALL(responses)'!T60 - AVERAGE('ALL(responses)'!T$3:T$322)) / _xlfn.STDEV.S('ALL(responses)'!T$3:T$322),3)
</f>
        <v>-0.974</v>
      </c>
      <c r="Q59" s="40">
        <f t="shared" si="2"/>
        <v>0.223</v>
      </c>
    </row>
    <row r="60">
      <c r="A60" s="5" t="s">
        <v>42</v>
      </c>
      <c r="B60" s="6" t="s">
        <v>105</v>
      </c>
      <c r="C60" s="7" t="s">
        <v>59</v>
      </c>
      <c r="D60" s="7" t="s">
        <v>124</v>
      </c>
      <c r="E60" s="9">
        <v>44999.0</v>
      </c>
      <c r="F60" s="6">
        <f>ROUND(('ALL(responses)'!F61 - AVERAGE('ALL(responses)'!F$3:F$322)) / _xlfn.STDEV.S('ALL(responses)'!F$3:F$322),3)
</f>
        <v>0.766</v>
      </c>
      <c r="G60" s="6">
        <f>ROUND(('ALL(responses)'!G61 - AVERAGE('ALL(responses)'!G$3:G$322)) / _xlfn.STDEV.S('ALL(responses)'!G$3:G$322),3)
</f>
        <v>-0.21</v>
      </c>
      <c r="H60" s="6">
        <f>ROUND(('ALL(responses)'!H61 - AVERAGE('ALL(responses)'!H$3:H$322)) / _xlfn.STDEV.S('ALL(responses)'!H$3:H$322),3)
</f>
        <v>-0.942</v>
      </c>
      <c r="I60" s="6">
        <f>ROUND(('ALL(responses)'!I61 - AVERAGE('ALL(responses)'!I$3:I$322)) / _xlfn.STDEV.S('ALL(responses)'!I$3:I$322),3)
</f>
        <v>0.965</v>
      </c>
      <c r="J60" s="6">
        <f>ROUND(('ALL(responses)'!J61 - AVERAGE('ALL(responses)'!J$3:J$322)) / _xlfn.STDEV.S('ALL(responses)'!J$3:J$322),3)
</f>
        <v>-0.562</v>
      </c>
      <c r="K60" s="6">
        <f>ROUND(('ALL(responses)'!M61 - AVERAGE('ALL(responses)'!M$3:M$322)) / _xlfn.STDEV.S('ALL(responses)'!M$3:M$322),3)
</f>
        <v>1.607</v>
      </c>
      <c r="L60" s="6">
        <f>ROUND(('ALL(responses)'!P61 - AVERAGE('ALL(responses)'!P$3:P$322)) / _xlfn.STDEV.S('ALL(responses)'!P$3:P$322),3)
</f>
        <v>0.724</v>
      </c>
      <c r="M60" s="6">
        <f>ROUND(('ALL(responses)'!Q61 - AVERAGE('ALL(responses)'!Q$3:Q$322)) / _xlfn.STDEV.S('ALL(responses)'!Q$3:Q$322),3)
</f>
        <v>0.919</v>
      </c>
      <c r="N60" s="6">
        <f>ROUND(('ALL(responses)'!R61 - AVERAGE('ALL(responses)'!R$3:R$322)) / _xlfn.STDEV.S('ALL(responses)'!R$3:R$322),3)
</f>
        <v>0.733</v>
      </c>
      <c r="O60" s="6">
        <f>ROUND(('ALL(responses)'!S61 - AVERAGE('ALL(responses)'!S$3:S$322)) / _xlfn.STDEV.S('ALL(responses)'!S$3:S$322),3)
</f>
        <v>0.552</v>
      </c>
      <c r="P60" s="6">
        <f>ROUND(('ALL(responses)'!T61 - AVERAGE('ALL(responses)'!T$3:T$322)) / _xlfn.STDEV.S('ALL(responses)'!T$3:T$322),3)
</f>
        <v>-1.145</v>
      </c>
      <c r="Q60" s="40">
        <f t="shared" si="2"/>
        <v>0.223</v>
      </c>
    </row>
    <row r="61">
      <c r="A61" s="5" t="s">
        <v>42</v>
      </c>
      <c r="B61" s="6" t="s">
        <v>105</v>
      </c>
      <c r="C61" s="7" t="s">
        <v>61</v>
      </c>
      <c r="D61" s="7" t="s">
        <v>125</v>
      </c>
      <c r="E61" s="9">
        <v>44999.0</v>
      </c>
      <c r="F61" s="6">
        <f>ROUND(('ALL(responses)'!F62 - AVERAGE('ALL(responses)'!F$3:F$322)) / _xlfn.STDEV.S('ALL(responses)'!F$3:F$322),3)
</f>
        <v>-0.125</v>
      </c>
      <c r="G61" s="6">
        <f>ROUND(('ALL(responses)'!G62 - AVERAGE('ALL(responses)'!G$3:G$322)) / _xlfn.STDEV.S('ALL(responses)'!G$3:G$322),3)
</f>
        <v>-0.21</v>
      </c>
      <c r="H61" s="6">
        <f>ROUND(('ALL(responses)'!H62 - AVERAGE('ALL(responses)'!H$3:H$322)) / _xlfn.STDEV.S('ALL(responses)'!H$3:H$322),3)
</f>
        <v>0.631</v>
      </c>
      <c r="I61" s="6">
        <f>ROUND(('ALL(responses)'!I62 - AVERAGE('ALL(responses)'!I$3:I$322)) / _xlfn.STDEV.S('ALL(responses)'!I$3:I$322),3)
</f>
        <v>-0.673</v>
      </c>
      <c r="J61" s="6">
        <f>ROUND(('ALL(responses)'!J62 - AVERAGE('ALL(responses)'!J$3:J$322)) / _xlfn.STDEV.S('ALL(responses)'!J$3:J$322),3)
</f>
        <v>-0.562</v>
      </c>
      <c r="K61" s="6">
        <f>ROUND(('ALL(responses)'!M62 - AVERAGE('ALL(responses)'!M$3:M$322)) / _xlfn.STDEV.S('ALL(responses)'!M$3:M$322),3)
</f>
        <v>0.067</v>
      </c>
      <c r="L61" s="6">
        <f>ROUND(('ALL(responses)'!P62 - AVERAGE('ALL(responses)'!P$3:P$322)) / _xlfn.STDEV.S('ALL(responses)'!P$3:P$322),3)
</f>
        <v>0.427</v>
      </c>
      <c r="M61" s="6">
        <f>ROUND(('ALL(responses)'!Q62 - AVERAGE('ALL(responses)'!Q$3:Q$322)) / _xlfn.STDEV.S('ALL(responses)'!Q$3:Q$322),3)
</f>
        <v>-0.11</v>
      </c>
      <c r="N61" s="6">
        <f>ROUND(('ALL(responses)'!R62 - AVERAGE('ALL(responses)'!R$3:R$322)) / _xlfn.STDEV.S('ALL(responses)'!R$3:R$322),3)
</f>
        <v>-1.244</v>
      </c>
      <c r="O61" s="6">
        <f>ROUND(('ALL(responses)'!S62 - AVERAGE('ALL(responses)'!S$3:S$322)) / _xlfn.STDEV.S('ALL(responses)'!S$3:S$322),3)
</f>
        <v>-2.977</v>
      </c>
      <c r="P61" s="6">
        <f>ROUND(('ALL(responses)'!T62 - AVERAGE('ALL(responses)'!T$3:T$322)) / _xlfn.STDEV.S('ALL(responses)'!T$3:T$322),3)
</f>
        <v>-0.19</v>
      </c>
      <c r="Q61" s="40">
        <f t="shared" si="2"/>
        <v>0.223</v>
      </c>
    </row>
    <row r="62">
      <c r="A62" s="5" t="s">
        <v>63</v>
      </c>
      <c r="B62" s="6" t="s">
        <v>105</v>
      </c>
      <c r="C62" s="7" t="s">
        <v>64</v>
      </c>
      <c r="D62" s="7" t="s">
        <v>126</v>
      </c>
      <c r="E62" s="9">
        <v>44999.0</v>
      </c>
      <c r="F62" s="6">
        <f>ROUND(('ALL(responses)'!F63 - AVERAGE('ALL(responses)'!F$3:F$322)) / _xlfn.STDEV.S('ALL(responses)'!F$3:F$322),3)
</f>
        <v>1.212</v>
      </c>
      <c r="G62" s="6">
        <f>ROUND(('ALL(responses)'!G63 - AVERAGE('ALL(responses)'!G$3:G$322)) / _xlfn.STDEV.S('ALL(responses)'!G$3:G$322),3)
</f>
        <v>0.625</v>
      </c>
      <c r="H62" s="6">
        <f>ROUND(('ALL(responses)'!H63 - AVERAGE('ALL(responses)'!H$3:H$322)) / _xlfn.STDEV.S('ALL(responses)'!H$3:H$322),3)
</f>
        <v>-0.942</v>
      </c>
      <c r="I62" s="6">
        <f>ROUND(('ALL(responses)'!I63 - AVERAGE('ALL(responses)'!I$3:I$322)) / _xlfn.STDEV.S('ALL(responses)'!I$3:I$322),3)
</f>
        <v>0.965</v>
      </c>
      <c r="J62" s="6">
        <f>ROUND(('ALL(responses)'!J63 - AVERAGE('ALL(responses)'!J$3:J$322)) / _xlfn.STDEV.S('ALL(responses)'!J$3:J$322),3)
</f>
        <v>0.795</v>
      </c>
      <c r="K62" s="6">
        <f>ROUND(('ALL(responses)'!M63 - AVERAGE('ALL(responses)'!M$3:M$322)) / _xlfn.STDEV.S('ALL(responses)'!M$3:M$322),3)
</f>
        <v>1.762</v>
      </c>
      <c r="L62" s="6">
        <f>ROUND(('ALL(responses)'!P63 - AVERAGE('ALL(responses)'!P$3:P$322)) / _xlfn.STDEV.S('ALL(responses)'!P$3:P$322),3)
</f>
        <v>2.105</v>
      </c>
      <c r="M62" s="6">
        <f>ROUND(('ALL(responses)'!Q63 - AVERAGE('ALL(responses)'!Q$3:Q$322)) / _xlfn.STDEV.S('ALL(responses)'!Q$3:Q$322),3)
</f>
        <v>1.041</v>
      </c>
      <c r="N62" s="6">
        <f>ROUND(('ALL(responses)'!R63 - AVERAGE('ALL(responses)'!R$3:R$322)) / _xlfn.STDEV.S('ALL(responses)'!R$3:R$322),3)
</f>
        <v>0.459</v>
      </c>
      <c r="O62" s="6">
        <f>ROUND(('ALL(responses)'!S63 - AVERAGE('ALL(responses)'!S$3:S$322)) / _xlfn.STDEV.S('ALL(responses)'!S$3:S$322),3)
</f>
        <v>-3.731</v>
      </c>
      <c r="P62" s="6">
        <f>ROUND(('ALL(responses)'!T63 - AVERAGE('ALL(responses)'!T$3:T$322)) / _xlfn.STDEV.S('ALL(responses)'!T$3:T$322),3)
</f>
        <v>-0.11</v>
      </c>
      <c r="Q62" s="40">
        <f t="shared" si="2"/>
        <v>0.223</v>
      </c>
    </row>
    <row r="63">
      <c r="A63" s="5" t="s">
        <v>63</v>
      </c>
      <c r="B63" s="6" t="s">
        <v>105</v>
      </c>
      <c r="C63" s="7" t="s">
        <v>66</v>
      </c>
      <c r="D63" s="7" t="s">
        <v>127</v>
      </c>
      <c r="E63" s="9">
        <v>44999.0</v>
      </c>
      <c r="F63" s="6">
        <f>ROUND(('ALL(responses)'!F64 - AVERAGE('ALL(responses)'!F$3:F$322)) / _xlfn.STDEV.S('ALL(responses)'!F$3:F$322),3)
</f>
        <v>0.766</v>
      </c>
      <c r="G63" s="6">
        <f>ROUND(('ALL(responses)'!G64 - AVERAGE('ALL(responses)'!G$3:G$322)) / _xlfn.STDEV.S('ALL(responses)'!G$3:G$322),3)
</f>
        <v>1.042</v>
      </c>
      <c r="H63" s="6">
        <f>ROUND(('ALL(responses)'!H64 - AVERAGE('ALL(responses)'!H$3:H$322)) / _xlfn.STDEV.S('ALL(responses)'!H$3:H$322),3)
</f>
        <v>0.631</v>
      </c>
      <c r="I63" s="6">
        <f>ROUND(('ALL(responses)'!I64 - AVERAGE('ALL(responses)'!I$3:I$322)) / _xlfn.STDEV.S('ALL(responses)'!I$3:I$322),3)
</f>
        <v>0.556</v>
      </c>
      <c r="J63" s="6">
        <f>ROUND(('ALL(responses)'!J64 - AVERAGE('ALL(responses)'!J$3:J$322)) / _xlfn.STDEV.S('ALL(responses)'!J$3:J$322),3)
</f>
        <v>-0.562</v>
      </c>
      <c r="K63" s="6">
        <f>ROUND(('ALL(responses)'!M64 - AVERAGE('ALL(responses)'!M$3:M$322)) / _xlfn.STDEV.S('ALL(responses)'!M$3:M$322),3)
</f>
        <v>0.718</v>
      </c>
      <c r="L63" s="6">
        <f>ROUND(('ALL(responses)'!P64 - AVERAGE('ALL(responses)'!P$3:P$322)) / _xlfn.STDEV.S('ALL(responses)'!P$3:P$322),3)
</f>
        <v>1.493</v>
      </c>
      <c r="M63" s="6">
        <f>ROUND(('ALL(responses)'!Q64 - AVERAGE('ALL(responses)'!Q$3:Q$322)) / _xlfn.STDEV.S('ALL(responses)'!Q$3:Q$322),3)
</f>
        <v>1.009</v>
      </c>
      <c r="N63" s="6">
        <f>ROUND(('ALL(responses)'!R64 - AVERAGE('ALL(responses)'!R$3:R$322)) / _xlfn.STDEV.S('ALL(responses)'!R$3:R$322),3)
</f>
        <v>-1.114</v>
      </c>
      <c r="O63" s="6">
        <f>ROUND(('ALL(responses)'!S64 - AVERAGE('ALL(responses)'!S$3:S$322)) / _xlfn.STDEV.S('ALL(responses)'!S$3:S$322),3)
</f>
        <v>-0.266</v>
      </c>
      <c r="P63" s="6">
        <f>ROUND(('ALL(responses)'!T64 - AVERAGE('ALL(responses)'!T$3:T$322)) / _xlfn.STDEV.S('ALL(responses)'!T$3:T$322),3)
</f>
        <v>0.239</v>
      </c>
      <c r="Q63" s="40">
        <f t="shared" si="2"/>
        <v>0.223</v>
      </c>
    </row>
    <row r="64">
      <c r="A64" s="5" t="s">
        <v>63</v>
      </c>
      <c r="B64" s="6" t="s">
        <v>105</v>
      </c>
      <c r="C64" s="7" t="s">
        <v>68</v>
      </c>
      <c r="D64" s="7" t="s">
        <v>128</v>
      </c>
      <c r="E64" s="9">
        <v>44999.0</v>
      </c>
      <c r="F64" s="6">
        <f>ROUND(('ALL(responses)'!F65 - AVERAGE('ALL(responses)'!F$3:F$322)) / _xlfn.STDEV.S('ALL(responses)'!F$3:F$322),3)
</f>
        <v>-0.571</v>
      </c>
      <c r="G64" s="6">
        <f>ROUND(('ALL(responses)'!G65 - AVERAGE('ALL(responses)'!G$3:G$322)) / _xlfn.STDEV.S('ALL(responses)'!G$3:G$322),3)
</f>
        <v>-0.21</v>
      </c>
      <c r="H64" s="6">
        <f>ROUND(('ALL(responses)'!H65 - AVERAGE('ALL(responses)'!H$3:H$322)) / _xlfn.STDEV.S('ALL(responses)'!H$3:H$322),3)
</f>
        <v>-0.418</v>
      </c>
      <c r="I64" s="6">
        <f>ROUND(('ALL(responses)'!I65 - AVERAGE('ALL(responses)'!I$3:I$322)) / _xlfn.STDEV.S('ALL(responses)'!I$3:I$322),3)
</f>
        <v>0.556</v>
      </c>
      <c r="J64" s="6">
        <f>ROUND(('ALL(responses)'!J65 - AVERAGE('ALL(responses)'!J$3:J$322)) / _xlfn.STDEV.S('ALL(responses)'!J$3:J$322),3)
</f>
        <v>0.117</v>
      </c>
      <c r="K64" s="6">
        <f>ROUND(('ALL(responses)'!M65 - AVERAGE('ALL(responses)'!M$3:M$322)) / _xlfn.STDEV.S('ALL(responses)'!M$3:M$322),3)
</f>
        <v>1.735</v>
      </c>
      <c r="L64" s="6">
        <f>ROUND(('ALL(responses)'!P65 - AVERAGE('ALL(responses)'!P$3:P$322)) / _xlfn.STDEV.S('ALL(responses)'!P$3:P$322),3)
</f>
        <v>0.04</v>
      </c>
      <c r="M64" s="6">
        <f>ROUND(('ALL(responses)'!Q65 - AVERAGE('ALL(responses)'!Q$3:Q$322)) / _xlfn.STDEV.S('ALL(responses)'!Q$3:Q$322),3)
</f>
        <v>0.668</v>
      </c>
      <c r="N64" s="6">
        <f>ROUND(('ALL(responses)'!R65 - AVERAGE('ALL(responses)'!R$3:R$322)) / _xlfn.STDEV.S('ALL(responses)'!R$3:R$322),3)
</f>
        <v>0.673</v>
      </c>
      <c r="O64" s="6">
        <f>ROUND(('ALL(responses)'!S65 - AVERAGE('ALL(responses)'!S$3:S$322)) / _xlfn.STDEV.S('ALL(responses)'!S$3:S$322),3)
</f>
        <v>0.525</v>
      </c>
      <c r="P64" s="6">
        <f>ROUND(('ALL(responses)'!T65 - AVERAGE('ALL(responses)'!T$3:T$322)) / _xlfn.STDEV.S('ALL(responses)'!T$3:T$322),3)
</f>
        <v>0.442</v>
      </c>
      <c r="Q64" s="40">
        <f t="shared" si="2"/>
        <v>0.223</v>
      </c>
    </row>
    <row r="65">
      <c r="A65" s="5" t="s">
        <v>63</v>
      </c>
      <c r="B65" s="6" t="s">
        <v>105</v>
      </c>
      <c r="C65" s="7" t="s">
        <v>70</v>
      </c>
      <c r="D65" s="7" t="s">
        <v>129</v>
      </c>
      <c r="E65" s="9">
        <v>44999.0</v>
      </c>
      <c r="F65" s="6">
        <f>ROUND(('ALL(responses)'!F66 - AVERAGE('ALL(responses)'!F$3:F$322)) / _xlfn.STDEV.S('ALL(responses)'!F$3:F$322),3)
</f>
        <v>-0.571</v>
      </c>
      <c r="G65" s="6">
        <f>ROUND(('ALL(responses)'!G66 - AVERAGE('ALL(responses)'!G$3:G$322)) / _xlfn.STDEV.S('ALL(responses)'!G$3:G$322),3)
</f>
        <v>-0.21</v>
      </c>
      <c r="H65" s="6">
        <f>ROUND(('ALL(responses)'!H66 - AVERAGE('ALL(responses)'!H$3:H$322)) / _xlfn.STDEV.S('ALL(responses)'!H$3:H$322),3)
</f>
        <v>-0.942</v>
      </c>
      <c r="I65" s="6">
        <f>ROUND(('ALL(responses)'!I66 - AVERAGE('ALL(responses)'!I$3:I$322)) / _xlfn.STDEV.S('ALL(responses)'!I$3:I$322),3)
</f>
        <v>0.556</v>
      </c>
      <c r="J65" s="6">
        <f>ROUND(('ALL(responses)'!J66 - AVERAGE('ALL(responses)'!J$3:J$322)) / _xlfn.STDEV.S('ALL(responses)'!J$3:J$322),3)
</f>
        <v>0.117</v>
      </c>
      <c r="K65" s="6">
        <f>ROUND(('ALL(responses)'!M66 - AVERAGE('ALL(responses)'!M$3:M$322)) / _xlfn.STDEV.S('ALL(responses)'!M$3:M$322),3)
</f>
        <v>1.866</v>
      </c>
      <c r="L65" s="6">
        <f>ROUND(('ALL(responses)'!P66 - AVERAGE('ALL(responses)'!P$3:P$322)) / _xlfn.STDEV.S('ALL(responses)'!P$3:P$322),3)
</f>
        <v>0.475</v>
      </c>
      <c r="M65" s="6">
        <f>ROUND(('ALL(responses)'!Q66 - AVERAGE('ALL(responses)'!Q$3:Q$322)) / _xlfn.STDEV.S('ALL(responses)'!Q$3:Q$322),3)
</f>
        <v>-0.032</v>
      </c>
      <c r="N65" s="6">
        <f>ROUND(('ALL(responses)'!R66 - AVERAGE('ALL(responses)'!R$3:R$322)) / _xlfn.STDEV.S('ALL(responses)'!R$3:R$322),3)
</f>
        <v>0.598</v>
      </c>
      <c r="O65" s="6">
        <f>ROUND(('ALL(responses)'!S66 - AVERAGE('ALL(responses)'!S$3:S$322)) / _xlfn.STDEV.S('ALL(responses)'!S$3:S$322),3)
</f>
        <v>0.492</v>
      </c>
      <c r="P65" s="6">
        <f>ROUND(('ALL(responses)'!T66 - AVERAGE('ALL(responses)'!T$3:T$322)) / _xlfn.STDEV.S('ALL(responses)'!T$3:T$322),3)
</f>
        <v>0.384</v>
      </c>
      <c r="Q65" s="40">
        <f t="shared" si="2"/>
        <v>0.223</v>
      </c>
    </row>
    <row r="66">
      <c r="A66" s="5" t="s">
        <v>63</v>
      </c>
      <c r="B66" s="6" t="s">
        <v>105</v>
      </c>
      <c r="C66" s="7" t="s">
        <v>72</v>
      </c>
      <c r="D66" s="7" t="s">
        <v>130</v>
      </c>
      <c r="E66" s="9">
        <v>44999.0</v>
      </c>
      <c r="F66" s="6">
        <f>ROUND(('ALL(responses)'!F67 - AVERAGE('ALL(responses)'!F$3:F$322)) / _xlfn.STDEV.S('ALL(responses)'!F$3:F$322),3)
</f>
        <v>0.32</v>
      </c>
      <c r="G66" s="6">
        <f>ROUND(('ALL(responses)'!G67 - AVERAGE('ALL(responses)'!G$3:G$322)) / _xlfn.STDEV.S('ALL(responses)'!G$3:G$322),3)
</f>
        <v>0.625</v>
      </c>
      <c r="H66" s="6">
        <f>ROUND(('ALL(responses)'!H67 - AVERAGE('ALL(responses)'!H$3:H$322)) / _xlfn.STDEV.S('ALL(responses)'!H$3:H$322),3)
</f>
        <v>1.155</v>
      </c>
      <c r="I66" s="6">
        <f>ROUND(('ALL(responses)'!I67 - AVERAGE('ALL(responses)'!I$3:I$322)) / _xlfn.STDEV.S('ALL(responses)'!I$3:I$322),3)
</f>
        <v>0.556</v>
      </c>
      <c r="J66" s="6">
        <f>ROUND(('ALL(responses)'!J67 - AVERAGE('ALL(responses)'!J$3:J$322)) / _xlfn.STDEV.S('ALL(responses)'!J$3:J$322),3)
</f>
        <v>1.473</v>
      </c>
      <c r="K66" s="6">
        <f>ROUND(('ALL(responses)'!M67 - AVERAGE('ALL(responses)'!M$3:M$322)) / _xlfn.STDEV.S('ALL(responses)'!M$3:M$322),3)
</f>
        <v>2.678</v>
      </c>
      <c r="L66" s="6">
        <f>ROUND(('ALL(responses)'!P67 - AVERAGE('ALL(responses)'!P$3:P$322)) / _xlfn.STDEV.S('ALL(responses)'!P$3:P$322),3)
</f>
        <v>0.405</v>
      </c>
      <c r="M66" s="6">
        <f>ROUND(('ALL(responses)'!Q67 - AVERAGE('ALL(responses)'!Q$3:Q$322)) / _xlfn.STDEV.S('ALL(responses)'!Q$3:Q$322),3)
</f>
        <v>0.754</v>
      </c>
      <c r="N66" s="6">
        <f>ROUND(('ALL(responses)'!R67 - AVERAGE('ALL(responses)'!R$3:R$322)) / _xlfn.STDEV.S('ALL(responses)'!R$3:R$322),3)
</f>
        <v>0.733</v>
      </c>
      <c r="O66" s="6">
        <f>ROUND(('ALL(responses)'!S67 - AVERAGE('ALL(responses)'!S$3:S$322)) / _xlfn.STDEV.S('ALL(responses)'!S$3:S$322),3)
</f>
        <v>0.552</v>
      </c>
      <c r="P66" s="6">
        <f>ROUND(('ALL(responses)'!T67 - AVERAGE('ALL(responses)'!T$3:T$322)) / _xlfn.STDEV.S('ALL(responses)'!T$3:T$322),3)
</f>
        <v>-1.026</v>
      </c>
      <c r="Q66" s="40">
        <f t="shared" si="2"/>
        <v>0.223</v>
      </c>
    </row>
    <row r="67">
      <c r="A67" s="5" t="s">
        <v>63</v>
      </c>
      <c r="B67" s="6" t="s">
        <v>105</v>
      </c>
      <c r="C67" s="7" t="s">
        <v>74</v>
      </c>
      <c r="D67" s="7" t="s">
        <v>131</v>
      </c>
      <c r="E67" s="9">
        <v>44999.0</v>
      </c>
      <c r="F67" s="6">
        <f>ROUND(('ALL(responses)'!F68 - AVERAGE('ALL(responses)'!F$3:F$322)) / _xlfn.STDEV.S('ALL(responses)'!F$3:F$322),3)
</f>
        <v>0.32</v>
      </c>
      <c r="G67" s="6">
        <f>ROUND(('ALL(responses)'!G68 - AVERAGE('ALL(responses)'!G$3:G$322)) / _xlfn.STDEV.S('ALL(responses)'!G$3:G$322),3)
</f>
        <v>-0.21</v>
      </c>
      <c r="H67" s="6">
        <f>ROUND(('ALL(responses)'!H68 - AVERAGE('ALL(responses)'!H$3:H$322)) / _xlfn.STDEV.S('ALL(responses)'!H$3:H$322),3)
</f>
        <v>0.107</v>
      </c>
      <c r="I67" s="6">
        <f>ROUND(('ALL(responses)'!I68 - AVERAGE('ALL(responses)'!I$3:I$322)) / _xlfn.STDEV.S('ALL(responses)'!I$3:I$322),3)
</f>
        <v>0.556</v>
      </c>
      <c r="J67" s="6">
        <f>ROUND(('ALL(responses)'!J68 - AVERAGE('ALL(responses)'!J$3:J$322)) / _xlfn.STDEV.S('ALL(responses)'!J$3:J$322),3)
</f>
        <v>2.151</v>
      </c>
      <c r="K67" s="6">
        <f>ROUND(('ALL(responses)'!M68 - AVERAGE('ALL(responses)'!M$3:M$322)) / _xlfn.STDEV.S('ALL(responses)'!M$3:M$322),3)
</f>
        <v>1.559</v>
      </c>
      <c r="L67" s="6">
        <f>ROUND(('ALL(responses)'!P68 - AVERAGE('ALL(responses)'!P$3:P$322)) / _xlfn.STDEV.S('ALL(responses)'!P$3:P$322),3)
</f>
        <v>0.835</v>
      </c>
      <c r="M67" s="6">
        <f>ROUND(('ALL(responses)'!Q68 - AVERAGE('ALL(responses)'!Q$3:Q$322)) / _xlfn.STDEV.S('ALL(responses)'!Q$3:Q$322),3)
</f>
        <v>-0.369</v>
      </c>
      <c r="N67" s="6">
        <f>ROUND(('ALL(responses)'!R68 - AVERAGE('ALL(responses)'!R$3:R$322)) / _xlfn.STDEV.S('ALL(responses)'!R$3:R$322),3)
</f>
        <v>0.663</v>
      </c>
      <c r="O67" s="6">
        <f>ROUND(('ALL(responses)'!S68 - AVERAGE('ALL(responses)'!S$3:S$322)) / _xlfn.STDEV.S('ALL(responses)'!S$3:S$322),3)
</f>
        <v>0.521</v>
      </c>
      <c r="P67" s="6">
        <f>ROUND(('ALL(responses)'!T68 - AVERAGE('ALL(responses)'!T$3:T$322)) / _xlfn.STDEV.S('ALL(responses)'!T$3:T$322),3)
</f>
        <v>-0.559</v>
      </c>
      <c r="Q67" s="40">
        <f t="shared" si="2"/>
        <v>0.223</v>
      </c>
    </row>
    <row r="68">
      <c r="A68" s="5" t="s">
        <v>63</v>
      </c>
      <c r="B68" s="6" t="s">
        <v>105</v>
      </c>
      <c r="C68" s="7" t="s">
        <v>76</v>
      </c>
      <c r="D68" s="7" t="s">
        <v>132</v>
      </c>
      <c r="E68" s="9">
        <v>44999.0</v>
      </c>
      <c r="F68" s="6">
        <f>ROUND(('ALL(responses)'!F69 - AVERAGE('ALL(responses)'!F$3:F$322)) / _xlfn.STDEV.S('ALL(responses)'!F$3:F$322),3)
</f>
        <v>-0.125</v>
      </c>
      <c r="G68" s="6">
        <f>ROUND(('ALL(responses)'!G69 - AVERAGE('ALL(responses)'!G$3:G$322)) / _xlfn.STDEV.S('ALL(responses)'!G$3:G$322),3)
</f>
        <v>-0.21</v>
      </c>
      <c r="H68" s="6">
        <f>ROUND(('ALL(responses)'!H69 - AVERAGE('ALL(responses)'!H$3:H$322)) / _xlfn.STDEV.S('ALL(responses)'!H$3:H$322),3)
</f>
        <v>0.631</v>
      </c>
      <c r="I68" s="6">
        <f>ROUND(('ALL(responses)'!I69 - AVERAGE('ALL(responses)'!I$3:I$322)) / _xlfn.STDEV.S('ALL(responses)'!I$3:I$322),3)
</f>
        <v>0.146</v>
      </c>
      <c r="J68" s="6">
        <f>ROUND(('ALL(responses)'!J69 - AVERAGE('ALL(responses)'!J$3:J$322)) / _xlfn.STDEV.S('ALL(responses)'!J$3:J$322),3)
</f>
        <v>-0.562</v>
      </c>
      <c r="K68" s="6">
        <f>ROUND(('ALL(responses)'!M69 - AVERAGE('ALL(responses)'!M$3:M$322)) / _xlfn.STDEV.S('ALL(responses)'!M$3:M$322),3)
</f>
        <v>1.623</v>
      </c>
      <c r="L68" s="6">
        <f>ROUND(('ALL(responses)'!P69 - AVERAGE('ALL(responses)'!P$3:P$322)) / _xlfn.STDEV.S('ALL(responses)'!P$3:P$322),3)
</f>
        <v>-0.602</v>
      </c>
      <c r="M68" s="6">
        <f>ROUND(('ALL(responses)'!Q69 - AVERAGE('ALL(responses)'!Q$3:Q$322)) / _xlfn.STDEV.S('ALL(responses)'!Q$3:Q$322),3)
</f>
        <v>-0.529</v>
      </c>
      <c r="N68" s="6">
        <f>ROUND(('ALL(responses)'!R69 - AVERAGE('ALL(responses)'!R$3:R$322)) / _xlfn.STDEV.S('ALL(responses)'!R$3:R$322),3)
</f>
        <v>0.721</v>
      </c>
      <c r="O68" s="6">
        <f>ROUND(('ALL(responses)'!S69 - AVERAGE('ALL(responses)'!S$3:S$322)) / _xlfn.STDEV.S('ALL(responses)'!S$3:S$322),3)
</f>
        <v>0.546</v>
      </c>
      <c r="P68" s="6">
        <f>ROUND(('ALL(responses)'!T69 - AVERAGE('ALL(responses)'!T$3:T$322)) / _xlfn.STDEV.S('ALL(responses)'!T$3:T$322),3)
</f>
        <v>-0.894</v>
      </c>
      <c r="Q68" s="40">
        <f t="shared" si="2"/>
        <v>0.223</v>
      </c>
    </row>
    <row r="69">
      <c r="A69" s="5" t="s">
        <v>63</v>
      </c>
      <c r="B69" s="6" t="s">
        <v>105</v>
      </c>
      <c r="C69" s="7" t="s">
        <v>78</v>
      </c>
      <c r="D69" s="7" t="s">
        <v>133</v>
      </c>
      <c r="E69" s="9">
        <v>44999.0</v>
      </c>
      <c r="F69" s="6">
        <f>ROUND(('ALL(responses)'!F70 - AVERAGE('ALL(responses)'!F$3:F$322)) / _xlfn.STDEV.S('ALL(responses)'!F$3:F$322),3)
</f>
        <v>0.766</v>
      </c>
      <c r="G69" s="6">
        <f>ROUND(('ALL(responses)'!G70 - AVERAGE('ALL(responses)'!G$3:G$322)) / _xlfn.STDEV.S('ALL(responses)'!G$3:G$322),3)
</f>
        <v>0.625</v>
      </c>
      <c r="H69" s="6">
        <f>ROUND(('ALL(responses)'!H70 - AVERAGE('ALL(responses)'!H$3:H$322)) / _xlfn.STDEV.S('ALL(responses)'!H$3:H$322),3)
</f>
        <v>0.107</v>
      </c>
      <c r="I69" s="6">
        <f>ROUND(('ALL(responses)'!I70 - AVERAGE('ALL(responses)'!I$3:I$322)) / _xlfn.STDEV.S('ALL(responses)'!I$3:I$322),3)
</f>
        <v>-0.264</v>
      </c>
      <c r="J69" s="6">
        <f>ROUND(('ALL(responses)'!J70 - AVERAGE('ALL(responses)'!J$3:J$322)) / _xlfn.STDEV.S('ALL(responses)'!J$3:J$322),3)
</f>
        <v>-0.562</v>
      </c>
      <c r="K69" s="6">
        <f>ROUND(('ALL(responses)'!M70 - AVERAGE('ALL(responses)'!M$3:M$322)) / _xlfn.STDEV.S('ALL(responses)'!M$3:M$322),3)
</f>
        <v>1.391</v>
      </c>
      <c r="L69" s="6">
        <f>ROUND(('ALL(responses)'!P70 - AVERAGE('ALL(responses)'!P$3:P$322)) / _xlfn.STDEV.S('ALL(responses)'!P$3:P$322),3)
</f>
        <v>0.36</v>
      </c>
      <c r="M69" s="6">
        <f>ROUND(('ALL(responses)'!Q70 - AVERAGE('ALL(responses)'!Q$3:Q$322)) / _xlfn.STDEV.S('ALL(responses)'!Q$3:Q$322),3)
</f>
        <v>1.105</v>
      </c>
      <c r="N69" s="6">
        <f>ROUND(('ALL(responses)'!R70 - AVERAGE('ALL(responses)'!R$3:R$322)) / _xlfn.STDEV.S('ALL(responses)'!R$3:R$322),3)
</f>
        <v>-3.026</v>
      </c>
      <c r="O69" s="6">
        <f>ROUND(('ALL(responses)'!S70 - AVERAGE('ALL(responses)'!S$3:S$322)) / _xlfn.STDEV.S('ALL(responses)'!S$3:S$322),3)
</f>
        <v>-1.113</v>
      </c>
      <c r="P69" s="6">
        <f>ROUND(('ALL(responses)'!T70 - AVERAGE('ALL(responses)'!T$3:T$322)) / _xlfn.STDEV.S('ALL(responses)'!T$3:T$322),3)
</f>
        <v>-0.542</v>
      </c>
      <c r="Q69" s="40">
        <f t="shared" si="2"/>
        <v>0.223</v>
      </c>
    </row>
    <row r="70">
      <c r="A70" s="5" t="s">
        <v>63</v>
      </c>
      <c r="B70" s="6" t="s">
        <v>105</v>
      </c>
      <c r="C70" s="7" t="s">
        <v>80</v>
      </c>
      <c r="D70" s="7" t="s">
        <v>134</v>
      </c>
      <c r="E70" s="9">
        <v>44999.0</v>
      </c>
      <c r="F70" s="6">
        <f>ROUND(('ALL(responses)'!F71 - AVERAGE('ALL(responses)'!F$3:F$322)) / _xlfn.STDEV.S('ALL(responses)'!F$3:F$322),3)
</f>
        <v>0.766</v>
      </c>
      <c r="G70" s="6">
        <f>ROUND(('ALL(responses)'!G71 - AVERAGE('ALL(responses)'!G$3:G$322)) / _xlfn.STDEV.S('ALL(responses)'!G$3:G$322),3)
</f>
        <v>0.625</v>
      </c>
      <c r="H70" s="6">
        <f>ROUND(('ALL(responses)'!H71 - AVERAGE('ALL(responses)'!H$3:H$322)) / _xlfn.STDEV.S('ALL(responses)'!H$3:H$322),3)
</f>
        <v>0.107</v>
      </c>
      <c r="I70" s="6">
        <f>ROUND(('ALL(responses)'!I71 - AVERAGE('ALL(responses)'!I$3:I$322)) / _xlfn.STDEV.S('ALL(responses)'!I$3:I$322),3)
</f>
        <v>0.556</v>
      </c>
      <c r="J70" s="6">
        <f>ROUND(('ALL(responses)'!J71 - AVERAGE('ALL(responses)'!J$3:J$322)) / _xlfn.STDEV.S('ALL(responses)'!J$3:J$322),3)
</f>
        <v>0.795</v>
      </c>
      <c r="K70" s="6">
        <f>ROUND(('ALL(responses)'!M71 - AVERAGE('ALL(responses)'!M$3:M$322)) / _xlfn.STDEV.S('ALL(responses)'!M$3:M$322),3)
</f>
        <v>1.442</v>
      </c>
      <c r="L70" s="6">
        <f>ROUND(('ALL(responses)'!P71 - AVERAGE('ALL(responses)'!P$3:P$322)) / _xlfn.STDEV.S('ALL(responses)'!P$3:P$322),3)
</f>
        <v>1.13</v>
      </c>
      <c r="M70" s="6">
        <f>ROUND(('ALL(responses)'!Q71 - AVERAGE('ALL(responses)'!Q$3:Q$322)) / _xlfn.STDEV.S('ALL(responses)'!Q$3:Q$322),3)
</f>
        <v>0.183</v>
      </c>
      <c r="N70" s="6">
        <f>ROUND(('ALL(responses)'!R71 - AVERAGE('ALL(responses)'!R$3:R$322)) / _xlfn.STDEV.S('ALL(responses)'!R$3:R$322),3)
</f>
        <v>0.537</v>
      </c>
      <c r="O70" s="6">
        <f>ROUND(('ALL(responses)'!S71 - AVERAGE('ALL(responses)'!S$3:S$322)) / _xlfn.STDEV.S('ALL(responses)'!S$3:S$322),3)
</f>
        <v>0.465</v>
      </c>
      <c r="P70" s="6">
        <f>ROUND(('ALL(responses)'!T71 - AVERAGE('ALL(responses)'!T$3:T$322)) / _xlfn.STDEV.S('ALL(responses)'!T$3:T$322),3)
</f>
        <v>-1.766</v>
      </c>
      <c r="Q70" s="40">
        <f t="shared" si="2"/>
        <v>0.223</v>
      </c>
    </row>
    <row r="71">
      <c r="A71" s="5" t="s">
        <v>63</v>
      </c>
      <c r="B71" s="6" t="s">
        <v>105</v>
      </c>
      <c r="C71" s="7" t="s">
        <v>82</v>
      </c>
      <c r="D71" s="8" t="s">
        <v>134</v>
      </c>
      <c r="E71" s="9">
        <v>44999.0</v>
      </c>
      <c r="F71" s="6">
        <f>ROUND(('ALL(responses)'!F72 - AVERAGE('ALL(responses)'!F$3:F$322)) / _xlfn.STDEV.S('ALL(responses)'!F$3:F$322),3)
</f>
        <v>0.32</v>
      </c>
      <c r="G71" s="6">
        <f>ROUND(('ALL(responses)'!G72 - AVERAGE('ALL(responses)'!G$3:G$322)) / _xlfn.STDEV.S('ALL(responses)'!G$3:G$322),3)
</f>
        <v>-0.627</v>
      </c>
      <c r="H71" s="6">
        <f>ROUND(('ALL(responses)'!H72 - AVERAGE('ALL(responses)'!H$3:H$322)) / _xlfn.STDEV.S('ALL(responses)'!H$3:H$322),3)
</f>
        <v>-0.942</v>
      </c>
      <c r="I71" s="6">
        <f>ROUND(('ALL(responses)'!I72 - AVERAGE('ALL(responses)'!I$3:I$322)) / _xlfn.STDEV.S('ALL(responses)'!I$3:I$322),3)
</f>
        <v>-0.673</v>
      </c>
      <c r="J71" s="6">
        <f>ROUND(('ALL(responses)'!J72 - AVERAGE('ALL(responses)'!J$3:J$322)) / _xlfn.STDEV.S('ALL(responses)'!J$3:J$322),3)
</f>
        <v>0.117</v>
      </c>
      <c r="K71" s="6">
        <f>ROUND(('ALL(responses)'!M72 - AVERAGE('ALL(responses)'!M$3:M$322)) / _xlfn.STDEV.S('ALL(responses)'!M$3:M$322),3)
</f>
        <v>1.277</v>
      </c>
      <c r="L71" s="6">
        <f>ROUND(('ALL(responses)'!P72 - AVERAGE('ALL(responses)'!P$3:P$322)) / _xlfn.STDEV.S('ALL(responses)'!P$3:P$322),3)
</f>
        <v>0.405</v>
      </c>
      <c r="M71" s="6">
        <f>ROUND(('ALL(responses)'!Q72 - AVERAGE('ALL(responses)'!Q$3:Q$322)) / _xlfn.STDEV.S('ALL(responses)'!Q$3:Q$322),3)
</f>
        <v>-0.158</v>
      </c>
      <c r="N71" s="6">
        <f>ROUND(('ALL(responses)'!R72 - AVERAGE('ALL(responses)'!R$3:R$322)) / _xlfn.STDEV.S('ALL(responses)'!R$3:R$322),3)
</f>
        <v>0.767</v>
      </c>
      <c r="O71" s="6">
        <f>ROUND(('ALL(responses)'!S72 - AVERAGE('ALL(responses)'!S$3:S$322)) / _xlfn.STDEV.S('ALL(responses)'!S$3:S$322),3)
</f>
        <v>0.567</v>
      </c>
      <c r="P71" s="6">
        <f>ROUND(('ALL(responses)'!T72 - AVERAGE('ALL(responses)'!T$3:T$322)) / _xlfn.STDEV.S('ALL(responses)'!T$3:T$322),3)
</f>
        <v>0.234</v>
      </c>
      <c r="Q71" s="40">
        <f t="shared" si="2"/>
        <v>0.223</v>
      </c>
    </row>
    <row r="72">
      <c r="A72" s="5" t="s">
        <v>84</v>
      </c>
      <c r="B72" s="6" t="s">
        <v>105</v>
      </c>
      <c r="C72" s="7" t="s">
        <v>85</v>
      </c>
      <c r="D72" s="7" t="s">
        <v>135</v>
      </c>
      <c r="E72" s="9">
        <v>44999.0</v>
      </c>
      <c r="F72" s="6">
        <f>ROUND(('ALL(responses)'!F73 - AVERAGE('ALL(responses)'!F$3:F$322)) / _xlfn.STDEV.S('ALL(responses)'!F$3:F$322),3)
</f>
        <v>0.766</v>
      </c>
      <c r="G72" s="6">
        <f>ROUND(('ALL(responses)'!G73 - AVERAGE('ALL(responses)'!G$3:G$322)) / _xlfn.STDEV.S('ALL(responses)'!G$3:G$322),3)
</f>
        <v>1.042</v>
      </c>
      <c r="H72" s="6">
        <f>ROUND(('ALL(responses)'!H73 - AVERAGE('ALL(responses)'!H$3:H$322)) / _xlfn.STDEV.S('ALL(responses)'!H$3:H$322),3)
</f>
        <v>0.107</v>
      </c>
      <c r="I72" s="6">
        <f>ROUND(('ALL(responses)'!I73 - AVERAGE('ALL(responses)'!I$3:I$322)) / _xlfn.STDEV.S('ALL(responses)'!I$3:I$322),3)
</f>
        <v>-0.673</v>
      </c>
      <c r="J72" s="6">
        <f>ROUND(('ALL(responses)'!J73 - AVERAGE('ALL(responses)'!J$3:J$322)) / _xlfn.STDEV.S('ALL(responses)'!J$3:J$322),3)
</f>
        <v>2.151</v>
      </c>
      <c r="K72" s="6">
        <f>ROUND(('ALL(responses)'!M73 - AVERAGE('ALL(responses)'!M$3:M$322)) / _xlfn.STDEV.S('ALL(responses)'!M$3:M$322),3)
</f>
        <v>1.206</v>
      </c>
      <c r="L72" s="6">
        <f>ROUND(('ALL(responses)'!P73 - AVERAGE('ALL(responses)'!P$3:P$322)) / _xlfn.STDEV.S('ALL(responses)'!P$3:P$322),3)
</f>
        <v>1.339</v>
      </c>
      <c r="M72" s="6">
        <f>ROUND(('ALL(responses)'!Q73 - AVERAGE('ALL(responses)'!Q$3:Q$322)) / _xlfn.STDEV.S('ALL(responses)'!Q$3:Q$322),3)
</f>
        <v>2.013</v>
      </c>
      <c r="N72" s="6">
        <f>ROUND(('ALL(responses)'!R73 - AVERAGE('ALL(responses)'!R$3:R$322)) / _xlfn.STDEV.S('ALL(responses)'!R$3:R$322),3)
</f>
        <v>0.238</v>
      </c>
      <c r="O72" s="6">
        <f>ROUND(('ALL(responses)'!S73 - AVERAGE('ALL(responses)'!S$3:S$322)) / _xlfn.STDEV.S('ALL(responses)'!S$3:S$322),3)
</f>
        <v>-3.634</v>
      </c>
      <c r="P72" s="6">
        <f>ROUND(('ALL(responses)'!T73 - AVERAGE('ALL(responses)'!T$3:T$322)) / _xlfn.STDEV.S('ALL(responses)'!T$3:T$322),3)
</f>
        <v>-0.723</v>
      </c>
      <c r="Q72" s="40">
        <f t="shared" si="2"/>
        <v>0.223</v>
      </c>
    </row>
    <row r="73">
      <c r="A73" s="5" t="s">
        <v>84</v>
      </c>
      <c r="B73" s="6" t="s">
        <v>105</v>
      </c>
      <c r="C73" s="7" t="s">
        <v>87</v>
      </c>
      <c r="D73" s="7" t="s">
        <v>136</v>
      </c>
      <c r="E73" s="9">
        <v>44999.0</v>
      </c>
      <c r="F73" s="6">
        <f>ROUND(('ALL(responses)'!F74 - AVERAGE('ALL(responses)'!F$3:F$322)) / _xlfn.STDEV.S('ALL(responses)'!F$3:F$322),3)
</f>
        <v>0.766</v>
      </c>
      <c r="G73" s="6">
        <f>ROUND(('ALL(responses)'!G74 - AVERAGE('ALL(responses)'!G$3:G$322)) / _xlfn.STDEV.S('ALL(responses)'!G$3:G$322),3)
</f>
        <v>1.042</v>
      </c>
      <c r="H73" s="6">
        <f>ROUND(('ALL(responses)'!H74 - AVERAGE('ALL(responses)'!H$3:H$322)) / _xlfn.STDEV.S('ALL(responses)'!H$3:H$322),3)
</f>
        <v>1.155</v>
      </c>
      <c r="I73" s="6">
        <f>ROUND(('ALL(responses)'!I74 - AVERAGE('ALL(responses)'!I$3:I$322)) / _xlfn.STDEV.S('ALL(responses)'!I$3:I$322),3)
</f>
        <v>-0.673</v>
      </c>
      <c r="J73" s="6">
        <f>ROUND(('ALL(responses)'!J74 - AVERAGE('ALL(responses)'!J$3:J$322)) / _xlfn.STDEV.S('ALL(responses)'!J$3:J$322),3)
</f>
        <v>1.473</v>
      </c>
      <c r="K73" s="6">
        <f>ROUND(('ALL(responses)'!M74 - AVERAGE('ALL(responses)'!M$3:M$322)) / _xlfn.STDEV.S('ALL(responses)'!M$3:M$322),3)
</f>
        <v>-0.018</v>
      </c>
      <c r="L73" s="6">
        <f>ROUND(('ALL(responses)'!P74 - AVERAGE('ALL(responses)'!P$3:P$322)) / _xlfn.STDEV.S('ALL(responses)'!P$3:P$322),3)
</f>
        <v>-0.185</v>
      </c>
      <c r="M73" s="6">
        <f>ROUND(('ALL(responses)'!Q74 - AVERAGE('ALL(responses)'!Q$3:Q$322)) / _xlfn.STDEV.S('ALL(responses)'!Q$3:Q$322),3)
</f>
        <v>-0.11</v>
      </c>
      <c r="N73" s="6">
        <f>ROUND(('ALL(responses)'!R74 - AVERAGE('ALL(responses)'!R$3:R$322)) / _xlfn.STDEV.S('ALL(responses)'!R$3:R$322),3)
</f>
        <v>-0.761</v>
      </c>
      <c r="O73" s="6">
        <f>ROUND(('ALL(responses)'!S74 - AVERAGE('ALL(responses)'!S$3:S$322)) / _xlfn.STDEV.S('ALL(responses)'!S$3:S$322),3)
</f>
        <v>-0.11</v>
      </c>
      <c r="P73" s="6">
        <f>ROUND(('ALL(responses)'!T74 - AVERAGE('ALL(responses)'!T$3:T$322)) / _xlfn.STDEV.S('ALL(responses)'!T$3:T$322),3)
</f>
        <v>0.127</v>
      </c>
      <c r="Q73" s="40">
        <f t="shared" si="2"/>
        <v>0.223</v>
      </c>
    </row>
    <row r="74">
      <c r="A74" s="5" t="s">
        <v>84</v>
      </c>
      <c r="B74" s="6" t="s">
        <v>105</v>
      </c>
      <c r="C74" s="7" t="s">
        <v>89</v>
      </c>
      <c r="D74" s="7" t="s">
        <v>137</v>
      </c>
      <c r="E74" s="9">
        <v>44999.0</v>
      </c>
      <c r="F74" s="6">
        <f>ROUND(('ALL(responses)'!F75 - AVERAGE('ALL(responses)'!F$3:F$322)) / _xlfn.STDEV.S('ALL(responses)'!F$3:F$322),3)
</f>
        <v>-0.571</v>
      </c>
      <c r="G74" s="6">
        <f>ROUND(('ALL(responses)'!G75 - AVERAGE('ALL(responses)'!G$3:G$322)) / _xlfn.STDEV.S('ALL(responses)'!G$3:G$322),3)
</f>
        <v>-0.21</v>
      </c>
      <c r="H74" s="6">
        <f>ROUND(('ALL(responses)'!H75 - AVERAGE('ALL(responses)'!H$3:H$322)) / _xlfn.STDEV.S('ALL(responses)'!H$3:H$322),3)
</f>
        <v>0.107</v>
      </c>
      <c r="I74" s="6">
        <f>ROUND(('ALL(responses)'!I75 - AVERAGE('ALL(responses)'!I$3:I$322)) / _xlfn.STDEV.S('ALL(responses)'!I$3:I$322),3)
</f>
        <v>-0.673</v>
      </c>
      <c r="J74" s="6">
        <f>ROUND(('ALL(responses)'!J75 - AVERAGE('ALL(responses)'!J$3:J$322)) / _xlfn.STDEV.S('ALL(responses)'!J$3:J$322),3)
</f>
        <v>0.117</v>
      </c>
      <c r="K74" s="6">
        <f>ROUND(('ALL(responses)'!M75 - AVERAGE('ALL(responses)'!M$3:M$322)) / _xlfn.STDEV.S('ALL(responses)'!M$3:M$322),3)
</f>
        <v>0.281</v>
      </c>
      <c r="L74" s="6">
        <f>ROUND(('ALL(responses)'!P75 - AVERAGE('ALL(responses)'!P$3:P$322)) / _xlfn.STDEV.S('ALL(responses)'!P$3:P$322),3)
</f>
        <v>0.313</v>
      </c>
      <c r="M74" s="6">
        <f>ROUND(('ALL(responses)'!Q75 - AVERAGE('ALL(responses)'!Q$3:Q$322)) / _xlfn.STDEV.S('ALL(responses)'!Q$3:Q$322),3)
</f>
        <v>0.473</v>
      </c>
      <c r="N74" s="6">
        <f>ROUND(('ALL(responses)'!R75 - AVERAGE('ALL(responses)'!R$3:R$322)) / _xlfn.STDEV.S('ALL(responses)'!R$3:R$322),3)
</f>
        <v>0.411</v>
      </c>
      <c r="O74" s="6">
        <f>ROUND(('ALL(responses)'!S75 - AVERAGE('ALL(responses)'!S$3:S$322)) / _xlfn.STDEV.S('ALL(responses)'!S$3:S$322),3)
</f>
        <v>0.409</v>
      </c>
      <c r="P74" s="6">
        <f>ROUND(('ALL(responses)'!T75 - AVERAGE('ALL(responses)'!T$3:T$322)) / _xlfn.STDEV.S('ALL(responses)'!T$3:T$322),3)
</f>
        <v>0.46</v>
      </c>
      <c r="Q74" s="40">
        <f t="shared" si="2"/>
        <v>0.223</v>
      </c>
    </row>
    <row r="75">
      <c r="A75" s="5" t="s">
        <v>84</v>
      </c>
      <c r="B75" s="6" t="s">
        <v>105</v>
      </c>
      <c r="C75" s="7" t="s">
        <v>91</v>
      </c>
      <c r="D75" s="7" t="s">
        <v>138</v>
      </c>
      <c r="E75" s="9">
        <v>44999.0</v>
      </c>
      <c r="F75" s="6">
        <f>ROUND(('ALL(responses)'!F76 - AVERAGE('ALL(responses)'!F$3:F$322)) / _xlfn.STDEV.S('ALL(responses)'!F$3:F$322),3)
</f>
        <v>0.32</v>
      </c>
      <c r="G75" s="6">
        <f>ROUND(('ALL(responses)'!G76 - AVERAGE('ALL(responses)'!G$3:G$322)) / _xlfn.STDEV.S('ALL(responses)'!G$3:G$322),3)
</f>
        <v>1.042</v>
      </c>
      <c r="H75" s="6">
        <f>ROUND(('ALL(responses)'!H76 - AVERAGE('ALL(responses)'!H$3:H$322)) / _xlfn.STDEV.S('ALL(responses)'!H$3:H$322),3)
</f>
        <v>-0.942</v>
      </c>
      <c r="I75" s="6">
        <f>ROUND(('ALL(responses)'!I76 - AVERAGE('ALL(responses)'!I$3:I$322)) / _xlfn.STDEV.S('ALL(responses)'!I$3:I$322),3)
</f>
        <v>0.146</v>
      </c>
      <c r="J75" s="6">
        <f>ROUND(('ALL(responses)'!J76 - AVERAGE('ALL(responses)'!J$3:J$322)) / _xlfn.STDEV.S('ALL(responses)'!J$3:J$322),3)
</f>
        <v>1.473</v>
      </c>
      <c r="K75" s="6">
        <f>ROUND(('ALL(responses)'!M76 - AVERAGE('ALL(responses)'!M$3:M$322)) / _xlfn.STDEV.S('ALL(responses)'!M$3:M$322),3)
</f>
        <v>0.917</v>
      </c>
      <c r="L75" s="6">
        <f>ROUND(('ALL(responses)'!P76 - AVERAGE('ALL(responses)'!P$3:P$322)) / _xlfn.STDEV.S('ALL(responses)'!P$3:P$322),3)
</f>
        <v>-0.106</v>
      </c>
      <c r="M75" s="6">
        <f>ROUND(('ALL(responses)'!Q76 - AVERAGE('ALL(responses)'!Q$3:Q$322)) / _xlfn.STDEV.S('ALL(responses)'!Q$3:Q$322),3)
</f>
        <v>0.52</v>
      </c>
      <c r="N75" s="6">
        <f>ROUND(('ALL(responses)'!R76 - AVERAGE('ALL(responses)'!R$3:R$322)) / _xlfn.STDEV.S('ALL(responses)'!R$3:R$322),3)
</f>
        <v>0.499</v>
      </c>
      <c r="O75" s="6">
        <f>ROUND(('ALL(responses)'!S76 - AVERAGE('ALL(responses)'!S$3:S$322)) / _xlfn.STDEV.S('ALL(responses)'!S$3:S$322),3)
</f>
        <v>0.448</v>
      </c>
      <c r="P75" s="6">
        <f>ROUND(('ALL(responses)'!T76 - AVERAGE('ALL(responses)'!T$3:T$322)) / _xlfn.STDEV.S('ALL(responses)'!T$3:T$322),3)
</f>
        <v>0.254</v>
      </c>
      <c r="Q75" s="40">
        <f t="shared" si="2"/>
        <v>0.223</v>
      </c>
    </row>
    <row r="76">
      <c r="A76" s="5" t="s">
        <v>84</v>
      </c>
      <c r="B76" s="6" t="s">
        <v>105</v>
      </c>
      <c r="C76" s="7" t="s">
        <v>93</v>
      </c>
      <c r="D76" s="7" t="s">
        <v>139</v>
      </c>
      <c r="E76" s="9">
        <v>44999.0</v>
      </c>
      <c r="F76" s="6">
        <f>ROUND(('ALL(responses)'!F77 - AVERAGE('ALL(responses)'!F$3:F$322)) / _xlfn.STDEV.S('ALL(responses)'!F$3:F$322),3)
</f>
        <v>1.212</v>
      </c>
      <c r="G76" s="6">
        <f>ROUND(('ALL(responses)'!G77 - AVERAGE('ALL(responses)'!G$3:G$322)) / _xlfn.STDEV.S('ALL(responses)'!G$3:G$322),3)
</f>
        <v>-0.21</v>
      </c>
      <c r="H76" s="6">
        <f>ROUND(('ALL(responses)'!H77 - AVERAGE('ALL(responses)'!H$3:H$322)) / _xlfn.STDEV.S('ALL(responses)'!H$3:H$322),3)
</f>
        <v>1.155</v>
      </c>
      <c r="I76" s="6">
        <f>ROUND(('ALL(responses)'!I77 - AVERAGE('ALL(responses)'!I$3:I$322)) / _xlfn.STDEV.S('ALL(responses)'!I$3:I$322),3)
</f>
        <v>-0.673</v>
      </c>
      <c r="J76" s="6">
        <f>ROUND(('ALL(responses)'!J77 - AVERAGE('ALL(responses)'!J$3:J$322)) / _xlfn.STDEV.S('ALL(responses)'!J$3:J$322),3)
</f>
        <v>0.795</v>
      </c>
      <c r="K76" s="6">
        <f>ROUND(('ALL(responses)'!M77 - AVERAGE('ALL(responses)'!M$3:M$322)) / _xlfn.STDEV.S('ALL(responses)'!M$3:M$322),3)
</f>
        <v>-0.018</v>
      </c>
      <c r="L76" s="6">
        <f>ROUND(('ALL(responses)'!P77 - AVERAGE('ALL(responses)'!P$3:P$322)) / _xlfn.STDEV.S('ALL(responses)'!P$3:P$322),3)
</f>
        <v>-0.185</v>
      </c>
      <c r="M76" s="6">
        <f>ROUND(('ALL(responses)'!Q77 - AVERAGE('ALL(responses)'!Q$3:Q$322)) / _xlfn.STDEV.S('ALL(responses)'!Q$3:Q$322),3)
</f>
        <v>-0.11</v>
      </c>
      <c r="N76" s="6">
        <f>ROUND(('ALL(responses)'!R77 - AVERAGE('ALL(responses)'!R$3:R$322)) / _xlfn.STDEV.S('ALL(responses)'!R$3:R$322),3)
</f>
        <v>-0.761</v>
      </c>
      <c r="O76" s="6">
        <f>ROUND(('ALL(responses)'!S77 - AVERAGE('ALL(responses)'!S$3:S$322)) / _xlfn.STDEV.S('ALL(responses)'!S$3:S$322),3)
</f>
        <v>-0.11</v>
      </c>
      <c r="P76" s="6">
        <f>ROUND(('ALL(responses)'!T77 - AVERAGE('ALL(responses)'!T$3:T$322)) / _xlfn.STDEV.S('ALL(responses)'!T$3:T$322),3)
</f>
        <v>0.127</v>
      </c>
      <c r="Q76" s="40">
        <f t="shared" si="2"/>
        <v>0.223</v>
      </c>
    </row>
    <row r="77">
      <c r="A77" s="5" t="s">
        <v>84</v>
      </c>
      <c r="B77" s="6" t="s">
        <v>105</v>
      </c>
      <c r="C77" s="7" t="s">
        <v>95</v>
      </c>
      <c r="D77" s="7" t="s">
        <v>140</v>
      </c>
      <c r="E77" s="9">
        <v>44999.0</v>
      </c>
      <c r="F77" s="6">
        <f>ROUND(('ALL(responses)'!F78 - AVERAGE('ALL(responses)'!F$3:F$322)) / _xlfn.STDEV.S('ALL(responses)'!F$3:F$322),3)
</f>
        <v>0.32</v>
      </c>
      <c r="G77" s="6">
        <f>ROUND(('ALL(responses)'!G78 - AVERAGE('ALL(responses)'!G$3:G$322)) / _xlfn.STDEV.S('ALL(responses)'!G$3:G$322),3)
</f>
        <v>-0.627</v>
      </c>
      <c r="H77" s="6">
        <f>ROUND(('ALL(responses)'!H78 - AVERAGE('ALL(responses)'!H$3:H$322)) / _xlfn.STDEV.S('ALL(responses)'!H$3:H$322),3)
</f>
        <v>-0.418</v>
      </c>
      <c r="I77" s="6">
        <f>ROUND(('ALL(responses)'!I78 - AVERAGE('ALL(responses)'!I$3:I$322)) / _xlfn.STDEV.S('ALL(responses)'!I$3:I$322),3)
</f>
        <v>0.556</v>
      </c>
      <c r="J77" s="6">
        <f>ROUND(('ALL(responses)'!J78 - AVERAGE('ALL(responses)'!J$3:J$322)) / _xlfn.STDEV.S('ALL(responses)'!J$3:J$322),3)
</f>
        <v>0.795</v>
      </c>
      <c r="K77" s="6">
        <f>ROUND(('ALL(responses)'!M78 - AVERAGE('ALL(responses)'!M$3:M$322)) / _xlfn.STDEV.S('ALL(responses)'!M$3:M$322),3)
</f>
        <v>1.554</v>
      </c>
      <c r="L77" s="6">
        <f>ROUND(('ALL(responses)'!P78 - AVERAGE('ALL(responses)'!P$3:P$322)) / _xlfn.STDEV.S('ALL(responses)'!P$3:P$322),3)
</f>
        <v>-0.515</v>
      </c>
      <c r="M77" s="6">
        <f>ROUND(('ALL(responses)'!Q78 - AVERAGE('ALL(responses)'!Q$3:Q$322)) / _xlfn.STDEV.S('ALL(responses)'!Q$3:Q$322),3)
</f>
        <v>-0.091</v>
      </c>
      <c r="N77" s="6">
        <f>ROUND(('ALL(responses)'!R78 - AVERAGE('ALL(responses)'!R$3:R$322)) / _xlfn.STDEV.S('ALL(responses)'!R$3:R$322),3)
</f>
        <v>0.523</v>
      </c>
      <c r="O77" s="6">
        <f>ROUND(('ALL(responses)'!S78 - AVERAGE('ALL(responses)'!S$3:S$322)) / _xlfn.STDEV.S('ALL(responses)'!S$3:S$322),3)
</f>
        <v>0.459</v>
      </c>
      <c r="P77" s="6">
        <f>ROUND(('ALL(responses)'!T78 - AVERAGE('ALL(responses)'!T$3:T$322)) / _xlfn.STDEV.S('ALL(responses)'!T$3:T$322),3)
</f>
        <v>-0.035</v>
      </c>
      <c r="Q77" s="40">
        <f t="shared" si="2"/>
        <v>0.223</v>
      </c>
    </row>
    <row r="78">
      <c r="A78" s="5" t="s">
        <v>84</v>
      </c>
      <c r="B78" s="6" t="s">
        <v>105</v>
      </c>
      <c r="C78" s="7" t="s">
        <v>97</v>
      </c>
      <c r="D78" s="7" t="s">
        <v>141</v>
      </c>
      <c r="E78" s="9">
        <v>44999.0</v>
      </c>
      <c r="F78" s="6">
        <f>ROUND(('ALL(responses)'!F79 - AVERAGE('ALL(responses)'!F$3:F$322)) / _xlfn.STDEV.S('ALL(responses)'!F$3:F$322),3)
</f>
        <v>1.212</v>
      </c>
      <c r="G78" s="6">
        <f>ROUND(('ALL(responses)'!G79 - AVERAGE('ALL(responses)'!G$3:G$322)) / _xlfn.STDEV.S('ALL(responses)'!G$3:G$322),3)
</f>
        <v>0.625</v>
      </c>
      <c r="H78" s="6">
        <f>ROUND(('ALL(responses)'!H79 - AVERAGE('ALL(responses)'!H$3:H$322)) / _xlfn.STDEV.S('ALL(responses)'!H$3:H$322),3)
</f>
        <v>0.107</v>
      </c>
      <c r="I78" s="6">
        <f>ROUND(('ALL(responses)'!I79 - AVERAGE('ALL(responses)'!I$3:I$322)) / _xlfn.STDEV.S('ALL(responses)'!I$3:I$322),3)
</f>
        <v>0.965</v>
      </c>
      <c r="J78" s="6">
        <f>ROUND(('ALL(responses)'!J79 - AVERAGE('ALL(responses)'!J$3:J$322)) / _xlfn.STDEV.S('ALL(responses)'!J$3:J$322),3)
</f>
        <v>-0.562</v>
      </c>
      <c r="K78" s="6">
        <f>ROUND(('ALL(responses)'!M79 - AVERAGE('ALL(responses)'!M$3:M$322)) / _xlfn.STDEV.S('ALL(responses)'!M$3:M$322),3)
</f>
        <v>0.526</v>
      </c>
      <c r="L78" s="6">
        <f>ROUND(('ALL(responses)'!P79 - AVERAGE('ALL(responses)'!P$3:P$322)) / _xlfn.STDEV.S('ALL(responses)'!P$3:P$322),3)
</f>
        <v>0.427</v>
      </c>
      <c r="M78" s="6">
        <f>ROUND(('ALL(responses)'!Q79 - AVERAGE('ALL(responses)'!Q$3:Q$322)) / _xlfn.STDEV.S('ALL(responses)'!Q$3:Q$322),3)
</f>
        <v>-0.724</v>
      </c>
      <c r="N78" s="6">
        <f>ROUND(('ALL(responses)'!R79 - AVERAGE('ALL(responses)'!R$3:R$322)) / _xlfn.STDEV.S('ALL(responses)'!R$3:R$322),3)
</f>
        <v>0.762</v>
      </c>
      <c r="O78" s="6">
        <f>ROUND(('ALL(responses)'!S79 - AVERAGE('ALL(responses)'!S$3:S$322)) / _xlfn.STDEV.S('ALL(responses)'!S$3:S$322),3)
</f>
        <v>0.565</v>
      </c>
      <c r="P78" s="6">
        <f>ROUND(('ALL(responses)'!T79 - AVERAGE('ALL(responses)'!T$3:T$322)) / _xlfn.STDEV.S('ALL(responses)'!T$3:T$322),3)
</f>
        <v>0.489</v>
      </c>
      <c r="Q78" s="40">
        <f t="shared" si="2"/>
        <v>0.223</v>
      </c>
    </row>
    <row r="79">
      <c r="A79" s="5" t="s">
        <v>84</v>
      </c>
      <c r="B79" s="6" t="s">
        <v>105</v>
      </c>
      <c r="C79" s="7" t="s">
        <v>99</v>
      </c>
      <c r="D79" s="7" t="s">
        <v>142</v>
      </c>
      <c r="E79" s="9">
        <v>44999.0</v>
      </c>
      <c r="F79" s="6">
        <f>ROUND(('ALL(responses)'!F80 - AVERAGE('ALL(responses)'!F$3:F$322)) / _xlfn.STDEV.S('ALL(responses)'!F$3:F$322),3)
</f>
        <v>-0.571</v>
      </c>
      <c r="G79" s="6">
        <f>ROUND(('ALL(responses)'!G80 - AVERAGE('ALL(responses)'!G$3:G$322)) / _xlfn.STDEV.S('ALL(responses)'!G$3:G$322),3)
</f>
        <v>0.625</v>
      </c>
      <c r="H79" s="6">
        <f>ROUND(('ALL(responses)'!H80 - AVERAGE('ALL(responses)'!H$3:H$322)) / _xlfn.STDEV.S('ALL(responses)'!H$3:H$322),3)
</f>
        <v>-0.942</v>
      </c>
      <c r="I79" s="6">
        <f>ROUND(('ALL(responses)'!I80 - AVERAGE('ALL(responses)'!I$3:I$322)) / _xlfn.STDEV.S('ALL(responses)'!I$3:I$322),3)
</f>
        <v>-0.673</v>
      </c>
      <c r="J79" s="6">
        <f>ROUND(('ALL(responses)'!J80 - AVERAGE('ALL(responses)'!J$3:J$322)) / _xlfn.STDEV.S('ALL(responses)'!J$3:J$322),3)
</f>
        <v>2.151</v>
      </c>
      <c r="K79" s="6">
        <f>ROUND(('ALL(responses)'!M80 - AVERAGE('ALL(responses)'!M$3:M$322)) / _xlfn.STDEV.S('ALL(responses)'!M$3:M$322),3)
</f>
        <v>1.592</v>
      </c>
      <c r="L79" s="6">
        <f>ROUND(('ALL(responses)'!P80 - AVERAGE('ALL(responses)'!P$3:P$322)) / _xlfn.STDEV.S('ALL(responses)'!P$3:P$322),3)
</f>
        <v>1.935</v>
      </c>
      <c r="M79" s="6">
        <f>ROUND(('ALL(responses)'!Q80 - AVERAGE('ALL(responses)'!Q$3:Q$322)) / _xlfn.STDEV.S('ALL(responses)'!Q$3:Q$322),3)
</f>
        <v>-0.326</v>
      </c>
      <c r="N79" s="6">
        <f>ROUND(('ALL(responses)'!R80 - AVERAGE('ALL(responses)'!R$3:R$322)) / _xlfn.STDEV.S('ALL(responses)'!R$3:R$322),3)
</f>
        <v>-1.356</v>
      </c>
      <c r="O79" s="6">
        <f>ROUND(('ALL(responses)'!S80 - AVERAGE('ALL(responses)'!S$3:S$322)) / _xlfn.STDEV.S('ALL(responses)'!S$3:S$322),3)
</f>
        <v>-2.927</v>
      </c>
      <c r="P79" s="6">
        <f>ROUND(('ALL(responses)'!T80 - AVERAGE('ALL(responses)'!T$3:T$322)) / _xlfn.STDEV.S('ALL(responses)'!T$3:T$322),3)
</f>
        <v>0.16</v>
      </c>
      <c r="Q79" s="40">
        <f t="shared" si="2"/>
        <v>0.223</v>
      </c>
    </row>
    <row r="80">
      <c r="A80" s="5" t="s">
        <v>84</v>
      </c>
      <c r="B80" s="6" t="s">
        <v>105</v>
      </c>
      <c r="C80" s="7" t="s">
        <v>101</v>
      </c>
      <c r="D80" s="7" t="s">
        <v>143</v>
      </c>
      <c r="E80" s="9">
        <v>44999.0</v>
      </c>
      <c r="F80" s="6">
        <f>ROUND(('ALL(responses)'!F81 - AVERAGE('ALL(responses)'!F$3:F$322)) / _xlfn.STDEV.S('ALL(responses)'!F$3:F$322),3)
</f>
        <v>-0.125</v>
      </c>
      <c r="G80" s="6">
        <f>ROUND(('ALL(responses)'!G81 - AVERAGE('ALL(responses)'!G$3:G$322)) / _xlfn.STDEV.S('ALL(responses)'!G$3:G$322),3)
</f>
        <v>0.625</v>
      </c>
      <c r="H80" s="6">
        <f>ROUND(('ALL(responses)'!H81 - AVERAGE('ALL(responses)'!H$3:H$322)) / _xlfn.STDEV.S('ALL(responses)'!H$3:H$322),3)
</f>
        <v>-0.418</v>
      </c>
      <c r="I80" s="6">
        <f>ROUND(('ALL(responses)'!I81 - AVERAGE('ALL(responses)'!I$3:I$322)) / _xlfn.STDEV.S('ALL(responses)'!I$3:I$322),3)
</f>
        <v>0.146</v>
      </c>
      <c r="J80" s="6">
        <f>ROUND(('ALL(responses)'!J81 - AVERAGE('ALL(responses)'!J$3:J$322)) / _xlfn.STDEV.S('ALL(responses)'!J$3:J$322),3)
</f>
        <v>1.473</v>
      </c>
      <c r="K80" s="6">
        <f>ROUND(('ALL(responses)'!M81 - AVERAGE('ALL(responses)'!M$3:M$322)) / _xlfn.STDEV.S('ALL(responses)'!M$3:M$322),3)
</f>
        <v>1.553</v>
      </c>
      <c r="L80" s="6">
        <f>ROUND(('ALL(responses)'!P81 - AVERAGE('ALL(responses)'!P$3:P$322)) / _xlfn.STDEV.S('ALL(responses)'!P$3:P$322),3)
</f>
        <v>-0.343</v>
      </c>
      <c r="M80" s="6">
        <f>ROUND(('ALL(responses)'!Q81 - AVERAGE('ALL(responses)'!Q$3:Q$322)) / _xlfn.STDEV.S('ALL(responses)'!Q$3:Q$322),3)
</f>
        <v>0.244</v>
      </c>
      <c r="N80" s="6">
        <f>ROUND(('ALL(responses)'!R81 - AVERAGE('ALL(responses)'!R$3:R$322)) / _xlfn.STDEV.S('ALL(responses)'!R$3:R$322),3)
</f>
        <v>0.753</v>
      </c>
      <c r="O80" s="6">
        <f>ROUND(('ALL(responses)'!S81 - AVERAGE('ALL(responses)'!S$3:S$322)) / _xlfn.STDEV.S('ALL(responses)'!S$3:S$322),3)
</f>
        <v>0.561</v>
      </c>
      <c r="P80" s="6">
        <f>ROUND(('ALL(responses)'!T81 - AVERAGE('ALL(responses)'!T$3:T$322)) / _xlfn.STDEV.S('ALL(responses)'!T$3:T$322),3)
</f>
        <v>-0.5</v>
      </c>
      <c r="Q80" s="40">
        <f t="shared" si="2"/>
        <v>0.223</v>
      </c>
    </row>
    <row r="81">
      <c r="A81" s="5" t="s">
        <v>84</v>
      </c>
      <c r="B81" s="6" t="s">
        <v>105</v>
      </c>
      <c r="C81" s="7" t="s">
        <v>103</v>
      </c>
      <c r="D81" s="7" t="s">
        <v>144</v>
      </c>
      <c r="E81" s="9">
        <v>44999.0</v>
      </c>
      <c r="F81" s="6">
        <f>ROUND(('ALL(responses)'!F82 - AVERAGE('ALL(responses)'!F$3:F$322)) / _xlfn.STDEV.S('ALL(responses)'!F$3:F$322),3)
</f>
        <v>-0.571</v>
      </c>
      <c r="G81" s="6">
        <f>ROUND(('ALL(responses)'!G82 - AVERAGE('ALL(responses)'!G$3:G$322)) / _xlfn.STDEV.S('ALL(responses)'!G$3:G$322),3)
</f>
        <v>2.294</v>
      </c>
      <c r="H81" s="6">
        <f>ROUND(('ALL(responses)'!H82 - AVERAGE('ALL(responses)'!H$3:H$322)) / _xlfn.STDEV.S('ALL(responses)'!H$3:H$322),3)
</f>
        <v>1.155</v>
      </c>
      <c r="I81" s="6">
        <f>ROUND(('ALL(responses)'!I82 - AVERAGE('ALL(responses)'!I$3:I$322)) / _xlfn.STDEV.S('ALL(responses)'!I$3:I$322),3)
</f>
        <v>2.194</v>
      </c>
      <c r="J81" s="6">
        <f>ROUND(('ALL(responses)'!J82 - AVERAGE('ALL(responses)'!J$3:J$322)) / _xlfn.STDEV.S('ALL(responses)'!J$3:J$322),3)
</f>
        <v>2.151</v>
      </c>
      <c r="K81" s="6">
        <f>ROUND(('ALL(responses)'!M82 - AVERAGE('ALL(responses)'!M$3:M$322)) / _xlfn.STDEV.S('ALL(responses)'!M$3:M$322),3)
</f>
        <v>0.245</v>
      </c>
      <c r="L81" s="6">
        <f>ROUND(('ALL(responses)'!P82 - AVERAGE('ALL(responses)'!P$3:P$322)) / _xlfn.STDEV.S('ALL(responses)'!P$3:P$322),3)
</f>
        <v>0.578</v>
      </c>
      <c r="M81" s="6">
        <f>ROUND(('ALL(responses)'!Q82 - AVERAGE('ALL(responses)'!Q$3:Q$322)) / _xlfn.STDEV.S('ALL(responses)'!Q$3:Q$322),3)
</f>
        <v>2.341</v>
      </c>
      <c r="N81" s="6">
        <f>ROUND(('ALL(responses)'!R82 - AVERAGE('ALL(responses)'!R$3:R$322)) / _xlfn.STDEV.S('ALL(responses)'!R$3:R$322),3)
</f>
        <v>-0.169</v>
      </c>
      <c r="O81" s="6">
        <f>ROUND(('ALL(responses)'!S82 - AVERAGE('ALL(responses)'!S$3:S$322)) / _xlfn.STDEV.S('ALL(responses)'!S$3:S$322),3)
</f>
        <v>0.152</v>
      </c>
      <c r="P81" s="6">
        <f>ROUND(('ALL(responses)'!T82 - AVERAGE('ALL(responses)'!T$3:T$322)) / _xlfn.STDEV.S('ALL(responses)'!T$3:T$322),3)
</f>
        <v>-0.607</v>
      </c>
      <c r="Q81" s="40">
        <f t="shared" si="2"/>
        <v>0.223</v>
      </c>
    </row>
    <row r="82">
      <c r="A82" s="5" t="s">
        <v>20</v>
      </c>
      <c r="B82" s="6" t="s">
        <v>186</v>
      </c>
      <c r="C82" s="12" t="s">
        <v>22</v>
      </c>
      <c r="D82" s="8" t="s">
        <v>187</v>
      </c>
      <c r="E82" s="20">
        <v>45236.0</v>
      </c>
      <c r="F82" s="6">
        <f>ROUND(('ALL(responses)'!F83 - AVERAGE('ALL(responses)'!F$3:F$322)) / _xlfn.STDEV.S('ALL(responses)'!F$3:F$322),3)
</f>
        <v>2.55</v>
      </c>
      <c r="G82" s="6">
        <f>ROUND(('ALL(responses)'!G83 - AVERAGE('ALL(responses)'!G$3:G$322)) / _xlfn.STDEV.S('ALL(responses)'!G$3:G$322),3)
</f>
        <v>2.294</v>
      </c>
      <c r="H82" s="6">
        <f>ROUND(('ALL(responses)'!H83 - AVERAGE('ALL(responses)'!H$3:H$322)) / _xlfn.STDEV.S('ALL(responses)'!H$3:H$322),3)
</f>
        <v>1.155</v>
      </c>
      <c r="I82" s="6">
        <f>ROUND(('ALL(responses)'!I83 - AVERAGE('ALL(responses)'!I$3:I$322)) / _xlfn.STDEV.S('ALL(responses)'!I$3:I$322),3)
</f>
        <v>2.194</v>
      </c>
      <c r="J82" s="6">
        <f>ROUND(('ALL(responses)'!J83 - AVERAGE('ALL(responses)'!J$3:J$322)) / _xlfn.STDEV.S('ALL(responses)'!J$3:J$322),3)
</f>
        <v>-0.562</v>
      </c>
      <c r="K82" s="6">
        <f>ROUND(('ALL(responses)'!M83 - AVERAGE('ALL(responses)'!M$3:M$322)) / _xlfn.STDEV.S('ALL(responses)'!M$3:M$322),3)
</f>
        <v>-0.064</v>
      </c>
      <c r="L82" s="6">
        <f>ROUND(('ALL(responses)'!P83 - AVERAGE('ALL(responses)'!P$3:P$322)) / _xlfn.STDEV.S('ALL(responses)'!P$3:P$322),3)
</f>
        <v>2.534</v>
      </c>
      <c r="M82" s="6">
        <f>ROUND(('ALL(responses)'!Q83 - AVERAGE('ALL(responses)'!Q$3:Q$322)) / _xlfn.STDEV.S('ALL(responses)'!Q$3:Q$322),3)
</f>
        <v>0.979</v>
      </c>
      <c r="N82" s="6">
        <f>ROUND(('ALL(responses)'!R83 - AVERAGE('ALL(responses)'!R$3:R$322)) / _xlfn.STDEV.S('ALL(responses)'!R$3:R$322),3)
</f>
        <v>-0.41</v>
      </c>
      <c r="O82" s="6">
        <f>ROUND(('ALL(responses)'!S83 - AVERAGE('ALL(responses)'!S$3:S$322)) / _xlfn.STDEV.S('ALL(responses)'!S$3:S$322),3)
</f>
        <v>0.046</v>
      </c>
      <c r="P82" s="6">
        <f>ROUND(('ALL(responses)'!T83 - AVERAGE('ALL(responses)'!T$3:T$322)) / _xlfn.STDEV.S('ALL(responses)'!T$3:T$322),3)
</f>
        <v>-0.325</v>
      </c>
      <c r="Q82" s="40">
        <f t="shared" ref="Q82:Q121" si="3">ROUND(AVERAGE(F$82:P$121),3)</f>
        <v>0.659</v>
      </c>
    </row>
    <row r="83">
      <c r="A83" s="5" t="s">
        <v>20</v>
      </c>
      <c r="B83" s="6" t="s">
        <v>186</v>
      </c>
      <c r="C83" s="12" t="s">
        <v>24</v>
      </c>
      <c r="D83" s="8" t="s">
        <v>188</v>
      </c>
      <c r="E83" s="20">
        <v>45236.0</v>
      </c>
      <c r="F83" s="6">
        <f>ROUND(('ALL(responses)'!F84 - AVERAGE('ALL(responses)'!F$3:F$322)) / _xlfn.STDEV.S('ALL(responses)'!F$3:F$322),3)
</f>
        <v>-0.571</v>
      </c>
      <c r="G83" s="6">
        <f>ROUND(('ALL(responses)'!G84 - AVERAGE('ALL(responses)'!G$3:G$322)) / _xlfn.STDEV.S('ALL(responses)'!G$3:G$322),3)
</f>
        <v>2.294</v>
      </c>
      <c r="H83" s="6">
        <f>ROUND(('ALL(responses)'!H84 - AVERAGE('ALL(responses)'!H$3:H$322)) / _xlfn.STDEV.S('ALL(responses)'!H$3:H$322),3)
</f>
        <v>1.155</v>
      </c>
      <c r="I83" s="6">
        <f>ROUND(('ALL(responses)'!I84 - AVERAGE('ALL(responses)'!I$3:I$322)) / _xlfn.STDEV.S('ALL(responses)'!I$3:I$322),3)
</f>
        <v>2.194</v>
      </c>
      <c r="J83" s="6">
        <f>ROUND(('ALL(responses)'!J84 - AVERAGE('ALL(responses)'!J$3:J$322)) / _xlfn.STDEV.S('ALL(responses)'!J$3:J$322),3)
</f>
        <v>2.151</v>
      </c>
      <c r="K83" s="6">
        <f>ROUND(('ALL(responses)'!M84 - AVERAGE('ALL(responses)'!M$3:M$322)) / _xlfn.STDEV.S('ALL(responses)'!M$3:M$322),3)
</f>
        <v>0.518</v>
      </c>
      <c r="L83" s="6">
        <f>ROUND(('ALL(responses)'!P84 - AVERAGE('ALL(responses)'!P$3:P$322)) / _xlfn.STDEV.S('ALL(responses)'!P$3:P$322),3)
</f>
        <v>1.025</v>
      </c>
      <c r="M83" s="6">
        <f>ROUND(('ALL(responses)'!Q84 - AVERAGE('ALL(responses)'!Q$3:Q$322)) / _xlfn.STDEV.S('ALL(responses)'!Q$3:Q$322),3)
</f>
        <v>2.482</v>
      </c>
      <c r="N83" s="6">
        <f>ROUND(('ALL(responses)'!R84 - AVERAGE('ALL(responses)'!R$3:R$322)) / _xlfn.STDEV.S('ALL(responses)'!R$3:R$322),3)
</f>
        <v>-0.071</v>
      </c>
      <c r="O83" s="6">
        <f>ROUND(('ALL(responses)'!S84 - AVERAGE('ALL(responses)'!S$3:S$322)) / _xlfn.STDEV.S('ALL(responses)'!S$3:S$322),3)
</f>
        <v>0.196</v>
      </c>
      <c r="P83" s="6">
        <f>ROUND(('ALL(responses)'!T84 - AVERAGE('ALL(responses)'!T$3:T$322)) / _xlfn.STDEV.S('ALL(responses)'!T$3:T$322),3)
</f>
        <v>-1.786</v>
      </c>
      <c r="Q83" s="40">
        <f t="shared" si="3"/>
        <v>0.659</v>
      </c>
    </row>
    <row r="84">
      <c r="A84" s="5" t="s">
        <v>20</v>
      </c>
      <c r="B84" s="6" t="s">
        <v>186</v>
      </c>
      <c r="C84" s="13" t="s">
        <v>26</v>
      </c>
      <c r="D84" s="21" t="s">
        <v>189</v>
      </c>
      <c r="E84" s="20">
        <v>45236.0</v>
      </c>
      <c r="F84" s="6">
        <f>ROUND(('ALL(responses)'!F85 - AVERAGE('ALL(responses)'!F$3:F$322)) / _xlfn.STDEV.S('ALL(responses)'!F$3:F$322),3)
</f>
        <v>-0.571</v>
      </c>
      <c r="G84" s="6">
        <f>ROUND(('ALL(responses)'!G85 - AVERAGE('ALL(responses)'!G$3:G$322)) / _xlfn.STDEV.S('ALL(responses)'!G$3:G$322),3)
</f>
        <v>-0.627</v>
      </c>
      <c r="H84" s="6">
        <f>ROUND(('ALL(responses)'!H85 - AVERAGE('ALL(responses)'!H$3:H$322)) / _xlfn.STDEV.S('ALL(responses)'!H$3:H$322),3)
</f>
        <v>1.155</v>
      </c>
      <c r="I84" s="6">
        <f>ROUND(('ALL(responses)'!I85 - AVERAGE('ALL(responses)'!I$3:I$322)) / _xlfn.STDEV.S('ALL(responses)'!I$3:I$322),3)
</f>
        <v>2.194</v>
      </c>
      <c r="J84" s="6">
        <f>ROUND(('ALL(responses)'!J85 - AVERAGE('ALL(responses)'!J$3:J$322)) / _xlfn.STDEV.S('ALL(responses)'!J$3:J$322),3)
</f>
        <v>2.151</v>
      </c>
      <c r="K84" s="6">
        <f>ROUND(('ALL(responses)'!M85 - AVERAGE('ALL(responses)'!M$3:M$322)) / _xlfn.STDEV.S('ALL(responses)'!M$3:M$322),3)
</f>
        <v>-0.852</v>
      </c>
      <c r="L84" s="6">
        <f>ROUND(('ALL(responses)'!P85 - AVERAGE('ALL(responses)'!P$3:P$322)) / _xlfn.STDEV.S('ALL(responses)'!P$3:P$322),3)
</f>
        <v>-1.457</v>
      </c>
      <c r="M84" s="6">
        <f>ROUND(('ALL(responses)'!Q85 - AVERAGE('ALL(responses)'!Q$3:Q$322)) / _xlfn.STDEV.S('ALL(responses)'!Q$3:Q$322),3)
</f>
        <v>0.473</v>
      </c>
      <c r="N84" s="6">
        <f>ROUND(('ALL(responses)'!R85 - AVERAGE('ALL(responses)'!R$3:R$322)) / _xlfn.STDEV.S('ALL(responses)'!R$3:R$322),3)
</f>
        <v>0.178</v>
      </c>
      <c r="O84" s="6">
        <f>ROUND(('ALL(responses)'!S85 - AVERAGE('ALL(responses)'!S$3:S$322)) / _xlfn.STDEV.S('ALL(responses)'!S$3:S$322),3)
</f>
        <v>0.306</v>
      </c>
      <c r="P84" s="6">
        <f>ROUND(('ALL(responses)'!T85 - AVERAGE('ALL(responses)'!T$3:T$322)) / _xlfn.STDEV.S('ALL(responses)'!T$3:T$322),3)
</f>
        <v>-1.058</v>
      </c>
      <c r="Q84" s="40">
        <f t="shared" si="3"/>
        <v>0.659</v>
      </c>
    </row>
    <row r="85">
      <c r="A85" s="5" t="s">
        <v>20</v>
      </c>
      <c r="B85" s="6" t="s">
        <v>186</v>
      </c>
      <c r="C85" s="12" t="s">
        <v>28</v>
      </c>
      <c r="D85" s="8" t="s">
        <v>190</v>
      </c>
      <c r="E85" s="20">
        <v>45236.0</v>
      </c>
      <c r="F85" s="6">
        <f>ROUND(('ALL(responses)'!F86 - AVERAGE('ALL(responses)'!F$3:F$322)) / _xlfn.STDEV.S('ALL(responses)'!F$3:F$322),3)
</f>
        <v>-0.571</v>
      </c>
      <c r="G85" s="6">
        <f>ROUND(('ALL(responses)'!G86 - AVERAGE('ALL(responses)'!G$3:G$322)) / _xlfn.STDEV.S('ALL(responses)'!G$3:G$322),3)
</f>
        <v>2.294</v>
      </c>
      <c r="H85" s="6">
        <f>ROUND(('ALL(responses)'!H86 - AVERAGE('ALL(responses)'!H$3:H$322)) / _xlfn.STDEV.S('ALL(responses)'!H$3:H$322),3)
</f>
        <v>1.155</v>
      </c>
      <c r="I85" s="6">
        <f>ROUND(('ALL(responses)'!I86 - AVERAGE('ALL(responses)'!I$3:I$322)) / _xlfn.STDEV.S('ALL(responses)'!I$3:I$322),3)
</f>
        <v>2.194</v>
      </c>
      <c r="J85" s="6">
        <f>ROUND(('ALL(responses)'!J86 - AVERAGE('ALL(responses)'!J$3:J$322)) / _xlfn.STDEV.S('ALL(responses)'!J$3:J$322),3)
</f>
        <v>2.151</v>
      </c>
      <c r="K85" s="6">
        <f>ROUND(('ALL(responses)'!M86 - AVERAGE('ALL(responses)'!M$3:M$322)) / _xlfn.STDEV.S('ALL(responses)'!M$3:M$322),3)
</f>
        <v>-1.792</v>
      </c>
      <c r="L85" s="6">
        <f>ROUND(('ALL(responses)'!P86 - AVERAGE('ALL(responses)'!P$3:P$322)) / _xlfn.STDEV.S('ALL(responses)'!P$3:P$322),3)
</f>
        <v>1.025</v>
      </c>
      <c r="M85" s="6">
        <f>ROUND(('ALL(responses)'!Q86 - AVERAGE('ALL(responses)'!Q$3:Q$322)) / _xlfn.STDEV.S('ALL(responses)'!Q$3:Q$322),3)
</f>
        <v>-0.11</v>
      </c>
      <c r="N85" s="6">
        <f>ROUND(('ALL(responses)'!R86 - AVERAGE('ALL(responses)'!R$3:R$322)) / _xlfn.STDEV.S('ALL(responses)'!R$3:R$322),3)
</f>
        <v>-2.019</v>
      </c>
      <c r="O85" s="6">
        <f>ROUND(('ALL(responses)'!S86 - AVERAGE('ALL(responses)'!S$3:S$322)) / _xlfn.STDEV.S('ALL(responses)'!S$3:S$322),3)
</f>
        <v>-0.667</v>
      </c>
      <c r="P85" s="6">
        <f>ROUND(('ALL(responses)'!T86 - AVERAGE('ALL(responses)'!T$3:T$322)) / _xlfn.STDEV.S('ALL(responses)'!T$3:T$322),3)
</f>
        <v>-1.786</v>
      </c>
      <c r="Q85" s="40">
        <f t="shared" si="3"/>
        <v>0.659</v>
      </c>
    </row>
    <row r="86">
      <c r="A86" s="5" t="s">
        <v>20</v>
      </c>
      <c r="B86" s="6" t="s">
        <v>186</v>
      </c>
      <c r="C86" s="12" t="s">
        <v>30</v>
      </c>
      <c r="D86" s="8" t="s">
        <v>191</v>
      </c>
      <c r="E86" s="20">
        <v>45236.0</v>
      </c>
      <c r="F86" s="6">
        <f>ROUND(('ALL(responses)'!F87 - AVERAGE('ALL(responses)'!F$3:F$322)) / _xlfn.STDEV.S('ALL(responses)'!F$3:F$322),3)
</f>
        <v>2.55</v>
      </c>
      <c r="G86" s="6">
        <f>ROUND(('ALL(responses)'!G87 - AVERAGE('ALL(responses)'!G$3:G$322)) / _xlfn.STDEV.S('ALL(responses)'!G$3:G$322),3)
</f>
        <v>2.294</v>
      </c>
      <c r="H86" s="6">
        <f>ROUND(('ALL(responses)'!H87 - AVERAGE('ALL(responses)'!H$3:H$322)) / _xlfn.STDEV.S('ALL(responses)'!H$3:H$322),3)
</f>
        <v>1.155</v>
      </c>
      <c r="I86" s="6">
        <f>ROUND(('ALL(responses)'!I87 - AVERAGE('ALL(responses)'!I$3:I$322)) / _xlfn.STDEV.S('ALL(responses)'!I$3:I$322),3)
</f>
        <v>2.194</v>
      </c>
      <c r="J86" s="6">
        <f>ROUND(('ALL(responses)'!J87 - AVERAGE('ALL(responses)'!J$3:J$322)) / _xlfn.STDEV.S('ALL(responses)'!J$3:J$322),3)
</f>
        <v>2.151</v>
      </c>
      <c r="K86" s="6">
        <f>ROUND(('ALL(responses)'!M87 - AVERAGE('ALL(responses)'!M$3:M$322)) / _xlfn.STDEV.S('ALL(responses)'!M$3:M$322),3)
</f>
        <v>-1.788</v>
      </c>
      <c r="L86" s="6">
        <f>ROUND(('ALL(responses)'!P87 - AVERAGE('ALL(responses)'!P$3:P$322)) / _xlfn.STDEV.S('ALL(responses)'!P$3:P$322),3)
</f>
        <v>-1.457</v>
      </c>
      <c r="M86" s="6">
        <f>ROUND(('ALL(responses)'!Q87 - AVERAGE('ALL(responses)'!Q$3:Q$322)) / _xlfn.STDEV.S('ALL(responses)'!Q$3:Q$322),3)
</f>
        <v>-0.005</v>
      </c>
      <c r="N86" s="6">
        <f>ROUND(('ALL(responses)'!R87 - AVERAGE('ALL(responses)'!R$3:R$322)) / _xlfn.STDEV.S('ALL(responses)'!R$3:R$322),3)
</f>
        <v>-0.145</v>
      </c>
      <c r="O86" s="6">
        <f>ROUND(('ALL(responses)'!S87 - AVERAGE('ALL(responses)'!S$3:S$322)) / _xlfn.STDEV.S('ALL(responses)'!S$3:S$322),3)
</f>
        <v>0.163</v>
      </c>
      <c r="P86" s="6">
        <f>ROUND(('ALL(responses)'!T87 - AVERAGE('ALL(responses)'!T$3:T$322)) / _xlfn.STDEV.S('ALL(responses)'!T$3:T$322),3)
</f>
        <v>1.069</v>
      </c>
      <c r="Q86" s="40">
        <f t="shared" si="3"/>
        <v>0.659</v>
      </c>
    </row>
    <row r="87">
      <c r="A87" s="5" t="s">
        <v>20</v>
      </c>
      <c r="B87" s="6" t="s">
        <v>186</v>
      </c>
      <c r="C87" s="12" t="s">
        <v>32</v>
      </c>
      <c r="D87" s="8" t="s">
        <v>192</v>
      </c>
      <c r="E87" s="20">
        <v>45236.0</v>
      </c>
      <c r="F87" s="6">
        <f>ROUND(('ALL(responses)'!F88 - AVERAGE('ALL(responses)'!F$3:F$322)) / _xlfn.STDEV.S('ALL(responses)'!F$3:F$322),3)
</f>
        <v>-0.571</v>
      </c>
      <c r="G87" s="6">
        <f>ROUND(('ALL(responses)'!G88 - AVERAGE('ALL(responses)'!G$3:G$322)) / _xlfn.STDEV.S('ALL(responses)'!G$3:G$322),3)
</f>
        <v>2.294</v>
      </c>
      <c r="H87" s="6">
        <f>ROUND(('ALL(responses)'!H88 - AVERAGE('ALL(responses)'!H$3:H$322)) / _xlfn.STDEV.S('ALL(responses)'!H$3:H$322),3)
</f>
        <v>1.155</v>
      </c>
      <c r="I87" s="6">
        <f>ROUND(('ALL(responses)'!I88 - AVERAGE('ALL(responses)'!I$3:I$322)) / _xlfn.STDEV.S('ALL(responses)'!I$3:I$322),3)
</f>
        <v>2.194</v>
      </c>
      <c r="J87" s="6">
        <f>ROUND(('ALL(responses)'!J88 - AVERAGE('ALL(responses)'!J$3:J$322)) / _xlfn.STDEV.S('ALL(responses)'!J$3:J$322),3)
</f>
        <v>2.151</v>
      </c>
      <c r="K87" s="6">
        <f>ROUND(('ALL(responses)'!M88 - AVERAGE('ALL(responses)'!M$3:M$322)) / _xlfn.STDEV.S('ALL(responses)'!M$3:M$322),3)
</f>
        <v>0.091</v>
      </c>
      <c r="L87" s="6">
        <f>ROUND(('ALL(responses)'!P88 - AVERAGE('ALL(responses)'!P$3:P$322)) / _xlfn.STDEV.S('ALL(responses)'!P$3:P$322),3)
</f>
        <v>-1.457</v>
      </c>
      <c r="M87" s="6">
        <f>ROUND(('ALL(responses)'!Q88 - AVERAGE('ALL(responses)'!Q$3:Q$322)) / _xlfn.STDEV.S('ALL(responses)'!Q$3:Q$322),3)
</f>
        <v>0.754</v>
      </c>
      <c r="N87" s="6">
        <f>ROUND(('ALL(responses)'!R88 - AVERAGE('ALL(responses)'!R$3:R$322)) / _xlfn.STDEV.S('ALL(responses)'!R$3:R$322),3)
</f>
        <v>0.054</v>
      </c>
      <c r="O87" s="6">
        <f>ROUND(('ALL(responses)'!S88 - AVERAGE('ALL(responses)'!S$3:S$322)) / _xlfn.STDEV.S('ALL(responses)'!S$3:S$322),3)
</f>
        <v>0.251</v>
      </c>
      <c r="P87" s="6">
        <f>ROUND(('ALL(responses)'!T88 - AVERAGE('ALL(responses)'!T$3:T$322)) / _xlfn.STDEV.S('ALL(responses)'!T$3:T$322),3)
</f>
        <v>-0.975</v>
      </c>
      <c r="Q87" s="40">
        <f t="shared" si="3"/>
        <v>0.659</v>
      </c>
    </row>
    <row r="88">
      <c r="A88" s="5" t="s">
        <v>20</v>
      </c>
      <c r="B88" s="6" t="s">
        <v>186</v>
      </c>
      <c r="C88" s="12" t="s">
        <v>34</v>
      </c>
      <c r="D88" s="8" t="s">
        <v>193</v>
      </c>
      <c r="E88" s="20">
        <v>45236.0</v>
      </c>
      <c r="F88" s="6">
        <f>ROUND(('ALL(responses)'!F89 - AVERAGE('ALL(responses)'!F$3:F$322)) / _xlfn.STDEV.S('ALL(responses)'!F$3:F$322),3)
</f>
        <v>-0.571</v>
      </c>
      <c r="G88" s="6">
        <f>ROUND(('ALL(responses)'!G89 - AVERAGE('ALL(responses)'!G$3:G$322)) / _xlfn.STDEV.S('ALL(responses)'!G$3:G$322),3)
</f>
        <v>2.294</v>
      </c>
      <c r="H88" s="6">
        <f>ROUND(('ALL(responses)'!H89 - AVERAGE('ALL(responses)'!H$3:H$322)) / _xlfn.STDEV.S('ALL(responses)'!H$3:H$322),3)
</f>
        <v>1.155</v>
      </c>
      <c r="I88" s="6">
        <f>ROUND(('ALL(responses)'!I89 - AVERAGE('ALL(responses)'!I$3:I$322)) / _xlfn.STDEV.S('ALL(responses)'!I$3:I$322),3)
</f>
        <v>2.194</v>
      </c>
      <c r="J88" s="6">
        <f>ROUND(('ALL(responses)'!J89 - AVERAGE('ALL(responses)'!J$3:J$322)) / _xlfn.STDEV.S('ALL(responses)'!J$3:J$322),3)
</f>
        <v>2.151</v>
      </c>
      <c r="K88" s="6">
        <f>ROUND(('ALL(responses)'!M89 - AVERAGE('ALL(responses)'!M$3:M$322)) / _xlfn.STDEV.S('ALL(responses)'!M$3:M$322),3)
</f>
        <v>-0.117</v>
      </c>
      <c r="L88" s="6">
        <f>ROUND(('ALL(responses)'!P89 - AVERAGE('ALL(responses)'!P$3:P$322)) / _xlfn.STDEV.S('ALL(responses)'!P$3:P$322),3)
</f>
        <v>-0.564</v>
      </c>
      <c r="M88" s="6">
        <f>ROUND(('ALL(responses)'!Q89 - AVERAGE('ALL(responses)'!Q$3:Q$322)) / _xlfn.STDEV.S('ALL(responses)'!Q$3:Q$322),3)
</f>
        <v>1.222</v>
      </c>
      <c r="N88" s="6">
        <f>ROUND(('ALL(responses)'!R89 - AVERAGE('ALL(responses)'!R$3:R$322)) / _xlfn.STDEV.S('ALL(responses)'!R$3:R$322),3)
</f>
        <v>0.576</v>
      </c>
      <c r="O88" s="6">
        <f>ROUND(('ALL(responses)'!S89 - AVERAGE('ALL(responses)'!S$3:S$322)) / _xlfn.STDEV.S('ALL(responses)'!S$3:S$322),3)
</f>
        <v>0.482</v>
      </c>
      <c r="P88" s="6">
        <f>ROUND(('ALL(responses)'!T89 - AVERAGE('ALL(responses)'!T$3:T$322)) / _xlfn.STDEV.S('ALL(responses)'!T$3:T$322),3)
</f>
        <v>-0.474</v>
      </c>
      <c r="Q88" s="40">
        <f t="shared" si="3"/>
        <v>0.659</v>
      </c>
    </row>
    <row r="89">
      <c r="A89" s="5" t="s">
        <v>20</v>
      </c>
      <c r="B89" s="6" t="s">
        <v>186</v>
      </c>
      <c r="C89" s="12" t="s">
        <v>36</v>
      </c>
      <c r="D89" s="8" t="s">
        <v>194</v>
      </c>
      <c r="E89" s="20">
        <v>45236.0</v>
      </c>
      <c r="F89" s="6">
        <f>ROUND(('ALL(responses)'!F90 - AVERAGE('ALL(responses)'!F$3:F$322)) / _xlfn.STDEV.S('ALL(responses)'!F$3:F$322),3)
</f>
        <v>-0.571</v>
      </c>
      <c r="G89" s="6">
        <f>ROUND(('ALL(responses)'!G90 - AVERAGE('ALL(responses)'!G$3:G$322)) / _xlfn.STDEV.S('ALL(responses)'!G$3:G$322),3)
</f>
        <v>2.294</v>
      </c>
      <c r="H89" s="6">
        <f>ROUND(('ALL(responses)'!H90 - AVERAGE('ALL(responses)'!H$3:H$322)) / _xlfn.STDEV.S('ALL(responses)'!H$3:H$322),3)
</f>
        <v>1.155</v>
      </c>
      <c r="I89" s="6">
        <f>ROUND(('ALL(responses)'!I90 - AVERAGE('ALL(responses)'!I$3:I$322)) / _xlfn.STDEV.S('ALL(responses)'!I$3:I$322),3)
</f>
        <v>2.194</v>
      </c>
      <c r="J89" s="6">
        <f>ROUND(('ALL(responses)'!J90 - AVERAGE('ALL(responses)'!J$3:J$322)) / _xlfn.STDEV.S('ALL(responses)'!J$3:J$322),3)
</f>
        <v>2.151</v>
      </c>
      <c r="K89" s="6">
        <f>ROUND(('ALL(responses)'!M90 - AVERAGE('ALL(responses)'!M$3:M$322)) / _xlfn.STDEV.S('ALL(responses)'!M$3:M$322),3)
</f>
        <v>-1.452</v>
      </c>
      <c r="L89" s="6">
        <f>ROUND(('ALL(responses)'!P90 - AVERAGE('ALL(responses)'!P$3:P$322)) / _xlfn.STDEV.S('ALL(responses)'!P$3:P$322),3)
</f>
        <v>-1.457</v>
      </c>
      <c r="M89" s="6">
        <f>ROUND(('ALL(responses)'!Q90 - AVERAGE('ALL(responses)'!Q$3:Q$322)) / _xlfn.STDEV.S('ALL(responses)'!Q$3:Q$322),3)
</f>
        <v>-0.28</v>
      </c>
      <c r="N89" s="6">
        <f>ROUND(('ALL(responses)'!R90 - AVERAGE('ALL(responses)'!R$3:R$322)) / _xlfn.STDEV.S('ALL(responses)'!R$3:R$322),3)
</f>
        <v>-2.019</v>
      </c>
      <c r="O89" s="6">
        <f>ROUND(('ALL(responses)'!S90 - AVERAGE('ALL(responses)'!S$3:S$322)) / _xlfn.STDEV.S('ALL(responses)'!S$3:S$322),3)
</f>
        <v>-0.667</v>
      </c>
      <c r="P89" s="6">
        <f>ROUND(('ALL(responses)'!T90 - AVERAGE('ALL(responses)'!T$3:T$322)) / _xlfn.STDEV.S('ALL(responses)'!T$3:T$322),3)
</f>
        <v>0.184</v>
      </c>
      <c r="Q89" s="40">
        <f t="shared" si="3"/>
        <v>0.659</v>
      </c>
    </row>
    <row r="90">
      <c r="A90" s="5" t="s">
        <v>20</v>
      </c>
      <c r="B90" s="6" t="s">
        <v>186</v>
      </c>
      <c r="C90" s="12" t="s">
        <v>38</v>
      </c>
      <c r="D90" s="8" t="s">
        <v>195</v>
      </c>
      <c r="E90" s="20">
        <v>45236.0</v>
      </c>
      <c r="F90" s="6">
        <f>ROUND(('ALL(responses)'!F91 - AVERAGE('ALL(responses)'!F$3:F$322)) / _xlfn.STDEV.S('ALL(responses)'!F$3:F$322),3)
</f>
        <v>2.55</v>
      </c>
      <c r="G90" s="6">
        <f>ROUND(('ALL(responses)'!G91 - AVERAGE('ALL(responses)'!G$3:G$322)) / _xlfn.STDEV.S('ALL(responses)'!G$3:G$322),3)
</f>
        <v>-0.627</v>
      </c>
      <c r="H90" s="6">
        <f>ROUND(('ALL(responses)'!H91 - AVERAGE('ALL(responses)'!H$3:H$322)) / _xlfn.STDEV.S('ALL(responses)'!H$3:H$322),3)
</f>
        <v>1.155</v>
      </c>
      <c r="I90" s="6">
        <f>ROUND(('ALL(responses)'!I91 - AVERAGE('ALL(responses)'!I$3:I$322)) / _xlfn.STDEV.S('ALL(responses)'!I$3:I$322),3)
</f>
        <v>2.194</v>
      </c>
      <c r="J90" s="6">
        <f>ROUND(('ALL(responses)'!J91 - AVERAGE('ALL(responses)'!J$3:J$322)) / _xlfn.STDEV.S('ALL(responses)'!J$3:J$322),3)
</f>
        <v>2.151</v>
      </c>
      <c r="K90" s="6">
        <f>ROUND(('ALL(responses)'!M91 - AVERAGE('ALL(responses)'!M$3:M$322)) / _xlfn.STDEV.S('ALL(responses)'!M$3:M$322),3)
</f>
        <v>-1.151</v>
      </c>
      <c r="L90" s="6">
        <f>ROUND(('ALL(responses)'!P91 - AVERAGE('ALL(responses)'!P$3:P$322)) / _xlfn.STDEV.S('ALL(responses)'!P$3:P$322),3)
</f>
        <v>0.856</v>
      </c>
      <c r="M90" s="6">
        <f>ROUND(('ALL(responses)'!Q91 - AVERAGE('ALL(responses)'!Q$3:Q$322)) / _xlfn.STDEV.S('ALL(responses)'!Q$3:Q$322),3)
</f>
        <v>0.955</v>
      </c>
      <c r="N90" s="6">
        <f>ROUND(('ALL(responses)'!R91 - AVERAGE('ALL(responses)'!R$3:R$322)) / _xlfn.STDEV.S('ALL(responses)'!R$3:R$322),3)
</f>
        <v>-2.939</v>
      </c>
      <c r="O90" s="6">
        <f>ROUND(('ALL(responses)'!S91 - AVERAGE('ALL(responses)'!S$3:S$322)) / _xlfn.STDEV.S('ALL(responses)'!S$3:S$322),3)
</f>
        <v>-2.227</v>
      </c>
      <c r="P90" s="6">
        <f>ROUND(('ALL(responses)'!T91 - AVERAGE('ALL(responses)'!T$3:T$322)) / _xlfn.STDEV.S('ALL(responses)'!T$3:T$322),3)
</f>
        <v>-0.008</v>
      </c>
      <c r="Q90" s="40">
        <f t="shared" si="3"/>
        <v>0.659</v>
      </c>
    </row>
    <row r="91">
      <c r="A91" s="5" t="s">
        <v>20</v>
      </c>
      <c r="B91" s="6" t="s">
        <v>186</v>
      </c>
      <c r="C91" s="12" t="s">
        <v>40</v>
      </c>
      <c r="D91" s="8" t="s">
        <v>196</v>
      </c>
      <c r="E91" s="20">
        <v>45236.0</v>
      </c>
      <c r="F91" s="6">
        <f>ROUND(('ALL(responses)'!F92 - AVERAGE('ALL(responses)'!F$3:F$322)) / _xlfn.STDEV.S('ALL(responses)'!F$3:F$322),3)
</f>
        <v>-0.571</v>
      </c>
      <c r="G91" s="6">
        <f>ROUND(('ALL(responses)'!G92 - AVERAGE('ALL(responses)'!G$3:G$322)) / _xlfn.STDEV.S('ALL(responses)'!G$3:G$322),3)
</f>
        <v>2.294</v>
      </c>
      <c r="H91" s="6">
        <f>ROUND(('ALL(responses)'!H92 - AVERAGE('ALL(responses)'!H$3:H$322)) / _xlfn.STDEV.S('ALL(responses)'!H$3:H$322),3)
</f>
        <v>1.155</v>
      </c>
      <c r="I91" s="6">
        <f>ROUND(('ALL(responses)'!I92 - AVERAGE('ALL(responses)'!I$3:I$322)) / _xlfn.STDEV.S('ALL(responses)'!I$3:I$322),3)
</f>
        <v>2.194</v>
      </c>
      <c r="J91" s="6">
        <f>ROUND(('ALL(responses)'!J92 - AVERAGE('ALL(responses)'!J$3:J$322)) / _xlfn.STDEV.S('ALL(responses)'!J$3:J$322),3)
</f>
        <v>2.151</v>
      </c>
      <c r="K91" s="6">
        <f>ROUND(('ALL(responses)'!M92 - AVERAGE('ALL(responses)'!M$3:M$322)) / _xlfn.STDEV.S('ALL(responses)'!M$3:M$322),3)
</f>
        <v>0.123</v>
      </c>
      <c r="L91" s="6">
        <f>ROUND(('ALL(responses)'!P92 - AVERAGE('ALL(responses)'!P$3:P$322)) / _xlfn.STDEV.S('ALL(responses)'!P$3:P$322),3)
</f>
        <v>1.861</v>
      </c>
      <c r="M91" s="6">
        <f>ROUND(('ALL(responses)'!Q92 - AVERAGE('ALL(responses)'!Q$3:Q$322)) / _xlfn.STDEV.S('ALL(responses)'!Q$3:Q$322),3)
</f>
        <v>-0.331</v>
      </c>
      <c r="N91" s="6">
        <f>ROUND(('ALL(responses)'!R92 - AVERAGE('ALL(responses)'!R$3:R$322)) / _xlfn.STDEV.S('ALL(responses)'!R$3:R$322),3)
</f>
        <v>0.449</v>
      </c>
      <c r="O91" s="6">
        <f>ROUND(('ALL(responses)'!S92 - AVERAGE('ALL(responses)'!S$3:S$322)) / _xlfn.STDEV.S('ALL(responses)'!S$3:S$322),3)
</f>
        <v>0.426</v>
      </c>
      <c r="P91" s="6">
        <f>ROUND(('ALL(responses)'!T92 - AVERAGE('ALL(responses)'!T$3:T$322)) / _xlfn.STDEV.S('ALL(responses)'!T$3:T$322),3)
</f>
        <v>-0.257</v>
      </c>
      <c r="Q91" s="40">
        <f t="shared" si="3"/>
        <v>0.659</v>
      </c>
    </row>
    <row r="92">
      <c r="A92" s="5" t="s">
        <v>42</v>
      </c>
      <c r="B92" s="6" t="s">
        <v>186</v>
      </c>
      <c r="C92" s="12" t="s">
        <v>43</v>
      </c>
      <c r="D92" s="8" t="s">
        <v>197</v>
      </c>
      <c r="E92" s="20">
        <v>45236.0</v>
      </c>
      <c r="F92" s="6">
        <f>ROUND(('ALL(responses)'!F93 - AVERAGE('ALL(responses)'!F$3:F$322)) / _xlfn.STDEV.S('ALL(responses)'!F$3:F$322),3)
</f>
        <v>-0.571</v>
      </c>
      <c r="G92" s="6">
        <f>ROUND(('ALL(responses)'!G93 - AVERAGE('ALL(responses)'!G$3:G$322)) / _xlfn.STDEV.S('ALL(responses)'!G$3:G$322),3)
</f>
        <v>2.294</v>
      </c>
      <c r="H92" s="6">
        <f>ROUND(('ALL(responses)'!H93 - AVERAGE('ALL(responses)'!H$3:H$322)) / _xlfn.STDEV.S('ALL(responses)'!H$3:H$322),3)
</f>
        <v>1.155</v>
      </c>
      <c r="I92" s="6">
        <f>ROUND(('ALL(responses)'!I93 - AVERAGE('ALL(responses)'!I$3:I$322)) / _xlfn.STDEV.S('ALL(responses)'!I$3:I$322),3)
</f>
        <v>2.194</v>
      </c>
      <c r="J92" s="6">
        <f>ROUND(('ALL(responses)'!J93 - AVERAGE('ALL(responses)'!J$3:J$322)) / _xlfn.STDEV.S('ALL(responses)'!J$3:J$322),3)
</f>
        <v>2.151</v>
      </c>
      <c r="K92" s="6">
        <f>ROUND(('ALL(responses)'!M93 - AVERAGE('ALL(responses)'!M$3:M$322)) / _xlfn.STDEV.S('ALL(responses)'!M$3:M$322),3)
</f>
        <v>0.095</v>
      </c>
      <c r="L92" s="6">
        <f>ROUND(('ALL(responses)'!P93 - AVERAGE('ALL(responses)'!P$3:P$322)) / _xlfn.STDEV.S('ALL(responses)'!P$3:P$322),3)
</f>
        <v>-1.457</v>
      </c>
      <c r="M92" s="6">
        <f>ROUND(('ALL(responses)'!Q93 - AVERAGE('ALL(responses)'!Q$3:Q$322)) / _xlfn.STDEV.S('ALL(responses)'!Q$3:Q$322),3)
</f>
        <v>0.678</v>
      </c>
      <c r="N92" s="6">
        <f>ROUND(('ALL(responses)'!R93 - AVERAGE('ALL(responses)'!R$3:R$322)) / _xlfn.STDEV.S('ALL(responses)'!R$3:R$322),3)
</f>
        <v>-1.836</v>
      </c>
      <c r="O92" s="6">
        <f>ROUND(('ALL(responses)'!S93 - AVERAGE('ALL(responses)'!S$3:S$322)) / _xlfn.STDEV.S('ALL(responses)'!S$3:S$322),3)
</f>
        <v>-0.586</v>
      </c>
      <c r="P92" s="6">
        <f>ROUND(('ALL(responses)'!T93 - AVERAGE('ALL(responses)'!T$3:T$322)) / _xlfn.STDEV.S('ALL(responses)'!T$3:T$322),3)
</f>
        <v>0.837</v>
      </c>
      <c r="Q92" s="40">
        <f t="shared" si="3"/>
        <v>0.659</v>
      </c>
    </row>
    <row r="93">
      <c r="A93" s="5" t="s">
        <v>42</v>
      </c>
      <c r="B93" s="6" t="s">
        <v>186</v>
      </c>
      <c r="C93" s="12" t="s">
        <v>45</v>
      </c>
      <c r="D93" s="8" t="s">
        <v>198</v>
      </c>
      <c r="E93" s="20">
        <v>45236.0</v>
      </c>
      <c r="F93" s="6">
        <f>ROUND(('ALL(responses)'!F94 - AVERAGE('ALL(responses)'!F$3:F$322)) / _xlfn.STDEV.S('ALL(responses)'!F$3:F$322),3)
</f>
        <v>2.55</v>
      </c>
      <c r="G93" s="6">
        <f>ROUND(('ALL(responses)'!G94 - AVERAGE('ALL(responses)'!G$3:G$322)) / _xlfn.STDEV.S('ALL(responses)'!G$3:G$322),3)
</f>
        <v>2.294</v>
      </c>
      <c r="H93" s="6">
        <f>ROUND(('ALL(responses)'!H94 - AVERAGE('ALL(responses)'!H$3:H$322)) / _xlfn.STDEV.S('ALL(responses)'!H$3:H$322),3)
</f>
        <v>1.155</v>
      </c>
      <c r="I93" s="6">
        <f>ROUND(('ALL(responses)'!I94 - AVERAGE('ALL(responses)'!I$3:I$322)) / _xlfn.STDEV.S('ALL(responses)'!I$3:I$322),3)
</f>
        <v>2.194</v>
      </c>
      <c r="J93" s="6">
        <f>ROUND(('ALL(responses)'!J94 - AVERAGE('ALL(responses)'!J$3:J$322)) / _xlfn.STDEV.S('ALL(responses)'!J$3:J$322),3)
</f>
        <v>2.151</v>
      </c>
      <c r="K93" s="6">
        <f>ROUND(('ALL(responses)'!M94 - AVERAGE('ALL(responses)'!M$3:M$322)) / _xlfn.STDEV.S('ALL(responses)'!M$3:M$322),3)
</f>
        <v>-0.721</v>
      </c>
      <c r="L93" s="6">
        <f>ROUND(('ALL(responses)'!P94 - AVERAGE('ALL(responses)'!P$3:P$322)) / _xlfn.STDEV.S('ALL(responses)'!P$3:P$322),3)
</f>
        <v>2.904</v>
      </c>
      <c r="M93" s="6">
        <f>ROUND(('ALL(responses)'!Q94 - AVERAGE('ALL(responses)'!Q$3:Q$322)) / _xlfn.STDEV.S('ALL(responses)'!Q$3:Q$322),3)
</f>
        <v>0.919</v>
      </c>
      <c r="N93" s="6">
        <f>ROUND(('ALL(responses)'!R94 - AVERAGE('ALL(responses)'!R$3:R$322)) / _xlfn.STDEV.S('ALL(responses)'!R$3:R$322),3)
</f>
        <v>0.132</v>
      </c>
      <c r="O93" s="6">
        <f>ROUND(('ALL(responses)'!S94 - AVERAGE('ALL(responses)'!S$3:S$322)) / _xlfn.STDEV.S('ALL(responses)'!S$3:S$322),3)
</f>
        <v>0.285</v>
      </c>
      <c r="P93" s="6">
        <f>ROUND(('ALL(responses)'!T94 - AVERAGE('ALL(responses)'!T$3:T$322)) / _xlfn.STDEV.S('ALL(responses)'!T$3:T$322),3)
</f>
        <v>0.402</v>
      </c>
      <c r="Q93" s="40">
        <f t="shared" si="3"/>
        <v>0.659</v>
      </c>
    </row>
    <row r="94">
      <c r="A94" s="5" t="s">
        <v>42</v>
      </c>
      <c r="B94" s="6" t="s">
        <v>186</v>
      </c>
      <c r="C94" s="12" t="s">
        <v>47</v>
      </c>
      <c r="D94" s="8" t="s">
        <v>199</v>
      </c>
      <c r="E94" s="20">
        <v>45236.0</v>
      </c>
      <c r="F94" s="6">
        <f>ROUND(('ALL(responses)'!F95 - AVERAGE('ALL(responses)'!F$3:F$322)) / _xlfn.STDEV.S('ALL(responses)'!F$3:F$322),3)
</f>
        <v>-0.571</v>
      </c>
      <c r="G94" s="6">
        <f>ROUND(('ALL(responses)'!G95 - AVERAGE('ALL(responses)'!G$3:G$322)) / _xlfn.STDEV.S('ALL(responses)'!G$3:G$322),3)
</f>
        <v>2.294</v>
      </c>
      <c r="H94" s="6">
        <f>ROUND(('ALL(responses)'!H95 - AVERAGE('ALL(responses)'!H$3:H$322)) / _xlfn.STDEV.S('ALL(responses)'!H$3:H$322),3)
</f>
        <v>1.155</v>
      </c>
      <c r="I94" s="6">
        <f>ROUND(('ALL(responses)'!I95 - AVERAGE('ALL(responses)'!I$3:I$322)) / _xlfn.STDEV.S('ALL(responses)'!I$3:I$322),3)
</f>
        <v>2.194</v>
      </c>
      <c r="J94" s="6">
        <f>ROUND(('ALL(responses)'!J95 - AVERAGE('ALL(responses)'!J$3:J$322)) / _xlfn.STDEV.S('ALL(responses)'!J$3:J$322),3)
</f>
        <v>2.151</v>
      </c>
      <c r="K94" s="6">
        <f>ROUND(('ALL(responses)'!M95 - AVERAGE('ALL(responses)'!M$3:M$322)) / _xlfn.STDEV.S('ALL(responses)'!M$3:M$322),3)
</f>
        <v>-0.617</v>
      </c>
      <c r="L94" s="6">
        <f>ROUND(('ALL(responses)'!P95 - AVERAGE('ALL(responses)'!P$3:P$322)) / _xlfn.STDEV.S('ALL(responses)'!P$3:P$322),3)
</f>
        <v>-0.459</v>
      </c>
      <c r="M94" s="6">
        <f>ROUND(('ALL(responses)'!Q95 - AVERAGE('ALL(responses)'!Q$3:Q$322)) / _xlfn.STDEV.S('ALL(responses)'!Q$3:Q$322),3)
</f>
        <v>1.041</v>
      </c>
      <c r="N94" s="6">
        <f>ROUND(('ALL(responses)'!R95 - AVERAGE('ALL(responses)'!R$3:R$322)) / _xlfn.STDEV.S('ALL(responses)'!R$3:R$322),3)
</f>
        <v>0.109</v>
      </c>
      <c r="O94" s="6">
        <f>ROUND(('ALL(responses)'!S95 - AVERAGE('ALL(responses)'!S$3:S$322)) / _xlfn.STDEV.S('ALL(responses)'!S$3:S$322),3)
</f>
        <v>0.275</v>
      </c>
      <c r="P94" s="6">
        <f>ROUND(('ALL(responses)'!T95 - AVERAGE('ALL(responses)'!T$3:T$322)) / _xlfn.STDEV.S('ALL(responses)'!T$3:T$322),3)
</f>
        <v>0.206</v>
      </c>
      <c r="Q94" s="40">
        <f t="shared" si="3"/>
        <v>0.659</v>
      </c>
    </row>
    <row r="95">
      <c r="A95" s="5" t="s">
        <v>42</v>
      </c>
      <c r="B95" s="6" t="s">
        <v>186</v>
      </c>
      <c r="C95" s="12" t="s">
        <v>49</v>
      </c>
      <c r="D95" s="8" t="s">
        <v>200</v>
      </c>
      <c r="E95" s="20">
        <v>45236.0</v>
      </c>
      <c r="F95" s="6">
        <f>ROUND(('ALL(responses)'!F96 - AVERAGE('ALL(responses)'!F$3:F$322)) / _xlfn.STDEV.S('ALL(responses)'!F$3:F$322),3)
</f>
        <v>2.55</v>
      </c>
      <c r="G95" s="6">
        <f>ROUND(('ALL(responses)'!G96 - AVERAGE('ALL(responses)'!G$3:G$322)) / _xlfn.STDEV.S('ALL(responses)'!G$3:G$322),3)
</f>
        <v>-0.627</v>
      </c>
      <c r="H95" s="6">
        <f>ROUND(('ALL(responses)'!H96 - AVERAGE('ALL(responses)'!H$3:H$322)) / _xlfn.STDEV.S('ALL(responses)'!H$3:H$322),3)
</f>
        <v>1.155</v>
      </c>
      <c r="I95" s="6">
        <f>ROUND(('ALL(responses)'!I96 - AVERAGE('ALL(responses)'!I$3:I$322)) / _xlfn.STDEV.S('ALL(responses)'!I$3:I$322),3)
</f>
        <v>2.194</v>
      </c>
      <c r="J95" s="6">
        <f>ROUND(('ALL(responses)'!J96 - AVERAGE('ALL(responses)'!J$3:J$322)) / _xlfn.STDEV.S('ALL(responses)'!J$3:J$322),3)
</f>
        <v>2.151</v>
      </c>
      <c r="K95" s="6">
        <f>ROUND(('ALL(responses)'!M96 - AVERAGE('ALL(responses)'!M$3:M$322)) / _xlfn.STDEV.S('ALL(responses)'!M$3:M$322),3)
</f>
        <v>-0.034</v>
      </c>
      <c r="L95" s="6">
        <f>ROUND(('ALL(responses)'!P96 - AVERAGE('ALL(responses)'!P$3:P$322)) / _xlfn.STDEV.S('ALL(responses)'!P$3:P$322),3)
</f>
        <v>0.133</v>
      </c>
      <c r="M95" s="6">
        <f>ROUND(('ALL(responses)'!Q96 - AVERAGE('ALL(responses)'!Q$3:Q$322)) / _xlfn.STDEV.S('ALL(responses)'!Q$3:Q$322),3)
</f>
        <v>-0.423</v>
      </c>
      <c r="N95" s="6">
        <f>ROUND(('ALL(responses)'!R96 - AVERAGE('ALL(responses)'!R$3:R$322)) / _xlfn.STDEV.S('ALL(responses)'!R$3:R$322),3)
</f>
        <v>0.396</v>
      </c>
      <c r="O95" s="6">
        <f>ROUND(('ALL(responses)'!S96 - AVERAGE('ALL(responses)'!S$3:S$322)) / _xlfn.STDEV.S('ALL(responses)'!S$3:S$322),3)
</f>
        <v>0.403</v>
      </c>
      <c r="P95" s="6">
        <f>ROUND(('ALL(responses)'!T96 - AVERAGE('ALL(responses)'!T$3:T$322)) / _xlfn.STDEV.S('ALL(responses)'!T$3:T$322),3)
</f>
        <v>2.749</v>
      </c>
      <c r="Q95" s="40">
        <f t="shared" si="3"/>
        <v>0.659</v>
      </c>
    </row>
    <row r="96">
      <c r="A96" s="5" t="s">
        <v>42</v>
      </c>
      <c r="B96" s="6" t="s">
        <v>186</v>
      </c>
      <c r="C96" s="12" t="s">
        <v>51</v>
      </c>
      <c r="D96" s="8" t="s">
        <v>201</v>
      </c>
      <c r="E96" s="20">
        <v>45236.0</v>
      </c>
      <c r="F96" s="6">
        <f>ROUND(('ALL(responses)'!F97 - AVERAGE('ALL(responses)'!F$3:F$322)) / _xlfn.STDEV.S('ALL(responses)'!F$3:F$322),3)
</f>
        <v>2.55</v>
      </c>
      <c r="G96" s="6">
        <f>ROUND(('ALL(responses)'!G97 - AVERAGE('ALL(responses)'!G$3:G$322)) / _xlfn.STDEV.S('ALL(responses)'!G$3:G$322),3)
</f>
        <v>2.294</v>
      </c>
      <c r="H96" s="6">
        <f>ROUND(('ALL(responses)'!H97 - AVERAGE('ALL(responses)'!H$3:H$322)) / _xlfn.STDEV.S('ALL(responses)'!H$3:H$322),3)
</f>
        <v>1.155</v>
      </c>
      <c r="I96" s="6">
        <f>ROUND(('ALL(responses)'!I97 - AVERAGE('ALL(responses)'!I$3:I$322)) / _xlfn.STDEV.S('ALL(responses)'!I$3:I$322),3)
</f>
        <v>2.194</v>
      </c>
      <c r="J96" s="6">
        <f>ROUND(('ALL(responses)'!J97 - AVERAGE('ALL(responses)'!J$3:J$322)) / _xlfn.STDEV.S('ALL(responses)'!J$3:J$322),3)
</f>
        <v>2.151</v>
      </c>
      <c r="K96" s="6">
        <f>ROUND(('ALL(responses)'!M97 - AVERAGE('ALL(responses)'!M$3:M$322)) / _xlfn.STDEV.S('ALL(responses)'!M$3:M$322),3)
</f>
        <v>0.149</v>
      </c>
      <c r="L96" s="6">
        <f>ROUND(('ALL(responses)'!P97 - AVERAGE('ALL(responses)'!P$3:P$322)) / _xlfn.STDEV.S('ALL(responses)'!P$3:P$322),3)
</f>
        <v>-1.457</v>
      </c>
      <c r="M96" s="6">
        <f>ROUND(('ALL(responses)'!Q97 - AVERAGE('ALL(responses)'!Q$3:Q$322)) / _xlfn.STDEV.S('ALL(responses)'!Q$3:Q$322),3)
</f>
        <v>0.654</v>
      </c>
      <c r="N96" s="6">
        <f>ROUND(('ALL(responses)'!R97 - AVERAGE('ALL(responses)'!R$3:R$322)) / _xlfn.STDEV.S('ALL(responses)'!R$3:R$322),3)
</f>
        <v>0.194</v>
      </c>
      <c r="O96" s="6">
        <f>ROUND(('ALL(responses)'!S97 - AVERAGE('ALL(responses)'!S$3:S$322)) / _xlfn.STDEV.S('ALL(responses)'!S$3:S$322),3)
</f>
        <v>0.313</v>
      </c>
      <c r="P96" s="6">
        <f>ROUND(('ALL(responses)'!T97 - AVERAGE('ALL(responses)'!T$3:T$322)) / _xlfn.STDEV.S('ALL(responses)'!T$3:T$322),3)
</f>
        <v>0.21</v>
      </c>
      <c r="Q96" s="40">
        <f t="shared" si="3"/>
        <v>0.659</v>
      </c>
    </row>
    <row r="97">
      <c r="A97" s="5" t="s">
        <v>42</v>
      </c>
      <c r="B97" s="6" t="s">
        <v>186</v>
      </c>
      <c r="C97" s="12" t="s">
        <v>53</v>
      </c>
      <c r="D97" s="8" t="s">
        <v>202</v>
      </c>
      <c r="E97" s="20">
        <v>45236.0</v>
      </c>
      <c r="F97" s="6">
        <f>ROUND(('ALL(responses)'!F98 - AVERAGE('ALL(responses)'!F$3:F$322)) / _xlfn.STDEV.S('ALL(responses)'!F$3:F$322),3)
</f>
        <v>-0.571</v>
      </c>
      <c r="G97" s="6">
        <f>ROUND(('ALL(responses)'!G98 - AVERAGE('ALL(responses)'!G$3:G$322)) / _xlfn.STDEV.S('ALL(responses)'!G$3:G$322),3)
</f>
        <v>2.294</v>
      </c>
      <c r="H97" s="6">
        <f>ROUND(('ALL(responses)'!H98 - AVERAGE('ALL(responses)'!H$3:H$322)) / _xlfn.STDEV.S('ALL(responses)'!H$3:H$322),3)
</f>
        <v>1.155</v>
      </c>
      <c r="I97" s="6">
        <f>ROUND(('ALL(responses)'!I98 - AVERAGE('ALL(responses)'!I$3:I$322)) / _xlfn.STDEV.S('ALL(responses)'!I$3:I$322),3)
</f>
        <v>2.194</v>
      </c>
      <c r="J97" s="6">
        <f>ROUND(('ALL(responses)'!J98 - AVERAGE('ALL(responses)'!J$3:J$322)) / _xlfn.STDEV.S('ALL(responses)'!J$3:J$322),3)
</f>
        <v>2.151</v>
      </c>
      <c r="K97" s="6">
        <f>ROUND(('ALL(responses)'!M98 - AVERAGE('ALL(responses)'!M$3:M$322)) / _xlfn.STDEV.S('ALL(responses)'!M$3:M$322),3)
</f>
        <v>-0.123</v>
      </c>
      <c r="L97" s="6">
        <f>ROUND(('ALL(responses)'!P98 - AVERAGE('ALL(responses)'!P$3:P$322)) / _xlfn.STDEV.S('ALL(responses)'!P$3:P$322),3)
</f>
        <v>1.257</v>
      </c>
      <c r="M97" s="6">
        <f>ROUND(('ALL(responses)'!Q98 - AVERAGE('ALL(responses)'!Q$3:Q$322)) / _xlfn.STDEV.S('ALL(responses)'!Q$3:Q$322),3)
</f>
        <v>-1.029</v>
      </c>
      <c r="N97" s="6">
        <f>ROUND(('ALL(responses)'!R98 - AVERAGE('ALL(responses)'!R$3:R$322)) / _xlfn.STDEV.S('ALL(responses)'!R$3:R$322),3)
</f>
        <v>0.109</v>
      </c>
      <c r="O97" s="6">
        <f>ROUND(('ALL(responses)'!S98 - AVERAGE('ALL(responses)'!S$3:S$322)) / _xlfn.STDEV.S('ALL(responses)'!S$3:S$322),3)
</f>
        <v>0.275</v>
      </c>
      <c r="P97" s="6">
        <f>ROUND(('ALL(responses)'!T98 - AVERAGE('ALL(responses)'!T$3:T$322)) / _xlfn.STDEV.S('ALL(responses)'!T$3:T$322),3)
</f>
        <v>0.803</v>
      </c>
      <c r="Q97" s="40">
        <f t="shared" si="3"/>
        <v>0.659</v>
      </c>
    </row>
    <row r="98">
      <c r="A98" s="5" t="s">
        <v>42</v>
      </c>
      <c r="B98" s="6" t="s">
        <v>186</v>
      </c>
      <c r="C98" s="12" t="s">
        <v>55</v>
      </c>
      <c r="D98" s="8" t="s">
        <v>203</v>
      </c>
      <c r="E98" s="20">
        <v>45236.0</v>
      </c>
      <c r="F98" s="6">
        <f>ROUND(('ALL(responses)'!F99 - AVERAGE('ALL(responses)'!F$3:F$322)) / _xlfn.STDEV.S('ALL(responses)'!F$3:F$322),3)
</f>
        <v>2.55</v>
      </c>
      <c r="G98" s="6">
        <f>ROUND(('ALL(responses)'!G99 - AVERAGE('ALL(responses)'!G$3:G$322)) / _xlfn.STDEV.S('ALL(responses)'!G$3:G$322),3)
</f>
        <v>2.294</v>
      </c>
      <c r="H98" s="6">
        <f>ROUND(('ALL(responses)'!H99 - AVERAGE('ALL(responses)'!H$3:H$322)) / _xlfn.STDEV.S('ALL(responses)'!H$3:H$322),3)
</f>
        <v>1.155</v>
      </c>
      <c r="I98" s="6">
        <f>ROUND(('ALL(responses)'!I99 - AVERAGE('ALL(responses)'!I$3:I$322)) / _xlfn.STDEV.S('ALL(responses)'!I$3:I$322),3)
</f>
        <v>2.194</v>
      </c>
      <c r="J98" s="6">
        <f>ROUND(('ALL(responses)'!J99 - AVERAGE('ALL(responses)'!J$3:J$322)) / _xlfn.STDEV.S('ALL(responses)'!J$3:J$322),3)
</f>
        <v>2.151</v>
      </c>
      <c r="K98" s="6">
        <f>ROUND(('ALL(responses)'!M99 - AVERAGE('ALL(responses)'!M$3:M$322)) / _xlfn.STDEV.S('ALL(responses)'!M$3:M$322),3)
</f>
        <v>-0.625</v>
      </c>
      <c r="L98" s="6">
        <f>ROUND(('ALL(responses)'!P99 - AVERAGE('ALL(responses)'!P$3:P$322)) / _xlfn.STDEV.S('ALL(responses)'!P$3:P$322),3)
</f>
        <v>1.37</v>
      </c>
      <c r="M98" s="6">
        <f>ROUND(('ALL(responses)'!Q99 - AVERAGE('ALL(responses)'!Q$3:Q$322)) / _xlfn.STDEV.S('ALL(responses)'!Q$3:Q$322),3)
</f>
        <v>-0.567</v>
      </c>
      <c r="N98" s="6">
        <f>ROUND(('ALL(responses)'!R99 - AVERAGE('ALL(responses)'!R$3:R$322)) / _xlfn.STDEV.S('ALL(responses)'!R$3:R$322),3)
</f>
        <v>-1.259</v>
      </c>
      <c r="O98" s="6">
        <f>ROUND(('ALL(responses)'!S99 - AVERAGE('ALL(responses)'!S$3:S$322)) / _xlfn.STDEV.S('ALL(responses)'!S$3:S$322),3)
</f>
        <v>-0.331</v>
      </c>
      <c r="P98" s="6">
        <f>ROUND(('ALL(responses)'!T99 - AVERAGE('ALL(responses)'!T$3:T$322)) / _xlfn.STDEV.S('ALL(responses)'!T$3:T$322),3)
</f>
        <v>-1.163</v>
      </c>
      <c r="Q98" s="40">
        <f t="shared" si="3"/>
        <v>0.659</v>
      </c>
    </row>
    <row r="99">
      <c r="A99" s="5" t="s">
        <v>42</v>
      </c>
      <c r="B99" s="6" t="s">
        <v>186</v>
      </c>
      <c r="C99" s="12" t="s">
        <v>57</v>
      </c>
      <c r="D99" s="8" t="s">
        <v>204</v>
      </c>
      <c r="E99" s="20">
        <v>45236.0</v>
      </c>
      <c r="F99" s="6">
        <f>ROUND(('ALL(responses)'!F100 - AVERAGE('ALL(responses)'!F$3:F$322)) / _xlfn.STDEV.S('ALL(responses)'!F$3:F$322),3)
</f>
        <v>2.55</v>
      </c>
      <c r="G99" s="6">
        <f>ROUND(('ALL(responses)'!G100 - AVERAGE('ALL(responses)'!G$3:G$322)) / _xlfn.STDEV.S('ALL(responses)'!G$3:G$322),3)
</f>
        <v>2.294</v>
      </c>
      <c r="H99" s="6">
        <f>ROUND(('ALL(responses)'!H100 - AVERAGE('ALL(responses)'!H$3:H$322)) / _xlfn.STDEV.S('ALL(responses)'!H$3:H$322),3)
</f>
        <v>1.155</v>
      </c>
      <c r="I99" s="6">
        <f>ROUND(('ALL(responses)'!I100 - AVERAGE('ALL(responses)'!I$3:I$322)) / _xlfn.STDEV.S('ALL(responses)'!I$3:I$322),3)
</f>
        <v>2.194</v>
      </c>
      <c r="J99" s="6">
        <f>ROUND(('ALL(responses)'!J100 - AVERAGE('ALL(responses)'!J$3:J$322)) / _xlfn.STDEV.S('ALL(responses)'!J$3:J$322),3)
</f>
        <v>2.151</v>
      </c>
      <c r="K99" s="6">
        <f>ROUND(('ALL(responses)'!M100 - AVERAGE('ALL(responses)'!M$3:M$322)) / _xlfn.STDEV.S('ALL(responses)'!M$3:M$322),3)
</f>
        <v>-0.154</v>
      </c>
      <c r="L99" s="6">
        <f>ROUND(('ALL(responses)'!P100 - AVERAGE('ALL(responses)'!P$3:P$322)) / _xlfn.STDEV.S('ALL(responses)'!P$3:P$322),3)
</f>
        <v>1.861</v>
      </c>
      <c r="M99" s="6">
        <f>ROUND(('ALL(responses)'!Q100 - AVERAGE('ALL(responses)'!Q$3:Q$322)) / _xlfn.STDEV.S('ALL(responses)'!Q$3:Q$322),3)
</f>
        <v>0.885</v>
      </c>
      <c r="N99" s="6">
        <f>ROUND(('ALL(responses)'!R100 - AVERAGE('ALL(responses)'!R$3:R$322)) / _xlfn.STDEV.S('ALL(responses)'!R$3:R$322),3)
</f>
        <v>-0.709</v>
      </c>
      <c r="O99" s="6">
        <f>ROUND(('ALL(responses)'!S100 - AVERAGE('ALL(responses)'!S$3:S$322)) / _xlfn.STDEV.S('ALL(responses)'!S$3:S$322),3)
</f>
        <v>-0.087</v>
      </c>
      <c r="P99" s="6">
        <f>ROUND(('ALL(responses)'!T100 - AVERAGE('ALL(responses)'!T$3:T$322)) / _xlfn.STDEV.S('ALL(responses)'!T$3:T$322),3)
</f>
        <v>1.802</v>
      </c>
      <c r="Q99" s="40">
        <f t="shared" si="3"/>
        <v>0.659</v>
      </c>
    </row>
    <row r="100">
      <c r="A100" s="5" t="s">
        <v>42</v>
      </c>
      <c r="B100" s="6" t="s">
        <v>186</v>
      </c>
      <c r="C100" s="12" t="s">
        <v>59</v>
      </c>
      <c r="D100" s="8" t="s">
        <v>205</v>
      </c>
      <c r="E100" s="20">
        <v>45236.0</v>
      </c>
      <c r="F100" s="6">
        <f>ROUND(('ALL(responses)'!F101 - AVERAGE('ALL(responses)'!F$3:F$322)) / _xlfn.STDEV.S('ALL(responses)'!F$3:F$322),3)
</f>
        <v>-0.571</v>
      </c>
      <c r="G100" s="6">
        <f>ROUND(('ALL(responses)'!G101 - AVERAGE('ALL(responses)'!G$3:G$322)) / _xlfn.STDEV.S('ALL(responses)'!G$3:G$322),3)
</f>
        <v>2.294</v>
      </c>
      <c r="H100" s="6">
        <f>ROUND(('ALL(responses)'!H101 - AVERAGE('ALL(responses)'!H$3:H$322)) / _xlfn.STDEV.S('ALL(responses)'!H$3:H$322),3)
</f>
        <v>1.155</v>
      </c>
      <c r="I100" s="6">
        <f>ROUND(('ALL(responses)'!I101 - AVERAGE('ALL(responses)'!I$3:I$322)) / _xlfn.STDEV.S('ALL(responses)'!I$3:I$322),3)
</f>
        <v>2.194</v>
      </c>
      <c r="J100" s="6">
        <f>ROUND(('ALL(responses)'!J101 - AVERAGE('ALL(responses)'!J$3:J$322)) / _xlfn.STDEV.S('ALL(responses)'!J$3:J$322),3)
</f>
        <v>2.151</v>
      </c>
      <c r="K100" s="6">
        <f>ROUND(('ALL(responses)'!M101 - AVERAGE('ALL(responses)'!M$3:M$322)) / _xlfn.STDEV.S('ALL(responses)'!M$3:M$322),3)
</f>
        <v>-0.089</v>
      </c>
      <c r="L100" s="6">
        <f>ROUND(('ALL(responses)'!P101 - AVERAGE('ALL(responses)'!P$3:P$322)) / _xlfn.STDEV.S('ALL(responses)'!P$3:P$322),3)
</f>
        <v>-1.457</v>
      </c>
      <c r="M100" s="6">
        <f>ROUND(('ALL(responses)'!Q101 - AVERAGE('ALL(responses)'!Q$3:Q$322)) / _xlfn.STDEV.S('ALL(responses)'!Q$3:Q$322),3)
</f>
        <v>-0.406</v>
      </c>
      <c r="N100" s="6">
        <f>ROUND(('ALL(responses)'!R101 - AVERAGE('ALL(responses)'!R$3:R$322)) / _xlfn.STDEV.S('ALL(responses)'!R$3:R$322),3)
</f>
        <v>0.41</v>
      </c>
      <c r="O100" s="6">
        <f>ROUND(('ALL(responses)'!S101 - AVERAGE('ALL(responses)'!S$3:S$322)) / _xlfn.STDEV.S('ALL(responses)'!S$3:S$322),3)
</f>
        <v>0.409</v>
      </c>
      <c r="P100" s="6">
        <f>ROUND(('ALL(responses)'!T101 - AVERAGE('ALL(responses)'!T$3:T$322)) / _xlfn.STDEV.S('ALL(responses)'!T$3:T$322),3)
</f>
        <v>-0.253</v>
      </c>
      <c r="Q100" s="40">
        <f t="shared" si="3"/>
        <v>0.659</v>
      </c>
    </row>
    <row r="101">
      <c r="A101" s="5" t="s">
        <v>42</v>
      </c>
      <c r="B101" s="6" t="s">
        <v>186</v>
      </c>
      <c r="C101" s="12" t="s">
        <v>61</v>
      </c>
      <c r="D101" s="8" t="s">
        <v>206</v>
      </c>
      <c r="E101" s="20">
        <v>45236.0</v>
      </c>
      <c r="F101" s="6">
        <f>ROUND(('ALL(responses)'!F102 - AVERAGE('ALL(responses)'!F$3:F$322)) / _xlfn.STDEV.S('ALL(responses)'!F$3:F$322),3)
</f>
        <v>2.55</v>
      </c>
      <c r="G101" s="6">
        <f>ROUND(('ALL(responses)'!G102 - AVERAGE('ALL(responses)'!G$3:G$322)) / _xlfn.STDEV.S('ALL(responses)'!G$3:G$322),3)
</f>
        <v>2.294</v>
      </c>
      <c r="H101" s="6">
        <f>ROUND(('ALL(responses)'!H102 - AVERAGE('ALL(responses)'!H$3:H$322)) / _xlfn.STDEV.S('ALL(responses)'!H$3:H$322),3)
</f>
        <v>1.155</v>
      </c>
      <c r="I101" s="6">
        <f>ROUND(('ALL(responses)'!I102 - AVERAGE('ALL(responses)'!I$3:I$322)) / _xlfn.STDEV.S('ALL(responses)'!I$3:I$322),3)
</f>
        <v>2.194</v>
      </c>
      <c r="J101" s="6">
        <f>ROUND(('ALL(responses)'!J102 - AVERAGE('ALL(responses)'!J$3:J$322)) / _xlfn.STDEV.S('ALL(responses)'!J$3:J$322),3)
</f>
        <v>2.151</v>
      </c>
      <c r="K101" s="6">
        <f>ROUND(('ALL(responses)'!M102 - AVERAGE('ALL(responses)'!M$3:M$322)) / _xlfn.STDEV.S('ALL(responses)'!M$3:M$322),3)
</f>
        <v>-0.778</v>
      </c>
      <c r="L101" s="6">
        <f>ROUND(('ALL(responses)'!P102 - AVERAGE('ALL(responses)'!P$3:P$322)) / _xlfn.STDEV.S('ALL(responses)'!P$3:P$322),3)
</f>
        <v>-1.457</v>
      </c>
      <c r="M101" s="6">
        <f>ROUND(('ALL(responses)'!Q102 - AVERAGE('ALL(responses)'!Q$3:Q$322)) / _xlfn.STDEV.S('ALL(responses)'!Q$3:Q$322),3)
</f>
        <v>0.244</v>
      </c>
      <c r="N101" s="6">
        <f>ROUND(('ALL(responses)'!R102 - AVERAGE('ALL(responses)'!R$3:R$322)) / _xlfn.STDEV.S('ALL(responses)'!R$3:R$322),3)
</f>
        <v>-1.836</v>
      </c>
      <c r="O101" s="6">
        <f>ROUND(('ALL(responses)'!S102 - AVERAGE('ALL(responses)'!S$3:S$322)) / _xlfn.STDEV.S('ALL(responses)'!S$3:S$322),3)
</f>
        <v>-0.586</v>
      </c>
      <c r="P101" s="6">
        <f>ROUND(('ALL(responses)'!T102 - AVERAGE('ALL(responses)'!T$3:T$322)) / _xlfn.STDEV.S('ALL(responses)'!T$3:T$322),3)
</f>
        <v>0.834</v>
      </c>
      <c r="Q101" s="40">
        <f t="shared" si="3"/>
        <v>0.659</v>
      </c>
    </row>
    <row r="102">
      <c r="A102" s="5" t="s">
        <v>63</v>
      </c>
      <c r="B102" s="6" t="s">
        <v>186</v>
      </c>
      <c r="C102" s="12" t="s">
        <v>64</v>
      </c>
      <c r="D102" s="8" t="s">
        <v>207</v>
      </c>
      <c r="E102" s="20">
        <v>45236.0</v>
      </c>
      <c r="F102" s="6">
        <f>ROUND(('ALL(responses)'!F103 - AVERAGE('ALL(responses)'!F$3:F$322)) / _xlfn.STDEV.S('ALL(responses)'!F$3:F$322),3)
</f>
        <v>2.55</v>
      </c>
      <c r="G102" s="6">
        <f>ROUND(('ALL(responses)'!G103 - AVERAGE('ALL(responses)'!G$3:G$322)) / _xlfn.STDEV.S('ALL(responses)'!G$3:G$322),3)
</f>
        <v>2.294</v>
      </c>
      <c r="H102" s="6">
        <f>ROUND(('ALL(responses)'!H103 - AVERAGE('ALL(responses)'!H$3:H$322)) / _xlfn.STDEV.S('ALL(responses)'!H$3:H$322),3)
</f>
        <v>1.155</v>
      </c>
      <c r="I102" s="6">
        <f>ROUND(('ALL(responses)'!I103 - AVERAGE('ALL(responses)'!I$3:I$322)) / _xlfn.STDEV.S('ALL(responses)'!I$3:I$322),3)
</f>
        <v>2.194</v>
      </c>
      <c r="J102" s="6">
        <f>ROUND(('ALL(responses)'!J103 - AVERAGE('ALL(responses)'!J$3:J$322)) / _xlfn.STDEV.S('ALL(responses)'!J$3:J$322),3)
</f>
        <v>-0.562</v>
      </c>
      <c r="K102" s="6">
        <f>ROUND(('ALL(responses)'!M103 - AVERAGE('ALL(responses)'!M$3:M$322)) / _xlfn.STDEV.S('ALL(responses)'!M$3:M$322),3)
</f>
        <v>-1.738</v>
      </c>
      <c r="L102" s="6">
        <f>ROUND(('ALL(responses)'!P103 - AVERAGE('ALL(responses)'!P$3:P$322)) / _xlfn.STDEV.S('ALL(responses)'!P$3:P$322),3)
</f>
        <v>-1.457</v>
      </c>
      <c r="M102" s="6">
        <f>ROUND(('ALL(responses)'!Q103 - AVERAGE('ALL(responses)'!Q$3:Q$322)) / _xlfn.STDEV.S('ALL(responses)'!Q$3:Q$322),3)
</f>
        <v>0.979</v>
      </c>
      <c r="N102" s="6">
        <f>ROUND(('ALL(responses)'!R103 - AVERAGE('ALL(responses)'!R$3:R$322)) / _xlfn.STDEV.S('ALL(responses)'!R$3:R$322),3)
</f>
        <v>0.219</v>
      </c>
      <c r="O102" s="6">
        <f>ROUND(('ALL(responses)'!S103 - AVERAGE('ALL(responses)'!S$3:S$322)) / _xlfn.STDEV.S('ALL(responses)'!S$3:S$322),3)
</f>
        <v>0.324</v>
      </c>
      <c r="P102" s="6">
        <f>ROUND(('ALL(responses)'!T103 - AVERAGE('ALL(responses)'!T$3:T$322)) / _xlfn.STDEV.S('ALL(responses)'!T$3:T$322),3)
</f>
        <v>-0.325</v>
      </c>
      <c r="Q102" s="40">
        <f t="shared" si="3"/>
        <v>0.659</v>
      </c>
    </row>
    <row r="103">
      <c r="A103" s="5" t="s">
        <v>63</v>
      </c>
      <c r="B103" s="6" t="s">
        <v>186</v>
      </c>
      <c r="C103" s="12" t="s">
        <v>66</v>
      </c>
      <c r="D103" s="8" t="s">
        <v>208</v>
      </c>
      <c r="E103" s="20">
        <v>45236.0</v>
      </c>
      <c r="F103" s="6">
        <f>ROUND(('ALL(responses)'!F104 - AVERAGE('ALL(responses)'!F$3:F$322)) / _xlfn.STDEV.S('ALL(responses)'!F$3:F$322),3)
</f>
        <v>-0.571</v>
      </c>
      <c r="G103" s="6">
        <f>ROUND(('ALL(responses)'!G104 - AVERAGE('ALL(responses)'!G$3:G$322)) / _xlfn.STDEV.S('ALL(responses)'!G$3:G$322),3)
</f>
        <v>2.294</v>
      </c>
      <c r="H103" s="6">
        <f>ROUND(('ALL(responses)'!H104 - AVERAGE('ALL(responses)'!H$3:H$322)) / _xlfn.STDEV.S('ALL(responses)'!H$3:H$322),3)
</f>
        <v>1.155</v>
      </c>
      <c r="I103" s="6">
        <f>ROUND(('ALL(responses)'!I104 - AVERAGE('ALL(responses)'!I$3:I$322)) / _xlfn.STDEV.S('ALL(responses)'!I$3:I$322),3)
</f>
        <v>2.194</v>
      </c>
      <c r="J103" s="6">
        <f>ROUND(('ALL(responses)'!J104 - AVERAGE('ALL(responses)'!J$3:J$322)) / _xlfn.STDEV.S('ALL(responses)'!J$3:J$322),3)
</f>
        <v>2.151</v>
      </c>
      <c r="K103" s="6">
        <f>ROUND(('ALL(responses)'!M104 - AVERAGE('ALL(responses)'!M$3:M$322)) / _xlfn.STDEV.S('ALL(responses)'!M$3:M$322),3)
</f>
        <v>-1.27</v>
      </c>
      <c r="L103" s="6">
        <f>ROUND(('ALL(responses)'!P104 - AVERAGE('ALL(responses)'!P$3:P$322)) / _xlfn.STDEV.S('ALL(responses)'!P$3:P$322),3)
</f>
        <v>0.239</v>
      </c>
      <c r="M103" s="6">
        <f>ROUND(('ALL(responses)'!Q104 - AVERAGE('ALL(responses)'!Q$3:Q$322)) / _xlfn.STDEV.S('ALL(responses)'!Q$3:Q$322),3)
</f>
        <v>0.088</v>
      </c>
      <c r="N103" s="6">
        <f>ROUND(('ALL(responses)'!R104 - AVERAGE('ALL(responses)'!R$3:R$322)) / _xlfn.STDEV.S('ALL(responses)'!R$3:R$322),3)
</f>
        <v>-0.119</v>
      </c>
      <c r="O103" s="6">
        <f>ROUND(('ALL(responses)'!S104 - AVERAGE('ALL(responses)'!S$3:S$322)) / _xlfn.STDEV.S('ALL(responses)'!S$3:S$322),3)
</f>
        <v>0.174</v>
      </c>
      <c r="P103" s="6">
        <f>ROUND(('ALL(responses)'!T104 - AVERAGE('ALL(responses)'!T$3:T$322)) / _xlfn.STDEV.S('ALL(responses)'!T$3:T$322),3)
</f>
        <v>0.16</v>
      </c>
      <c r="Q103" s="40">
        <f t="shared" si="3"/>
        <v>0.659</v>
      </c>
    </row>
    <row r="104">
      <c r="A104" s="5" t="s">
        <v>63</v>
      </c>
      <c r="B104" s="6" t="s">
        <v>186</v>
      </c>
      <c r="C104" s="12" t="s">
        <v>68</v>
      </c>
      <c r="D104" s="8" t="s">
        <v>209</v>
      </c>
      <c r="E104" s="20">
        <v>45236.0</v>
      </c>
      <c r="F104" s="6">
        <f>ROUND(('ALL(responses)'!F105 - AVERAGE('ALL(responses)'!F$3:F$322)) / _xlfn.STDEV.S('ALL(responses)'!F$3:F$322),3)
</f>
        <v>2.55</v>
      </c>
      <c r="G104" s="6">
        <f>ROUND(('ALL(responses)'!G105 - AVERAGE('ALL(responses)'!G$3:G$322)) / _xlfn.STDEV.S('ALL(responses)'!G$3:G$322),3)
</f>
        <v>2.294</v>
      </c>
      <c r="H104" s="6">
        <f>ROUND(('ALL(responses)'!H105 - AVERAGE('ALL(responses)'!H$3:H$322)) / _xlfn.STDEV.S('ALL(responses)'!H$3:H$322),3)
</f>
        <v>1.155</v>
      </c>
      <c r="I104" s="6">
        <f>ROUND(('ALL(responses)'!I105 - AVERAGE('ALL(responses)'!I$3:I$322)) / _xlfn.STDEV.S('ALL(responses)'!I$3:I$322),3)
</f>
        <v>2.194</v>
      </c>
      <c r="J104" s="6">
        <f>ROUND(('ALL(responses)'!J105 - AVERAGE('ALL(responses)'!J$3:J$322)) / _xlfn.STDEV.S('ALL(responses)'!J$3:J$322),3)
</f>
        <v>2.151</v>
      </c>
      <c r="K104" s="6">
        <f>ROUND(('ALL(responses)'!M105 - AVERAGE('ALL(responses)'!M$3:M$322)) / _xlfn.STDEV.S('ALL(responses)'!M$3:M$322),3)
</f>
        <v>0.466</v>
      </c>
      <c r="L104" s="6">
        <f>ROUND(('ALL(responses)'!P105 - AVERAGE('ALL(responses)'!P$3:P$322)) / _xlfn.STDEV.S('ALL(responses)'!P$3:P$322),3)
</f>
        <v>-1.457</v>
      </c>
      <c r="M104" s="6">
        <f>ROUND(('ALL(responses)'!Q105 - AVERAGE('ALL(responses)'!Q$3:Q$322)) / _xlfn.STDEV.S('ALL(responses)'!Q$3:Q$322),3)
</f>
        <v>0.244</v>
      </c>
      <c r="N104" s="6">
        <f>ROUND(('ALL(responses)'!R105 - AVERAGE('ALL(responses)'!R$3:R$322)) / _xlfn.STDEV.S('ALL(responses)'!R$3:R$322),3)
</f>
        <v>0.375</v>
      </c>
      <c r="O104" s="6">
        <f>ROUND(('ALL(responses)'!S105 - AVERAGE('ALL(responses)'!S$3:S$322)) / _xlfn.STDEV.S('ALL(responses)'!S$3:S$322),3)
</f>
        <v>0.393</v>
      </c>
      <c r="P104" s="6">
        <f>ROUND(('ALL(responses)'!T105 - AVERAGE('ALL(responses)'!T$3:T$322)) / _xlfn.STDEV.S('ALL(responses)'!T$3:T$322),3)
</f>
        <v>1.138</v>
      </c>
      <c r="Q104" s="40">
        <f t="shared" si="3"/>
        <v>0.659</v>
      </c>
    </row>
    <row r="105">
      <c r="A105" s="5" t="s">
        <v>63</v>
      </c>
      <c r="B105" s="6" t="s">
        <v>186</v>
      </c>
      <c r="C105" s="12" t="s">
        <v>70</v>
      </c>
      <c r="D105" s="8" t="s">
        <v>210</v>
      </c>
      <c r="E105" s="20">
        <v>45236.0</v>
      </c>
      <c r="F105" s="6">
        <f>ROUND(('ALL(responses)'!F106 - AVERAGE('ALL(responses)'!F$3:F$322)) / _xlfn.STDEV.S('ALL(responses)'!F$3:F$322),3)
</f>
        <v>2.55</v>
      </c>
      <c r="G105" s="6">
        <f>ROUND(('ALL(responses)'!G106 - AVERAGE('ALL(responses)'!G$3:G$322)) / _xlfn.STDEV.S('ALL(responses)'!G$3:G$322),3)
</f>
        <v>2.294</v>
      </c>
      <c r="H105" s="6">
        <f>ROUND(('ALL(responses)'!H106 - AVERAGE('ALL(responses)'!H$3:H$322)) / _xlfn.STDEV.S('ALL(responses)'!H$3:H$322),3)
</f>
        <v>1.155</v>
      </c>
      <c r="I105" s="6">
        <f>ROUND(('ALL(responses)'!I106 - AVERAGE('ALL(responses)'!I$3:I$322)) / _xlfn.STDEV.S('ALL(responses)'!I$3:I$322),3)
</f>
        <v>2.194</v>
      </c>
      <c r="J105" s="6">
        <f>ROUND(('ALL(responses)'!J106 - AVERAGE('ALL(responses)'!J$3:J$322)) / _xlfn.STDEV.S('ALL(responses)'!J$3:J$322),3)
</f>
        <v>-0.562</v>
      </c>
      <c r="K105" s="6">
        <f>ROUND(('ALL(responses)'!M106 - AVERAGE('ALL(responses)'!M$3:M$322)) / _xlfn.STDEV.S('ALL(responses)'!M$3:M$322),3)
</f>
        <v>0.348</v>
      </c>
      <c r="L105" s="6">
        <f>ROUND(('ALL(responses)'!P106 - AVERAGE('ALL(responses)'!P$3:P$322)) / _xlfn.STDEV.S('ALL(responses)'!P$3:P$322),3)
</f>
        <v>-1.457</v>
      </c>
      <c r="M105" s="6">
        <f>ROUND(('ALL(responses)'!Q106 - AVERAGE('ALL(responses)'!Q$3:Q$322)) / _xlfn.STDEV.S('ALL(responses)'!Q$3:Q$322),3)
</f>
        <v>-0.182</v>
      </c>
      <c r="N105" s="6">
        <f>ROUND(('ALL(responses)'!R106 - AVERAGE('ALL(responses)'!R$3:R$322)) / _xlfn.STDEV.S('ALL(responses)'!R$3:R$322),3)
</f>
        <v>-0.224</v>
      </c>
      <c r="O105" s="6">
        <f>ROUND(('ALL(responses)'!S106 - AVERAGE('ALL(responses)'!S$3:S$322)) / _xlfn.STDEV.S('ALL(responses)'!S$3:S$322),3)
</f>
        <v>0.128</v>
      </c>
      <c r="P105" s="6">
        <f>ROUND(('ALL(responses)'!T106 - AVERAGE('ALL(responses)'!T$3:T$322)) / _xlfn.STDEV.S('ALL(responses)'!T$3:T$322),3)
</f>
        <v>-1.772</v>
      </c>
      <c r="Q105" s="40">
        <f t="shared" si="3"/>
        <v>0.659</v>
      </c>
    </row>
    <row r="106">
      <c r="A106" s="5" t="s">
        <v>63</v>
      </c>
      <c r="B106" s="6" t="s">
        <v>186</v>
      </c>
      <c r="C106" s="12" t="s">
        <v>72</v>
      </c>
      <c r="D106" s="8" t="s">
        <v>211</v>
      </c>
      <c r="E106" s="20">
        <v>45236.0</v>
      </c>
      <c r="F106" s="6">
        <f>ROUND(('ALL(responses)'!F107 - AVERAGE('ALL(responses)'!F$3:F$322)) / _xlfn.STDEV.S('ALL(responses)'!F$3:F$322),3)
</f>
        <v>-0.571</v>
      </c>
      <c r="G106" s="6">
        <f>ROUND(('ALL(responses)'!G107 - AVERAGE('ALL(responses)'!G$3:G$322)) / _xlfn.STDEV.S('ALL(responses)'!G$3:G$322),3)
</f>
        <v>2.294</v>
      </c>
      <c r="H106" s="6">
        <f>ROUND(('ALL(responses)'!H107 - AVERAGE('ALL(responses)'!H$3:H$322)) / _xlfn.STDEV.S('ALL(responses)'!H$3:H$322),3)
</f>
        <v>1.155</v>
      </c>
      <c r="I106" s="6">
        <f>ROUND(('ALL(responses)'!I107 - AVERAGE('ALL(responses)'!I$3:I$322)) / _xlfn.STDEV.S('ALL(responses)'!I$3:I$322),3)
</f>
        <v>2.194</v>
      </c>
      <c r="J106" s="6">
        <f>ROUND(('ALL(responses)'!J107 - AVERAGE('ALL(responses)'!J$3:J$322)) / _xlfn.STDEV.S('ALL(responses)'!J$3:J$322),3)
</f>
        <v>2.151</v>
      </c>
      <c r="K106" s="6">
        <f>ROUND(('ALL(responses)'!M107 - AVERAGE('ALL(responses)'!M$3:M$322)) / _xlfn.STDEV.S('ALL(responses)'!M$3:M$322),3)
</f>
        <v>-0.693</v>
      </c>
      <c r="L106" s="6">
        <f>ROUND(('ALL(responses)'!P107 - AVERAGE('ALL(responses)'!P$3:P$322)) / _xlfn.STDEV.S('ALL(responses)'!P$3:P$322),3)
</f>
        <v>-1.457</v>
      </c>
      <c r="M106" s="6">
        <f>ROUND(('ALL(responses)'!Q107 - AVERAGE('ALL(responses)'!Q$3:Q$322)) / _xlfn.STDEV.S('ALL(responses)'!Q$3:Q$322),3)
</f>
        <v>0.834</v>
      </c>
      <c r="N106" s="6">
        <f>ROUND(('ALL(responses)'!R107 - AVERAGE('ALL(responses)'!R$3:R$322)) / _xlfn.STDEV.S('ALL(responses)'!R$3:R$322),3)
</f>
        <v>-0.913</v>
      </c>
      <c r="O106" s="6">
        <f>ROUND(('ALL(responses)'!S107 - AVERAGE('ALL(responses)'!S$3:S$322)) / _xlfn.STDEV.S('ALL(responses)'!S$3:S$322),3)
</f>
        <v>-0.177</v>
      </c>
      <c r="P106" s="6">
        <f>ROUND(('ALL(responses)'!T107 - AVERAGE('ALL(responses)'!T$3:T$322)) / _xlfn.STDEV.S('ALL(responses)'!T$3:T$322),3)
</f>
        <v>0.717</v>
      </c>
      <c r="Q106" s="40">
        <f t="shared" si="3"/>
        <v>0.659</v>
      </c>
    </row>
    <row r="107">
      <c r="A107" s="5" t="s">
        <v>63</v>
      </c>
      <c r="B107" s="6" t="s">
        <v>186</v>
      </c>
      <c r="C107" s="12" t="s">
        <v>74</v>
      </c>
      <c r="D107" s="8" t="s">
        <v>212</v>
      </c>
      <c r="E107" s="20">
        <v>45236.0</v>
      </c>
      <c r="F107" s="6">
        <f>ROUND(('ALL(responses)'!F108 - AVERAGE('ALL(responses)'!F$3:F$322)) / _xlfn.STDEV.S('ALL(responses)'!F$3:F$322),3)
</f>
        <v>2.55</v>
      </c>
      <c r="G107" s="6">
        <f>ROUND(('ALL(responses)'!G108 - AVERAGE('ALL(responses)'!G$3:G$322)) / _xlfn.STDEV.S('ALL(responses)'!G$3:G$322),3)
</f>
        <v>2.294</v>
      </c>
      <c r="H107" s="6">
        <f>ROUND(('ALL(responses)'!H108 - AVERAGE('ALL(responses)'!H$3:H$322)) / _xlfn.STDEV.S('ALL(responses)'!H$3:H$322),3)
</f>
        <v>1.155</v>
      </c>
      <c r="I107" s="6">
        <f>ROUND(('ALL(responses)'!I108 - AVERAGE('ALL(responses)'!I$3:I$322)) / _xlfn.STDEV.S('ALL(responses)'!I$3:I$322),3)
</f>
        <v>2.194</v>
      </c>
      <c r="J107" s="6">
        <f>ROUND(('ALL(responses)'!J108 - AVERAGE('ALL(responses)'!J$3:J$322)) / _xlfn.STDEV.S('ALL(responses)'!J$3:J$322),3)
</f>
        <v>2.151</v>
      </c>
      <c r="K107" s="6">
        <f>ROUND(('ALL(responses)'!M108 - AVERAGE('ALL(responses)'!M$3:M$322)) / _xlfn.STDEV.S('ALL(responses)'!M$3:M$322),3)
</f>
        <v>0.476</v>
      </c>
      <c r="L107" s="6">
        <f>ROUND(('ALL(responses)'!P108 - AVERAGE('ALL(responses)'!P$3:P$322)) / _xlfn.STDEV.S('ALL(responses)'!P$3:P$322),3)
</f>
        <v>1.122</v>
      </c>
      <c r="M107" s="6">
        <f>ROUND(('ALL(responses)'!Q108 - AVERAGE('ALL(responses)'!Q$3:Q$322)) / _xlfn.STDEV.S('ALL(responses)'!Q$3:Q$322),3)
</f>
        <v>-0.311</v>
      </c>
      <c r="N107" s="6">
        <f>ROUND(('ALL(responses)'!R108 - AVERAGE('ALL(responses)'!R$3:R$322)) / _xlfn.STDEV.S('ALL(responses)'!R$3:R$322),3)
</f>
        <v>0.781</v>
      </c>
      <c r="O107" s="6">
        <f>ROUND(('ALL(responses)'!S108 - AVERAGE('ALL(responses)'!S$3:S$322)) / _xlfn.STDEV.S('ALL(responses)'!S$3:S$322),3)
</f>
        <v>0.573</v>
      </c>
      <c r="P107" s="6">
        <f>ROUND(('ALL(responses)'!T108 - AVERAGE('ALL(responses)'!T$3:T$322)) / _xlfn.STDEV.S('ALL(responses)'!T$3:T$322),3)
</f>
        <v>-1.271</v>
      </c>
      <c r="Q107" s="40">
        <f t="shared" si="3"/>
        <v>0.659</v>
      </c>
    </row>
    <row r="108">
      <c r="A108" s="5" t="s">
        <v>63</v>
      </c>
      <c r="B108" s="6" t="s">
        <v>186</v>
      </c>
      <c r="C108" s="12" t="s">
        <v>76</v>
      </c>
      <c r="D108" s="8" t="s">
        <v>213</v>
      </c>
      <c r="E108" s="20">
        <v>45236.0</v>
      </c>
      <c r="F108" s="6">
        <f>ROUND(('ALL(responses)'!F109 - AVERAGE('ALL(responses)'!F$3:F$322)) / _xlfn.STDEV.S('ALL(responses)'!F$3:F$322),3)
</f>
        <v>2.55</v>
      </c>
      <c r="G108" s="6">
        <f>ROUND(('ALL(responses)'!G109 - AVERAGE('ALL(responses)'!G$3:G$322)) / _xlfn.STDEV.S('ALL(responses)'!G$3:G$322),3)
</f>
        <v>-0.627</v>
      </c>
      <c r="H108" s="6">
        <f>ROUND(('ALL(responses)'!H109 - AVERAGE('ALL(responses)'!H$3:H$322)) / _xlfn.STDEV.S('ALL(responses)'!H$3:H$322),3)
</f>
        <v>1.155</v>
      </c>
      <c r="I108" s="6">
        <f>ROUND(('ALL(responses)'!I109 - AVERAGE('ALL(responses)'!I$3:I$322)) / _xlfn.STDEV.S('ALL(responses)'!I$3:I$322),3)
</f>
        <v>2.194</v>
      </c>
      <c r="J108" s="6">
        <f>ROUND(('ALL(responses)'!J109 - AVERAGE('ALL(responses)'!J$3:J$322)) / _xlfn.STDEV.S('ALL(responses)'!J$3:J$322),3)
</f>
        <v>2.151</v>
      </c>
      <c r="K108" s="6">
        <f>ROUND(('ALL(responses)'!M109 - AVERAGE('ALL(responses)'!M$3:M$322)) / _xlfn.STDEV.S('ALL(responses)'!M$3:M$322),3)
</f>
        <v>0.058</v>
      </c>
      <c r="L108" s="6">
        <f>ROUND(('ALL(responses)'!P109 - AVERAGE('ALL(responses)'!P$3:P$322)) / _xlfn.STDEV.S('ALL(responses)'!P$3:P$322),3)
</f>
        <v>-0.063</v>
      </c>
      <c r="M108" s="6">
        <f>ROUND(('ALL(responses)'!Q109 - AVERAGE('ALL(responses)'!Q$3:Q$322)) / _xlfn.STDEV.S('ALL(responses)'!Q$3:Q$322),3)
</f>
        <v>-0.249</v>
      </c>
      <c r="N108" s="6">
        <f>ROUND(('ALL(responses)'!R109 - AVERAGE('ALL(responses)'!R$3:R$322)) / _xlfn.STDEV.S('ALL(responses)'!R$3:R$322),3)
</f>
        <v>0.687</v>
      </c>
      <c r="O108" s="6">
        <f>ROUND(('ALL(responses)'!S109 - AVERAGE('ALL(responses)'!S$3:S$322)) / _xlfn.STDEV.S('ALL(responses)'!S$3:S$322),3)
</f>
        <v>0.531</v>
      </c>
      <c r="P108" s="6">
        <f>ROUND(('ALL(responses)'!T109 - AVERAGE('ALL(responses)'!T$3:T$322)) / _xlfn.STDEV.S('ALL(responses)'!T$3:T$322),3)
</f>
        <v>-0.243</v>
      </c>
      <c r="Q108" s="40">
        <f t="shared" si="3"/>
        <v>0.659</v>
      </c>
    </row>
    <row r="109">
      <c r="A109" s="5" t="s">
        <v>63</v>
      </c>
      <c r="B109" s="6" t="s">
        <v>186</v>
      </c>
      <c r="C109" s="12" t="s">
        <v>78</v>
      </c>
      <c r="D109" s="8" t="s">
        <v>214</v>
      </c>
      <c r="E109" s="20">
        <v>45236.0</v>
      </c>
      <c r="F109" s="6">
        <f>ROUND(('ALL(responses)'!F110 - AVERAGE('ALL(responses)'!F$3:F$322)) / _xlfn.STDEV.S('ALL(responses)'!F$3:F$322),3)
</f>
        <v>-0.571</v>
      </c>
      <c r="G109" s="6">
        <f>ROUND(('ALL(responses)'!G110 - AVERAGE('ALL(responses)'!G$3:G$322)) / _xlfn.STDEV.S('ALL(responses)'!G$3:G$322),3)
</f>
        <v>2.294</v>
      </c>
      <c r="H109" s="6">
        <f>ROUND(('ALL(responses)'!H110 - AVERAGE('ALL(responses)'!H$3:H$322)) / _xlfn.STDEV.S('ALL(responses)'!H$3:H$322),3)
</f>
        <v>1.155</v>
      </c>
      <c r="I109" s="6">
        <f>ROUND(('ALL(responses)'!I110 - AVERAGE('ALL(responses)'!I$3:I$322)) / _xlfn.STDEV.S('ALL(responses)'!I$3:I$322),3)
</f>
        <v>2.194</v>
      </c>
      <c r="J109" s="6">
        <f>ROUND(('ALL(responses)'!J110 - AVERAGE('ALL(responses)'!J$3:J$322)) / _xlfn.STDEV.S('ALL(responses)'!J$3:J$322),3)
</f>
        <v>2.151</v>
      </c>
      <c r="K109" s="6">
        <f>ROUND(('ALL(responses)'!M110 - AVERAGE('ALL(responses)'!M$3:M$322)) / _xlfn.STDEV.S('ALL(responses)'!M$3:M$322),3)
</f>
        <v>-0.476</v>
      </c>
      <c r="L109" s="6">
        <f>ROUND(('ALL(responses)'!P110 - AVERAGE('ALL(responses)'!P$3:P$322)) / _xlfn.STDEV.S('ALL(responses)'!P$3:P$322),3)
</f>
        <v>-0.595</v>
      </c>
      <c r="M109" s="6">
        <f>ROUND(('ALL(responses)'!Q110 - AVERAGE('ALL(responses)'!Q$3:Q$322)) / _xlfn.STDEV.S('ALL(responses)'!Q$3:Q$322),3)
</f>
        <v>0.606</v>
      </c>
      <c r="N109" s="6">
        <f>ROUND(('ALL(responses)'!R110 - AVERAGE('ALL(responses)'!R$3:R$322)) / _xlfn.STDEV.S('ALL(responses)'!R$3:R$322),3)
</f>
        <v>0.141</v>
      </c>
      <c r="O109" s="6">
        <f>ROUND(('ALL(responses)'!S110 - AVERAGE('ALL(responses)'!S$3:S$322)) / _xlfn.STDEV.S('ALL(responses)'!S$3:S$322),3)
</f>
        <v>0.29</v>
      </c>
      <c r="P109" s="6">
        <f>ROUND(('ALL(responses)'!T110 - AVERAGE('ALL(responses)'!T$3:T$322)) / _xlfn.STDEV.S('ALL(responses)'!T$3:T$322),3)
</f>
        <v>0.414</v>
      </c>
      <c r="Q109" s="40">
        <f t="shared" si="3"/>
        <v>0.659</v>
      </c>
    </row>
    <row r="110">
      <c r="A110" s="5" t="s">
        <v>63</v>
      </c>
      <c r="B110" s="6" t="s">
        <v>186</v>
      </c>
      <c r="C110" s="12" t="s">
        <v>80</v>
      </c>
      <c r="D110" s="8" t="s">
        <v>215</v>
      </c>
      <c r="E110" s="20">
        <v>45236.0</v>
      </c>
      <c r="F110" s="6">
        <f>ROUND(('ALL(responses)'!F111 - AVERAGE('ALL(responses)'!F$3:F$322)) / _xlfn.STDEV.S('ALL(responses)'!F$3:F$322),3)
</f>
        <v>-0.571</v>
      </c>
      <c r="G110" s="6">
        <f>ROUND(('ALL(responses)'!G111 - AVERAGE('ALL(responses)'!G$3:G$322)) / _xlfn.STDEV.S('ALL(responses)'!G$3:G$322),3)
</f>
        <v>2.294</v>
      </c>
      <c r="H110" s="6">
        <f>ROUND(('ALL(responses)'!H111 - AVERAGE('ALL(responses)'!H$3:H$322)) / _xlfn.STDEV.S('ALL(responses)'!H$3:H$322),3)
</f>
        <v>1.155</v>
      </c>
      <c r="I110" s="6">
        <f>ROUND(('ALL(responses)'!I111 - AVERAGE('ALL(responses)'!I$3:I$322)) / _xlfn.STDEV.S('ALL(responses)'!I$3:I$322),3)
</f>
        <v>2.194</v>
      </c>
      <c r="J110" s="6">
        <f>ROUND(('ALL(responses)'!J111 - AVERAGE('ALL(responses)'!J$3:J$322)) / _xlfn.STDEV.S('ALL(responses)'!J$3:J$322),3)
</f>
        <v>2.151</v>
      </c>
      <c r="K110" s="6">
        <f>ROUND(('ALL(responses)'!M111 - AVERAGE('ALL(responses)'!M$3:M$322)) / _xlfn.STDEV.S('ALL(responses)'!M$3:M$322),3)
</f>
        <v>-1.227</v>
      </c>
      <c r="L110" s="6">
        <f>ROUND(('ALL(responses)'!P111 - AVERAGE('ALL(responses)'!P$3:P$322)) / _xlfn.STDEV.S('ALL(responses)'!P$3:P$322),3)
</f>
        <v>0.04</v>
      </c>
      <c r="M110" s="6">
        <f>ROUND(('ALL(responses)'!Q111 - AVERAGE('ALL(responses)'!Q$3:Q$322)) / _xlfn.STDEV.S('ALL(responses)'!Q$3:Q$322),3)
</f>
        <v>-0.11</v>
      </c>
      <c r="N110" s="6">
        <f>ROUND(('ALL(responses)'!R111 - AVERAGE('ALL(responses)'!R$3:R$322)) / _xlfn.STDEV.S('ALL(responses)'!R$3:R$322),3)
</f>
        <v>0.157</v>
      </c>
      <c r="O110" s="6">
        <f>ROUND(('ALL(responses)'!S111 - AVERAGE('ALL(responses)'!S$3:S$322)) / _xlfn.STDEV.S('ALL(responses)'!S$3:S$322),3)
</f>
        <v>0.297</v>
      </c>
      <c r="P110" s="6">
        <f>ROUND(('ALL(responses)'!T111 - AVERAGE('ALL(responses)'!T$3:T$322)) / _xlfn.STDEV.S('ALL(responses)'!T$3:T$322),3)
</f>
        <v>-0.752</v>
      </c>
      <c r="Q110" s="40">
        <f t="shared" si="3"/>
        <v>0.659</v>
      </c>
    </row>
    <row r="111">
      <c r="A111" s="5" t="s">
        <v>63</v>
      </c>
      <c r="B111" s="6" t="s">
        <v>186</v>
      </c>
      <c r="C111" s="12" t="s">
        <v>82</v>
      </c>
      <c r="D111" s="8" t="s">
        <v>216</v>
      </c>
      <c r="E111" s="20">
        <v>45236.0</v>
      </c>
      <c r="F111" s="6">
        <f>ROUND(('ALL(responses)'!F112 - AVERAGE('ALL(responses)'!F$3:F$322)) / _xlfn.STDEV.S('ALL(responses)'!F$3:F$322),3)
</f>
        <v>2.55</v>
      </c>
      <c r="G111" s="6">
        <f>ROUND(('ALL(responses)'!G112 - AVERAGE('ALL(responses)'!G$3:G$322)) / _xlfn.STDEV.S('ALL(responses)'!G$3:G$322),3)
</f>
        <v>2.294</v>
      </c>
      <c r="H111" s="6">
        <f>ROUND(('ALL(responses)'!H112 - AVERAGE('ALL(responses)'!H$3:H$322)) / _xlfn.STDEV.S('ALL(responses)'!H$3:H$322),3)
</f>
        <v>1.155</v>
      </c>
      <c r="I111" s="6">
        <f>ROUND(('ALL(responses)'!I112 - AVERAGE('ALL(responses)'!I$3:I$322)) / _xlfn.STDEV.S('ALL(responses)'!I$3:I$322),3)
</f>
        <v>2.194</v>
      </c>
      <c r="J111" s="6">
        <f>ROUND(('ALL(responses)'!J112 - AVERAGE('ALL(responses)'!J$3:J$322)) / _xlfn.STDEV.S('ALL(responses)'!J$3:J$322),3)
</f>
        <v>2.151</v>
      </c>
      <c r="K111" s="6">
        <f>ROUND(('ALL(responses)'!M112 - AVERAGE('ALL(responses)'!M$3:M$322)) / _xlfn.STDEV.S('ALL(responses)'!M$3:M$322),3)
</f>
        <v>0.187</v>
      </c>
      <c r="L111" s="6">
        <f>ROUND(('ALL(responses)'!P112 - AVERAGE('ALL(responses)'!P$3:P$322)) / _xlfn.STDEV.S('ALL(responses)'!P$3:P$322),3)
</f>
        <v>-0.515</v>
      </c>
      <c r="M111" s="6">
        <f>ROUND(('ALL(responses)'!Q112 - AVERAGE('ALL(responses)'!Q$3:Q$322)) / _xlfn.STDEV.S('ALL(responses)'!Q$3:Q$322),3)
</f>
        <v>0.376</v>
      </c>
      <c r="N111" s="6">
        <f>ROUND(('ALL(responses)'!R112 - AVERAGE('ALL(responses)'!R$3:R$322)) / _xlfn.STDEV.S('ALL(responses)'!R$3:R$322),3)
</f>
        <v>0.69</v>
      </c>
      <c r="O111" s="6">
        <f>ROUND(('ALL(responses)'!S112 - AVERAGE('ALL(responses)'!S$3:S$322)) / _xlfn.STDEV.S('ALL(responses)'!S$3:S$322),3)
</f>
        <v>0.533</v>
      </c>
      <c r="P111" s="6">
        <f>ROUND(('ALL(responses)'!T112 - AVERAGE('ALL(responses)'!T$3:T$322)) / _xlfn.STDEV.S('ALL(responses)'!T$3:T$322),3)
</f>
        <v>1.093</v>
      </c>
      <c r="Q111" s="40">
        <f t="shared" si="3"/>
        <v>0.659</v>
      </c>
    </row>
    <row r="112">
      <c r="A112" s="5" t="s">
        <v>84</v>
      </c>
      <c r="B112" s="6" t="s">
        <v>186</v>
      </c>
      <c r="C112" s="12" t="s">
        <v>85</v>
      </c>
      <c r="D112" s="8" t="s">
        <v>217</v>
      </c>
      <c r="E112" s="20">
        <v>45236.0</v>
      </c>
      <c r="F112" s="6">
        <f>ROUND(('ALL(responses)'!F113 - AVERAGE('ALL(responses)'!F$3:F$322)) / _xlfn.STDEV.S('ALL(responses)'!F$3:F$322),3)
</f>
        <v>2.55</v>
      </c>
      <c r="G112" s="6">
        <f>ROUND(('ALL(responses)'!G113 - AVERAGE('ALL(responses)'!G$3:G$322)) / _xlfn.STDEV.S('ALL(responses)'!G$3:G$322),3)
</f>
        <v>2.294</v>
      </c>
      <c r="H112" s="6">
        <f>ROUND(('ALL(responses)'!H113 - AVERAGE('ALL(responses)'!H$3:H$322)) / _xlfn.STDEV.S('ALL(responses)'!H$3:H$322),3)
</f>
        <v>1.155</v>
      </c>
      <c r="I112" s="6">
        <f>ROUND(('ALL(responses)'!I113 - AVERAGE('ALL(responses)'!I$3:I$322)) / _xlfn.STDEV.S('ALL(responses)'!I$3:I$322),3)
</f>
        <v>2.194</v>
      </c>
      <c r="J112" s="6">
        <f>ROUND(('ALL(responses)'!J113 - AVERAGE('ALL(responses)'!J$3:J$322)) / _xlfn.STDEV.S('ALL(responses)'!J$3:J$322),3)
</f>
        <v>2.151</v>
      </c>
      <c r="K112" s="6">
        <f>ROUND(('ALL(responses)'!M113 - AVERAGE('ALL(responses)'!M$3:M$322)) / _xlfn.STDEV.S('ALL(responses)'!M$3:M$322),3)
</f>
        <v>0.51</v>
      </c>
      <c r="L112" s="6">
        <f>ROUND(('ALL(responses)'!P113 - AVERAGE('ALL(responses)'!P$3:P$322)) / _xlfn.STDEV.S('ALL(responses)'!P$3:P$322),3)
</f>
        <v>-1.457</v>
      </c>
      <c r="M112" s="6">
        <f>ROUND(('ALL(responses)'!Q113 - AVERAGE('ALL(responses)'!Q$3:Q$322)) / _xlfn.STDEV.S('ALL(responses)'!Q$3:Q$322),3)
</f>
        <v>1.737</v>
      </c>
      <c r="N112" s="6">
        <f>ROUND(('ALL(responses)'!R113 - AVERAGE('ALL(responses)'!R$3:R$322)) / _xlfn.STDEV.S('ALL(responses)'!R$3:R$322),3)
</f>
        <v>-0.136</v>
      </c>
      <c r="O112" s="6">
        <f>ROUND(('ALL(responses)'!S113 - AVERAGE('ALL(responses)'!S$3:S$322)) / _xlfn.STDEV.S('ALL(responses)'!S$3:S$322),3)
</f>
        <v>0.167</v>
      </c>
      <c r="P112" s="6">
        <f>ROUND(('ALL(responses)'!T113 - AVERAGE('ALL(responses)'!T$3:T$322)) / _xlfn.STDEV.S('ALL(responses)'!T$3:T$322),3)
</f>
        <v>-0.623</v>
      </c>
      <c r="Q112" s="40">
        <f t="shared" si="3"/>
        <v>0.659</v>
      </c>
    </row>
    <row r="113">
      <c r="A113" s="5" t="s">
        <v>84</v>
      </c>
      <c r="B113" s="6" t="s">
        <v>186</v>
      </c>
      <c r="C113" s="12" t="s">
        <v>87</v>
      </c>
      <c r="D113" s="8" t="s">
        <v>218</v>
      </c>
      <c r="E113" s="20">
        <v>45236.0</v>
      </c>
      <c r="F113" s="6">
        <f>ROUND(('ALL(responses)'!F114 - AVERAGE('ALL(responses)'!F$3:F$322)) / _xlfn.STDEV.S('ALL(responses)'!F$3:F$322),3)
</f>
        <v>2.55</v>
      </c>
      <c r="G113" s="6">
        <f>ROUND(('ALL(responses)'!G114 - AVERAGE('ALL(responses)'!G$3:G$322)) / _xlfn.STDEV.S('ALL(responses)'!G$3:G$322),3)
</f>
        <v>2.294</v>
      </c>
      <c r="H113" s="6">
        <f>ROUND(('ALL(responses)'!H114 - AVERAGE('ALL(responses)'!H$3:H$322)) / _xlfn.STDEV.S('ALL(responses)'!H$3:H$322),3)
</f>
        <v>1.155</v>
      </c>
      <c r="I113" s="6">
        <f>ROUND(('ALL(responses)'!I114 - AVERAGE('ALL(responses)'!I$3:I$322)) / _xlfn.STDEV.S('ALL(responses)'!I$3:I$322),3)
</f>
        <v>2.194</v>
      </c>
      <c r="J113" s="6">
        <f>ROUND(('ALL(responses)'!J114 - AVERAGE('ALL(responses)'!J$3:J$322)) / _xlfn.STDEV.S('ALL(responses)'!J$3:J$322),3)
</f>
        <v>2.151</v>
      </c>
      <c r="K113" s="6">
        <f>ROUND(('ALL(responses)'!M114 - AVERAGE('ALL(responses)'!M$3:M$322)) / _xlfn.STDEV.S('ALL(responses)'!M$3:M$322),3)
</f>
        <v>-1.147</v>
      </c>
      <c r="L113" s="6">
        <f>ROUND(('ALL(responses)'!P114 - AVERAGE('ALL(responses)'!P$3:P$322)) / _xlfn.STDEV.S('ALL(responses)'!P$3:P$322),3)
</f>
        <v>-1.457</v>
      </c>
      <c r="M113" s="6">
        <f>ROUND(('ALL(responses)'!Q114 - AVERAGE('ALL(responses)'!Q$3:Q$322)) / _xlfn.STDEV.S('ALL(responses)'!Q$3:Q$322),3)
</f>
        <v>0.538</v>
      </c>
      <c r="N113" s="6">
        <f>ROUND(('ALL(responses)'!R114 - AVERAGE('ALL(responses)'!R$3:R$322)) / _xlfn.STDEV.S('ALL(responses)'!R$3:R$322),3)
</f>
        <v>-1.203</v>
      </c>
      <c r="O113" s="6">
        <f>ROUND(('ALL(responses)'!S114 - AVERAGE('ALL(responses)'!S$3:S$322)) / _xlfn.STDEV.S('ALL(responses)'!S$3:S$322),3)
</f>
        <v>-0.306</v>
      </c>
      <c r="P113" s="6">
        <f>ROUND(('ALL(responses)'!T114 - AVERAGE('ALL(responses)'!T$3:T$322)) / _xlfn.STDEV.S('ALL(responses)'!T$3:T$322),3)
</f>
        <v>1.515</v>
      </c>
      <c r="Q113" s="40">
        <f t="shared" si="3"/>
        <v>0.659</v>
      </c>
    </row>
    <row r="114">
      <c r="A114" s="5" t="s">
        <v>84</v>
      </c>
      <c r="B114" s="6" t="s">
        <v>186</v>
      </c>
      <c r="C114" s="12" t="s">
        <v>89</v>
      </c>
      <c r="D114" s="8" t="s">
        <v>219</v>
      </c>
      <c r="E114" s="20">
        <v>45236.0</v>
      </c>
      <c r="F114" s="6">
        <f>ROUND(('ALL(responses)'!F115 - AVERAGE('ALL(responses)'!F$3:F$322)) / _xlfn.STDEV.S('ALL(responses)'!F$3:F$322),3)
</f>
        <v>2.55</v>
      </c>
      <c r="G114" s="6">
        <f>ROUND(('ALL(responses)'!G115 - AVERAGE('ALL(responses)'!G$3:G$322)) / _xlfn.STDEV.S('ALL(responses)'!G$3:G$322),3)
</f>
        <v>-0.627</v>
      </c>
      <c r="H114" s="6">
        <f>ROUND(('ALL(responses)'!H115 - AVERAGE('ALL(responses)'!H$3:H$322)) / _xlfn.STDEV.S('ALL(responses)'!H$3:H$322),3)
</f>
        <v>1.155</v>
      </c>
      <c r="I114" s="6">
        <f>ROUND(('ALL(responses)'!I115 - AVERAGE('ALL(responses)'!I$3:I$322)) / _xlfn.STDEV.S('ALL(responses)'!I$3:I$322),3)
</f>
        <v>2.194</v>
      </c>
      <c r="J114" s="6">
        <f>ROUND(('ALL(responses)'!J115 - AVERAGE('ALL(responses)'!J$3:J$322)) / _xlfn.STDEV.S('ALL(responses)'!J$3:J$322),3)
</f>
        <v>2.151</v>
      </c>
      <c r="K114" s="6">
        <f>ROUND(('ALL(responses)'!M115 - AVERAGE('ALL(responses)'!M$3:M$322)) / _xlfn.STDEV.S('ALL(responses)'!M$3:M$322),3)
</f>
        <v>1.197</v>
      </c>
      <c r="L114" s="6">
        <f>ROUND(('ALL(responses)'!P115 - AVERAGE('ALL(responses)'!P$3:P$322)) / _xlfn.STDEV.S('ALL(responses)'!P$3:P$322),3)
</f>
        <v>-1.457</v>
      </c>
      <c r="M114" s="6">
        <f>ROUND(('ALL(responses)'!Q115 - AVERAGE('ALL(responses)'!Q$3:Q$322)) / _xlfn.STDEV.S('ALL(responses)'!Q$3:Q$322),3)
</f>
        <v>0.176</v>
      </c>
      <c r="N114" s="6">
        <f>ROUND(('ALL(responses)'!R115 - AVERAGE('ALL(responses)'!R$3:R$322)) / _xlfn.STDEV.S('ALL(responses)'!R$3:R$322),3)
</f>
        <v>-1.801</v>
      </c>
      <c r="O114" s="6">
        <f>ROUND(('ALL(responses)'!S115 - AVERAGE('ALL(responses)'!S$3:S$322)) / _xlfn.STDEV.S('ALL(responses)'!S$3:S$322),3)
</f>
        <v>-0.571</v>
      </c>
      <c r="P114" s="6">
        <f>ROUND(('ALL(responses)'!T115 - AVERAGE('ALL(responses)'!T$3:T$322)) / _xlfn.STDEV.S('ALL(responses)'!T$3:T$322),3)
</f>
        <v>-0.182</v>
      </c>
      <c r="Q114" s="40">
        <f t="shared" si="3"/>
        <v>0.659</v>
      </c>
    </row>
    <row r="115">
      <c r="A115" s="5" t="s">
        <v>84</v>
      </c>
      <c r="B115" s="6" t="s">
        <v>186</v>
      </c>
      <c r="C115" s="12" t="s">
        <v>91</v>
      </c>
      <c r="D115" s="8" t="s">
        <v>220</v>
      </c>
      <c r="E115" s="20">
        <v>45236.0</v>
      </c>
      <c r="F115" s="6">
        <f>ROUND(('ALL(responses)'!F116 - AVERAGE('ALL(responses)'!F$3:F$322)) / _xlfn.STDEV.S('ALL(responses)'!F$3:F$322),3)
</f>
        <v>2.55</v>
      </c>
      <c r="G115" s="6">
        <f>ROUND(('ALL(responses)'!G116 - AVERAGE('ALL(responses)'!G$3:G$322)) / _xlfn.STDEV.S('ALL(responses)'!G$3:G$322),3)
</f>
        <v>-0.627</v>
      </c>
      <c r="H115" s="6">
        <f>ROUND(('ALL(responses)'!H116 - AVERAGE('ALL(responses)'!H$3:H$322)) / _xlfn.STDEV.S('ALL(responses)'!H$3:H$322),3)
</f>
        <v>1.155</v>
      </c>
      <c r="I115" s="6">
        <f>ROUND(('ALL(responses)'!I116 - AVERAGE('ALL(responses)'!I$3:I$322)) / _xlfn.STDEV.S('ALL(responses)'!I$3:I$322),3)
</f>
        <v>2.194</v>
      </c>
      <c r="J115" s="6">
        <f>ROUND(('ALL(responses)'!J116 - AVERAGE('ALL(responses)'!J$3:J$322)) / _xlfn.STDEV.S('ALL(responses)'!J$3:J$322),3)
</f>
        <v>2.151</v>
      </c>
      <c r="K115" s="6">
        <f>ROUND(('ALL(responses)'!M116 - AVERAGE('ALL(responses)'!M$3:M$322)) / _xlfn.STDEV.S('ALL(responses)'!M$3:M$322),3)
</f>
        <v>-0.432</v>
      </c>
      <c r="L115" s="6">
        <f>ROUND(('ALL(responses)'!P116 - AVERAGE('ALL(responses)'!P$3:P$322)) / _xlfn.STDEV.S('ALL(responses)'!P$3:P$322),3)
</f>
        <v>-1.457</v>
      </c>
      <c r="M115" s="6">
        <f>ROUND(('ALL(responses)'!Q116 - AVERAGE('ALL(responses)'!Q$3:Q$322)) / _xlfn.STDEV.S('ALL(responses)'!Q$3:Q$322),3)
</f>
        <v>-0.28</v>
      </c>
      <c r="N115" s="6">
        <f>ROUND(('ALL(responses)'!R116 - AVERAGE('ALL(responses)'!R$3:R$322)) / _xlfn.STDEV.S('ALL(responses)'!R$3:R$322),3)
</f>
        <v>-2.114</v>
      </c>
      <c r="O115" s="6">
        <f>ROUND(('ALL(responses)'!S116 - AVERAGE('ALL(responses)'!S$3:S$322)) / _xlfn.STDEV.S('ALL(responses)'!S$3:S$322),3)
</f>
        <v>-0.709</v>
      </c>
      <c r="P115" s="6">
        <f>ROUND(('ALL(responses)'!T116 - AVERAGE('ALL(responses)'!T$3:T$322)) / _xlfn.STDEV.S('ALL(responses)'!T$3:T$322),3)
</f>
        <v>-0.549</v>
      </c>
      <c r="Q115" s="40">
        <f t="shared" si="3"/>
        <v>0.659</v>
      </c>
    </row>
    <row r="116">
      <c r="A116" s="5" t="s">
        <v>84</v>
      </c>
      <c r="B116" s="6" t="s">
        <v>186</v>
      </c>
      <c r="C116" s="12" t="s">
        <v>93</v>
      </c>
      <c r="D116" s="8" t="s">
        <v>221</v>
      </c>
      <c r="E116" s="20">
        <v>45236.0</v>
      </c>
      <c r="F116" s="6">
        <f>ROUND(('ALL(responses)'!F117 - AVERAGE('ALL(responses)'!F$3:F$322)) / _xlfn.STDEV.S('ALL(responses)'!F$3:F$322),3)
</f>
        <v>2.55</v>
      </c>
      <c r="G116" s="6">
        <f>ROUND(('ALL(responses)'!G117 - AVERAGE('ALL(responses)'!G$3:G$322)) / _xlfn.STDEV.S('ALL(responses)'!G$3:G$322),3)
</f>
        <v>2.294</v>
      </c>
      <c r="H116" s="6">
        <f>ROUND(('ALL(responses)'!H117 - AVERAGE('ALL(responses)'!H$3:H$322)) / _xlfn.STDEV.S('ALL(responses)'!H$3:H$322),3)
</f>
        <v>1.155</v>
      </c>
      <c r="I116" s="6">
        <f>ROUND(('ALL(responses)'!I117 - AVERAGE('ALL(responses)'!I$3:I$322)) / _xlfn.STDEV.S('ALL(responses)'!I$3:I$322),3)
</f>
        <v>2.194</v>
      </c>
      <c r="J116" s="6">
        <f>ROUND(('ALL(responses)'!J117 - AVERAGE('ALL(responses)'!J$3:J$322)) / _xlfn.STDEV.S('ALL(responses)'!J$3:J$322),3)
</f>
        <v>-0.562</v>
      </c>
      <c r="K116" s="6">
        <f>ROUND(('ALL(responses)'!M117 - AVERAGE('ALL(responses)'!M$3:M$322)) / _xlfn.STDEV.S('ALL(responses)'!M$3:M$322),3)
</f>
        <v>-1.261</v>
      </c>
      <c r="L116" s="6">
        <f>ROUND(('ALL(responses)'!P117 - AVERAGE('ALL(responses)'!P$3:P$322)) / _xlfn.STDEV.S('ALL(responses)'!P$3:P$322),3)
</f>
        <v>0.211</v>
      </c>
      <c r="M116" s="6">
        <f>ROUND(('ALL(responses)'!Q117 - AVERAGE('ALL(responses)'!Q$3:Q$322)) / _xlfn.STDEV.S('ALL(responses)'!Q$3:Q$322),3)
</f>
        <v>-0.369</v>
      </c>
      <c r="N116" s="6">
        <f>ROUND(('ALL(responses)'!R117 - AVERAGE('ALL(responses)'!R$3:R$322)) / _xlfn.STDEV.S('ALL(responses)'!R$3:R$322),3)
</f>
        <v>-1.836</v>
      </c>
      <c r="O116" s="6">
        <f>ROUND(('ALL(responses)'!S117 - AVERAGE('ALL(responses)'!S$3:S$322)) / _xlfn.STDEV.S('ALL(responses)'!S$3:S$322),3)
</f>
        <v>-0.586</v>
      </c>
      <c r="P116" s="6">
        <f>ROUND(('ALL(responses)'!T117 - AVERAGE('ALL(responses)'!T$3:T$322)) / _xlfn.STDEV.S('ALL(responses)'!T$3:T$322),3)
</f>
        <v>-0.305</v>
      </c>
      <c r="Q116" s="40">
        <f t="shared" si="3"/>
        <v>0.659</v>
      </c>
    </row>
    <row r="117">
      <c r="A117" s="5" t="s">
        <v>84</v>
      </c>
      <c r="B117" s="6" t="s">
        <v>186</v>
      </c>
      <c r="C117" s="12" t="s">
        <v>95</v>
      </c>
      <c r="D117" s="8" t="s">
        <v>222</v>
      </c>
      <c r="E117" s="20">
        <v>45236.0</v>
      </c>
      <c r="F117" s="6">
        <f>ROUND(('ALL(responses)'!F118 - AVERAGE('ALL(responses)'!F$3:F$322)) / _xlfn.STDEV.S('ALL(responses)'!F$3:F$322),3)
</f>
        <v>2.55</v>
      </c>
      <c r="G117" s="6">
        <f>ROUND(('ALL(responses)'!G118 - AVERAGE('ALL(responses)'!G$3:G$322)) / _xlfn.STDEV.S('ALL(responses)'!G$3:G$322),3)
</f>
        <v>-0.627</v>
      </c>
      <c r="H117" s="6">
        <f>ROUND(('ALL(responses)'!H118 - AVERAGE('ALL(responses)'!H$3:H$322)) / _xlfn.STDEV.S('ALL(responses)'!H$3:H$322),3)
</f>
        <v>1.155</v>
      </c>
      <c r="I117" s="6">
        <f>ROUND(('ALL(responses)'!I118 - AVERAGE('ALL(responses)'!I$3:I$322)) / _xlfn.STDEV.S('ALL(responses)'!I$3:I$322),3)
</f>
        <v>2.194</v>
      </c>
      <c r="J117" s="6">
        <f>ROUND(('ALL(responses)'!J118 - AVERAGE('ALL(responses)'!J$3:J$322)) / _xlfn.STDEV.S('ALL(responses)'!J$3:J$322),3)
</f>
        <v>2.151</v>
      </c>
      <c r="K117" s="6">
        <f>ROUND(('ALL(responses)'!M118 - AVERAGE('ALL(responses)'!M$3:M$322)) / _xlfn.STDEV.S('ALL(responses)'!M$3:M$322),3)
</f>
        <v>0.23</v>
      </c>
      <c r="L117" s="6">
        <f>ROUND(('ALL(responses)'!P118 - AVERAGE('ALL(responses)'!P$3:P$322)) / _xlfn.STDEV.S('ALL(responses)'!P$3:P$322),3)
</f>
        <v>2.076</v>
      </c>
      <c r="M117" s="6">
        <f>ROUND(('ALL(responses)'!Q118 - AVERAGE('ALL(responses)'!Q$3:Q$322)) / _xlfn.STDEV.S('ALL(responses)'!Q$3:Q$322),3)
</f>
        <v>0.176</v>
      </c>
      <c r="N117" s="6">
        <f>ROUND(('ALL(responses)'!R118 - AVERAGE('ALL(responses)'!R$3:R$322)) / _xlfn.STDEV.S('ALL(responses)'!R$3:R$322),3)
</f>
        <v>0.594</v>
      </c>
      <c r="O117" s="6">
        <f>ROUND(('ALL(responses)'!S118 - AVERAGE('ALL(responses)'!S$3:S$322)) / _xlfn.STDEV.S('ALL(responses)'!S$3:S$322),3)
</f>
        <v>0.49</v>
      </c>
      <c r="P117" s="6">
        <f>ROUND(('ALL(responses)'!T118 - AVERAGE('ALL(responses)'!T$3:T$322)) / _xlfn.STDEV.S('ALL(responses)'!T$3:T$322),3)
</f>
        <v>0.153</v>
      </c>
      <c r="Q117" s="40">
        <f t="shared" si="3"/>
        <v>0.659</v>
      </c>
    </row>
    <row r="118">
      <c r="A118" s="5" t="s">
        <v>84</v>
      </c>
      <c r="B118" s="6" t="s">
        <v>186</v>
      </c>
      <c r="C118" s="12" t="s">
        <v>97</v>
      </c>
      <c r="D118" s="8" t="s">
        <v>223</v>
      </c>
      <c r="E118" s="20">
        <v>45236.0</v>
      </c>
      <c r="F118" s="6">
        <f>ROUND(('ALL(responses)'!F119 - AVERAGE('ALL(responses)'!F$3:F$322)) / _xlfn.STDEV.S('ALL(responses)'!F$3:F$322),3)
</f>
        <v>2.55</v>
      </c>
      <c r="G118" s="6">
        <f>ROUND(('ALL(responses)'!G119 - AVERAGE('ALL(responses)'!G$3:G$322)) / _xlfn.STDEV.S('ALL(responses)'!G$3:G$322),3)
</f>
        <v>2.294</v>
      </c>
      <c r="H118" s="6">
        <f>ROUND(('ALL(responses)'!H119 - AVERAGE('ALL(responses)'!H$3:H$322)) / _xlfn.STDEV.S('ALL(responses)'!H$3:H$322),3)
</f>
        <v>1.155</v>
      </c>
      <c r="I118" s="6">
        <f>ROUND(('ALL(responses)'!I119 - AVERAGE('ALL(responses)'!I$3:I$322)) / _xlfn.STDEV.S('ALL(responses)'!I$3:I$322),3)
</f>
        <v>2.194</v>
      </c>
      <c r="J118" s="6">
        <f>ROUND(('ALL(responses)'!J119 - AVERAGE('ALL(responses)'!J$3:J$322)) / _xlfn.STDEV.S('ALL(responses)'!J$3:J$322),3)
</f>
        <v>2.151</v>
      </c>
      <c r="K118" s="6">
        <f>ROUND(('ALL(responses)'!M119 - AVERAGE('ALL(responses)'!M$3:M$322)) / _xlfn.STDEV.S('ALL(responses)'!M$3:M$322),3)
</f>
        <v>-1.225</v>
      </c>
      <c r="L118" s="6">
        <f>ROUND(('ALL(responses)'!P119 - AVERAGE('ALL(responses)'!P$3:P$322)) / _xlfn.STDEV.S('ALL(responses)'!P$3:P$322),3)
</f>
        <v>-0.636</v>
      </c>
      <c r="M118" s="6">
        <f>ROUND(('ALL(responses)'!Q119 - AVERAGE('ALL(responses)'!Q$3:Q$322)) / _xlfn.STDEV.S('ALL(responses)'!Q$3:Q$322),3)
</f>
        <v>0.052</v>
      </c>
      <c r="N118" s="6">
        <f>ROUND(('ALL(responses)'!R119 - AVERAGE('ALL(responses)'!R$3:R$322)) / _xlfn.STDEV.S('ALL(responses)'!R$3:R$322),3)
</f>
        <v>0.195</v>
      </c>
      <c r="O118" s="6">
        <f>ROUND(('ALL(responses)'!S119 - AVERAGE('ALL(responses)'!S$3:S$322)) / _xlfn.STDEV.S('ALL(responses)'!S$3:S$322),3)
</f>
        <v>0.313</v>
      </c>
      <c r="P118" s="6">
        <f>ROUND(('ALL(responses)'!T119 - AVERAGE('ALL(responses)'!T$3:T$322)) / _xlfn.STDEV.S('ALL(responses)'!T$3:T$322),3)
</f>
        <v>1.866</v>
      </c>
      <c r="Q118" s="40">
        <f t="shared" si="3"/>
        <v>0.659</v>
      </c>
    </row>
    <row r="119">
      <c r="A119" s="5" t="s">
        <v>84</v>
      </c>
      <c r="B119" s="6" t="s">
        <v>186</v>
      </c>
      <c r="C119" s="12" t="s">
        <v>99</v>
      </c>
      <c r="D119" s="8" t="s">
        <v>224</v>
      </c>
      <c r="E119" s="20">
        <v>45236.0</v>
      </c>
      <c r="F119" s="6">
        <f>ROUND(('ALL(responses)'!F120 - AVERAGE('ALL(responses)'!F$3:F$322)) / _xlfn.STDEV.S('ALL(responses)'!F$3:F$322),3)
</f>
        <v>-0.571</v>
      </c>
      <c r="G119" s="6">
        <f>ROUND(('ALL(responses)'!G120 - AVERAGE('ALL(responses)'!G$3:G$322)) / _xlfn.STDEV.S('ALL(responses)'!G$3:G$322),3)
</f>
        <v>-0.627</v>
      </c>
      <c r="H119" s="6">
        <f>ROUND(('ALL(responses)'!H120 - AVERAGE('ALL(responses)'!H$3:H$322)) / _xlfn.STDEV.S('ALL(responses)'!H$3:H$322),3)
</f>
        <v>1.155</v>
      </c>
      <c r="I119" s="6">
        <f>ROUND(('ALL(responses)'!I120 - AVERAGE('ALL(responses)'!I$3:I$322)) / _xlfn.STDEV.S('ALL(responses)'!I$3:I$322),3)
</f>
        <v>2.194</v>
      </c>
      <c r="J119" s="6">
        <f>ROUND(('ALL(responses)'!J120 - AVERAGE('ALL(responses)'!J$3:J$322)) / _xlfn.STDEV.S('ALL(responses)'!J$3:J$322),3)
</f>
        <v>2.151</v>
      </c>
      <c r="K119" s="6">
        <f>ROUND(('ALL(responses)'!M120 - AVERAGE('ALL(responses)'!M$3:M$322)) / _xlfn.STDEV.S('ALL(responses)'!M$3:M$322),3)
</f>
        <v>0.394</v>
      </c>
      <c r="L119" s="6">
        <f>ROUND(('ALL(responses)'!P120 - AVERAGE('ALL(responses)'!P$3:P$322)) / _xlfn.STDEV.S('ALL(responses)'!P$3:P$322),3)
</f>
        <v>-1.457</v>
      </c>
      <c r="M119" s="6">
        <f>ROUND(('ALL(responses)'!Q120 - AVERAGE('ALL(responses)'!Q$3:Q$322)) / _xlfn.STDEV.S('ALL(responses)'!Q$3:Q$322),3)
</f>
        <v>1.105</v>
      </c>
      <c r="N119" s="6">
        <f>ROUND(('ALL(responses)'!R120 - AVERAGE('ALL(responses)'!R$3:R$322)) / _xlfn.STDEV.S('ALL(responses)'!R$3:R$322),3)
</f>
        <v>-3.594</v>
      </c>
      <c r="O119" s="6">
        <f>ROUND(('ALL(responses)'!S120 - AVERAGE('ALL(responses)'!S$3:S$322)) / _xlfn.STDEV.S('ALL(responses)'!S$3:S$322),3)
</f>
        <v>-1.365</v>
      </c>
      <c r="P119" s="6">
        <f>ROUND(('ALL(responses)'!T120 - AVERAGE('ALL(responses)'!T$3:T$322)) / _xlfn.STDEV.S('ALL(responses)'!T$3:T$322),3)
</f>
        <v>0.684</v>
      </c>
      <c r="Q119" s="40">
        <f t="shared" si="3"/>
        <v>0.659</v>
      </c>
    </row>
    <row r="120">
      <c r="A120" s="5" t="s">
        <v>84</v>
      </c>
      <c r="B120" s="6" t="s">
        <v>186</v>
      </c>
      <c r="C120" s="12" t="s">
        <v>101</v>
      </c>
      <c r="D120" s="8" t="s">
        <v>225</v>
      </c>
      <c r="E120" s="20">
        <v>45236.0</v>
      </c>
      <c r="F120" s="6">
        <f>ROUND(('ALL(responses)'!F121 - AVERAGE('ALL(responses)'!F$3:F$322)) / _xlfn.STDEV.S('ALL(responses)'!F$3:F$322),3)
</f>
        <v>2.55</v>
      </c>
      <c r="G120" s="6">
        <f>ROUND(('ALL(responses)'!G121 - AVERAGE('ALL(responses)'!G$3:G$322)) / _xlfn.STDEV.S('ALL(responses)'!G$3:G$322),3)
</f>
        <v>2.294</v>
      </c>
      <c r="H120" s="6">
        <f>ROUND(('ALL(responses)'!H121 - AVERAGE('ALL(responses)'!H$3:H$322)) / _xlfn.STDEV.S('ALL(responses)'!H$3:H$322),3)
</f>
        <v>1.155</v>
      </c>
      <c r="I120" s="6">
        <f>ROUND(('ALL(responses)'!I121 - AVERAGE('ALL(responses)'!I$3:I$322)) / _xlfn.STDEV.S('ALL(responses)'!I$3:I$322),3)
</f>
        <v>2.194</v>
      </c>
      <c r="J120" s="6">
        <f>ROUND(('ALL(responses)'!J121 - AVERAGE('ALL(responses)'!J$3:J$322)) / _xlfn.STDEV.S('ALL(responses)'!J$3:J$322),3)
</f>
        <v>2.151</v>
      </c>
      <c r="K120" s="6">
        <f>ROUND(('ALL(responses)'!M121 - AVERAGE('ALL(responses)'!M$3:M$322)) / _xlfn.STDEV.S('ALL(responses)'!M$3:M$322),3)
</f>
        <v>-0.256</v>
      </c>
      <c r="L120" s="6">
        <f>ROUND(('ALL(responses)'!P121 - AVERAGE('ALL(responses)'!P$3:P$322)) / _xlfn.STDEV.S('ALL(responses)'!P$3:P$322),3)
</f>
        <v>-0.76</v>
      </c>
      <c r="M120" s="6">
        <f>ROUND(('ALL(responses)'!Q121 - AVERAGE('ALL(responses)'!Q$3:Q$322)) / _xlfn.STDEV.S('ALL(responses)'!Q$3:Q$322),3)
</f>
        <v>0.144</v>
      </c>
      <c r="N120" s="6">
        <f>ROUND(('ALL(responses)'!R121 - AVERAGE('ALL(responses)'!R$3:R$322)) / _xlfn.STDEV.S('ALL(responses)'!R$3:R$322),3)
</f>
        <v>-0.034</v>
      </c>
      <c r="O120" s="6">
        <f>ROUND(('ALL(responses)'!S121 - AVERAGE('ALL(responses)'!S$3:S$322)) / _xlfn.STDEV.S('ALL(responses)'!S$3:S$322),3)
</f>
        <v>0.212</v>
      </c>
      <c r="P120" s="6">
        <f>ROUND(('ALL(responses)'!T121 - AVERAGE('ALL(responses)'!T$3:T$322)) / _xlfn.STDEV.S('ALL(responses)'!T$3:T$322),3)
</f>
        <v>0.951</v>
      </c>
      <c r="Q120" s="40">
        <f t="shared" si="3"/>
        <v>0.659</v>
      </c>
    </row>
    <row r="121">
      <c r="A121" s="5" t="s">
        <v>84</v>
      </c>
      <c r="B121" s="6" t="s">
        <v>186</v>
      </c>
      <c r="C121" s="12" t="s">
        <v>103</v>
      </c>
      <c r="D121" s="8" t="s">
        <v>226</v>
      </c>
      <c r="E121" s="20">
        <v>45236.0</v>
      </c>
      <c r="F121" s="6">
        <f>ROUND(('ALL(responses)'!F122 - AVERAGE('ALL(responses)'!F$3:F$322)) / _xlfn.STDEV.S('ALL(responses)'!F$3:F$322),3)
</f>
        <v>1.658</v>
      </c>
      <c r="G121" s="6">
        <f>ROUND(('ALL(responses)'!G122 - AVERAGE('ALL(responses)'!G$3:G$322)) / _xlfn.STDEV.S('ALL(responses)'!G$3:G$322),3)
</f>
        <v>-0.21</v>
      </c>
      <c r="H121" s="6">
        <f>ROUND(('ALL(responses)'!H122 - AVERAGE('ALL(responses)'!H$3:H$322)) / _xlfn.STDEV.S('ALL(responses)'!H$3:H$322),3)
</f>
        <v>-0.418</v>
      </c>
      <c r="I121" s="6">
        <f>ROUND(('ALL(responses)'!I122 - AVERAGE('ALL(responses)'!I$3:I$322)) / _xlfn.STDEV.S('ALL(responses)'!I$3:I$322),3)
</f>
        <v>-0.264</v>
      </c>
      <c r="J121" s="6">
        <f>ROUND(('ALL(responses)'!J122 - AVERAGE('ALL(responses)'!J$3:J$322)) / _xlfn.STDEV.S('ALL(responses)'!J$3:J$322),3)
</f>
        <v>-0.562</v>
      </c>
      <c r="K121" s="6">
        <f>ROUND(('ALL(responses)'!M122 - AVERAGE('ALL(responses)'!M$3:M$322)) / _xlfn.STDEV.S('ALL(responses)'!M$3:M$322),3)
</f>
        <v>-0.94</v>
      </c>
      <c r="L121" s="6">
        <f>ROUND(('ALL(responses)'!P122 - AVERAGE('ALL(responses)'!P$3:P$322)) / _xlfn.STDEV.S('ALL(responses)'!P$3:P$322),3)
</f>
        <v>-0.003</v>
      </c>
      <c r="M121" s="6">
        <f>ROUND(('ALL(responses)'!Q122 - AVERAGE('ALL(responses)'!Q$3:Q$322)) / _xlfn.STDEV.S('ALL(responses)'!Q$3:Q$322),3)
</f>
        <v>1.663</v>
      </c>
      <c r="N121" s="6">
        <f>ROUND(('ALL(responses)'!R122 - AVERAGE('ALL(responses)'!R$3:R$322)) / _xlfn.STDEV.S('ALL(responses)'!R$3:R$322),3)
</f>
        <v>-1.028</v>
      </c>
      <c r="O121" s="6">
        <f>ROUND(('ALL(responses)'!S122 - AVERAGE('ALL(responses)'!S$3:S$322)) / _xlfn.STDEV.S('ALL(responses)'!S$3:S$322),3)
</f>
        <v>-0.228</v>
      </c>
      <c r="P121" s="6">
        <f>ROUND(('ALL(responses)'!T122 - AVERAGE('ALL(responses)'!T$3:T$322)) / _xlfn.STDEV.S('ALL(responses)'!T$3:T$322),3)
</f>
        <v>-1.934</v>
      </c>
      <c r="Q121" s="40">
        <f t="shared" si="3"/>
        <v>0.659</v>
      </c>
    </row>
    <row r="122">
      <c r="A122" s="5" t="s">
        <v>20</v>
      </c>
      <c r="B122" s="6" t="s">
        <v>432</v>
      </c>
      <c r="C122" s="7" t="s">
        <v>22</v>
      </c>
      <c r="D122" s="7" t="s">
        <v>106</v>
      </c>
      <c r="E122" s="9">
        <v>45425.0</v>
      </c>
      <c r="F122" s="6">
        <f>ROUND(('ALL(responses)'!F123 - AVERAGE('ALL(responses)'!F$3:F$322)) / _xlfn.STDEV.S('ALL(responses)'!F$3:F$322),3)
</f>
        <v>-0.571</v>
      </c>
      <c r="G122" s="6">
        <f>ROUND(('ALL(responses)'!G123 - AVERAGE('ALL(responses)'!G$3:G$322)) / _xlfn.STDEV.S('ALL(responses)'!G$3:G$322),3)
</f>
        <v>-0.21</v>
      </c>
      <c r="H122" s="6">
        <f>ROUND(('ALL(responses)'!H123 - AVERAGE('ALL(responses)'!H$3:H$322)) / _xlfn.STDEV.S('ALL(responses)'!H$3:H$322),3)
</f>
        <v>2.204</v>
      </c>
      <c r="I122" s="6">
        <f>ROUND(('ALL(responses)'!I123 - AVERAGE('ALL(responses)'!I$3:I$322)) / _xlfn.STDEV.S('ALL(responses)'!I$3:I$322),3)
</f>
        <v>-0.264</v>
      </c>
      <c r="J122" s="6">
        <f>ROUND(('ALL(responses)'!J123 - AVERAGE('ALL(responses)'!J$3:J$322)) / _xlfn.STDEV.S('ALL(responses)'!J$3:J$322),3)
</f>
        <v>-0.562</v>
      </c>
      <c r="K122" s="6">
        <f>ROUND(('ALL(responses)'!M123 - AVERAGE('ALL(responses)'!M$3:M$322)) / _xlfn.STDEV.S('ALL(responses)'!M$3:M$322),3)
</f>
        <v>0.806</v>
      </c>
      <c r="L122" s="6">
        <f>ROUND(('ALL(responses)'!P123 - AVERAGE('ALL(responses)'!P$3:P$322)) / _xlfn.STDEV.S('ALL(responses)'!P$3:P$322),3)
</f>
        <v>-1.457</v>
      </c>
      <c r="M122" s="6">
        <f>ROUND(('ALL(responses)'!Q123 - AVERAGE('ALL(responses)'!Q$3:Q$322)) / _xlfn.STDEV.S('ALL(responses)'!Q$3:Q$322),3)
</f>
        <v>-1.1</v>
      </c>
      <c r="N122" s="6">
        <f>ROUND(('ALL(responses)'!R123 - AVERAGE('ALL(responses)'!R$3:R$322)) / _xlfn.STDEV.S('ALL(responses)'!R$3:R$322),3)
</f>
        <v>0.496</v>
      </c>
      <c r="O122" s="6">
        <f>ROUND(('ALL(responses)'!S123 - AVERAGE('ALL(responses)'!S$3:S$322)) / _xlfn.STDEV.S('ALL(responses)'!S$3:S$322),3)
</f>
        <v>0.447</v>
      </c>
      <c r="P122" s="6">
        <f>ROUND(('ALL(responses)'!T123 - AVERAGE('ALL(responses)'!T$3:T$322)) / _xlfn.STDEV.S('ALL(responses)'!T$3:T$322),3)
</f>
        <v>-0.912</v>
      </c>
      <c r="Q122" s="40">
        <f t="shared" ref="Q122:Q161" si="4">ROUND(AVERAGE(F$122:P$161),3)</f>
        <v>0.278</v>
      </c>
    </row>
    <row r="123">
      <c r="A123" s="5" t="s">
        <v>20</v>
      </c>
      <c r="B123" s="6" t="s">
        <v>432</v>
      </c>
      <c r="C123" s="7" t="s">
        <v>24</v>
      </c>
      <c r="D123" s="7" t="s">
        <v>107</v>
      </c>
      <c r="E123" s="9">
        <v>45425.0</v>
      </c>
      <c r="F123" s="6">
        <f>ROUND(('ALL(responses)'!F124 - AVERAGE('ALL(responses)'!F$3:F$322)) / _xlfn.STDEV.S('ALL(responses)'!F$3:F$322),3)
</f>
        <v>1.658</v>
      </c>
      <c r="G123" s="6">
        <f>ROUND(('ALL(responses)'!G124 - AVERAGE('ALL(responses)'!G$3:G$322)) / _xlfn.STDEV.S('ALL(responses)'!G$3:G$322),3)
</f>
        <v>-0.21</v>
      </c>
      <c r="H123" s="6">
        <f>ROUND(('ALL(responses)'!H124 - AVERAGE('ALL(responses)'!H$3:H$322)) / _xlfn.STDEV.S('ALL(responses)'!H$3:H$322),3)
</f>
        <v>-0.418</v>
      </c>
      <c r="I123" s="6">
        <f>ROUND(('ALL(responses)'!I124 - AVERAGE('ALL(responses)'!I$3:I$322)) / _xlfn.STDEV.S('ALL(responses)'!I$3:I$322),3)
</f>
        <v>-0.264</v>
      </c>
      <c r="J123" s="6">
        <f>ROUND(('ALL(responses)'!J124 - AVERAGE('ALL(responses)'!J$3:J$322)) / _xlfn.STDEV.S('ALL(responses)'!J$3:J$322),3)
</f>
        <v>-0.562</v>
      </c>
      <c r="K123" s="6">
        <f>ROUND(('ALL(responses)'!M124 - AVERAGE('ALL(responses)'!M$3:M$322)) / _xlfn.STDEV.S('ALL(responses)'!M$3:M$322),3)
</f>
        <v>-0.058</v>
      </c>
      <c r="L123" s="6">
        <f>ROUND(('ALL(responses)'!P124 - AVERAGE('ALL(responses)'!P$3:P$322)) / _xlfn.STDEV.S('ALL(responses)'!P$3:P$322),3)
</f>
        <v>-0.301</v>
      </c>
      <c r="M123" s="6">
        <f>ROUND(('ALL(responses)'!Q124 - AVERAGE('ALL(responses)'!Q$3:Q$322)) / _xlfn.STDEV.S('ALL(responses)'!Q$3:Q$322),3)
</f>
        <v>0.818</v>
      </c>
      <c r="N123" s="6">
        <f>ROUND(('ALL(responses)'!R124 - AVERAGE('ALL(responses)'!R$3:R$322)) / _xlfn.STDEV.S('ALL(responses)'!R$3:R$322),3)
</f>
        <v>0.017</v>
      </c>
      <c r="O123" s="6">
        <f>ROUND(('ALL(responses)'!S124 - AVERAGE('ALL(responses)'!S$3:S$322)) / _xlfn.STDEV.S('ALL(responses)'!S$3:S$322),3)
</f>
        <v>0.235</v>
      </c>
      <c r="P123" s="6">
        <f>ROUND(('ALL(responses)'!T124 - AVERAGE('ALL(responses)'!T$3:T$322)) / _xlfn.STDEV.S('ALL(responses)'!T$3:T$322),3)
</f>
        <v>-0.623</v>
      </c>
      <c r="Q123" s="40">
        <f t="shared" si="4"/>
        <v>0.278</v>
      </c>
    </row>
    <row r="124">
      <c r="A124" s="5" t="s">
        <v>20</v>
      </c>
      <c r="B124" s="6" t="s">
        <v>432</v>
      </c>
      <c r="C124" s="7" t="s">
        <v>26</v>
      </c>
      <c r="D124" s="7" t="s">
        <v>108</v>
      </c>
      <c r="E124" s="9">
        <v>45425.0</v>
      </c>
      <c r="F124" s="6">
        <f>ROUND(('ALL(responses)'!F125 - AVERAGE('ALL(responses)'!F$3:F$322)) / _xlfn.STDEV.S('ALL(responses)'!F$3:F$322),3)
</f>
        <v>-0.571</v>
      </c>
      <c r="G124" s="6">
        <f>ROUND(('ALL(responses)'!G125 - AVERAGE('ALL(responses)'!G$3:G$322)) / _xlfn.STDEV.S('ALL(responses)'!G$3:G$322),3)
</f>
        <v>1.459</v>
      </c>
      <c r="H124" s="6">
        <f>ROUND(('ALL(responses)'!H125 - AVERAGE('ALL(responses)'!H$3:H$322)) / _xlfn.STDEV.S('ALL(responses)'!H$3:H$322),3)
</f>
        <v>-0.418</v>
      </c>
      <c r="I124" s="6">
        <f>ROUND(('ALL(responses)'!I125 - AVERAGE('ALL(responses)'!I$3:I$322)) / _xlfn.STDEV.S('ALL(responses)'!I$3:I$322),3)
</f>
        <v>-0.264</v>
      </c>
      <c r="J124" s="6">
        <f>ROUND(('ALL(responses)'!J125 - AVERAGE('ALL(responses)'!J$3:J$322)) / _xlfn.STDEV.S('ALL(responses)'!J$3:J$322),3)
</f>
        <v>-0.562</v>
      </c>
      <c r="K124" s="6">
        <f>ROUND(('ALL(responses)'!M125 - AVERAGE('ALL(responses)'!M$3:M$322)) / _xlfn.STDEV.S('ALL(responses)'!M$3:M$322),3)
</f>
        <v>-0.738</v>
      </c>
      <c r="L124" s="6">
        <f>ROUND(('ALL(responses)'!P125 - AVERAGE('ALL(responses)'!P$3:P$322)) / _xlfn.STDEV.S('ALL(responses)'!P$3:P$322),3)
</f>
        <v>0.966</v>
      </c>
      <c r="M124" s="6">
        <f>ROUND(('ALL(responses)'!Q125 - AVERAGE('ALL(responses)'!Q$3:Q$322)) / _xlfn.STDEV.S('ALL(responses)'!Q$3:Q$322),3)
</f>
        <v>2.261</v>
      </c>
      <c r="N124" s="6">
        <f>ROUND(('ALL(responses)'!R125 - AVERAGE('ALL(responses)'!R$3:R$322)) / _xlfn.STDEV.S('ALL(responses)'!R$3:R$322),3)
</f>
        <v>-0.709</v>
      </c>
      <c r="O124" s="6">
        <f>ROUND(('ALL(responses)'!S125 - AVERAGE('ALL(responses)'!S$3:S$322)) / _xlfn.STDEV.S('ALL(responses)'!S$3:S$322),3)
</f>
        <v>-0.087</v>
      </c>
      <c r="P124" s="6">
        <f>ROUND(('ALL(responses)'!T125 - AVERAGE('ALL(responses)'!T$3:T$322)) / _xlfn.STDEV.S('ALL(responses)'!T$3:T$322),3)
</f>
        <v>-0.845</v>
      </c>
      <c r="Q124" s="40">
        <f t="shared" si="4"/>
        <v>0.278</v>
      </c>
    </row>
    <row r="125">
      <c r="A125" s="5" t="s">
        <v>20</v>
      </c>
      <c r="B125" s="6" t="s">
        <v>432</v>
      </c>
      <c r="C125" s="7" t="s">
        <v>28</v>
      </c>
      <c r="D125" s="7" t="s">
        <v>109</v>
      </c>
      <c r="E125" s="9">
        <v>45425.0</v>
      </c>
      <c r="F125" s="6">
        <f>ROUND(('ALL(responses)'!F126 - AVERAGE('ALL(responses)'!F$3:F$322)) / _xlfn.STDEV.S('ALL(responses)'!F$3:F$322),3)
</f>
        <v>1.658</v>
      </c>
      <c r="G125" s="6">
        <f>ROUND(('ALL(responses)'!G126 - AVERAGE('ALL(responses)'!G$3:G$322)) / _xlfn.STDEV.S('ALL(responses)'!G$3:G$322),3)
</f>
        <v>1.459</v>
      </c>
      <c r="H125" s="6">
        <f>ROUND(('ALL(responses)'!H126 - AVERAGE('ALL(responses)'!H$3:H$322)) / _xlfn.STDEV.S('ALL(responses)'!H$3:H$322),3)
</f>
        <v>-0.418</v>
      </c>
      <c r="I125" s="6">
        <f>ROUND(('ALL(responses)'!I126 - AVERAGE('ALL(responses)'!I$3:I$322)) / _xlfn.STDEV.S('ALL(responses)'!I$3:I$322),3)
</f>
        <v>-0.264</v>
      </c>
      <c r="J125" s="6">
        <f>ROUND(('ALL(responses)'!J126 - AVERAGE('ALL(responses)'!J$3:J$322)) / _xlfn.STDEV.S('ALL(responses)'!J$3:J$322),3)
</f>
        <v>-0.562</v>
      </c>
      <c r="K125" s="6">
        <f>ROUND(('ALL(responses)'!M126 - AVERAGE('ALL(responses)'!M$3:M$322)) / _xlfn.STDEV.S('ALL(responses)'!M$3:M$322),3)
</f>
        <v>-0.053</v>
      </c>
      <c r="L125" s="6">
        <f>ROUND(('ALL(responses)'!P126 - AVERAGE('ALL(responses)'!P$3:P$322)) / _xlfn.STDEV.S('ALL(responses)'!P$3:P$322),3)
</f>
        <v>-0.274</v>
      </c>
      <c r="M125" s="6">
        <f>ROUND(('ALL(responses)'!Q126 - AVERAGE('ALL(responses)'!Q$3:Q$322)) / _xlfn.STDEV.S('ALL(responses)'!Q$3:Q$322),3)
</f>
        <v>0.473</v>
      </c>
      <c r="N125" s="6">
        <f>ROUND(('ALL(responses)'!R126 - AVERAGE('ALL(responses)'!R$3:R$322)) / _xlfn.STDEV.S('ALL(responses)'!R$3:R$322),3)
</f>
        <v>0.555</v>
      </c>
      <c r="O125" s="6">
        <f>ROUND(('ALL(responses)'!S126 - AVERAGE('ALL(responses)'!S$3:S$322)) / _xlfn.STDEV.S('ALL(responses)'!S$3:S$322),3)
</f>
        <v>0.473</v>
      </c>
      <c r="P125" s="6">
        <f>ROUND(('ALL(responses)'!T126 - AVERAGE('ALL(responses)'!T$3:T$322)) / _xlfn.STDEV.S('ALL(responses)'!T$3:T$322),3)
</f>
        <v>-0.549</v>
      </c>
      <c r="Q125" s="40">
        <f t="shared" si="4"/>
        <v>0.278</v>
      </c>
    </row>
    <row r="126">
      <c r="A126" s="5" t="s">
        <v>20</v>
      </c>
      <c r="B126" s="6" t="s">
        <v>432</v>
      </c>
      <c r="C126" s="7" t="s">
        <v>30</v>
      </c>
      <c r="D126" s="7" t="s">
        <v>110</v>
      </c>
      <c r="E126" s="9">
        <v>45425.0</v>
      </c>
      <c r="F126" s="6">
        <f>ROUND(('ALL(responses)'!F127 - AVERAGE('ALL(responses)'!F$3:F$322)) / _xlfn.STDEV.S('ALL(responses)'!F$3:F$322),3)
</f>
        <v>-0.571</v>
      </c>
      <c r="G126" s="6">
        <f>ROUND(('ALL(responses)'!G127 - AVERAGE('ALL(responses)'!G$3:G$322)) / _xlfn.STDEV.S('ALL(responses)'!G$3:G$322),3)
</f>
        <v>-0.21</v>
      </c>
      <c r="H126" s="6">
        <f>ROUND(('ALL(responses)'!H127 - AVERAGE('ALL(responses)'!H$3:H$322)) / _xlfn.STDEV.S('ALL(responses)'!H$3:H$322),3)
</f>
        <v>-0.418</v>
      </c>
      <c r="I126" s="6">
        <f>ROUND(('ALL(responses)'!I127 - AVERAGE('ALL(responses)'!I$3:I$322)) / _xlfn.STDEV.S('ALL(responses)'!I$3:I$322),3)
</f>
        <v>-0.264</v>
      </c>
      <c r="J126" s="6">
        <f>ROUND(('ALL(responses)'!J127 - AVERAGE('ALL(responses)'!J$3:J$322)) / _xlfn.STDEV.S('ALL(responses)'!J$3:J$322),3)
</f>
        <v>-0.562</v>
      </c>
      <c r="K126" s="6">
        <f>ROUND(('ALL(responses)'!M127 - AVERAGE('ALL(responses)'!M$3:M$322)) / _xlfn.STDEV.S('ALL(responses)'!M$3:M$322),3)
</f>
        <v>-0.694</v>
      </c>
      <c r="L126" s="6">
        <f>ROUND(('ALL(responses)'!P127 - AVERAGE('ALL(responses)'!P$3:P$322)) / _xlfn.STDEV.S('ALL(responses)'!P$3:P$322),3)
</f>
        <v>-0.397</v>
      </c>
      <c r="M126" s="6">
        <f>ROUND(('ALL(responses)'!Q127 - AVERAGE('ALL(responses)'!Q$3:Q$322)) / _xlfn.STDEV.S('ALL(responses)'!Q$3:Q$322),3)
</f>
        <v>0.693</v>
      </c>
      <c r="N126" s="6">
        <f>ROUND(('ALL(responses)'!R127 - AVERAGE('ALL(responses)'!R$3:R$322)) / _xlfn.STDEV.S('ALL(responses)'!R$3:R$322),3)
</f>
        <v>-1.028</v>
      </c>
      <c r="O126" s="6">
        <f>ROUND(('ALL(responses)'!S127 - AVERAGE('ALL(responses)'!S$3:S$322)) / _xlfn.STDEV.S('ALL(responses)'!S$3:S$322),3)
</f>
        <v>-0.228</v>
      </c>
      <c r="P126" s="6">
        <f>ROUND(('ALL(responses)'!T127 - AVERAGE('ALL(responses)'!T$3:T$322)) / _xlfn.STDEV.S('ALL(responses)'!T$3:T$322),3)
</f>
        <v>-0.212</v>
      </c>
      <c r="Q126" s="40">
        <f t="shared" si="4"/>
        <v>0.278</v>
      </c>
    </row>
    <row r="127">
      <c r="A127" s="5" t="s">
        <v>20</v>
      </c>
      <c r="B127" s="6" t="s">
        <v>432</v>
      </c>
      <c r="C127" s="7" t="s">
        <v>32</v>
      </c>
      <c r="D127" s="7" t="s">
        <v>111</v>
      </c>
      <c r="E127" s="9">
        <v>45425.0</v>
      </c>
      <c r="F127" s="6">
        <f>ROUND(('ALL(responses)'!F128 - AVERAGE('ALL(responses)'!F$3:F$322)) / _xlfn.STDEV.S('ALL(responses)'!F$3:F$322),3)
</f>
        <v>-0.571</v>
      </c>
      <c r="G127" s="6">
        <f>ROUND(('ALL(responses)'!G128 - AVERAGE('ALL(responses)'!G$3:G$322)) / _xlfn.STDEV.S('ALL(responses)'!G$3:G$322),3)
</f>
        <v>1.459</v>
      </c>
      <c r="H127" s="6">
        <f>ROUND(('ALL(responses)'!H128 - AVERAGE('ALL(responses)'!H$3:H$322)) / _xlfn.STDEV.S('ALL(responses)'!H$3:H$322),3)
</f>
        <v>-0.418</v>
      </c>
      <c r="I127" s="6">
        <f>ROUND(('ALL(responses)'!I128 - AVERAGE('ALL(responses)'!I$3:I$322)) / _xlfn.STDEV.S('ALL(responses)'!I$3:I$322),3)
</f>
        <v>-0.264</v>
      </c>
      <c r="J127" s="6">
        <f>ROUND(('ALL(responses)'!J128 - AVERAGE('ALL(responses)'!J$3:J$322)) / _xlfn.STDEV.S('ALL(responses)'!J$3:J$322),3)
</f>
        <v>-0.562</v>
      </c>
      <c r="K127" s="6">
        <f>ROUND(('ALL(responses)'!M128 - AVERAGE('ALL(responses)'!M$3:M$322)) / _xlfn.STDEV.S('ALL(responses)'!M$3:M$322),3)
</f>
        <v>0.36</v>
      </c>
      <c r="L127" s="6">
        <f>ROUND(('ALL(responses)'!P128 - AVERAGE('ALL(responses)'!P$3:P$322)) / _xlfn.STDEV.S('ALL(responses)'!P$3:P$322),3)
</f>
        <v>0.298</v>
      </c>
      <c r="M127" s="6">
        <f>ROUND(('ALL(responses)'!Q128 - AVERAGE('ALL(responses)'!Q$3:Q$322)) / _xlfn.STDEV.S('ALL(responses)'!Q$3:Q$322),3)
</f>
        <v>2.541</v>
      </c>
      <c r="N127" s="6">
        <f>ROUND(('ALL(responses)'!R128 - AVERAGE('ALL(responses)'!R$3:R$322)) / _xlfn.STDEV.S('ALL(responses)'!R$3:R$322),3)
</f>
        <v>0.286</v>
      </c>
      <c r="O127" s="6">
        <f>ROUND(('ALL(responses)'!S128 - AVERAGE('ALL(responses)'!S$3:S$322)) / _xlfn.STDEV.S('ALL(responses)'!S$3:S$322),3)
</f>
        <v>0.354</v>
      </c>
      <c r="P127" s="6">
        <f>ROUND(('ALL(responses)'!T128 - AVERAGE('ALL(responses)'!T$3:T$322)) / _xlfn.STDEV.S('ALL(responses)'!T$3:T$322),3)
</f>
        <v>-1.144</v>
      </c>
      <c r="Q127" s="40">
        <f t="shared" si="4"/>
        <v>0.278</v>
      </c>
    </row>
    <row r="128">
      <c r="A128" s="5" t="s">
        <v>20</v>
      </c>
      <c r="B128" s="6" t="s">
        <v>432</v>
      </c>
      <c r="C128" s="7" t="s">
        <v>34</v>
      </c>
      <c r="D128" s="7" t="s">
        <v>112</v>
      </c>
      <c r="E128" s="9">
        <v>45425.0</v>
      </c>
      <c r="F128" s="6">
        <f>ROUND(('ALL(responses)'!F129 - AVERAGE('ALL(responses)'!F$3:F$322)) / _xlfn.STDEV.S('ALL(responses)'!F$3:F$322),3)
</f>
        <v>1.658</v>
      </c>
      <c r="G128" s="6">
        <f>ROUND(('ALL(responses)'!G129 - AVERAGE('ALL(responses)'!G$3:G$322)) / _xlfn.STDEV.S('ALL(responses)'!G$3:G$322),3)
</f>
        <v>-0.21</v>
      </c>
      <c r="H128" s="6">
        <f>ROUND(('ALL(responses)'!H129 - AVERAGE('ALL(responses)'!H$3:H$322)) / _xlfn.STDEV.S('ALL(responses)'!H$3:H$322),3)
</f>
        <v>-0.418</v>
      </c>
      <c r="I128" s="6">
        <f>ROUND(('ALL(responses)'!I129 - AVERAGE('ALL(responses)'!I$3:I$322)) / _xlfn.STDEV.S('ALL(responses)'!I$3:I$322),3)
</f>
        <v>-0.264</v>
      </c>
      <c r="J128" s="6">
        <f>ROUND(('ALL(responses)'!J129 - AVERAGE('ALL(responses)'!J$3:J$322)) / _xlfn.STDEV.S('ALL(responses)'!J$3:J$322),3)
</f>
        <v>-0.562</v>
      </c>
      <c r="K128" s="6">
        <f>ROUND(('ALL(responses)'!M129 - AVERAGE('ALL(responses)'!M$3:M$322)) / _xlfn.STDEV.S('ALL(responses)'!M$3:M$322),3)
</f>
        <v>-0.528</v>
      </c>
      <c r="L128" s="6">
        <f>ROUND(('ALL(responses)'!P129 - AVERAGE('ALL(responses)'!P$3:P$322)) / _xlfn.STDEV.S('ALL(responses)'!P$3:P$322),3)
</f>
        <v>-0.623</v>
      </c>
      <c r="M128" s="6">
        <f>ROUND(('ALL(responses)'!Q129 - AVERAGE('ALL(responses)'!Q$3:Q$322)) / _xlfn.STDEV.S('ALL(responses)'!Q$3:Q$322),3)
</f>
        <v>0.516</v>
      </c>
      <c r="N128" s="6">
        <f>ROUND(('ALL(responses)'!R129 - AVERAGE('ALL(responses)'!R$3:R$322)) / _xlfn.STDEV.S('ALL(responses)'!R$3:R$322),3)
</f>
        <v>-1.028</v>
      </c>
      <c r="O128" s="6">
        <f>ROUND(('ALL(responses)'!S129 - AVERAGE('ALL(responses)'!S$3:S$322)) / _xlfn.STDEV.S('ALL(responses)'!S$3:S$322),3)
</f>
        <v>-0.228</v>
      </c>
      <c r="P128" s="6">
        <f>ROUND(('ALL(responses)'!T129 - AVERAGE('ALL(responses)'!T$3:T$322)) / _xlfn.STDEV.S('ALL(responses)'!T$3:T$322),3)
</f>
        <v>-0.305</v>
      </c>
      <c r="Q128" s="40">
        <f t="shared" si="4"/>
        <v>0.278</v>
      </c>
    </row>
    <row r="129">
      <c r="A129" s="5" t="s">
        <v>20</v>
      </c>
      <c r="B129" s="6" t="s">
        <v>432</v>
      </c>
      <c r="C129" s="7" t="s">
        <v>36</v>
      </c>
      <c r="D129" s="7" t="s">
        <v>113</v>
      </c>
      <c r="E129" s="9">
        <v>45425.0</v>
      </c>
      <c r="F129" s="6">
        <f>ROUND(('ALL(responses)'!F130 - AVERAGE('ALL(responses)'!F$3:F$322)) / _xlfn.STDEV.S('ALL(responses)'!F$3:F$322),3)
</f>
        <v>1.658</v>
      </c>
      <c r="G129" s="6">
        <f>ROUND(('ALL(responses)'!G130 - AVERAGE('ALL(responses)'!G$3:G$322)) / _xlfn.STDEV.S('ALL(responses)'!G$3:G$322),3)
</f>
        <v>-0.21</v>
      </c>
      <c r="H129" s="6">
        <f>ROUND(('ALL(responses)'!H130 - AVERAGE('ALL(responses)'!H$3:H$322)) / _xlfn.STDEV.S('ALL(responses)'!H$3:H$322),3)
</f>
        <v>-0.418</v>
      </c>
      <c r="I129" s="6">
        <f>ROUND(('ALL(responses)'!I130 - AVERAGE('ALL(responses)'!I$3:I$322)) / _xlfn.STDEV.S('ALL(responses)'!I$3:I$322),3)
</f>
        <v>-0.264</v>
      </c>
      <c r="J129" s="6">
        <f>ROUND(('ALL(responses)'!J130 - AVERAGE('ALL(responses)'!J$3:J$322)) / _xlfn.STDEV.S('ALL(responses)'!J$3:J$322),3)
</f>
        <v>-0.562</v>
      </c>
      <c r="K129" s="6">
        <f>ROUND(('ALL(responses)'!M130 - AVERAGE('ALL(responses)'!M$3:M$322)) / _xlfn.STDEV.S('ALL(responses)'!M$3:M$322),3)
</f>
        <v>-1.983</v>
      </c>
      <c r="L129" s="6">
        <f>ROUND(('ALL(responses)'!P130 - AVERAGE('ALL(responses)'!P$3:P$322)) / _xlfn.STDEV.S('ALL(responses)'!P$3:P$322),3)
</f>
        <v>-0.497</v>
      </c>
      <c r="M129" s="6">
        <f>ROUND(('ALL(responses)'!Q130 - AVERAGE('ALL(responses)'!Q$3:Q$322)) / _xlfn.STDEV.S('ALL(responses)'!Q$3:Q$322),3)
</f>
        <v>1.284</v>
      </c>
      <c r="N129" s="6">
        <f>ROUND(('ALL(responses)'!R130 - AVERAGE('ALL(responses)'!R$3:R$322)) / _xlfn.STDEV.S('ALL(responses)'!R$3:R$322),3)
</f>
        <v>-0.143</v>
      </c>
      <c r="O129" s="6">
        <f>ROUND(('ALL(responses)'!S130 - AVERAGE('ALL(responses)'!S$3:S$322)) / _xlfn.STDEV.S('ALL(responses)'!S$3:S$322),3)
</f>
        <v>0.164</v>
      </c>
      <c r="P129" s="6">
        <f>ROUND(('ALL(responses)'!T130 - AVERAGE('ALL(responses)'!T$3:T$322)) / _xlfn.STDEV.S('ALL(responses)'!T$3:T$322),3)
</f>
        <v>1.658</v>
      </c>
      <c r="Q129" s="40">
        <f t="shared" si="4"/>
        <v>0.278</v>
      </c>
    </row>
    <row r="130">
      <c r="A130" s="5" t="s">
        <v>20</v>
      </c>
      <c r="B130" s="6" t="s">
        <v>432</v>
      </c>
      <c r="C130" s="7" t="s">
        <v>38</v>
      </c>
      <c r="D130" s="7" t="s">
        <v>114</v>
      </c>
      <c r="E130" s="9">
        <v>45425.0</v>
      </c>
      <c r="F130" s="6">
        <f>ROUND(('ALL(responses)'!F131 - AVERAGE('ALL(responses)'!F$3:F$322)) / _xlfn.STDEV.S('ALL(responses)'!F$3:F$322),3)
</f>
        <v>1.658</v>
      </c>
      <c r="G130" s="6">
        <f>ROUND(('ALL(responses)'!G131 - AVERAGE('ALL(responses)'!G$3:G$322)) / _xlfn.STDEV.S('ALL(responses)'!G$3:G$322),3)
</f>
        <v>1.459</v>
      </c>
      <c r="H130" s="6">
        <f>ROUND(('ALL(responses)'!H131 - AVERAGE('ALL(responses)'!H$3:H$322)) / _xlfn.STDEV.S('ALL(responses)'!H$3:H$322),3)
</f>
        <v>2.204</v>
      </c>
      <c r="I130" s="6">
        <f>ROUND(('ALL(responses)'!I131 - AVERAGE('ALL(responses)'!I$3:I$322)) / _xlfn.STDEV.S('ALL(responses)'!I$3:I$322),3)
</f>
        <v>-0.264</v>
      </c>
      <c r="J130" s="6">
        <f>ROUND(('ALL(responses)'!J131 - AVERAGE('ALL(responses)'!J$3:J$322)) / _xlfn.STDEV.S('ALL(responses)'!J$3:J$322),3)
</f>
        <v>-0.562</v>
      </c>
      <c r="K130" s="6">
        <f>ROUND(('ALL(responses)'!M131 - AVERAGE('ALL(responses)'!M$3:M$322)) / _xlfn.STDEV.S('ALL(responses)'!M$3:M$322),3)
</f>
        <v>-0.972</v>
      </c>
      <c r="L130" s="6">
        <f>ROUND(('ALL(responses)'!P131 - AVERAGE('ALL(responses)'!P$3:P$322)) / _xlfn.STDEV.S('ALL(responses)'!P$3:P$322),3)
</f>
        <v>0.018</v>
      </c>
      <c r="M130" s="6">
        <f>ROUND(('ALL(responses)'!Q131 - AVERAGE('ALL(responses)'!Q$3:Q$322)) / _xlfn.STDEV.S('ALL(responses)'!Q$3:Q$322),3)
</f>
        <v>1.975</v>
      </c>
      <c r="N130" s="6">
        <f>ROUND(('ALL(responses)'!R131 - AVERAGE('ALL(responses)'!R$3:R$322)) / _xlfn.STDEV.S('ALL(responses)'!R$3:R$322),3)
</f>
        <v>0.323</v>
      </c>
      <c r="O130" s="6">
        <f>ROUND(('ALL(responses)'!S131 - AVERAGE('ALL(responses)'!S$3:S$322)) / _xlfn.STDEV.S('ALL(responses)'!S$3:S$322),3)
</f>
        <v>0.37</v>
      </c>
      <c r="P130" s="6">
        <f>ROUND(('ALL(responses)'!T131 - AVERAGE('ALL(responses)'!T$3:T$322)) / _xlfn.STDEV.S('ALL(responses)'!T$3:T$322),3)
</f>
        <v>-0.545</v>
      </c>
      <c r="Q130" s="40">
        <f t="shared" si="4"/>
        <v>0.278</v>
      </c>
    </row>
    <row r="131">
      <c r="A131" s="5" t="s">
        <v>20</v>
      </c>
      <c r="B131" s="6" t="s">
        <v>432</v>
      </c>
      <c r="C131" s="7" t="s">
        <v>40</v>
      </c>
      <c r="D131" s="7" t="s">
        <v>115</v>
      </c>
      <c r="E131" s="9">
        <v>45425.0</v>
      </c>
      <c r="F131" s="6">
        <f>ROUND(('ALL(responses)'!F132 - AVERAGE('ALL(responses)'!F$3:F$322)) / _xlfn.STDEV.S('ALL(responses)'!F$3:F$322),3)
</f>
        <v>-0.571</v>
      </c>
      <c r="G131" s="6">
        <f>ROUND(('ALL(responses)'!G132 - AVERAGE('ALL(responses)'!G$3:G$322)) / _xlfn.STDEV.S('ALL(responses)'!G$3:G$322),3)
</f>
        <v>1.459</v>
      </c>
      <c r="H131" s="6">
        <f>ROUND(('ALL(responses)'!H132 - AVERAGE('ALL(responses)'!H$3:H$322)) / _xlfn.STDEV.S('ALL(responses)'!H$3:H$322),3)
</f>
        <v>-0.418</v>
      </c>
      <c r="I131" s="6">
        <f>ROUND(('ALL(responses)'!I132 - AVERAGE('ALL(responses)'!I$3:I$322)) / _xlfn.STDEV.S('ALL(responses)'!I$3:I$322),3)
</f>
        <v>-0.264</v>
      </c>
      <c r="J131" s="6">
        <f>ROUND(('ALL(responses)'!J132 - AVERAGE('ALL(responses)'!J$3:J$322)) / _xlfn.STDEV.S('ALL(responses)'!J$3:J$322),3)
</f>
        <v>-0.562</v>
      </c>
      <c r="K131" s="6">
        <f>ROUND(('ALL(responses)'!M132 - AVERAGE('ALL(responses)'!M$3:M$322)) / _xlfn.STDEV.S('ALL(responses)'!M$3:M$322),3)
</f>
        <v>0.073</v>
      </c>
      <c r="L131" s="6">
        <f>ROUND(('ALL(responses)'!P132 - AVERAGE('ALL(responses)'!P$3:P$322)) / _xlfn.STDEV.S('ALL(responses)'!P$3:P$322),3)
</f>
        <v>0.663</v>
      </c>
      <c r="M131" s="6">
        <f>ROUND(('ALL(responses)'!Q132 - AVERAGE('ALL(responses)'!Q$3:Q$322)) / _xlfn.STDEV.S('ALL(responses)'!Q$3:Q$322),3)
</f>
        <v>-0.406</v>
      </c>
      <c r="N131" s="6">
        <f>ROUND(('ALL(responses)'!R132 - AVERAGE('ALL(responses)'!R$3:R$322)) / _xlfn.STDEV.S('ALL(responses)'!R$3:R$322),3)
</f>
        <v>0.673</v>
      </c>
      <c r="O131" s="6">
        <f>ROUND(('ALL(responses)'!S132 - AVERAGE('ALL(responses)'!S$3:S$322)) / _xlfn.STDEV.S('ALL(responses)'!S$3:S$322),3)
</f>
        <v>0.525</v>
      </c>
      <c r="P131" s="6">
        <f>ROUND(('ALL(responses)'!T132 - AVERAGE('ALL(responses)'!T$3:T$322)) / _xlfn.STDEV.S('ALL(responses)'!T$3:T$322),3)
</f>
        <v>0.025</v>
      </c>
      <c r="Q131" s="40">
        <f t="shared" si="4"/>
        <v>0.278</v>
      </c>
    </row>
    <row r="132">
      <c r="A132" s="5" t="s">
        <v>42</v>
      </c>
      <c r="B132" s="6" t="s">
        <v>432</v>
      </c>
      <c r="C132" s="7" t="s">
        <v>43</v>
      </c>
      <c r="D132" s="7" t="s">
        <v>116</v>
      </c>
      <c r="E132" s="9">
        <v>45425.0</v>
      </c>
      <c r="F132" s="6">
        <f>ROUND(('ALL(responses)'!F133 - AVERAGE('ALL(responses)'!F$3:F$322)) / _xlfn.STDEV.S('ALL(responses)'!F$3:F$322),3)
</f>
        <v>-0.571</v>
      </c>
      <c r="G132" s="6">
        <f>ROUND(('ALL(responses)'!G133 - AVERAGE('ALL(responses)'!G$3:G$322)) / _xlfn.STDEV.S('ALL(responses)'!G$3:G$322),3)
</f>
        <v>-0.21</v>
      </c>
      <c r="H132" s="6">
        <f>ROUND(('ALL(responses)'!H133 - AVERAGE('ALL(responses)'!H$3:H$322)) / _xlfn.STDEV.S('ALL(responses)'!H$3:H$322),3)
</f>
        <v>-0.418</v>
      </c>
      <c r="I132" s="6">
        <f>ROUND(('ALL(responses)'!I133 - AVERAGE('ALL(responses)'!I$3:I$322)) / _xlfn.STDEV.S('ALL(responses)'!I$3:I$322),3)
</f>
        <v>-0.264</v>
      </c>
      <c r="J132" s="6">
        <f>ROUND(('ALL(responses)'!J133 - AVERAGE('ALL(responses)'!J$3:J$322)) / _xlfn.STDEV.S('ALL(responses)'!J$3:J$322),3)
</f>
        <v>-0.562</v>
      </c>
      <c r="K132" s="6">
        <f>ROUND(('ALL(responses)'!M133 - AVERAGE('ALL(responses)'!M$3:M$322)) / _xlfn.STDEV.S('ALL(responses)'!M$3:M$322),3)
</f>
        <v>-1.136</v>
      </c>
      <c r="L132" s="6">
        <f>ROUND(('ALL(responses)'!P133 - AVERAGE('ALL(responses)'!P$3:P$322)) / _xlfn.STDEV.S('ALL(responses)'!P$3:P$322),3)
</f>
        <v>1.025</v>
      </c>
      <c r="M132" s="6">
        <f>ROUND(('ALL(responses)'!Q133 - AVERAGE('ALL(responses)'!Q$3:Q$322)) / _xlfn.STDEV.S('ALL(responses)'!Q$3:Q$322),3)
</f>
        <v>0.538</v>
      </c>
      <c r="N132" s="6">
        <f>ROUND(('ALL(responses)'!R133 - AVERAGE('ALL(responses)'!R$3:R$322)) / _xlfn.STDEV.S('ALL(responses)'!R$3:R$322),3)
</f>
        <v>-2.635</v>
      </c>
      <c r="O132" s="6">
        <f>ROUND(('ALL(responses)'!S133 - AVERAGE('ALL(responses)'!S$3:S$322)) / _xlfn.STDEV.S('ALL(responses)'!S$3:S$322),3)
</f>
        <v>-0.94</v>
      </c>
      <c r="P132" s="6">
        <f>ROUND(('ALL(responses)'!T133 - AVERAGE('ALL(responses)'!T$3:T$322)) / _xlfn.STDEV.S('ALL(responses)'!T$3:T$322),3)
</f>
        <v>0.459</v>
      </c>
      <c r="Q132" s="40">
        <f t="shared" si="4"/>
        <v>0.278</v>
      </c>
    </row>
    <row r="133">
      <c r="A133" s="5" t="s">
        <v>42</v>
      </c>
      <c r="B133" s="6" t="s">
        <v>432</v>
      </c>
      <c r="C133" s="7" t="s">
        <v>45</v>
      </c>
      <c r="D133" s="7" t="s">
        <v>117</v>
      </c>
      <c r="E133" s="9">
        <v>45425.0</v>
      </c>
      <c r="F133" s="6">
        <f>ROUND(('ALL(responses)'!F134 - AVERAGE('ALL(responses)'!F$3:F$322)) / _xlfn.STDEV.S('ALL(responses)'!F$3:F$322),3)
</f>
        <v>-0.571</v>
      </c>
      <c r="G133" s="6">
        <f>ROUND(('ALL(responses)'!G134 - AVERAGE('ALL(responses)'!G$3:G$322)) / _xlfn.STDEV.S('ALL(responses)'!G$3:G$322),3)
</f>
        <v>1.459</v>
      </c>
      <c r="H133" s="6">
        <f>ROUND(('ALL(responses)'!H134 - AVERAGE('ALL(responses)'!H$3:H$322)) / _xlfn.STDEV.S('ALL(responses)'!H$3:H$322),3)
</f>
        <v>2.204</v>
      </c>
      <c r="I133" s="6">
        <f>ROUND(('ALL(responses)'!I134 - AVERAGE('ALL(responses)'!I$3:I$322)) / _xlfn.STDEV.S('ALL(responses)'!I$3:I$322),3)
</f>
        <v>-0.264</v>
      </c>
      <c r="J133" s="6">
        <f>ROUND(('ALL(responses)'!J134 - AVERAGE('ALL(responses)'!J$3:J$322)) / _xlfn.STDEV.S('ALL(responses)'!J$3:J$322),3)
</f>
        <v>-0.562</v>
      </c>
      <c r="K133" s="6">
        <f>ROUND(('ALL(responses)'!M134 - AVERAGE('ALL(responses)'!M$3:M$322)) / _xlfn.STDEV.S('ALL(responses)'!M$3:M$322),3)
</f>
        <v>-0.481</v>
      </c>
      <c r="L133" s="6">
        <f>ROUND(('ALL(responses)'!P134 - AVERAGE('ALL(responses)'!P$3:P$322)) / _xlfn.STDEV.S('ALL(responses)'!P$3:P$322),3)
</f>
        <v>0.856</v>
      </c>
      <c r="M133" s="6">
        <f>ROUND(('ALL(responses)'!Q134 - AVERAGE('ALL(responses)'!Q$3:Q$322)) / _xlfn.STDEV.S('ALL(responses)'!Q$3:Q$322),3)
</f>
        <v>0.297</v>
      </c>
      <c r="N133" s="6">
        <f>ROUND(('ALL(responses)'!R134 - AVERAGE('ALL(responses)'!R$3:R$322)) / _xlfn.STDEV.S('ALL(responses)'!R$3:R$322),3)
</f>
        <v>-0.254</v>
      </c>
      <c r="O133" s="6">
        <f>ROUND(('ALL(responses)'!S134 - AVERAGE('ALL(responses)'!S$3:S$322)) / _xlfn.STDEV.S('ALL(responses)'!S$3:S$322),3)
</f>
        <v>0.115</v>
      </c>
      <c r="P133" s="6">
        <f>ROUND(('ALL(responses)'!T134 - AVERAGE('ALL(responses)'!T$3:T$322)) / _xlfn.STDEV.S('ALL(responses)'!T$3:T$322),3)
</f>
        <v>-0.315</v>
      </c>
      <c r="Q133" s="40">
        <f t="shared" si="4"/>
        <v>0.278</v>
      </c>
    </row>
    <row r="134">
      <c r="A134" s="5" t="s">
        <v>42</v>
      </c>
      <c r="B134" s="6" t="s">
        <v>432</v>
      </c>
      <c r="C134" s="7" t="s">
        <v>47</v>
      </c>
      <c r="D134" s="7" t="s">
        <v>118</v>
      </c>
      <c r="E134" s="9">
        <v>45425.0</v>
      </c>
      <c r="F134" s="6">
        <f>ROUND(('ALL(responses)'!F135 - AVERAGE('ALL(responses)'!F$3:F$322)) / _xlfn.STDEV.S('ALL(responses)'!F$3:F$322),3)
</f>
        <v>1.658</v>
      </c>
      <c r="G134" s="6">
        <f>ROUND(('ALL(responses)'!G135 - AVERAGE('ALL(responses)'!G$3:G$322)) / _xlfn.STDEV.S('ALL(responses)'!G$3:G$322),3)
</f>
        <v>1.459</v>
      </c>
      <c r="H134" s="6">
        <f>ROUND(('ALL(responses)'!H135 - AVERAGE('ALL(responses)'!H$3:H$322)) / _xlfn.STDEV.S('ALL(responses)'!H$3:H$322),3)
</f>
        <v>-0.418</v>
      </c>
      <c r="I134" s="6">
        <f>ROUND(('ALL(responses)'!I135 - AVERAGE('ALL(responses)'!I$3:I$322)) / _xlfn.STDEV.S('ALL(responses)'!I$3:I$322),3)
</f>
        <v>-0.264</v>
      </c>
      <c r="J134" s="6">
        <f>ROUND(('ALL(responses)'!J135 - AVERAGE('ALL(responses)'!J$3:J$322)) / _xlfn.STDEV.S('ALL(responses)'!J$3:J$322),3)
</f>
        <v>-0.562</v>
      </c>
      <c r="K134" s="6">
        <f>ROUND(('ALL(responses)'!M135 - AVERAGE('ALL(responses)'!M$3:M$322)) / _xlfn.STDEV.S('ALL(responses)'!M$3:M$322),3)
</f>
        <v>0.188</v>
      </c>
      <c r="L134" s="6">
        <f>ROUND(('ALL(responses)'!P135 - AVERAGE('ALL(responses)'!P$3:P$322)) / _xlfn.STDEV.S('ALL(responses)'!P$3:P$322),3)
</f>
        <v>0.36</v>
      </c>
      <c r="M134" s="6">
        <f>ROUND(('ALL(responses)'!Q135 - AVERAGE('ALL(responses)'!Q$3:Q$322)) / _xlfn.STDEV.S('ALL(responses)'!Q$3:Q$322),3)
</f>
        <v>1.163</v>
      </c>
      <c r="N134" s="6">
        <f>ROUND(('ALL(responses)'!R135 - AVERAGE('ALL(responses)'!R$3:R$322)) / _xlfn.STDEV.S('ALL(responses)'!R$3:R$322),3)
</f>
        <v>-0.088</v>
      </c>
      <c r="O134" s="6">
        <f>ROUND(('ALL(responses)'!S135 - AVERAGE('ALL(responses)'!S$3:S$322)) / _xlfn.STDEV.S('ALL(responses)'!S$3:S$322),3)
</f>
        <v>0.188</v>
      </c>
      <c r="P134" s="6">
        <f>ROUND(('ALL(responses)'!T135 - AVERAGE('ALL(responses)'!T$3:T$322)) / _xlfn.STDEV.S('ALL(responses)'!T$3:T$322),3)
</f>
        <v>-0.938</v>
      </c>
      <c r="Q134" s="40">
        <f t="shared" si="4"/>
        <v>0.278</v>
      </c>
    </row>
    <row r="135">
      <c r="A135" s="5" t="s">
        <v>42</v>
      </c>
      <c r="B135" s="6" t="s">
        <v>432</v>
      </c>
      <c r="C135" s="7" t="s">
        <v>49</v>
      </c>
      <c r="D135" s="7" t="s">
        <v>119</v>
      </c>
      <c r="E135" s="9">
        <v>45425.0</v>
      </c>
      <c r="F135" s="6">
        <f>ROUND(('ALL(responses)'!F136 - AVERAGE('ALL(responses)'!F$3:F$322)) / _xlfn.STDEV.S('ALL(responses)'!F$3:F$322),3)
</f>
        <v>1.658</v>
      </c>
      <c r="G135" s="6">
        <f>ROUND(('ALL(responses)'!G136 - AVERAGE('ALL(responses)'!G$3:G$322)) / _xlfn.STDEV.S('ALL(responses)'!G$3:G$322),3)
</f>
        <v>1.459</v>
      </c>
      <c r="H135" s="6">
        <f>ROUND(('ALL(responses)'!H136 - AVERAGE('ALL(responses)'!H$3:H$322)) / _xlfn.STDEV.S('ALL(responses)'!H$3:H$322),3)
</f>
        <v>2.204</v>
      </c>
      <c r="I135" s="6">
        <f>ROUND(('ALL(responses)'!I136 - AVERAGE('ALL(responses)'!I$3:I$322)) / _xlfn.STDEV.S('ALL(responses)'!I$3:I$322),3)
</f>
        <v>-0.264</v>
      </c>
      <c r="J135" s="6">
        <f>ROUND(('ALL(responses)'!J136 - AVERAGE('ALL(responses)'!J$3:J$322)) / _xlfn.STDEV.S('ALL(responses)'!J$3:J$322),3)
</f>
        <v>-0.562</v>
      </c>
      <c r="K135" s="6">
        <f>ROUND(('ALL(responses)'!M136 - AVERAGE('ALL(responses)'!M$3:M$322)) / _xlfn.STDEV.S('ALL(responses)'!M$3:M$322),3)
</f>
        <v>-0.739</v>
      </c>
      <c r="L135" s="6">
        <f>ROUND(('ALL(responses)'!P136 - AVERAGE('ALL(responses)'!P$3:P$322)) / _xlfn.STDEV.S('ALL(responses)'!P$3:P$322),3)
</f>
        <v>-0.848</v>
      </c>
      <c r="M135" s="6">
        <f>ROUND(('ALL(responses)'!Q136 - AVERAGE('ALL(responses)'!Q$3:Q$322)) / _xlfn.STDEV.S('ALL(responses)'!Q$3:Q$322),3)
</f>
        <v>-1.597</v>
      </c>
      <c r="N135" s="6">
        <f>ROUND(('ALL(responses)'!R136 - AVERAGE('ALL(responses)'!R$3:R$322)) / _xlfn.STDEV.S('ALL(responses)'!R$3:R$322),3)
</f>
        <v>0.724</v>
      </c>
      <c r="O135" s="6">
        <f>ROUND(('ALL(responses)'!S136 - AVERAGE('ALL(responses)'!S$3:S$322)) / _xlfn.STDEV.S('ALL(responses)'!S$3:S$322),3)
</f>
        <v>0.548</v>
      </c>
      <c r="P135" s="6">
        <f>ROUND(('ALL(responses)'!T136 - AVERAGE('ALL(responses)'!T$3:T$322)) / _xlfn.STDEV.S('ALL(responses)'!T$3:T$322),3)
</f>
        <v>-0.237</v>
      </c>
      <c r="Q135" s="40">
        <f t="shared" si="4"/>
        <v>0.278</v>
      </c>
    </row>
    <row r="136">
      <c r="A136" s="5" t="s">
        <v>42</v>
      </c>
      <c r="B136" s="6" t="s">
        <v>432</v>
      </c>
      <c r="C136" s="7" t="s">
        <v>51</v>
      </c>
      <c r="D136" s="7" t="s">
        <v>120</v>
      </c>
      <c r="E136" s="9">
        <v>45425.0</v>
      </c>
      <c r="F136" s="6">
        <f>ROUND(('ALL(responses)'!F137 - AVERAGE('ALL(responses)'!F$3:F$322)) / _xlfn.STDEV.S('ALL(responses)'!F$3:F$322),3)
</f>
        <v>-0.571</v>
      </c>
      <c r="G136" s="6">
        <f>ROUND(('ALL(responses)'!G137 - AVERAGE('ALL(responses)'!G$3:G$322)) / _xlfn.STDEV.S('ALL(responses)'!G$3:G$322),3)
</f>
        <v>1.459</v>
      </c>
      <c r="H136" s="6">
        <f>ROUND(('ALL(responses)'!H137 - AVERAGE('ALL(responses)'!H$3:H$322)) / _xlfn.STDEV.S('ALL(responses)'!H$3:H$322),3)
</f>
        <v>2.204</v>
      </c>
      <c r="I136" s="6">
        <f>ROUND(('ALL(responses)'!I137 - AVERAGE('ALL(responses)'!I$3:I$322)) / _xlfn.STDEV.S('ALL(responses)'!I$3:I$322),3)
</f>
        <v>-0.264</v>
      </c>
      <c r="J136" s="6">
        <f>ROUND(('ALL(responses)'!J137 - AVERAGE('ALL(responses)'!J$3:J$322)) / _xlfn.STDEV.S('ALL(responses)'!J$3:J$322),3)
</f>
        <v>-0.562</v>
      </c>
      <c r="K136" s="6">
        <f>ROUND(('ALL(responses)'!M137 - AVERAGE('ALL(responses)'!M$3:M$322)) / _xlfn.STDEV.S('ALL(responses)'!M$3:M$322),3)
</f>
        <v>0.443</v>
      </c>
      <c r="L136" s="6">
        <f>ROUND(('ALL(responses)'!P137 - AVERAGE('ALL(responses)'!P$3:P$322)) / _xlfn.STDEV.S('ALL(responses)'!P$3:P$322),3)
</f>
        <v>-1.457</v>
      </c>
      <c r="M136" s="6">
        <f>ROUND(('ALL(responses)'!Q137 - AVERAGE('ALL(responses)'!Q$3:Q$322)) / _xlfn.STDEV.S('ALL(responses)'!Q$3:Q$322),3)
</f>
        <v>0.939</v>
      </c>
      <c r="N136" s="6">
        <f>ROUND(('ALL(responses)'!R137 - AVERAGE('ALL(responses)'!R$3:R$322)) / _xlfn.STDEV.S('ALL(responses)'!R$3:R$322),3)
</f>
        <v>0.667</v>
      </c>
      <c r="O136" s="6">
        <f>ROUND(('ALL(responses)'!S137 - AVERAGE('ALL(responses)'!S$3:S$322)) / _xlfn.STDEV.S('ALL(responses)'!S$3:S$322),3)
</f>
        <v>0.523</v>
      </c>
      <c r="P136" s="6">
        <f>ROUND(('ALL(responses)'!T137 - AVERAGE('ALL(responses)'!T$3:T$322)) / _xlfn.STDEV.S('ALL(responses)'!T$3:T$322),3)
</f>
        <v>0.023</v>
      </c>
      <c r="Q136" s="40">
        <f t="shared" si="4"/>
        <v>0.278</v>
      </c>
    </row>
    <row r="137">
      <c r="A137" s="5" t="s">
        <v>42</v>
      </c>
      <c r="B137" s="6" t="s">
        <v>432</v>
      </c>
      <c r="C137" s="7" t="s">
        <v>53</v>
      </c>
      <c r="D137" s="7" t="s">
        <v>121</v>
      </c>
      <c r="E137" s="9">
        <v>45425.0</v>
      </c>
      <c r="F137" s="6">
        <f>ROUND(('ALL(responses)'!F138 - AVERAGE('ALL(responses)'!F$3:F$322)) / _xlfn.STDEV.S('ALL(responses)'!F$3:F$322),3)
</f>
        <v>1.658</v>
      </c>
      <c r="G137" s="6">
        <f>ROUND(('ALL(responses)'!G138 - AVERAGE('ALL(responses)'!G$3:G$322)) / _xlfn.STDEV.S('ALL(responses)'!G$3:G$322),3)
</f>
        <v>-0.21</v>
      </c>
      <c r="H137" s="6">
        <f>ROUND(('ALL(responses)'!H138 - AVERAGE('ALL(responses)'!H$3:H$322)) / _xlfn.STDEV.S('ALL(responses)'!H$3:H$322),3)
</f>
        <v>-0.418</v>
      </c>
      <c r="I137" s="6">
        <f>ROUND(('ALL(responses)'!I138 - AVERAGE('ALL(responses)'!I$3:I$322)) / _xlfn.STDEV.S('ALL(responses)'!I$3:I$322),3)
</f>
        <v>-0.264</v>
      </c>
      <c r="J137" s="6">
        <f>ROUND(('ALL(responses)'!J138 - AVERAGE('ALL(responses)'!J$3:J$322)) / _xlfn.STDEV.S('ALL(responses)'!J$3:J$322),3)
</f>
        <v>-0.562</v>
      </c>
      <c r="K137" s="6">
        <f>ROUND(('ALL(responses)'!M138 - AVERAGE('ALL(responses)'!M$3:M$322)) / _xlfn.STDEV.S('ALL(responses)'!M$3:M$322),3)
</f>
        <v>-0.701</v>
      </c>
      <c r="L137" s="6">
        <f>ROUND(('ALL(responses)'!P138 - AVERAGE('ALL(responses)'!P$3:P$322)) / _xlfn.STDEV.S('ALL(responses)'!P$3:P$322),3)
</f>
        <v>-1.091</v>
      </c>
      <c r="M137" s="6">
        <f>ROUND(('ALL(responses)'!Q138 - AVERAGE('ALL(responses)'!Q$3:Q$322)) / _xlfn.STDEV.S('ALL(responses)'!Q$3:Q$322),3)
</f>
        <v>-1.316</v>
      </c>
      <c r="N137" s="6">
        <f>ROUND(('ALL(responses)'!R138 - AVERAGE('ALL(responses)'!R$3:R$322)) / _xlfn.STDEV.S('ALL(responses)'!R$3:R$322),3)
</f>
        <v>-0.418</v>
      </c>
      <c r="O137" s="6">
        <f>ROUND(('ALL(responses)'!S138 - AVERAGE('ALL(responses)'!S$3:S$322)) / _xlfn.STDEV.S('ALL(responses)'!S$3:S$322),3)
</f>
        <v>0.042</v>
      </c>
      <c r="P137" s="6">
        <f>ROUND(('ALL(responses)'!T138 - AVERAGE('ALL(responses)'!T$3:T$322)) / _xlfn.STDEV.S('ALL(responses)'!T$3:T$322),3)
</f>
        <v>2.511</v>
      </c>
      <c r="Q137" s="40">
        <f t="shared" si="4"/>
        <v>0.278</v>
      </c>
    </row>
    <row r="138">
      <c r="A138" s="5" t="s">
        <v>42</v>
      </c>
      <c r="B138" s="6" t="s">
        <v>432</v>
      </c>
      <c r="C138" s="7" t="s">
        <v>55</v>
      </c>
      <c r="D138" s="7" t="s">
        <v>122</v>
      </c>
      <c r="E138" s="9">
        <v>45425.0</v>
      </c>
      <c r="F138" s="6">
        <f>ROUND(('ALL(responses)'!F139 - AVERAGE('ALL(responses)'!F$3:F$322)) / _xlfn.STDEV.S('ALL(responses)'!F$3:F$322),3)
</f>
        <v>-0.571</v>
      </c>
      <c r="G138" s="6">
        <f>ROUND(('ALL(responses)'!G139 - AVERAGE('ALL(responses)'!G$3:G$322)) / _xlfn.STDEV.S('ALL(responses)'!G$3:G$322),3)
</f>
        <v>-0.21</v>
      </c>
      <c r="H138" s="6">
        <f>ROUND(('ALL(responses)'!H139 - AVERAGE('ALL(responses)'!H$3:H$322)) / _xlfn.STDEV.S('ALL(responses)'!H$3:H$322),3)
</f>
        <v>2.204</v>
      </c>
      <c r="I138" s="6">
        <f>ROUND(('ALL(responses)'!I139 - AVERAGE('ALL(responses)'!I$3:I$322)) / _xlfn.STDEV.S('ALL(responses)'!I$3:I$322),3)
</f>
        <v>-0.264</v>
      </c>
      <c r="J138" s="6">
        <f>ROUND(('ALL(responses)'!J139 - AVERAGE('ALL(responses)'!J$3:J$322)) / _xlfn.STDEV.S('ALL(responses)'!J$3:J$322),3)
</f>
        <v>-0.562</v>
      </c>
      <c r="K138" s="6">
        <f>ROUND(('ALL(responses)'!M139 - AVERAGE('ALL(responses)'!M$3:M$322)) / _xlfn.STDEV.S('ALL(responses)'!M$3:M$322),3)
</f>
        <v>-0.268</v>
      </c>
      <c r="L138" s="6">
        <f>ROUND(('ALL(responses)'!P139 - AVERAGE('ALL(responses)'!P$3:P$322)) / _xlfn.STDEV.S('ALL(responses)'!P$3:P$322),3)
</f>
        <v>0.689</v>
      </c>
      <c r="M138" s="6">
        <f>ROUND(('ALL(responses)'!Q139 - AVERAGE('ALL(responses)'!Q$3:Q$322)) / _xlfn.STDEV.S('ALL(responses)'!Q$3:Q$322),3)
</f>
        <v>-1.437</v>
      </c>
      <c r="N138" s="6">
        <f>ROUND(('ALL(responses)'!R139 - AVERAGE('ALL(responses)'!R$3:R$322)) / _xlfn.STDEV.S('ALL(responses)'!R$3:R$322),3)
</f>
        <v>0.769</v>
      </c>
      <c r="O138" s="6">
        <f>ROUND(('ALL(responses)'!S139 - AVERAGE('ALL(responses)'!S$3:S$322)) / _xlfn.STDEV.S('ALL(responses)'!S$3:S$322),3)
</f>
        <v>0.568</v>
      </c>
      <c r="P138" s="6">
        <f>ROUND(('ALL(responses)'!T139 - AVERAGE('ALL(responses)'!T$3:T$322)) / _xlfn.STDEV.S('ALL(responses)'!T$3:T$322),3)
</f>
        <v>0.034</v>
      </c>
      <c r="Q138" s="40">
        <f t="shared" si="4"/>
        <v>0.278</v>
      </c>
    </row>
    <row r="139">
      <c r="A139" s="5" t="s">
        <v>42</v>
      </c>
      <c r="B139" s="6" t="s">
        <v>432</v>
      </c>
      <c r="C139" s="7" t="s">
        <v>57</v>
      </c>
      <c r="D139" s="7" t="s">
        <v>123</v>
      </c>
      <c r="E139" s="9">
        <v>45425.0</v>
      </c>
      <c r="F139" s="6">
        <f>ROUND(('ALL(responses)'!F140 - AVERAGE('ALL(responses)'!F$3:F$322)) / _xlfn.STDEV.S('ALL(responses)'!F$3:F$322),3)
</f>
        <v>1.658</v>
      </c>
      <c r="G139" s="6">
        <f>ROUND(('ALL(responses)'!G140 - AVERAGE('ALL(responses)'!G$3:G$322)) / _xlfn.STDEV.S('ALL(responses)'!G$3:G$322),3)
</f>
        <v>1.459</v>
      </c>
      <c r="H139" s="6">
        <f>ROUND(('ALL(responses)'!H140 - AVERAGE('ALL(responses)'!H$3:H$322)) / _xlfn.STDEV.S('ALL(responses)'!H$3:H$322),3)
</f>
        <v>-0.418</v>
      </c>
      <c r="I139" s="6">
        <f>ROUND(('ALL(responses)'!I140 - AVERAGE('ALL(responses)'!I$3:I$322)) / _xlfn.STDEV.S('ALL(responses)'!I$3:I$322),3)
</f>
        <v>-0.264</v>
      </c>
      <c r="J139" s="6">
        <f>ROUND(('ALL(responses)'!J140 - AVERAGE('ALL(responses)'!J$3:J$322)) / _xlfn.STDEV.S('ALL(responses)'!J$3:J$322),3)
</f>
        <v>-0.562</v>
      </c>
      <c r="K139" s="6">
        <f>ROUND(('ALL(responses)'!M140 - AVERAGE('ALL(responses)'!M$3:M$322)) / _xlfn.STDEV.S('ALL(responses)'!M$3:M$322),3)
</f>
        <v>-0.604</v>
      </c>
      <c r="L139" s="6">
        <f>ROUND(('ALL(responses)'!P140 - AVERAGE('ALL(responses)'!P$3:P$322)) / _xlfn.STDEV.S('ALL(responses)'!P$3:P$322),3)
</f>
        <v>0.184</v>
      </c>
      <c r="M139" s="6">
        <f>ROUND(('ALL(responses)'!Q140 - AVERAGE('ALL(responses)'!Q$3:Q$322)) / _xlfn.STDEV.S('ALL(responses)'!Q$3:Q$322),3)
</f>
        <v>0.754</v>
      </c>
      <c r="N139" s="6">
        <f>ROUND(('ALL(responses)'!R140 - AVERAGE('ALL(responses)'!R$3:R$322)) / _xlfn.STDEV.S('ALL(responses)'!R$3:R$322),3)
</f>
        <v>0.392</v>
      </c>
      <c r="O139" s="6">
        <f>ROUND(('ALL(responses)'!S140 - AVERAGE('ALL(responses)'!S$3:S$322)) / _xlfn.STDEV.S('ALL(responses)'!S$3:S$322),3)
</f>
        <v>0.401</v>
      </c>
      <c r="P139" s="6">
        <f>ROUND(('ALL(responses)'!T140 - AVERAGE('ALL(responses)'!T$3:T$322)) / _xlfn.STDEV.S('ALL(responses)'!T$3:T$322),3)
</f>
        <v>0.76</v>
      </c>
      <c r="Q139" s="40">
        <f t="shared" si="4"/>
        <v>0.278</v>
      </c>
    </row>
    <row r="140">
      <c r="A140" s="5" t="s">
        <v>42</v>
      </c>
      <c r="B140" s="6" t="s">
        <v>432</v>
      </c>
      <c r="C140" s="7" t="s">
        <v>59</v>
      </c>
      <c r="D140" s="7" t="s">
        <v>124</v>
      </c>
      <c r="E140" s="9">
        <v>45425.0</v>
      </c>
      <c r="F140" s="6">
        <f>ROUND(('ALL(responses)'!F141 - AVERAGE('ALL(responses)'!F$3:F$322)) / _xlfn.STDEV.S('ALL(responses)'!F$3:F$322),3)
</f>
        <v>-0.571</v>
      </c>
      <c r="G140" s="6">
        <f>ROUND(('ALL(responses)'!G141 - AVERAGE('ALL(responses)'!G$3:G$322)) / _xlfn.STDEV.S('ALL(responses)'!G$3:G$322),3)
</f>
        <v>1.459</v>
      </c>
      <c r="H140" s="6">
        <f>ROUND(('ALL(responses)'!H141 - AVERAGE('ALL(responses)'!H$3:H$322)) / _xlfn.STDEV.S('ALL(responses)'!H$3:H$322),3)
</f>
        <v>-0.418</v>
      </c>
      <c r="I140" s="6">
        <f>ROUND(('ALL(responses)'!I141 - AVERAGE('ALL(responses)'!I$3:I$322)) / _xlfn.STDEV.S('ALL(responses)'!I$3:I$322),3)
</f>
        <v>-0.264</v>
      </c>
      <c r="J140" s="6">
        <f>ROUND(('ALL(responses)'!J141 - AVERAGE('ALL(responses)'!J$3:J$322)) / _xlfn.STDEV.S('ALL(responses)'!J$3:J$322),3)
</f>
        <v>-0.562</v>
      </c>
      <c r="K140" s="6">
        <f>ROUND(('ALL(responses)'!M141 - AVERAGE('ALL(responses)'!M$3:M$322)) / _xlfn.STDEV.S('ALL(responses)'!M$3:M$322),3)
</f>
        <v>0.236</v>
      </c>
      <c r="L140" s="6">
        <f>ROUND(('ALL(responses)'!P141 - AVERAGE('ALL(responses)'!P$3:P$322)) / _xlfn.STDEV.S('ALL(responses)'!P$3:P$322),3)
</f>
        <v>-1.457</v>
      </c>
      <c r="M140" s="6">
        <f>ROUND(('ALL(responses)'!Q141 - AVERAGE('ALL(responses)'!Q$3:Q$322)) / _xlfn.STDEV.S('ALL(responses)'!Q$3:Q$322),3)
</f>
        <v>-0.147</v>
      </c>
      <c r="N140" s="6">
        <f>ROUND(('ALL(responses)'!R141 - AVERAGE('ALL(responses)'!R$3:R$322)) / _xlfn.STDEV.S('ALL(responses)'!R$3:R$322),3)
</f>
        <v>0.56</v>
      </c>
      <c r="O140" s="6">
        <f>ROUND(('ALL(responses)'!S141 - AVERAGE('ALL(responses)'!S$3:S$322)) / _xlfn.STDEV.S('ALL(responses)'!S$3:S$322),3)
</f>
        <v>0.475</v>
      </c>
      <c r="P140" s="6">
        <f>ROUND(('ALL(responses)'!T141 - AVERAGE('ALL(responses)'!T$3:T$322)) / _xlfn.STDEV.S('ALL(responses)'!T$3:T$322),3)
</f>
        <v>-0.948</v>
      </c>
      <c r="Q140" s="40">
        <f t="shared" si="4"/>
        <v>0.278</v>
      </c>
    </row>
    <row r="141">
      <c r="A141" s="5" t="s">
        <v>42</v>
      </c>
      <c r="B141" s="6" t="s">
        <v>432</v>
      </c>
      <c r="C141" s="7" t="s">
        <v>61</v>
      </c>
      <c r="D141" s="7" t="s">
        <v>125</v>
      </c>
      <c r="E141" s="9">
        <v>45425.0</v>
      </c>
      <c r="F141" s="6">
        <f>ROUND(('ALL(responses)'!F142 - AVERAGE('ALL(responses)'!F$3:F$322)) / _xlfn.STDEV.S('ALL(responses)'!F$3:F$322),3)
</f>
        <v>-0.571</v>
      </c>
      <c r="G141" s="6">
        <f>ROUND(('ALL(responses)'!G142 - AVERAGE('ALL(responses)'!G$3:G$322)) / _xlfn.STDEV.S('ALL(responses)'!G$3:G$322),3)
</f>
        <v>1.459</v>
      </c>
      <c r="H141" s="6">
        <f>ROUND(('ALL(responses)'!H142 - AVERAGE('ALL(responses)'!H$3:H$322)) / _xlfn.STDEV.S('ALL(responses)'!H$3:H$322),3)
</f>
        <v>2.204</v>
      </c>
      <c r="I141" s="6">
        <f>ROUND(('ALL(responses)'!I142 - AVERAGE('ALL(responses)'!I$3:I$322)) / _xlfn.STDEV.S('ALL(responses)'!I$3:I$322),3)
</f>
        <v>1.784</v>
      </c>
      <c r="J141" s="6">
        <f>ROUND(('ALL(responses)'!J142 - AVERAGE('ALL(responses)'!J$3:J$322)) / _xlfn.STDEV.S('ALL(responses)'!J$3:J$322),3)
</f>
        <v>-0.562</v>
      </c>
      <c r="K141" s="6">
        <f>ROUND(('ALL(responses)'!M142 - AVERAGE('ALL(responses)'!M$3:M$322)) / _xlfn.STDEV.S('ALL(responses)'!M$3:M$322),3)
</f>
        <v>-0.583</v>
      </c>
      <c r="L141" s="6">
        <f>ROUND(('ALL(responses)'!P142 - AVERAGE('ALL(responses)'!P$3:P$322)) / _xlfn.STDEV.S('ALL(responses)'!P$3:P$322),3)
</f>
        <v>1.799</v>
      </c>
      <c r="M141" s="6">
        <f>ROUND(('ALL(responses)'!Q142 - AVERAGE('ALL(responses)'!Q$3:Q$322)) / _xlfn.STDEV.S('ALL(responses)'!Q$3:Q$322),3)
</f>
        <v>-0.919</v>
      </c>
      <c r="N141" s="6">
        <f>ROUND(('ALL(responses)'!R142 - AVERAGE('ALL(responses)'!R$3:R$322)) / _xlfn.STDEV.S('ALL(responses)'!R$3:R$322),3)
</f>
        <v>0.794</v>
      </c>
      <c r="O141" s="6">
        <f>ROUND(('ALL(responses)'!S142 - AVERAGE('ALL(responses)'!S$3:S$322)) / _xlfn.STDEV.S('ALL(responses)'!S$3:S$322),3)
</f>
        <v>-3.88</v>
      </c>
      <c r="P141" s="6">
        <f>ROUND(('ALL(responses)'!T142 - AVERAGE('ALL(responses)'!T$3:T$322)) / _xlfn.STDEV.S('ALL(responses)'!T$3:T$322),3)
</f>
        <v>0.039</v>
      </c>
      <c r="Q141" s="40">
        <f t="shared" si="4"/>
        <v>0.278</v>
      </c>
    </row>
    <row r="142">
      <c r="A142" s="5" t="s">
        <v>63</v>
      </c>
      <c r="B142" s="6" t="s">
        <v>432</v>
      </c>
      <c r="C142" s="7" t="s">
        <v>64</v>
      </c>
      <c r="D142" s="7" t="s">
        <v>126</v>
      </c>
      <c r="E142" s="9">
        <v>45425.0</v>
      </c>
      <c r="F142" s="6">
        <f>ROUND(('ALL(responses)'!F143 - AVERAGE('ALL(responses)'!F$3:F$322)) / _xlfn.STDEV.S('ALL(responses)'!F$3:F$322),3)
</f>
        <v>-0.571</v>
      </c>
      <c r="G142" s="6">
        <f>ROUND(('ALL(responses)'!G143 - AVERAGE('ALL(responses)'!G$3:G$322)) / _xlfn.STDEV.S('ALL(responses)'!G$3:G$322),3)
</f>
        <v>1.459</v>
      </c>
      <c r="H142" s="6">
        <f>ROUND(('ALL(responses)'!H143 - AVERAGE('ALL(responses)'!H$3:H$322)) / _xlfn.STDEV.S('ALL(responses)'!H$3:H$322),3)
</f>
        <v>2.204</v>
      </c>
      <c r="I142" s="6">
        <f>ROUND(('ALL(responses)'!I143 - AVERAGE('ALL(responses)'!I$3:I$322)) / _xlfn.STDEV.S('ALL(responses)'!I$3:I$322),3)
</f>
        <v>1.784</v>
      </c>
      <c r="J142" s="6">
        <f>ROUND(('ALL(responses)'!J143 - AVERAGE('ALL(responses)'!J$3:J$322)) / _xlfn.STDEV.S('ALL(responses)'!J$3:J$322),3)
</f>
        <v>-0.562</v>
      </c>
      <c r="K142" s="6">
        <f>ROUND(('ALL(responses)'!M143 - AVERAGE('ALL(responses)'!M$3:M$322)) / _xlfn.STDEV.S('ALL(responses)'!M$3:M$322),3)
</f>
        <v>-0.095</v>
      </c>
      <c r="L142" s="6">
        <f>ROUND(('ALL(responses)'!P143 - AVERAGE('ALL(responses)'!P$3:P$322)) / _xlfn.STDEV.S('ALL(responses)'!P$3:P$322),3)
</f>
        <v>0.69</v>
      </c>
      <c r="M142" s="6">
        <f>ROUND(('ALL(responses)'!Q143 - AVERAGE('ALL(responses)'!Q$3:Q$322)) / _xlfn.STDEV.S('ALL(responses)'!Q$3:Q$322),3)
</f>
        <v>-0.84</v>
      </c>
      <c r="N142" s="6">
        <f>ROUND(('ALL(responses)'!R143 - AVERAGE('ALL(responses)'!R$3:R$322)) / _xlfn.STDEV.S('ALL(responses)'!R$3:R$322),3)
</f>
        <v>0.392</v>
      </c>
      <c r="O142" s="6">
        <f>ROUND(('ALL(responses)'!S143 - AVERAGE('ALL(responses)'!S$3:S$322)) / _xlfn.STDEV.S('ALL(responses)'!S$3:S$322),3)
</f>
        <v>0.401</v>
      </c>
      <c r="P142" s="6">
        <f>ROUND(('ALL(responses)'!T143 - AVERAGE('ALL(responses)'!T$3:T$322)) / _xlfn.STDEV.S('ALL(responses)'!T$3:T$322),3)
</f>
        <v>0.598</v>
      </c>
      <c r="Q142" s="40">
        <f t="shared" si="4"/>
        <v>0.278</v>
      </c>
    </row>
    <row r="143">
      <c r="A143" s="5" t="s">
        <v>63</v>
      </c>
      <c r="B143" s="6" t="s">
        <v>432</v>
      </c>
      <c r="C143" s="7" t="s">
        <v>66</v>
      </c>
      <c r="D143" s="7" t="s">
        <v>127</v>
      </c>
      <c r="E143" s="9">
        <v>45425.0</v>
      </c>
      <c r="F143" s="6">
        <f>ROUND(('ALL(responses)'!F144 - AVERAGE('ALL(responses)'!F$3:F$322)) / _xlfn.STDEV.S('ALL(responses)'!F$3:F$322),3)
</f>
        <v>1.658</v>
      </c>
      <c r="G143" s="6">
        <f>ROUND(('ALL(responses)'!G144 - AVERAGE('ALL(responses)'!G$3:G$322)) / _xlfn.STDEV.S('ALL(responses)'!G$3:G$322),3)
</f>
        <v>-0.21</v>
      </c>
      <c r="H143" s="6">
        <f>ROUND(('ALL(responses)'!H144 - AVERAGE('ALL(responses)'!H$3:H$322)) / _xlfn.STDEV.S('ALL(responses)'!H$3:H$322),3)
</f>
        <v>2.204</v>
      </c>
      <c r="I143" s="6">
        <f>ROUND(('ALL(responses)'!I144 - AVERAGE('ALL(responses)'!I$3:I$322)) / _xlfn.STDEV.S('ALL(responses)'!I$3:I$322),3)
</f>
        <v>-0.264</v>
      </c>
      <c r="J143" s="6">
        <f>ROUND(('ALL(responses)'!J144 - AVERAGE('ALL(responses)'!J$3:J$322)) / _xlfn.STDEV.S('ALL(responses)'!J$3:J$322),3)
</f>
        <v>-0.562</v>
      </c>
      <c r="K143" s="6">
        <f>ROUND(('ALL(responses)'!M144 - AVERAGE('ALL(responses)'!M$3:M$322)) / _xlfn.STDEV.S('ALL(responses)'!M$3:M$322),3)
</f>
        <v>-1.542</v>
      </c>
      <c r="L143" s="6">
        <f>ROUND(('ALL(responses)'!P144 - AVERAGE('ALL(responses)'!P$3:P$322)) / _xlfn.STDEV.S('ALL(responses)'!P$3:P$322),3)
</f>
        <v>-0.646</v>
      </c>
      <c r="M143" s="6">
        <f>ROUND(('ALL(responses)'!Q144 - AVERAGE('ALL(responses)'!Q$3:Q$322)) / _xlfn.STDEV.S('ALL(responses)'!Q$3:Q$322),3)
</f>
        <v>-0.212</v>
      </c>
      <c r="N143" s="6">
        <f>ROUND(('ALL(responses)'!R144 - AVERAGE('ALL(responses)'!R$3:R$322)) / _xlfn.STDEV.S('ALL(responses)'!R$3:R$322),3)
</f>
        <v>0.71</v>
      </c>
      <c r="O143" s="6">
        <f>ROUND(('ALL(responses)'!S144 - AVERAGE('ALL(responses)'!S$3:S$322)) / _xlfn.STDEV.S('ALL(responses)'!S$3:S$322),3)
</f>
        <v>0.542</v>
      </c>
      <c r="P143" s="6">
        <f>ROUND(('ALL(responses)'!T144 - AVERAGE('ALL(responses)'!T$3:T$322)) / _xlfn.STDEV.S('ALL(responses)'!T$3:T$322),3)
</f>
        <v>-0.02</v>
      </c>
      <c r="Q143" s="40">
        <f t="shared" si="4"/>
        <v>0.278</v>
      </c>
    </row>
    <row r="144">
      <c r="A144" s="5" t="s">
        <v>63</v>
      </c>
      <c r="B144" s="6" t="s">
        <v>432</v>
      </c>
      <c r="C144" s="7" t="s">
        <v>68</v>
      </c>
      <c r="D144" s="7" t="s">
        <v>128</v>
      </c>
      <c r="E144" s="9">
        <v>45425.0</v>
      </c>
      <c r="F144" s="6">
        <f>ROUND(('ALL(responses)'!F145 - AVERAGE('ALL(responses)'!F$3:F$322)) / _xlfn.STDEV.S('ALL(responses)'!F$3:F$322),3)
</f>
        <v>1.658</v>
      </c>
      <c r="G144" s="6">
        <f>ROUND(('ALL(responses)'!G145 - AVERAGE('ALL(responses)'!G$3:G$322)) / _xlfn.STDEV.S('ALL(responses)'!G$3:G$322),3)
</f>
        <v>-0.21</v>
      </c>
      <c r="H144" s="6">
        <f>ROUND(('ALL(responses)'!H145 - AVERAGE('ALL(responses)'!H$3:H$322)) / _xlfn.STDEV.S('ALL(responses)'!H$3:H$322),3)
</f>
        <v>2.204</v>
      </c>
      <c r="I144" s="6">
        <f>ROUND(('ALL(responses)'!I145 - AVERAGE('ALL(responses)'!I$3:I$322)) / _xlfn.STDEV.S('ALL(responses)'!I$3:I$322),3)
</f>
        <v>-0.264</v>
      </c>
      <c r="J144" s="6">
        <f>ROUND(('ALL(responses)'!J145 - AVERAGE('ALL(responses)'!J$3:J$322)) / _xlfn.STDEV.S('ALL(responses)'!J$3:J$322),3)
</f>
        <v>-0.562</v>
      </c>
      <c r="K144" s="6">
        <f>ROUND(('ALL(responses)'!M145 - AVERAGE('ALL(responses)'!M$3:M$322)) / _xlfn.STDEV.S('ALL(responses)'!M$3:M$322),3)
</f>
        <v>-0.401</v>
      </c>
      <c r="L144" s="6">
        <f>ROUND(('ALL(responses)'!P145 - AVERAGE('ALL(responses)'!P$3:P$322)) / _xlfn.STDEV.S('ALL(responses)'!P$3:P$322),3)
</f>
        <v>-0.921</v>
      </c>
      <c r="M144" s="6">
        <f>ROUND(('ALL(responses)'!Q145 - AVERAGE('ALL(responses)'!Q$3:Q$322)) / _xlfn.STDEV.S('ALL(responses)'!Q$3:Q$322),3)
</f>
        <v>0.635</v>
      </c>
      <c r="N144" s="6">
        <f>ROUND(('ALL(responses)'!R145 - AVERAGE('ALL(responses)'!R$3:R$322)) / _xlfn.STDEV.S('ALL(responses)'!R$3:R$322),3)
</f>
        <v>0.738</v>
      </c>
      <c r="O144" s="6">
        <f>ROUND(('ALL(responses)'!S145 - AVERAGE('ALL(responses)'!S$3:S$322)) / _xlfn.STDEV.S('ALL(responses)'!S$3:S$322),3)
</f>
        <v>0.554</v>
      </c>
      <c r="P144" s="6">
        <f>ROUND(('ALL(responses)'!T145 - AVERAGE('ALL(responses)'!T$3:T$322)) / _xlfn.STDEV.S('ALL(responses)'!T$3:T$322),3)
</f>
        <v>1.555</v>
      </c>
      <c r="Q144" s="40">
        <f t="shared" si="4"/>
        <v>0.278</v>
      </c>
    </row>
    <row r="145">
      <c r="A145" s="5" t="s">
        <v>63</v>
      </c>
      <c r="B145" s="6" t="s">
        <v>432</v>
      </c>
      <c r="C145" s="7" t="s">
        <v>70</v>
      </c>
      <c r="D145" s="7" t="s">
        <v>129</v>
      </c>
      <c r="E145" s="9">
        <v>45425.0</v>
      </c>
      <c r="F145" s="6">
        <f>ROUND(('ALL(responses)'!F146 - AVERAGE('ALL(responses)'!F$3:F$322)) / _xlfn.STDEV.S('ALL(responses)'!F$3:F$322),3)
</f>
        <v>1.658</v>
      </c>
      <c r="G145" s="6">
        <f>ROUND(('ALL(responses)'!G146 - AVERAGE('ALL(responses)'!G$3:G$322)) / _xlfn.STDEV.S('ALL(responses)'!G$3:G$322),3)
</f>
        <v>1.459</v>
      </c>
      <c r="H145" s="6">
        <f>ROUND(('ALL(responses)'!H146 - AVERAGE('ALL(responses)'!H$3:H$322)) / _xlfn.STDEV.S('ALL(responses)'!H$3:H$322),3)
</f>
        <v>-0.418</v>
      </c>
      <c r="I145" s="6">
        <f>ROUND(('ALL(responses)'!I146 - AVERAGE('ALL(responses)'!I$3:I$322)) / _xlfn.STDEV.S('ALL(responses)'!I$3:I$322),3)
</f>
        <v>-0.264</v>
      </c>
      <c r="J145" s="6">
        <f>ROUND(('ALL(responses)'!J146 - AVERAGE('ALL(responses)'!J$3:J$322)) / _xlfn.STDEV.S('ALL(responses)'!J$3:J$322),3)
</f>
        <v>-0.562</v>
      </c>
      <c r="K145" s="6">
        <f>ROUND(('ALL(responses)'!M146 - AVERAGE('ALL(responses)'!M$3:M$322)) / _xlfn.STDEV.S('ALL(responses)'!M$3:M$322),3)
</f>
        <v>0.436</v>
      </c>
      <c r="L145" s="6">
        <f>ROUND(('ALL(responses)'!P146 - AVERAGE('ALL(responses)'!P$3:P$322)) / _xlfn.STDEV.S('ALL(responses)'!P$3:P$322),3)
</f>
        <v>0.093</v>
      </c>
      <c r="M145" s="6">
        <f>ROUND(('ALL(responses)'!Q146 - AVERAGE('ALL(responses)'!Q$3:Q$322)) / _xlfn.STDEV.S('ALL(responses)'!Q$3:Q$322),3)
</f>
        <v>-0.001</v>
      </c>
      <c r="N145" s="6">
        <f>ROUND(('ALL(responses)'!R146 - AVERAGE('ALL(responses)'!R$3:R$322)) / _xlfn.STDEV.S('ALL(responses)'!R$3:R$322),3)
</f>
        <v>0.741</v>
      </c>
      <c r="O145" s="6">
        <f>ROUND(('ALL(responses)'!S146 - AVERAGE('ALL(responses)'!S$3:S$322)) / _xlfn.STDEV.S('ALL(responses)'!S$3:S$322),3)
</f>
        <v>0.555</v>
      </c>
      <c r="P145" s="6">
        <f>ROUND(('ALL(responses)'!T146 - AVERAGE('ALL(responses)'!T$3:T$322)) / _xlfn.STDEV.S('ALL(responses)'!T$3:T$322),3)
</f>
        <v>1.393</v>
      </c>
      <c r="Q145" s="40">
        <f t="shared" si="4"/>
        <v>0.278</v>
      </c>
    </row>
    <row r="146">
      <c r="A146" s="5" t="s">
        <v>63</v>
      </c>
      <c r="B146" s="6" t="s">
        <v>432</v>
      </c>
      <c r="C146" s="7" t="s">
        <v>72</v>
      </c>
      <c r="D146" s="7" t="s">
        <v>130</v>
      </c>
      <c r="E146" s="9">
        <v>45425.0</v>
      </c>
      <c r="F146" s="6">
        <f>ROUND(('ALL(responses)'!F147 - AVERAGE('ALL(responses)'!F$3:F$322)) / _xlfn.STDEV.S('ALL(responses)'!F$3:F$322),3)
</f>
        <v>1.658</v>
      </c>
      <c r="G146" s="6">
        <f>ROUND(('ALL(responses)'!G147 - AVERAGE('ALL(responses)'!G$3:G$322)) / _xlfn.STDEV.S('ALL(responses)'!G$3:G$322),3)
</f>
        <v>1.459</v>
      </c>
      <c r="H146" s="6">
        <f>ROUND(('ALL(responses)'!H147 - AVERAGE('ALL(responses)'!H$3:H$322)) / _xlfn.STDEV.S('ALL(responses)'!H$3:H$322),3)
</f>
        <v>2.204</v>
      </c>
      <c r="I146" s="6">
        <f>ROUND(('ALL(responses)'!I147 - AVERAGE('ALL(responses)'!I$3:I$322)) / _xlfn.STDEV.S('ALL(responses)'!I$3:I$322),3)
</f>
        <v>-0.264</v>
      </c>
      <c r="J146" s="6">
        <f>ROUND(('ALL(responses)'!J147 - AVERAGE('ALL(responses)'!J$3:J$322)) / _xlfn.STDEV.S('ALL(responses)'!J$3:J$322),3)
</f>
        <v>-0.562</v>
      </c>
      <c r="K146" s="6">
        <f>ROUND(('ALL(responses)'!M147 - AVERAGE('ALL(responses)'!M$3:M$322)) / _xlfn.STDEV.S('ALL(responses)'!M$3:M$322),3)
</f>
        <v>0.753</v>
      </c>
      <c r="L146" s="6">
        <f>ROUND(('ALL(responses)'!P147 - AVERAGE('ALL(responses)'!P$3:P$322)) / _xlfn.STDEV.S('ALL(responses)'!P$3:P$322),3)
</f>
        <v>1.737</v>
      </c>
      <c r="M146" s="6">
        <f>ROUND(('ALL(responses)'!Q147 - AVERAGE('ALL(responses)'!Q$3:Q$322)) / _xlfn.STDEV.S('ALL(responses)'!Q$3:Q$322),3)
</f>
        <v>-1.015</v>
      </c>
      <c r="N146" s="6">
        <f>ROUND(('ALL(responses)'!R147 - AVERAGE('ALL(responses)'!R$3:R$322)) / _xlfn.STDEV.S('ALL(responses)'!R$3:R$322),3)
</f>
        <v>0.794</v>
      </c>
      <c r="O146" s="6">
        <f>ROUND(('ALL(responses)'!S147 - AVERAGE('ALL(responses)'!S$3:S$322)) / _xlfn.STDEV.S('ALL(responses)'!S$3:S$322),3)
</f>
        <v>0.579</v>
      </c>
      <c r="P146" s="6">
        <f>ROUND(('ALL(responses)'!T147 - AVERAGE('ALL(responses)'!T$3:T$322)) / _xlfn.STDEV.S('ALL(responses)'!T$3:T$322),3)
</f>
        <v>0.024</v>
      </c>
      <c r="Q146" s="40">
        <f t="shared" si="4"/>
        <v>0.278</v>
      </c>
    </row>
    <row r="147">
      <c r="A147" s="5" t="s">
        <v>63</v>
      </c>
      <c r="B147" s="6" t="s">
        <v>432</v>
      </c>
      <c r="C147" s="7" t="s">
        <v>74</v>
      </c>
      <c r="D147" s="7" t="s">
        <v>131</v>
      </c>
      <c r="E147" s="9">
        <v>45425.0</v>
      </c>
      <c r="F147" s="6">
        <f>ROUND(('ALL(responses)'!F148 - AVERAGE('ALL(responses)'!F$3:F$322)) / _xlfn.STDEV.S('ALL(responses)'!F$3:F$322),3)
</f>
        <v>1.658</v>
      </c>
      <c r="G147" s="6">
        <f>ROUND(('ALL(responses)'!G148 - AVERAGE('ALL(responses)'!G$3:G$322)) / _xlfn.STDEV.S('ALL(responses)'!G$3:G$322),3)
</f>
        <v>1.459</v>
      </c>
      <c r="H147" s="6">
        <f>ROUND(('ALL(responses)'!H148 - AVERAGE('ALL(responses)'!H$3:H$322)) / _xlfn.STDEV.S('ALL(responses)'!H$3:H$322),3)
</f>
        <v>2.204</v>
      </c>
      <c r="I147" s="6">
        <f>ROUND(('ALL(responses)'!I148 - AVERAGE('ALL(responses)'!I$3:I$322)) / _xlfn.STDEV.S('ALL(responses)'!I$3:I$322),3)
</f>
        <v>1.784</v>
      </c>
      <c r="J147" s="6">
        <f>ROUND(('ALL(responses)'!J148 - AVERAGE('ALL(responses)'!J$3:J$322)) / _xlfn.STDEV.S('ALL(responses)'!J$3:J$322),3)
</f>
        <v>-0.562</v>
      </c>
      <c r="K147" s="6">
        <f>ROUND(('ALL(responses)'!M148 - AVERAGE('ALL(responses)'!M$3:M$322)) / _xlfn.STDEV.S('ALL(responses)'!M$3:M$322),3)
</f>
        <v>1.905</v>
      </c>
      <c r="L147" s="6">
        <f>ROUND(('ALL(responses)'!P148 - AVERAGE('ALL(responses)'!P$3:P$322)) / _xlfn.STDEV.S('ALL(responses)'!P$3:P$322),3)
</f>
        <v>-0.429</v>
      </c>
      <c r="M147" s="6">
        <f>ROUND(('ALL(responses)'!Q148 - AVERAGE('ALL(responses)'!Q$3:Q$322)) / _xlfn.STDEV.S('ALL(responses)'!Q$3:Q$322),3)
</f>
        <v>-1.361</v>
      </c>
      <c r="N147" s="6">
        <f>ROUND(('ALL(responses)'!R148 - AVERAGE('ALL(responses)'!R$3:R$322)) / _xlfn.STDEV.S('ALL(responses)'!R$3:R$322),3)
</f>
        <v>0.797</v>
      </c>
      <c r="O147" s="6">
        <f>ROUND(('ALL(responses)'!S148 - AVERAGE('ALL(responses)'!S$3:S$322)) / _xlfn.STDEV.S('ALL(responses)'!S$3:S$322),3)
</f>
        <v>0.58</v>
      </c>
      <c r="P147" s="6">
        <f>ROUND(('ALL(responses)'!T148 - AVERAGE('ALL(responses)'!T$3:T$322)) / _xlfn.STDEV.S('ALL(responses)'!T$3:T$322),3)
</f>
        <v>0.108</v>
      </c>
      <c r="Q147" s="40">
        <f t="shared" si="4"/>
        <v>0.278</v>
      </c>
    </row>
    <row r="148">
      <c r="A148" s="5" t="s">
        <v>63</v>
      </c>
      <c r="B148" s="6" t="s">
        <v>432</v>
      </c>
      <c r="C148" s="7" t="s">
        <v>76</v>
      </c>
      <c r="D148" s="7" t="s">
        <v>132</v>
      </c>
      <c r="E148" s="9">
        <v>45425.0</v>
      </c>
      <c r="F148" s="6">
        <f>ROUND(('ALL(responses)'!F149 - AVERAGE('ALL(responses)'!F$3:F$322)) / _xlfn.STDEV.S('ALL(responses)'!F$3:F$322),3)
</f>
        <v>-0.571</v>
      </c>
      <c r="G148" s="6">
        <f>ROUND(('ALL(responses)'!G149 - AVERAGE('ALL(responses)'!G$3:G$322)) / _xlfn.STDEV.S('ALL(responses)'!G$3:G$322),3)
</f>
        <v>1.459</v>
      </c>
      <c r="H148" s="6">
        <f>ROUND(('ALL(responses)'!H149 - AVERAGE('ALL(responses)'!H$3:H$322)) / _xlfn.STDEV.S('ALL(responses)'!H$3:H$322),3)
</f>
        <v>2.204</v>
      </c>
      <c r="I148" s="6">
        <f>ROUND(('ALL(responses)'!I149 - AVERAGE('ALL(responses)'!I$3:I$322)) / _xlfn.STDEV.S('ALL(responses)'!I$3:I$322),3)
</f>
        <v>1.784</v>
      </c>
      <c r="J148" s="6">
        <f>ROUND(('ALL(responses)'!J149 - AVERAGE('ALL(responses)'!J$3:J$322)) / _xlfn.STDEV.S('ALL(responses)'!J$3:J$322),3)
</f>
        <v>-0.562</v>
      </c>
      <c r="K148" s="6">
        <f>ROUND(('ALL(responses)'!M149 - AVERAGE('ALL(responses)'!M$3:M$322)) / _xlfn.STDEV.S('ALL(responses)'!M$3:M$322),3)
</f>
        <v>0.531</v>
      </c>
      <c r="L148" s="6">
        <f>ROUND(('ALL(responses)'!P149 - AVERAGE('ALL(responses)'!P$3:P$322)) / _xlfn.STDEV.S('ALL(responses)'!P$3:P$322),3)
</f>
        <v>-0.337</v>
      </c>
      <c r="M148" s="6">
        <f>ROUND(('ALL(responses)'!Q149 - AVERAGE('ALL(responses)'!Q$3:Q$322)) / _xlfn.STDEV.S('ALL(responses)'!Q$3:Q$322),3)
</f>
        <v>-0.525</v>
      </c>
      <c r="N148" s="6">
        <f>ROUND(('ALL(responses)'!R149 - AVERAGE('ALL(responses)'!R$3:R$322)) / _xlfn.STDEV.S('ALL(responses)'!R$3:R$322),3)
</f>
        <v>0.793</v>
      </c>
      <c r="O148" s="6">
        <f>ROUND(('ALL(responses)'!S149 - AVERAGE('ALL(responses)'!S$3:S$322)) / _xlfn.STDEV.S('ALL(responses)'!S$3:S$322),3)
</f>
        <v>0.578</v>
      </c>
      <c r="P148" s="6">
        <f>ROUND(('ALL(responses)'!T149 - AVERAGE('ALL(responses)'!T$3:T$322)) / _xlfn.STDEV.S('ALL(responses)'!T$3:T$322),3)
</f>
        <v>-0.045</v>
      </c>
      <c r="Q148" s="40">
        <f t="shared" si="4"/>
        <v>0.278</v>
      </c>
    </row>
    <row r="149">
      <c r="A149" s="5" t="s">
        <v>63</v>
      </c>
      <c r="B149" s="6" t="s">
        <v>432</v>
      </c>
      <c r="C149" s="7" t="s">
        <v>78</v>
      </c>
      <c r="D149" s="7" t="s">
        <v>133</v>
      </c>
      <c r="E149" s="9">
        <v>45425.0</v>
      </c>
      <c r="F149" s="6">
        <f>ROUND(('ALL(responses)'!F150 - AVERAGE('ALL(responses)'!F$3:F$322)) / _xlfn.STDEV.S('ALL(responses)'!F$3:F$322),3)
</f>
        <v>1.658</v>
      </c>
      <c r="G149" s="6">
        <f>ROUND(('ALL(responses)'!G150 - AVERAGE('ALL(responses)'!G$3:G$322)) / _xlfn.STDEV.S('ALL(responses)'!G$3:G$322),3)
</f>
        <v>-0.21</v>
      </c>
      <c r="H149" s="6">
        <f>ROUND(('ALL(responses)'!H150 - AVERAGE('ALL(responses)'!H$3:H$322)) / _xlfn.STDEV.S('ALL(responses)'!H$3:H$322),3)
</f>
        <v>2.204</v>
      </c>
      <c r="I149" s="6">
        <f>ROUND(('ALL(responses)'!I150 - AVERAGE('ALL(responses)'!I$3:I$322)) / _xlfn.STDEV.S('ALL(responses)'!I$3:I$322),3)
</f>
        <v>-0.264</v>
      </c>
      <c r="J149" s="6">
        <f>ROUND(('ALL(responses)'!J150 - AVERAGE('ALL(responses)'!J$3:J$322)) / _xlfn.STDEV.S('ALL(responses)'!J$3:J$322),3)
</f>
        <v>-0.562</v>
      </c>
      <c r="K149" s="6">
        <f>ROUND(('ALL(responses)'!M150 - AVERAGE('ALL(responses)'!M$3:M$322)) / _xlfn.STDEV.S('ALL(responses)'!M$3:M$322),3)
</f>
        <v>-0.987</v>
      </c>
      <c r="L149" s="6">
        <f>ROUND(('ALL(responses)'!P150 - AVERAGE('ALL(responses)'!P$3:P$322)) / _xlfn.STDEV.S('ALL(responses)'!P$3:P$322),3)
</f>
        <v>-0.694</v>
      </c>
      <c r="M149" s="6">
        <f>ROUND(('ALL(responses)'!Q150 - AVERAGE('ALL(responses)'!Q$3:Q$322)) / _xlfn.STDEV.S('ALL(responses)'!Q$3:Q$322),3)
</f>
        <v>-0.784</v>
      </c>
      <c r="N149" s="6">
        <f>ROUND(('ALL(responses)'!R150 - AVERAGE('ALL(responses)'!R$3:R$322)) / _xlfn.STDEV.S('ALL(responses)'!R$3:R$322),3)
</f>
        <v>0.739</v>
      </c>
      <c r="O149" s="6">
        <f>ROUND(('ALL(responses)'!S150 - AVERAGE('ALL(responses)'!S$3:S$322)) / _xlfn.STDEV.S('ALL(responses)'!S$3:S$322),3)
</f>
        <v>0.554</v>
      </c>
      <c r="P149" s="6">
        <f>ROUND(('ALL(responses)'!T150 - AVERAGE('ALL(responses)'!T$3:T$322)) / _xlfn.STDEV.S('ALL(responses)'!T$3:T$322),3)
</f>
        <v>1.794</v>
      </c>
      <c r="Q149" s="40">
        <f t="shared" si="4"/>
        <v>0.278</v>
      </c>
    </row>
    <row r="150">
      <c r="A150" s="5" t="s">
        <v>63</v>
      </c>
      <c r="B150" s="6" t="s">
        <v>432</v>
      </c>
      <c r="C150" s="7" t="s">
        <v>80</v>
      </c>
      <c r="D150" s="7" t="s">
        <v>134</v>
      </c>
      <c r="E150" s="9">
        <v>45425.0</v>
      </c>
      <c r="F150" s="6">
        <f>ROUND(('ALL(responses)'!F151 - AVERAGE('ALL(responses)'!F$3:F$322)) / _xlfn.STDEV.S('ALL(responses)'!F$3:F$322),3)
</f>
        <v>1.658</v>
      </c>
      <c r="G150" s="6">
        <f>ROUND(('ALL(responses)'!G151 - AVERAGE('ALL(responses)'!G$3:G$322)) / _xlfn.STDEV.S('ALL(responses)'!G$3:G$322),3)
</f>
        <v>1.459</v>
      </c>
      <c r="H150" s="6">
        <f>ROUND(('ALL(responses)'!H151 - AVERAGE('ALL(responses)'!H$3:H$322)) / _xlfn.STDEV.S('ALL(responses)'!H$3:H$322),3)
</f>
        <v>2.204</v>
      </c>
      <c r="I150" s="6">
        <f>ROUND(('ALL(responses)'!I151 - AVERAGE('ALL(responses)'!I$3:I$322)) / _xlfn.STDEV.S('ALL(responses)'!I$3:I$322),3)
</f>
        <v>-0.264</v>
      </c>
      <c r="J150" s="6">
        <f>ROUND(('ALL(responses)'!J151 - AVERAGE('ALL(responses)'!J$3:J$322)) / _xlfn.STDEV.S('ALL(responses)'!J$3:J$322),3)
</f>
        <v>-0.562</v>
      </c>
      <c r="K150" s="6">
        <f>ROUND(('ALL(responses)'!M151 - AVERAGE('ALL(responses)'!M$3:M$322)) / _xlfn.STDEV.S('ALL(responses)'!M$3:M$322),3)
</f>
        <v>-1.421</v>
      </c>
      <c r="L150" s="6">
        <f>ROUND(('ALL(responses)'!P151 - AVERAGE('ALL(responses)'!P$3:P$322)) / _xlfn.STDEV.S('ALL(responses)'!P$3:P$322),3)
</f>
        <v>1.005</v>
      </c>
      <c r="M150" s="6">
        <f>ROUND(('ALL(responses)'!Q151 - AVERAGE('ALL(responses)'!Q$3:Q$322)) / _xlfn.STDEV.S('ALL(responses)'!Q$3:Q$322),3)
</f>
        <v>-1.125</v>
      </c>
      <c r="N150" s="6">
        <f>ROUND(('ALL(responses)'!R151 - AVERAGE('ALL(responses)'!R$3:R$322)) / _xlfn.STDEV.S('ALL(responses)'!R$3:R$322),3)
</f>
        <v>0.747</v>
      </c>
      <c r="O150" s="6">
        <f>ROUND(('ALL(responses)'!S151 - AVERAGE('ALL(responses)'!S$3:S$322)) / _xlfn.STDEV.S('ALL(responses)'!S$3:S$322),3)
</f>
        <v>0.558</v>
      </c>
      <c r="P150" s="6">
        <f>ROUND(('ALL(responses)'!T151 - AVERAGE('ALL(responses)'!T$3:T$322)) / _xlfn.STDEV.S('ALL(responses)'!T$3:T$322),3)
</f>
        <v>0.625</v>
      </c>
      <c r="Q150" s="40">
        <f t="shared" si="4"/>
        <v>0.278</v>
      </c>
    </row>
    <row r="151">
      <c r="A151" s="21" t="s">
        <v>63</v>
      </c>
      <c r="B151" s="23" t="s">
        <v>432</v>
      </c>
      <c r="C151" s="7" t="s">
        <v>82</v>
      </c>
      <c r="D151" s="8" t="s">
        <v>134</v>
      </c>
      <c r="E151" s="24">
        <v>45425.0</v>
      </c>
      <c r="F151" s="6">
        <f>ROUND(('ALL(responses)'!F152 - AVERAGE('ALL(responses)'!F$3:F$322)) / _xlfn.STDEV.S('ALL(responses)'!F$3:F$322),3)
</f>
        <v>1.658</v>
      </c>
      <c r="G151" s="6">
        <f>ROUND(('ALL(responses)'!G152 - AVERAGE('ALL(responses)'!G$3:G$322)) / _xlfn.STDEV.S('ALL(responses)'!G$3:G$322),3)
</f>
        <v>1.459</v>
      </c>
      <c r="H151" s="6">
        <f>ROUND(('ALL(responses)'!H152 - AVERAGE('ALL(responses)'!H$3:H$322)) / _xlfn.STDEV.S('ALL(responses)'!H$3:H$322),3)
</f>
        <v>2.204</v>
      </c>
      <c r="I151" s="6">
        <f>ROUND(('ALL(responses)'!I152 - AVERAGE('ALL(responses)'!I$3:I$322)) / _xlfn.STDEV.S('ALL(responses)'!I$3:I$322),3)
</f>
        <v>1.784</v>
      </c>
      <c r="J151" s="6">
        <f>ROUND(('ALL(responses)'!J152 - AVERAGE('ALL(responses)'!J$3:J$322)) / _xlfn.STDEV.S('ALL(responses)'!J$3:J$322),3)
</f>
        <v>-0.562</v>
      </c>
      <c r="K151" s="6">
        <f>ROUND(('ALL(responses)'!M152 - AVERAGE('ALL(responses)'!M$3:M$322)) / _xlfn.STDEV.S('ALL(responses)'!M$3:M$322),3)
</f>
        <v>2.405</v>
      </c>
      <c r="L151" s="6">
        <f>ROUND(('ALL(responses)'!P152 - AVERAGE('ALL(responses)'!P$3:P$322)) / _xlfn.STDEV.S('ALL(responses)'!P$3:P$322),3)
</f>
        <v>-0.236</v>
      </c>
      <c r="M151" s="6">
        <f>ROUND(('ALL(responses)'!Q152 - AVERAGE('ALL(responses)'!Q$3:Q$322)) / _xlfn.STDEV.S('ALL(responses)'!Q$3:Q$322),3)
</f>
        <v>0.709</v>
      </c>
      <c r="N151" s="6">
        <f>ROUND(('ALL(responses)'!R152 - AVERAGE('ALL(responses)'!R$3:R$322)) / _xlfn.STDEV.S('ALL(responses)'!R$3:R$322),3)
</f>
        <v>0.794</v>
      </c>
      <c r="O151" s="6">
        <f>ROUND(('ALL(responses)'!S152 - AVERAGE('ALL(responses)'!S$3:S$322)) / _xlfn.STDEV.S('ALL(responses)'!S$3:S$322),3)
</f>
        <v>0.579</v>
      </c>
      <c r="P151" s="6">
        <f>ROUND(('ALL(responses)'!T152 - AVERAGE('ALL(responses)'!T$3:T$322)) / _xlfn.STDEV.S('ALL(responses)'!T$3:T$322),3)
</f>
        <v>0.2</v>
      </c>
      <c r="Q151" s="40">
        <f t="shared" si="4"/>
        <v>0.278</v>
      </c>
      <c r="R151" s="30"/>
      <c r="S151" s="30"/>
      <c r="T151" s="30"/>
      <c r="U151" s="30"/>
      <c r="V151" s="30"/>
    </row>
    <row r="152">
      <c r="A152" s="5" t="s">
        <v>84</v>
      </c>
      <c r="B152" s="6" t="s">
        <v>432</v>
      </c>
      <c r="C152" s="7" t="s">
        <v>85</v>
      </c>
      <c r="D152" s="7" t="s">
        <v>135</v>
      </c>
      <c r="E152" s="9">
        <v>45425.0</v>
      </c>
      <c r="F152" s="6">
        <f>ROUND(('ALL(responses)'!F153 - AVERAGE('ALL(responses)'!F$3:F$322)) / _xlfn.STDEV.S('ALL(responses)'!F$3:F$322),3)
</f>
        <v>1.658</v>
      </c>
      <c r="G152" s="6">
        <f>ROUND(('ALL(responses)'!G153 - AVERAGE('ALL(responses)'!G$3:G$322)) / _xlfn.STDEV.S('ALL(responses)'!G$3:G$322),3)
</f>
        <v>1.459</v>
      </c>
      <c r="H152" s="6">
        <f>ROUND(('ALL(responses)'!H153 - AVERAGE('ALL(responses)'!H$3:H$322)) / _xlfn.STDEV.S('ALL(responses)'!H$3:H$322),3)
</f>
        <v>2.204</v>
      </c>
      <c r="I152" s="6">
        <f>ROUND(('ALL(responses)'!I153 - AVERAGE('ALL(responses)'!I$3:I$322)) / _xlfn.STDEV.S('ALL(responses)'!I$3:I$322),3)
</f>
        <v>1.784</v>
      </c>
      <c r="J152" s="6">
        <f>ROUND(('ALL(responses)'!J153 - AVERAGE('ALL(responses)'!J$3:J$322)) / _xlfn.STDEV.S('ALL(responses)'!J$3:J$322),3)
</f>
        <v>-0.562</v>
      </c>
      <c r="K152" s="6">
        <f>ROUND(('ALL(responses)'!M153 - AVERAGE('ALL(responses)'!M$3:M$322)) / _xlfn.STDEV.S('ALL(responses)'!M$3:M$322),3)
</f>
        <v>1.32</v>
      </c>
      <c r="L152" s="6">
        <f>ROUND(('ALL(responses)'!P153 - AVERAGE('ALL(responses)'!P$3:P$322)) / _xlfn.STDEV.S('ALL(responses)'!P$3:P$322),3)
</f>
        <v>0.344</v>
      </c>
      <c r="M152" s="6">
        <f>ROUND(('ALL(responses)'!Q153 - AVERAGE('ALL(responses)'!Q$3:Q$322)) / _xlfn.STDEV.S('ALL(responses)'!Q$3:Q$322),3)
</f>
        <v>0.406</v>
      </c>
      <c r="N152" s="6">
        <f>ROUND(('ALL(responses)'!R153 - AVERAGE('ALL(responses)'!R$3:R$322)) / _xlfn.STDEV.S('ALL(responses)'!R$3:R$322),3)
</f>
        <v>0.74</v>
      </c>
      <c r="O152" s="6">
        <f>ROUND(('ALL(responses)'!S153 - AVERAGE('ALL(responses)'!S$3:S$322)) / _xlfn.STDEV.S('ALL(responses)'!S$3:S$322),3)
</f>
        <v>0.555</v>
      </c>
      <c r="P152" s="6">
        <f>ROUND(('ALL(responses)'!T153 - AVERAGE('ALL(responses)'!T$3:T$322)) / _xlfn.STDEV.S('ALL(responses)'!T$3:T$322),3)
</f>
        <v>0.853</v>
      </c>
      <c r="Q152" s="40">
        <f t="shared" si="4"/>
        <v>0.278</v>
      </c>
    </row>
    <row r="153">
      <c r="A153" s="5" t="s">
        <v>84</v>
      </c>
      <c r="B153" s="6" t="s">
        <v>432</v>
      </c>
      <c r="C153" s="7" t="s">
        <v>87</v>
      </c>
      <c r="D153" s="7" t="s">
        <v>136</v>
      </c>
      <c r="E153" s="9">
        <v>45425.0</v>
      </c>
      <c r="F153" s="6">
        <f>ROUND(('ALL(responses)'!F154 - AVERAGE('ALL(responses)'!F$3:F$322)) / _xlfn.STDEV.S('ALL(responses)'!F$3:F$322),3)
</f>
        <v>1.658</v>
      </c>
      <c r="G153" s="6">
        <f>ROUND(('ALL(responses)'!G154 - AVERAGE('ALL(responses)'!G$3:G$322)) / _xlfn.STDEV.S('ALL(responses)'!G$3:G$322),3)
</f>
        <v>1.459</v>
      </c>
      <c r="H153" s="6">
        <f>ROUND(('ALL(responses)'!H154 - AVERAGE('ALL(responses)'!H$3:H$322)) / _xlfn.STDEV.S('ALL(responses)'!H$3:H$322),3)
</f>
        <v>2.204</v>
      </c>
      <c r="I153" s="6">
        <f>ROUND(('ALL(responses)'!I154 - AVERAGE('ALL(responses)'!I$3:I$322)) / _xlfn.STDEV.S('ALL(responses)'!I$3:I$322),3)
</f>
        <v>1.784</v>
      </c>
      <c r="J153" s="6">
        <f>ROUND(('ALL(responses)'!J154 - AVERAGE('ALL(responses)'!J$3:J$322)) / _xlfn.STDEV.S('ALL(responses)'!J$3:J$322),3)
</f>
        <v>-0.562</v>
      </c>
      <c r="K153" s="6">
        <f>ROUND(('ALL(responses)'!M154 - AVERAGE('ALL(responses)'!M$3:M$322)) / _xlfn.STDEV.S('ALL(responses)'!M$3:M$322),3)
</f>
        <v>1.425</v>
      </c>
      <c r="L153" s="6">
        <f>ROUND(('ALL(responses)'!P154 - AVERAGE('ALL(responses)'!P$3:P$322)) / _xlfn.STDEV.S('ALL(responses)'!P$3:P$322),3)
</f>
        <v>-1.159</v>
      </c>
      <c r="M153" s="6">
        <f>ROUND(('ALL(responses)'!Q154 - AVERAGE('ALL(responses)'!Q$3:Q$322)) / _xlfn.STDEV.S('ALL(responses)'!Q$3:Q$322),3)
</f>
        <v>-0.692</v>
      </c>
      <c r="N153" s="6">
        <f>ROUND(('ALL(responses)'!R154 - AVERAGE('ALL(responses)'!R$3:R$322)) / _xlfn.STDEV.S('ALL(responses)'!R$3:R$322),3)
</f>
        <v>0.617</v>
      </c>
      <c r="O153" s="6">
        <f>ROUND(('ALL(responses)'!S154 - AVERAGE('ALL(responses)'!S$3:S$322)) / _xlfn.STDEV.S('ALL(responses)'!S$3:S$322),3)
</f>
        <v>0.5</v>
      </c>
      <c r="P153" s="6">
        <f>ROUND(('ALL(responses)'!T154 - AVERAGE('ALL(responses)'!T$3:T$322)) / _xlfn.STDEV.S('ALL(responses)'!T$3:T$322),3)
</f>
        <v>0.17</v>
      </c>
      <c r="Q153" s="40">
        <f t="shared" si="4"/>
        <v>0.278</v>
      </c>
    </row>
    <row r="154">
      <c r="A154" s="5" t="s">
        <v>84</v>
      </c>
      <c r="B154" s="6" t="s">
        <v>432</v>
      </c>
      <c r="C154" s="7" t="s">
        <v>89</v>
      </c>
      <c r="D154" s="7" t="s">
        <v>137</v>
      </c>
      <c r="E154" s="9">
        <v>45425.0</v>
      </c>
      <c r="F154" s="6">
        <f>ROUND(('ALL(responses)'!F155 - AVERAGE('ALL(responses)'!F$3:F$322)) / _xlfn.STDEV.S('ALL(responses)'!F$3:F$322),3)
</f>
        <v>-0.571</v>
      </c>
      <c r="G154" s="6">
        <f>ROUND(('ALL(responses)'!G155 - AVERAGE('ALL(responses)'!G$3:G$322)) / _xlfn.STDEV.S('ALL(responses)'!G$3:G$322),3)
</f>
        <v>1.459</v>
      </c>
      <c r="H154" s="6">
        <f>ROUND(('ALL(responses)'!H155 - AVERAGE('ALL(responses)'!H$3:H$322)) / _xlfn.STDEV.S('ALL(responses)'!H$3:H$322),3)
</f>
        <v>-0.418</v>
      </c>
      <c r="I154" s="6">
        <f>ROUND(('ALL(responses)'!I155 - AVERAGE('ALL(responses)'!I$3:I$322)) / _xlfn.STDEV.S('ALL(responses)'!I$3:I$322),3)
</f>
        <v>-0.264</v>
      </c>
      <c r="J154" s="6">
        <f>ROUND(('ALL(responses)'!J155 - AVERAGE('ALL(responses)'!J$3:J$322)) / _xlfn.STDEV.S('ALL(responses)'!J$3:J$322),3)
</f>
        <v>-0.562</v>
      </c>
      <c r="K154" s="6">
        <f>ROUND(('ALL(responses)'!M155 - AVERAGE('ALL(responses)'!M$3:M$322)) / _xlfn.STDEV.S('ALL(responses)'!M$3:M$322),3)
</f>
        <v>1.072</v>
      </c>
      <c r="L154" s="6">
        <f>ROUND(('ALL(responses)'!P155 - AVERAGE('ALL(responses)'!P$3:P$322)) / _xlfn.STDEV.S('ALL(responses)'!P$3:P$322),3)
</f>
        <v>0.382</v>
      </c>
      <c r="M154" s="6">
        <f>ROUND(('ALL(responses)'!Q155 - AVERAGE('ALL(responses)'!Q$3:Q$322)) / _xlfn.STDEV.S('ALL(responses)'!Q$3:Q$322),3)
</f>
        <v>-1.14</v>
      </c>
      <c r="N154" s="6">
        <f>ROUND(('ALL(responses)'!R155 - AVERAGE('ALL(responses)'!R$3:R$322)) / _xlfn.STDEV.S('ALL(responses)'!R$3:R$322),3)
</f>
        <v>0.684</v>
      </c>
      <c r="O154" s="6">
        <f>ROUND(('ALL(responses)'!S155 - AVERAGE('ALL(responses)'!S$3:S$322)) / _xlfn.STDEV.S('ALL(responses)'!S$3:S$322),3)
</f>
        <v>0.53</v>
      </c>
      <c r="P154" s="6">
        <f>ROUND(('ALL(responses)'!T155 - AVERAGE('ALL(responses)'!T$3:T$322)) / _xlfn.STDEV.S('ALL(responses)'!T$3:T$322),3)
</f>
        <v>0.441</v>
      </c>
      <c r="Q154" s="40">
        <f t="shared" si="4"/>
        <v>0.278</v>
      </c>
    </row>
    <row r="155">
      <c r="A155" s="5" t="s">
        <v>84</v>
      </c>
      <c r="B155" s="6" t="s">
        <v>432</v>
      </c>
      <c r="C155" s="7" t="s">
        <v>91</v>
      </c>
      <c r="D155" s="7" t="s">
        <v>138</v>
      </c>
      <c r="E155" s="9">
        <v>45425.0</v>
      </c>
      <c r="F155" s="6">
        <f>ROUND(('ALL(responses)'!F156 - AVERAGE('ALL(responses)'!F$3:F$322)) / _xlfn.STDEV.S('ALL(responses)'!F$3:F$322),3)
</f>
        <v>1.658</v>
      </c>
      <c r="G155" s="6">
        <f>ROUND(('ALL(responses)'!G156 - AVERAGE('ALL(responses)'!G$3:G$322)) / _xlfn.STDEV.S('ALL(responses)'!G$3:G$322),3)
</f>
        <v>-0.21</v>
      </c>
      <c r="H155" s="6">
        <f>ROUND(('ALL(responses)'!H156 - AVERAGE('ALL(responses)'!H$3:H$322)) / _xlfn.STDEV.S('ALL(responses)'!H$3:H$322),3)
</f>
        <v>2.204</v>
      </c>
      <c r="I155" s="6">
        <f>ROUND(('ALL(responses)'!I156 - AVERAGE('ALL(responses)'!I$3:I$322)) / _xlfn.STDEV.S('ALL(responses)'!I$3:I$322),3)
</f>
        <v>-0.264</v>
      </c>
      <c r="J155" s="6">
        <f>ROUND(('ALL(responses)'!J156 - AVERAGE('ALL(responses)'!J$3:J$322)) / _xlfn.STDEV.S('ALL(responses)'!J$3:J$322),3)
</f>
        <v>-0.562</v>
      </c>
      <c r="K155" s="6">
        <f>ROUND(('ALL(responses)'!M156 - AVERAGE('ALL(responses)'!M$3:M$322)) / _xlfn.STDEV.S('ALL(responses)'!M$3:M$322),3)
</f>
        <v>1.133</v>
      </c>
      <c r="L155" s="6">
        <f>ROUND(('ALL(responses)'!P156 - AVERAGE('ALL(responses)'!P$3:P$322)) / _xlfn.STDEV.S('ALL(responses)'!P$3:P$322),3)
</f>
        <v>0.717</v>
      </c>
      <c r="M155" s="6">
        <f>ROUND(('ALL(responses)'!Q156 - AVERAGE('ALL(responses)'!Q$3:Q$322)) / _xlfn.STDEV.S('ALL(responses)'!Q$3:Q$322),3)
</f>
        <v>-0.529</v>
      </c>
      <c r="N155" s="6">
        <f>ROUND(('ALL(responses)'!R156 - AVERAGE('ALL(responses)'!R$3:R$322)) / _xlfn.STDEV.S('ALL(responses)'!R$3:R$322),3)
</f>
        <v>0.407</v>
      </c>
      <c r="O155" s="6">
        <f>ROUND(('ALL(responses)'!S156 - AVERAGE('ALL(responses)'!S$3:S$322)) / _xlfn.STDEV.S('ALL(responses)'!S$3:S$322),3)
</f>
        <v>0.408</v>
      </c>
      <c r="P155" s="6">
        <f>ROUND(('ALL(responses)'!T156 - AVERAGE('ALL(responses)'!T$3:T$322)) / _xlfn.STDEV.S('ALL(responses)'!T$3:T$322),3)
</f>
        <v>1.65</v>
      </c>
      <c r="Q155" s="40">
        <f t="shared" si="4"/>
        <v>0.278</v>
      </c>
    </row>
    <row r="156">
      <c r="A156" s="5" t="s">
        <v>84</v>
      </c>
      <c r="B156" s="6" t="s">
        <v>432</v>
      </c>
      <c r="C156" s="7" t="s">
        <v>93</v>
      </c>
      <c r="D156" s="7" t="s">
        <v>139</v>
      </c>
      <c r="E156" s="9">
        <v>45425.0</v>
      </c>
      <c r="F156" s="6">
        <f>ROUND(('ALL(responses)'!F157 - AVERAGE('ALL(responses)'!F$3:F$322)) / _xlfn.STDEV.S('ALL(responses)'!F$3:F$322),3)
</f>
        <v>1.658</v>
      </c>
      <c r="G156" s="6">
        <f>ROUND(('ALL(responses)'!G157 - AVERAGE('ALL(responses)'!G$3:G$322)) / _xlfn.STDEV.S('ALL(responses)'!G$3:G$322),3)
</f>
        <v>-0.21</v>
      </c>
      <c r="H156" s="6">
        <f>ROUND(('ALL(responses)'!H157 - AVERAGE('ALL(responses)'!H$3:H$322)) / _xlfn.STDEV.S('ALL(responses)'!H$3:H$322),3)
</f>
        <v>-0.418</v>
      </c>
      <c r="I156" s="6">
        <f>ROUND(('ALL(responses)'!I157 - AVERAGE('ALL(responses)'!I$3:I$322)) / _xlfn.STDEV.S('ALL(responses)'!I$3:I$322),3)
</f>
        <v>-0.264</v>
      </c>
      <c r="J156" s="6">
        <f>ROUND(('ALL(responses)'!J157 - AVERAGE('ALL(responses)'!J$3:J$322)) / _xlfn.STDEV.S('ALL(responses)'!J$3:J$322),3)
</f>
        <v>-0.562</v>
      </c>
      <c r="K156" s="6">
        <f>ROUND(('ALL(responses)'!M157 - AVERAGE('ALL(responses)'!M$3:M$322)) / _xlfn.STDEV.S('ALL(responses)'!M$3:M$322),3)
</f>
        <v>-0.832</v>
      </c>
      <c r="L156" s="6">
        <f>ROUND(('ALL(responses)'!P157 - AVERAGE('ALL(responses)'!P$3:P$322)) / _xlfn.STDEV.S('ALL(responses)'!P$3:P$322),3)
</f>
        <v>0.427</v>
      </c>
      <c r="M156" s="6">
        <f>ROUND(('ALL(responses)'!Q157 - AVERAGE('ALL(responses)'!Q$3:Q$322)) / _xlfn.STDEV.S('ALL(responses)'!Q$3:Q$322),3)
</f>
        <v>0.754</v>
      </c>
      <c r="N156" s="6">
        <f>ROUND(('ALL(responses)'!R157 - AVERAGE('ALL(responses)'!R$3:R$322)) / _xlfn.STDEV.S('ALL(responses)'!R$3:R$322),3)
</f>
        <v>-4.239</v>
      </c>
      <c r="O156" s="6">
        <f>ROUND(('ALL(responses)'!S157 - AVERAGE('ALL(responses)'!S$3:S$322)) / _xlfn.STDEV.S('ALL(responses)'!S$3:S$322),3)
</f>
        <v>-1.65</v>
      </c>
      <c r="P156" s="6">
        <f>ROUND(('ALL(responses)'!T157 - AVERAGE('ALL(responses)'!T$3:T$322)) / _xlfn.STDEV.S('ALL(responses)'!T$3:T$322),3)
</f>
        <v>-1.271</v>
      </c>
      <c r="Q156" s="40">
        <f t="shared" si="4"/>
        <v>0.278</v>
      </c>
    </row>
    <row r="157">
      <c r="A157" s="5" t="s">
        <v>84</v>
      </c>
      <c r="B157" s="6" t="s">
        <v>432</v>
      </c>
      <c r="C157" s="7" t="s">
        <v>95</v>
      </c>
      <c r="D157" s="7" t="s">
        <v>140</v>
      </c>
      <c r="E157" s="9">
        <v>45425.0</v>
      </c>
      <c r="F157" s="6">
        <f>ROUND(('ALL(responses)'!F158 - AVERAGE('ALL(responses)'!F$3:F$322)) / _xlfn.STDEV.S('ALL(responses)'!F$3:F$322),3)
</f>
        <v>1.658</v>
      </c>
      <c r="G157" s="6">
        <f>ROUND(('ALL(responses)'!G158 - AVERAGE('ALL(responses)'!G$3:G$322)) / _xlfn.STDEV.S('ALL(responses)'!G$3:G$322),3)
</f>
        <v>1.459</v>
      </c>
      <c r="H157" s="6">
        <f>ROUND(('ALL(responses)'!H158 - AVERAGE('ALL(responses)'!H$3:H$322)) / _xlfn.STDEV.S('ALL(responses)'!H$3:H$322),3)
</f>
        <v>2.204</v>
      </c>
      <c r="I157" s="6">
        <f>ROUND(('ALL(responses)'!I158 - AVERAGE('ALL(responses)'!I$3:I$322)) / _xlfn.STDEV.S('ALL(responses)'!I$3:I$322),3)
</f>
        <v>1.784</v>
      </c>
      <c r="J157" s="6">
        <f>ROUND(('ALL(responses)'!J158 - AVERAGE('ALL(responses)'!J$3:J$322)) / _xlfn.STDEV.S('ALL(responses)'!J$3:J$322),3)
</f>
        <v>-0.562</v>
      </c>
      <c r="K157" s="6">
        <f>ROUND(('ALL(responses)'!M158 - AVERAGE('ALL(responses)'!M$3:M$322)) / _xlfn.STDEV.S('ALL(responses)'!M$3:M$322),3)
</f>
        <v>1.809</v>
      </c>
      <c r="L157" s="6">
        <f>ROUND(('ALL(responses)'!P158 - AVERAGE('ALL(responses)'!P$3:P$322)) / _xlfn.STDEV.S('ALL(responses)'!P$3:P$322),3)
</f>
        <v>-0.086</v>
      </c>
      <c r="M157" s="6">
        <f>ROUND(('ALL(responses)'!Q158 - AVERAGE('ALL(responses)'!Q$3:Q$322)) / _xlfn.STDEV.S('ALL(responses)'!Q$3:Q$322),3)
</f>
        <v>-0.077</v>
      </c>
      <c r="N157" s="6">
        <f>ROUND(('ALL(responses)'!R158 - AVERAGE('ALL(responses)'!R$3:R$322)) / _xlfn.STDEV.S('ALL(responses)'!R$3:R$322),3)
</f>
        <v>0.787</v>
      </c>
      <c r="O157" s="6">
        <f>ROUND(('ALL(responses)'!S158 - AVERAGE('ALL(responses)'!S$3:S$322)) / _xlfn.STDEV.S('ALL(responses)'!S$3:S$322),3)
</f>
        <v>0.576</v>
      </c>
      <c r="P157" s="6">
        <f>ROUND(('ALL(responses)'!T158 - AVERAGE('ALL(responses)'!T$3:T$322)) / _xlfn.STDEV.S('ALL(responses)'!T$3:T$322),3)
</f>
        <v>0.001</v>
      </c>
      <c r="Q157" s="40">
        <f t="shared" si="4"/>
        <v>0.278</v>
      </c>
    </row>
    <row r="158">
      <c r="A158" s="5" t="s">
        <v>84</v>
      </c>
      <c r="B158" s="6" t="s">
        <v>432</v>
      </c>
      <c r="C158" s="7" t="s">
        <v>97</v>
      </c>
      <c r="D158" s="7" t="s">
        <v>141</v>
      </c>
      <c r="E158" s="9">
        <v>45425.0</v>
      </c>
      <c r="F158" s="6">
        <f>ROUND(('ALL(responses)'!F159 - AVERAGE('ALL(responses)'!F$3:F$322)) / _xlfn.STDEV.S('ALL(responses)'!F$3:F$322),3)
</f>
        <v>1.658</v>
      </c>
      <c r="G158" s="6">
        <f>ROUND(('ALL(responses)'!G159 - AVERAGE('ALL(responses)'!G$3:G$322)) / _xlfn.STDEV.S('ALL(responses)'!G$3:G$322),3)
</f>
        <v>1.459</v>
      </c>
      <c r="H158" s="6">
        <f>ROUND(('ALL(responses)'!H159 - AVERAGE('ALL(responses)'!H$3:H$322)) / _xlfn.STDEV.S('ALL(responses)'!H$3:H$322),3)
</f>
        <v>2.204</v>
      </c>
      <c r="I158" s="6">
        <f>ROUND(('ALL(responses)'!I159 - AVERAGE('ALL(responses)'!I$3:I$322)) / _xlfn.STDEV.S('ALL(responses)'!I$3:I$322),3)
</f>
        <v>1.784</v>
      </c>
      <c r="J158" s="6">
        <f>ROUND(('ALL(responses)'!J159 - AVERAGE('ALL(responses)'!J$3:J$322)) / _xlfn.STDEV.S('ALL(responses)'!J$3:J$322),3)
</f>
        <v>-0.562</v>
      </c>
      <c r="K158" s="6">
        <f>ROUND(('ALL(responses)'!M159 - AVERAGE('ALL(responses)'!M$3:M$322)) / _xlfn.STDEV.S('ALL(responses)'!M$3:M$322),3)
</f>
        <v>0.372</v>
      </c>
      <c r="L158" s="6">
        <f>ROUND(('ALL(responses)'!P159 - AVERAGE('ALL(responses)'!P$3:P$322)) / _xlfn.STDEV.S('ALL(responses)'!P$3:P$322),3)
</f>
        <v>-1.183</v>
      </c>
      <c r="M158" s="6">
        <f>ROUND(('ALL(responses)'!Q159 - AVERAGE('ALL(responses)'!Q$3:Q$322)) / _xlfn.STDEV.S('ALL(responses)'!Q$3:Q$322),3)
</f>
        <v>-0.518</v>
      </c>
      <c r="N158" s="6">
        <f>ROUND(('ALL(responses)'!R159 - AVERAGE('ALL(responses)'!R$3:R$322)) / _xlfn.STDEV.S('ALL(responses)'!R$3:R$322),3)
</f>
        <v>0.752</v>
      </c>
      <c r="O158" s="6">
        <f>ROUND(('ALL(responses)'!S159 - AVERAGE('ALL(responses)'!S$3:S$322)) / _xlfn.STDEV.S('ALL(responses)'!S$3:S$322),3)
</f>
        <v>0.56</v>
      </c>
      <c r="P158" s="6">
        <f>ROUND(('ALL(responses)'!T159 - AVERAGE('ALL(responses)'!T$3:T$322)) / _xlfn.STDEV.S('ALL(responses)'!T$3:T$322),3)
</f>
        <v>2.246</v>
      </c>
      <c r="Q158" s="40">
        <f t="shared" si="4"/>
        <v>0.278</v>
      </c>
    </row>
    <row r="159">
      <c r="A159" s="5" t="s">
        <v>84</v>
      </c>
      <c r="B159" s="6" t="s">
        <v>432</v>
      </c>
      <c r="C159" s="7" t="s">
        <v>99</v>
      </c>
      <c r="D159" s="7" t="s">
        <v>142</v>
      </c>
      <c r="E159" s="9">
        <v>45425.0</v>
      </c>
      <c r="F159" s="6">
        <f>ROUND(('ALL(responses)'!F160 - AVERAGE('ALL(responses)'!F$3:F$322)) / _xlfn.STDEV.S('ALL(responses)'!F$3:F$322),3)
</f>
        <v>1.658</v>
      </c>
      <c r="G159" s="6">
        <f>ROUND(('ALL(responses)'!G160 - AVERAGE('ALL(responses)'!G$3:G$322)) / _xlfn.STDEV.S('ALL(responses)'!G$3:G$322),3)
</f>
        <v>1.459</v>
      </c>
      <c r="H159" s="6">
        <f>ROUND(('ALL(responses)'!H160 - AVERAGE('ALL(responses)'!H$3:H$322)) / _xlfn.STDEV.S('ALL(responses)'!H$3:H$322),3)
</f>
        <v>2.204</v>
      </c>
      <c r="I159" s="6">
        <f>ROUND(('ALL(responses)'!I160 - AVERAGE('ALL(responses)'!I$3:I$322)) / _xlfn.STDEV.S('ALL(responses)'!I$3:I$322),3)
</f>
        <v>1.784</v>
      </c>
      <c r="J159" s="6">
        <f>ROUND(('ALL(responses)'!J160 - AVERAGE('ALL(responses)'!J$3:J$322)) / _xlfn.STDEV.S('ALL(responses)'!J$3:J$322),3)
</f>
        <v>-0.562</v>
      </c>
      <c r="K159" s="6">
        <f>ROUND(('ALL(responses)'!M160 - AVERAGE('ALL(responses)'!M$3:M$322)) / _xlfn.STDEV.S('ALL(responses)'!M$3:M$322),3)
</f>
        <v>1.825</v>
      </c>
      <c r="L159" s="6">
        <f>ROUND(('ALL(responses)'!P160 - AVERAGE('ALL(responses)'!P$3:P$322)) / _xlfn.STDEV.S('ALL(responses)'!P$3:P$322),3)
</f>
        <v>1.333</v>
      </c>
      <c r="M159" s="6">
        <f>ROUND(('ALL(responses)'!Q160 - AVERAGE('ALL(responses)'!Q$3:Q$322)) / _xlfn.STDEV.S('ALL(responses)'!Q$3:Q$322),3)
</f>
        <v>-1.063</v>
      </c>
      <c r="N159" s="6">
        <f>ROUND(('ALL(responses)'!R160 - AVERAGE('ALL(responses)'!R$3:R$322)) / _xlfn.STDEV.S('ALL(responses)'!R$3:R$322),3)
</f>
        <v>0.775</v>
      </c>
      <c r="O159" s="6">
        <f>ROUND(('ALL(responses)'!S160 - AVERAGE('ALL(responses)'!S$3:S$322)) / _xlfn.STDEV.S('ALL(responses)'!S$3:S$322),3)
</f>
        <v>-3.871</v>
      </c>
      <c r="P159" s="6">
        <f>ROUND(('ALL(responses)'!T160 - AVERAGE('ALL(responses)'!T$3:T$322)) / _xlfn.STDEV.S('ALL(responses)'!T$3:T$322),3)
</f>
        <v>0.753</v>
      </c>
      <c r="Q159" s="40">
        <f t="shared" si="4"/>
        <v>0.278</v>
      </c>
    </row>
    <row r="160">
      <c r="A160" s="5" t="s">
        <v>84</v>
      </c>
      <c r="B160" s="6" t="s">
        <v>432</v>
      </c>
      <c r="C160" s="7" t="s">
        <v>101</v>
      </c>
      <c r="D160" s="7" t="s">
        <v>143</v>
      </c>
      <c r="E160" s="9">
        <v>45425.0</v>
      </c>
      <c r="F160" s="6">
        <f>ROUND(('ALL(responses)'!F161 - AVERAGE('ALL(responses)'!F$3:F$322)) / _xlfn.STDEV.S('ALL(responses)'!F$3:F$322),3)
</f>
        <v>1.658</v>
      </c>
      <c r="G160" s="6">
        <f>ROUND(('ALL(responses)'!G161 - AVERAGE('ALL(responses)'!G$3:G$322)) / _xlfn.STDEV.S('ALL(responses)'!G$3:G$322),3)
</f>
        <v>1.459</v>
      </c>
      <c r="H160" s="6">
        <f>ROUND(('ALL(responses)'!H161 - AVERAGE('ALL(responses)'!H$3:H$322)) / _xlfn.STDEV.S('ALL(responses)'!H$3:H$322),3)
</f>
        <v>2.204</v>
      </c>
      <c r="I160" s="6">
        <f>ROUND(('ALL(responses)'!I161 - AVERAGE('ALL(responses)'!I$3:I$322)) / _xlfn.STDEV.S('ALL(responses)'!I$3:I$322),3)
</f>
        <v>-0.264</v>
      </c>
      <c r="J160" s="6">
        <f>ROUND(('ALL(responses)'!J161 - AVERAGE('ALL(responses)'!J$3:J$322)) / _xlfn.STDEV.S('ALL(responses)'!J$3:J$322),3)
</f>
        <v>-0.562</v>
      </c>
      <c r="K160" s="6">
        <f>ROUND(('ALL(responses)'!M161 - AVERAGE('ALL(responses)'!M$3:M$322)) / _xlfn.STDEV.S('ALL(responses)'!M$3:M$322),3)
</f>
        <v>2.275</v>
      </c>
      <c r="L160" s="6">
        <f>ROUND(('ALL(responses)'!P161 - AVERAGE('ALL(responses)'!P$3:P$322)) / _xlfn.STDEV.S('ALL(responses)'!P$3:P$322),3)
</f>
        <v>-0.144</v>
      </c>
      <c r="M160" s="6">
        <f>ROUND(('ALL(responses)'!Q161 - AVERAGE('ALL(responses)'!Q$3:Q$322)) / _xlfn.STDEV.S('ALL(responses)'!Q$3:Q$322),3)
</f>
        <v>2.044</v>
      </c>
      <c r="N160" s="6">
        <f>ROUND(('ALL(responses)'!R161 - AVERAGE('ALL(responses)'!R$3:R$322)) / _xlfn.STDEV.S('ALL(responses)'!R$3:R$322),3)
</f>
        <v>0.739</v>
      </c>
      <c r="O160" s="6">
        <f>ROUND(('ALL(responses)'!S161 - AVERAGE('ALL(responses)'!S$3:S$322)) / _xlfn.STDEV.S('ALL(responses)'!S$3:S$322),3)
</f>
        <v>0.554</v>
      </c>
      <c r="P160" s="6">
        <f>ROUND(('ALL(responses)'!T161 - AVERAGE('ALL(responses)'!T$3:T$322)) / _xlfn.STDEV.S('ALL(responses)'!T$3:T$322),3)
</f>
        <v>-0.903</v>
      </c>
      <c r="Q160" s="40">
        <f t="shared" si="4"/>
        <v>0.278</v>
      </c>
    </row>
    <row r="161">
      <c r="A161" s="5" t="s">
        <v>84</v>
      </c>
      <c r="B161" s="6" t="s">
        <v>432</v>
      </c>
      <c r="C161" s="7" t="s">
        <v>103</v>
      </c>
      <c r="D161" s="7" t="s">
        <v>144</v>
      </c>
      <c r="E161" s="9">
        <v>45425.0</v>
      </c>
      <c r="F161" s="6">
        <f>ROUND(('ALL(responses)'!F162 - AVERAGE('ALL(responses)'!F$3:F$322)) / _xlfn.STDEV.S('ALL(responses)'!F$3:F$322),3)
</f>
        <v>-0.571</v>
      </c>
      <c r="G161" s="6">
        <f>ROUND(('ALL(responses)'!G162 - AVERAGE('ALL(responses)'!G$3:G$322)) / _xlfn.STDEV.S('ALL(responses)'!G$3:G$322),3)
</f>
        <v>-0.627</v>
      </c>
      <c r="H161" s="6">
        <f>ROUND(('ALL(responses)'!H162 - AVERAGE('ALL(responses)'!H$3:H$322)) / _xlfn.STDEV.S('ALL(responses)'!H$3:H$322),3)
</f>
        <v>-0.942</v>
      </c>
      <c r="I161" s="6">
        <f>ROUND(('ALL(responses)'!I162 - AVERAGE('ALL(responses)'!I$3:I$322)) / _xlfn.STDEV.S('ALL(responses)'!I$3:I$322),3)
</f>
        <v>-0.673</v>
      </c>
      <c r="J161" s="6">
        <f>ROUND(('ALL(responses)'!J162 - AVERAGE('ALL(responses)'!J$3:J$322)) / _xlfn.STDEV.S('ALL(responses)'!J$3:J$322),3)
</f>
        <v>-0.562</v>
      </c>
      <c r="K161" s="6">
        <f>ROUND(('ALL(responses)'!M162 - AVERAGE('ALL(responses)'!M$3:M$322)) / _xlfn.STDEV.S('ALL(responses)'!M$3:M$322),3)
</f>
        <v>-0.727</v>
      </c>
      <c r="L161" s="6">
        <f>ROUND(('ALL(responses)'!P162 - AVERAGE('ALL(responses)'!P$3:P$322)) / _xlfn.STDEV.S('ALL(responses)'!P$3:P$322),3)
</f>
        <v>0.298</v>
      </c>
      <c r="M161" s="6">
        <f>ROUND(('ALL(responses)'!Q162 - AVERAGE('ALL(responses)'!Q$3:Q$322)) / _xlfn.STDEV.S('ALL(responses)'!Q$3:Q$322),3)
</f>
        <v>1.69</v>
      </c>
      <c r="N161" s="6">
        <f>ROUND(('ALL(responses)'!R162 - AVERAGE('ALL(responses)'!R$3:R$322)) / _xlfn.STDEV.S('ALL(responses)'!R$3:R$322),3)
</f>
        <v>-0.316</v>
      </c>
      <c r="O161" s="6">
        <f>ROUND(('ALL(responses)'!S162 - AVERAGE('ALL(responses)'!S$3:S$322)) / _xlfn.STDEV.S('ALL(responses)'!S$3:S$322),3)
</f>
        <v>0.087</v>
      </c>
      <c r="P161" s="6">
        <f>ROUND(('ALL(responses)'!T162 - AVERAGE('ALL(responses)'!T$3:T$322)) / _xlfn.STDEV.S('ALL(responses)'!T$3:T$322),3)
</f>
        <v>-2.311</v>
      </c>
      <c r="Q161" s="40">
        <f t="shared" si="4"/>
        <v>0.278</v>
      </c>
    </row>
    <row r="162">
      <c r="A162" s="41"/>
      <c r="C162" s="7"/>
      <c r="D162" s="7"/>
      <c r="E162" s="18"/>
      <c r="F162" s="38"/>
      <c r="G162" s="38"/>
      <c r="H162" s="38"/>
      <c r="I162" s="38"/>
      <c r="J162" s="38"/>
      <c r="K162" s="38"/>
      <c r="L162" s="38"/>
      <c r="M162" s="38"/>
      <c r="N162" s="38"/>
      <c r="O162" s="38"/>
      <c r="P162" s="38"/>
    </row>
    <row r="163">
      <c r="A163" s="41"/>
      <c r="C163" s="7"/>
      <c r="D163" s="7"/>
      <c r="E163" s="18"/>
      <c r="F163" s="38"/>
      <c r="G163" s="38"/>
      <c r="H163" s="38"/>
      <c r="I163" s="38"/>
      <c r="J163" s="38"/>
      <c r="K163" s="38"/>
      <c r="L163" s="38"/>
      <c r="M163" s="38"/>
      <c r="N163" s="38"/>
      <c r="O163" s="38"/>
      <c r="P163" s="38"/>
    </row>
    <row r="164">
      <c r="A164" s="41"/>
      <c r="C164" s="7"/>
      <c r="D164" s="22" t="s">
        <v>714</v>
      </c>
      <c r="E164" s="18"/>
      <c r="F164" s="38">
        <f t="shared" ref="F164:P164" si="5">AVERAGE(F2:F161)</f>
        <v>0.50726875</v>
      </c>
      <c r="G164" s="38">
        <f t="shared" si="5"/>
        <v>0.56736875</v>
      </c>
      <c r="H164" s="38">
        <f t="shared" si="5"/>
        <v>0.44728125</v>
      </c>
      <c r="I164" s="38">
        <f t="shared" si="5"/>
        <v>0.62721875</v>
      </c>
      <c r="J164" s="38">
        <f t="shared" si="5"/>
        <v>0.3621875</v>
      </c>
      <c r="K164" s="38">
        <f t="shared" si="5"/>
        <v>0.10738125</v>
      </c>
      <c r="L164" s="38">
        <f t="shared" si="5"/>
        <v>0.05251875</v>
      </c>
      <c r="M164" s="38">
        <f t="shared" si="5"/>
        <v>0.19580625</v>
      </c>
      <c r="N164" s="38">
        <f t="shared" si="5"/>
        <v>-0.01476875</v>
      </c>
      <c r="O164" s="38">
        <f t="shared" si="5"/>
        <v>0.0016</v>
      </c>
      <c r="P164" s="38">
        <f t="shared" si="5"/>
        <v>-0.1719875</v>
      </c>
    </row>
    <row r="165">
      <c r="A165" s="41"/>
      <c r="C165" s="7"/>
      <c r="D165" s="22" t="s">
        <v>715</v>
      </c>
      <c r="E165" s="18"/>
      <c r="F165" s="38">
        <f t="shared" ref="F165:P165" si="6">MIN(F2:F161)</f>
        <v>-0.571</v>
      </c>
      <c r="G165" s="38">
        <f t="shared" si="6"/>
        <v>-0.627</v>
      </c>
      <c r="H165" s="38">
        <f t="shared" si="6"/>
        <v>-0.942</v>
      </c>
      <c r="I165" s="38">
        <f t="shared" si="6"/>
        <v>-0.673</v>
      </c>
      <c r="J165" s="38">
        <f t="shared" si="6"/>
        <v>-0.562</v>
      </c>
      <c r="K165" s="38">
        <f t="shared" si="6"/>
        <v>-1.983</v>
      </c>
      <c r="L165" s="38">
        <f t="shared" si="6"/>
        <v>-1.457</v>
      </c>
      <c r="M165" s="38">
        <f t="shared" si="6"/>
        <v>-1.597</v>
      </c>
      <c r="N165" s="38">
        <f t="shared" si="6"/>
        <v>-4.239</v>
      </c>
      <c r="O165" s="38">
        <f t="shared" si="6"/>
        <v>-3.88</v>
      </c>
      <c r="P165" s="38">
        <f t="shared" si="6"/>
        <v>-3.187</v>
      </c>
    </row>
    <row r="166">
      <c r="A166" s="19"/>
      <c r="B166" s="19"/>
      <c r="C166" s="42"/>
      <c r="D166" s="22" t="s">
        <v>716</v>
      </c>
      <c r="E166" s="19"/>
      <c r="F166" s="55">
        <f t="shared" ref="F166:P166" si="7">MAX(F2:F161)</f>
        <v>2.55</v>
      </c>
      <c r="G166" s="55">
        <f t="shared" si="7"/>
        <v>2.294</v>
      </c>
      <c r="H166" s="55">
        <f t="shared" si="7"/>
        <v>2.204</v>
      </c>
      <c r="I166" s="55">
        <f t="shared" si="7"/>
        <v>2.194</v>
      </c>
      <c r="J166" s="55">
        <f t="shared" si="7"/>
        <v>2.151</v>
      </c>
      <c r="K166" s="55">
        <f t="shared" si="7"/>
        <v>2.678</v>
      </c>
      <c r="L166" s="55">
        <f t="shared" si="7"/>
        <v>2.904</v>
      </c>
      <c r="M166" s="55">
        <f t="shared" si="7"/>
        <v>3.001</v>
      </c>
      <c r="N166" s="55">
        <f t="shared" si="7"/>
        <v>0.797</v>
      </c>
      <c r="O166" s="55">
        <f t="shared" si="7"/>
        <v>0.58</v>
      </c>
      <c r="P166" s="55">
        <f t="shared" si="7"/>
        <v>2.749</v>
      </c>
    </row>
    <row r="167">
      <c r="A167" s="41"/>
      <c r="C167" s="7"/>
      <c r="D167" s="7"/>
      <c r="E167" s="18"/>
      <c r="F167" s="38"/>
      <c r="G167" s="38"/>
      <c r="H167" s="38"/>
      <c r="I167" s="38"/>
      <c r="J167" s="38"/>
      <c r="K167" s="38"/>
      <c r="L167" s="38"/>
      <c r="M167" s="38"/>
      <c r="N167" s="38"/>
      <c r="O167" s="38"/>
      <c r="P167" s="38"/>
    </row>
    <row r="168">
      <c r="A168" s="41"/>
      <c r="C168" s="7"/>
      <c r="D168" s="7"/>
      <c r="E168" s="18"/>
      <c r="F168" s="38"/>
      <c r="G168" s="38"/>
      <c r="H168" s="38"/>
      <c r="I168" s="38"/>
      <c r="J168" s="38"/>
      <c r="K168" s="38"/>
      <c r="L168" s="38"/>
      <c r="M168" s="38"/>
      <c r="N168" s="38"/>
      <c r="O168" s="38"/>
      <c r="P168" s="38"/>
    </row>
    <row r="169">
      <c r="A169" s="41"/>
      <c r="C169" s="7"/>
      <c r="D169" s="7"/>
      <c r="E169" s="18"/>
      <c r="F169" s="38"/>
      <c r="G169" s="38"/>
      <c r="H169" s="38"/>
      <c r="I169" s="38"/>
      <c r="J169" s="38"/>
      <c r="K169" s="38"/>
      <c r="L169" s="38"/>
      <c r="M169" s="38"/>
      <c r="N169" s="38"/>
      <c r="O169" s="38"/>
      <c r="P169" s="38"/>
    </row>
    <row r="170">
      <c r="A170" s="41"/>
      <c r="C170" s="7"/>
      <c r="D170" s="7"/>
      <c r="E170" s="18"/>
      <c r="F170" s="38"/>
      <c r="G170" s="38"/>
      <c r="H170" s="38"/>
      <c r="I170" s="38"/>
      <c r="J170" s="38"/>
      <c r="K170" s="38"/>
      <c r="L170" s="38"/>
      <c r="M170" s="38"/>
      <c r="N170" s="38"/>
      <c r="O170" s="38"/>
      <c r="P170" s="38"/>
    </row>
    <row r="171">
      <c r="A171" s="41"/>
      <c r="C171" s="7"/>
      <c r="D171" s="7"/>
      <c r="E171" s="18"/>
      <c r="F171" s="38"/>
      <c r="G171" s="38"/>
      <c r="H171" s="38"/>
      <c r="I171" s="38"/>
      <c r="J171" s="38"/>
      <c r="K171" s="38"/>
      <c r="L171" s="38"/>
      <c r="M171" s="38"/>
      <c r="N171" s="38"/>
      <c r="O171" s="38"/>
      <c r="P171" s="38"/>
    </row>
    <row r="172">
      <c r="A172" s="41"/>
      <c r="C172" s="7"/>
      <c r="D172" s="7"/>
      <c r="E172" s="18"/>
      <c r="F172" s="38"/>
      <c r="G172" s="38"/>
      <c r="H172" s="38"/>
      <c r="I172" s="38"/>
      <c r="J172" s="38"/>
      <c r="K172" s="38"/>
      <c r="L172" s="38"/>
      <c r="M172" s="38"/>
      <c r="N172" s="38"/>
      <c r="O172" s="38"/>
      <c r="P172" s="38"/>
    </row>
    <row r="173">
      <c r="A173" s="41"/>
      <c r="C173" s="7"/>
      <c r="D173" s="7"/>
      <c r="E173" s="18"/>
      <c r="F173" s="38"/>
      <c r="G173" s="38"/>
      <c r="H173" s="38"/>
      <c r="I173" s="38"/>
      <c r="J173" s="38"/>
      <c r="K173" s="38"/>
      <c r="L173" s="38"/>
      <c r="M173" s="38"/>
      <c r="N173" s="38"/>
      <c r="O173" s="38"/>
      <c r="P173" s="38"/>
    </row>
    <row r="174">
      <c r="A174" s="41"/>
      <c r="C174" s="7"/>
      <c r="D174" s="7"/>
      <c r="E174" s="18"/>
      <c r="F174" s="38"/>
      <c r="G174" s="38"/>
      <c r="H174" s="38"/>
      <c r="I174" s="38"/>
      <c r="J174" s="38"/>
      <c r="K174" s="38"/>
      <c r="L174" s="38"/>
      <c r="M174" s="38"/>
      <c r="N174" s="38"/>
      <c r="O174" s="38"/>
      <c r="P174" s="38"/>
    </row>
    <row r="175">
      <c r="A175" s="41"/>
      <c r="C175" s="7"/>
      <c r="D175" s="7"/>
      <c r="E175" s="18"/>
      <c r="F175" s="38"/>
      <c r="G175" s="38"/>
      <c r="H175" s="38"/>
      <c r="I175" s="38"/>
      <c r="J175" s="38"/>
      <c r="K175" s="38"/>
      <c r="L175" s="38"/>
      <c r="M175" s="38"/>
      <c r="N175" s="38"/>
      <c r="O175" s="38"/>
      <c r="P175" s="38"/>
    </row>
    <row r="176">
      <c r="A176" s="41"/>
      <c r="C176" s="7"/>
      <c r="D176" s="7"/>
      <c r="E176" s="18"/>
      <c r="F176" s="38"/>
      <c r="G176" s="38"/>
      <c r="H176" s="38"/>
      <c r="I176" s="38"/>
      <c r="J176" s="38"/>
      <c r="K176" s="38"/>
      <c r="L176" s="38"/>
      <c r="M176" s="38"/>
      <c r="N176" s="38"/>
      <c r="O176" s="38"/>
      <c r="P176" s="38"/>
    </row>
    <row r="177">
      <c r="A177" s="41"/>
      <c r="C177" s="7"/>
      <c r="D177" s="7"/>
      <c r="E177" s="18"/>
      <c r="F177" s="38"/>
      <c r="G177" s="38"/>
      <c r="H177" s="38"/>
      <c r="I177" s="38"/>
      <c r="J177" s="38"/>
      <c r="K177" s="38"/>
      <c r="L177" s="38"/>
      <c r="M177" s="38"/>
      <c r="N177" s="38"/>
      <c r="O177" s="38"/>
      <c r="P177" s="38"/>
    </row>
    <row r="178">
      <c r="A178" s="41"/>
      <c r="C178" s="7"/>
      <c r="D178" s="7"/>
      <c r="E178" s="18"/>
      <c r="F178" s="38"/>
      <c r="G178" s="38"/>
      <c r="H178" s="38"/>
      <c r="I178" s="38"/>
      <c r="J178" s="38"/>
      <c r="K178" s="38"/>
      <c r="L178" s="38"/>
      <c r="M178" s="38"/>
      <c r="N178" s="38"/>
      <c r="O178" s="38"/>
      <c r="P178" s="38"/>
    </row>
    <row r="179">
      <c r="A179" s="41"/>
      <c r="C179" s="7"/>
      <c r="D179" s="7"/>
      <c r="E179" s="18"/>
      <c r="F179" s="38"/>
      <c r="G179" s="38"/>
      <c r="H179" s="38"/>
      <c r="I179" s="38"/>
      <c r="J179" s="38"/>
      <c r="K179" s="38"/>
      <c r="L179" s="38"/>
      <c r="M179" s="38"/>
      <c r="N179" s="38"/>
      <c r="O179" s="38"/>
      <c r="P179" s="38"/>
    </row>
    <row r="180">
      <c r="A180" s="41"/>
      <c r="C180" s="7"/>
      <c r="D180" s="7"/>
      <c r="E180" s="18"/>
      <c r="F180" s="38"/>
      <c r="G180" s="38"/>
      <c r="H180" s="38"/>
      <c r="I180" s="38"/>
      <c r="J180" s="38"/>
      <c r="K180" s="38"/>
      <c r="L180" s="38"/>
      <c r="M180" s="38"/>
      <c r="N180" s="38"/>
      <c r="O180" s="38"/>
      <c r="P180" s="38"/>
    </row>
    <row r="181">
      <c r="A181" s="41"/>
      <c r="C181" s="7"/>
      <c r="D181" s="7"/>
      <c r="E181" s="18"/>
      <c r="F181" s="38"/>
      <c r="G181" s="38"/>
      <c r="H181" s="38"/>
      <c r="I181" s="38"/>
      <c r="J181" s="38"/>
      <c r="K181" s="38"/>
      <c r="L181" s="38"/>
      <c r="M181" s="38"/>
      <c r="N181" s="38"/>
      <c r="O181" s="38"/>
      <c r="P181" s="38"/>
    </row>
    <row r="182">
      <c r="A182" s="41"/>
      <c r="C182" s="7"/>
      <c r="D182" s="7"/>
      <c r="E182" s="18"/>
      <c r="F182" s="38"/>
      <c r="G182" s="38"/>
      <c r="H182" s="38"/>
      <c r="I182" s="38"/>
      <c r="J182" s="38"/>
      <c r="K182" s="38"/>
      <c r="L182" s="38"/>
      <c r="M182" s="38"/>
      <c r="N182" s="38"/>
      <c r="O182" s="38"/>
      <c r="P182" s="38"/>
    </row>
    <row r="183">
      <c r="A183" s="41"/>
      <c r="C183" s="7"/>
      <c r="D183" s="7"/>
      <c r="E183" s="18"/>
      <c r="F183" s="38"/>
      <c r="G183" s="38"/>
      <c r="H183" s="38"/>
      <c r="I183" s="38"/>
      <c r="J183" s="38"/>
      <c r="K183" s="38"/>
      <c r="L183" s="38"/>
      <c r="M183" s="38"/>
      <c r="N183" s="38"/>
      <c r="O183" s="38"/>
      <c r="P183" s="38"/>
    </row>
    <row r="184">
      <c r="A184" s="41"/>
      <c r="C184" s="7"/>
      <c r="D184" s="7"/>
      <c r="E184" s="18"/>
      <c r="F184" s="38"/>
      <c r="G184" s="38"/>
      <c r="H184" s="38"/>
      <c r="I184" s="38"/>
      <c r="J184" s="38"/>
      <c r="K184" s="38"/>
      <c r="L184" s="38"/>
      <c r="M184" s="38"/>
      <c r="N184" s="38"/>
      <c r="O184" s="38"/>
      <c r="P184" s="38"/>
    </row>
    <row r="185">
      <c r="A185" s="41"/>
      <c r="C185" s="7"/>
      <c r="D185" s="7"/>
      <c r="E185" s="18"/>
      <c r="F185" s="38"/>
      <c r="G185" s="38"/>
      <c r="H185" s="38"/>
      <c r="I185" s="38"/>
      <c r="J185" s="38"/>
      <c r="K185" s="38"/>
      <c r="L185" s="38"/>
      <c r="M185" s="38"/>
      <c r="N185" s="38"/>
      <c r="O185" s="38"/>
      <c r="P185" s="38"/>
    </row>
    <row r="186">
      <c r="A186" s="41"/>
      <c r="C186" s="7"/>
      <c r="D186" s="7"/>
      <c r="E186" s="18"/>
      <c r="F186" s="38"/>
      <c r="G186" s="38"/>
      <c r="H186" s="38"/>
      <c r="I186" s="38"/>
      <c r="J186" s="38"/>
      <c r="K186" s="38"/>
      <c r="L186" s="38"/>
      <c r="M186" s="38"/>
      <c r="N186" s="38"/>
      <c r="O186" s="38"/>
      <c r="P186" s="38"/>
    </row>
    <row r="187">
      <c r="A187" s="41"/>
      <c r="C187" s="7"/>
      <c r="D187" s="7"/>
      <c r="E187" s="18"/>
      <c r="F187" s="38"/>
      <c r="G187" s="38"/>
      <c r="H187" s="38"/>
      <c r="I187" s="38"/>
      <c r="J187" s="38"/>
      <c r="K187" s="38"/>
      <c r="L187" s="38"/>
      <c r="M187" s="38"/>
      <c r="N187" s="38"/>
      <c r="O187" s="38"/>
      <c r="P187" s="38"/>
    </row>
    <row r="188">
      <c r="A188" s="41"/>
      <c r="C188" s="7"/>
      <c r="D188" s="7"/>
      <c r="E188" s="18"/>
      <c r="F188" s="38"/>
      <c r="G188" s="38"/>
      <c r="H188" s="38"/>
      <c r="I188" s="38"/>
      <c r="J188" s="38"/>
      <c r="K188" s="38"/>
      <c r="L188" s="38"/>
      <c r="M188" s="38"/>
      <c r="N188" s="38"/>
      <c r="O188" s="38"/>
      <c r="P188" s="38"/>
    </row>
    <row r="189">
      <c r="A189" s="41"/>
      <c r="C189" s="7"/>
      <c r="D189" s="7"/>
      <c r="E189" s="18"/>
      <c r="F189" s="38"/>
      <c r="G189" s="38"/>
      <c r="H189" s="38"/>
      <c r="I189" s="38"/>
      <c r="J189" s="38"/>
      <c r="K189" s="38"/>
      <c r="L189" s="38"/>
      <c r="M189" s="38"/>
      <c r="N189" s="38"/>
      <c r="O189" s="38"/>
      <c r="P189" s="38"/>
    </row>
    <row r="190">
      <c r="A190" s="41"/>
      <c r="C190" s="7"/>
      <c r="D190" s="7"/>
      <c r="E190" s="18"/>
      <c r="F190" s="38"/>
      <c r="G190" s="38"/>
      <c r="H190" s="38"/>
      <c r="I190" s="38"/>
      <c r="J190" s="38"/>
      <c r="K190" s="38"/>
      <c r="L190" s="38"/>
      <c r="M190" s="38"/>
      <c r="N190" s="38"/>
      <c r="O190" s="38"/>
      <c r="P190" s="38"/>
    </row>
    <row r="191">
      <c r="A191" s="41"/>
      <c r="C191" s="7"/>
      <c r="D191" s="7"/>
      <c r="E191" s="18"/>
      <c r="F191" s="38"/>
      <c r="G191" s="38"/>
      <c r="H191" s="38"/>
      <c r="I191" s="38"/>
      <c r="J191" s="38"/>
      <c r="K191" s="38"/>
      <c r="L191" s="38"/>
      <c r="M191" s="38"/>
      <c r="N191" s="38"/>
      <c r="O191" s="38"/>
      <c r="P191" s="38"/>
    </row>
    <row r="192">
      <c r="A192" s="41"/>
      <c r="C192" s="7"/>
      <c r="D192" s="7"/>
      <c r="E192" s="18"/>
      <c r="F192" s="38"/>
      <c r="G192" s="38"/>
      <c r="H192" s="38"/>
      <c r="I192" s="38"/>
      <c r="J192" s="38"/>
      <c r="K192" s="38"/>
      <c r="L192" s="38"/>
      <c r="M192" s="38"/>
      <c r="N192" s="38"/>
      <c r="O192" s="38"/>
      <c r="P192" s="38"/>
    </row>
    <row r="193">
      <c r="A193" s="41"/>
      <c r="C193" s="7"/>
      <c r="D193" s="7"/>
      <c r="E193" s="18"/>
      <c r="F193" s="38"/>
      <c r="G193" s="38"/>
      <c r="H193" s="38"/>
      <c r="I193" s="38"/>
      <c r="J193" s="38"/>
      <c r="K193" s="38"/>
      <c r="L193" s="38"/>
      <c r="M193" s="38"/>
      <c r="N193" s="38"/>
      <c r="O193" s="38"/>
      <c r="P193" s="38"/>
    </row>
    <row r="194">
      <c r="A194" s="41"/>
      <c r="C194" s="7"/>
      <c r="D194" s="7"/>
      <c r="E194" s="18"/>
      <c r="F194" s="38"/>
      <c r="G194" s="38"/>
      <c r="H194" s="38"/>
      <c r="I194" s="38"/>
      <c r="J194" s="38"/>
      <c r="K194" s="38"/>
      <c r="L194" s="38"/>
      <c r="M194" s="38"/>
      <c r="N194" s="38"/>
      <c r="O194" s="38"/>
      <c r="P194" s="38"/>
    </row>
    <row r="195">
      <c r="A195" s="41"/>
      <c r="C195" s="7"/>
      <c r="D195" s="7"/>
      <c r="E195" s="18"/>
      <c r="F195" s="38"/>
      <c r="G195" s="38"/>
      <c r="H195" s="38"/>
      <c r="I195" s="38"/>
      <c r="J195" s="38"/>
      <c r="K195" s="38"/>
      <c r="L195" s="38"/>
      <c r="M195" s="38"/>
      <c r="N195" s="38"/>
      <c r="O195" s="38"/>
      <c r="P195" s="38"/>
    </row>
    <row r="196">
      <c r="A196" s="41"/>
      <c r="C196" s="7"/>
      <c r="D196" s="7"/>
      <c r="E196" s="18"/>
      <c r="F196" s="38"/>
      <c r="G196" s="38"/>
      <c r="H196" s="38"/>
      <c r="I196" s="38"/>
      <c r="J196" s="38"/>
      <c r="K196" s="38"/>
      <c r="L196" s="38"/>
      <c r="M196" s="38"/>
      <c r="N196" s="38"/>
      <c r="O196" s="38"/>
      <c r="P196" s="38"/>
    </row>
    <row r="197">
      <c r="A197" s="41"/>
      <c r="C197" s="7"/>
      <c r="D197" s="7"/>
      <c r="E197" s="18"/>
      <c r="F197" s="38"/>
      <c r="G197" s="38"/>
      <c r="H197" s="38"/>
      <c r="I197" s="38"/>
      <c r="J197" s="38"/>
      <c r="K197" s="38"/>
      <c r="L197" s="38"/>
      <c r="M197" s="38"/>
      <c r="N197" s="38"/>
      <c r="O197" s="38"/>
      <c r="P197" s="38"/>
    </row>
    <row r="198">
      <c r="A198" s="41"/>
      <c r="C198" s="7"/>
      <c r="D198" s="7"/>
      <c r="E198" s="18"/>
      <c r="F198" s="38"/>
      <c r="G198" s="38"/>
      <c r="H198" s="38"/>
      <c r="I198" s="38"/>
      <c r="J198" s="38"/>
      <c r="K198" s="38"/>
      <c r="L198" s="38"/>
      <c r="M198" s="38"/>
      <c r="N198" s="38"/>
      <c r="O198" s="38"/>
      <c r="P198" s="38"/>
    </row>
    <row r="199">
      <c r="A199" s="41"/>
      <c r="C199" s="7"/>
      <c r="D199" s="7"/>
      <c r="E199" s="18"/>
      <c r="F199" s="38"/>
      <c r="G199" s="38"/>
      <c r="H199" s="38"/>
      <c r="I199" s="38"/>
      <c r="J199" s="38"/>
      <c r="K199" s="38"/>
      <c r="L199" s="38"/>
      <c r="M199" s="38"/>
      <c r="N199" s="38"/>
      <c r="O199" s="38"/>
      <c r="P199" s="38"/>
    </row>
    <row r="200">
      <c r="A200" s="41"/>
      <c r="C200" s="7"/>
      <c r="D200" s="7"/>
      <c r="E200" s="18"/>
      <c r="F200" s="38"/>
      <c r="G200" s="38"/>
      <c r="H200" s="38"/>
      <c r="I200" s="38"/>
      <c r="J200" s="38"/>
      <c r="K200" s="38"/>
      <c r="L200" s="38"/>
      <c r="M200" s="38"/>
      <c r="N200" s="38"/>
      <c r="O200" s="38"/>
      <c r="P200" s="38"/>
    </row>
    <row r="201">
      <c r="A201" s="41"/>
      <c r="C201" s="7"/>
      <c r="D201" s="7"/>
      <c r="E201" s="18"/>
      <c r="F201" s="38"/>
      <c r="G201" s="38"/>
      <c r="H201" s="38"/>
      <c r="I201" s="38"/>
      <c r="J201" s="38"/>
      <c r="K201" s="38"/>
      <c r="L201" s="38"/>
      <c r="M201" s="38"/>
      <c r="N201" s="38"/>
      <c r="O201" s="38"/>
      <c r="P201" s="38"/>
    </row>
    <row r="202">
      <c r="A202" s="41"/>
      <c r="C202" s="7"/>
      <c r="D202" s="7"/>
      <c r="E202" s="18"/>
      <c r="F202" s="38"/>
      <c r="G202" s="38"/>
      <c r="H202" s="38"/>
      <c r="I202" s="38"/>
      <c r="J202" s="38"/>
      <c r="K202" s="38"/>
      <c r="L202" s="38"/>
      <c r="M202" s="38"/>
      <c r="N202" s="38"/>
      <c r="O202" s="38"/>
      <c r="P202" s="38"/>
    </row>
    <row r="203">
      <c r="A203" s="41"/>
      <c r="C203" s="7"/>
      <c r="D203" s="7"/>
      <c r="E203" s="18"/>
      <c r="F203" s="38"/>
      <c r="G203" s="38"/>
      <c r="H203" s="38"/>
      <c r="I203" s="38"/>
      <c r="J203" s="38"/>
      <c r="K203" s="38"/>
      <c r="L203" s="38"/>
      <c r="M203" s="38"/>
      <c r="N203" s="38"/>
      <c r="O203" s="38"/>
      <c r="P203" s="38"/>
    </row>
    <row r="204">
      <c r="A204" s="41"/>
      <c r="C204" s="7"/>
      <c r="D204" s="7"/>
      <c r="E204" s="18"/>
      <c r="F204" s="38"/>
      <c r="G204" s="38"/>
      <c r="H204" s="38"/>
      <c r="I204" s="38"/>
      <c r="J204" s="38"/>
      <c r="K204" s="38"/>
      <c r="L204" s="38"/>
      <c r="M204" s="38"/>
      <c r="N204" s="38"/>
      <c r="O204" s="38"/>
      <c r="P204" s="38"/>
    </row>
    <row r="205">
      <c r="A205" s="41"/>
      <c r="C205" s="7"/>
      <c r="D205" s="7"/>
      <c r="E205" s="18"/>
      <c r="F205" s="38"/>
      <c r="G205" s="38"/>
      <c r="H205" s="38"/>
      <c r="I205" s="38"/>
      <c r="J205" s="38"/>
      <c r="K205" s="38"/>
      <c r="L205" s="38"/>
      <c r="M205" s="38"/>
      <c r="N205" s="38"/>
      <c r="O205" s="38"/>
      <c r="P205" s="38"/>
    </row>
    <row r="206">
      <c r="A206" s="41"/>
      <c r="C206" s="7"/>
      <c r="D206" s="7"/>
      <c r="E206" s="18"/>
      <c r="F206" s="38"/>
      <c r="G206" s="38"/>
      <c r="H206" s="38"/>
      <c r="I206" s="38"/>
      <c r="J206" s="38"/>
      <c r="K206" s="38"/>
      <c r="L206" s="38"/>
      <c r="M206" s="38"/>
      <c r="N206" s="38"/>
      <c r="O206" s="38"/>
      <c r="P206" s="38"/>
    </row>
    <row r="207">
      <c r="A207" s="19"/>
      <c r="B207" s="19"/>
      <c r="C207" s="42"/>
      <c r="D207" s="42"/>
      <c r="E207" s="19"/>
      <c r="F207" s="39"/>
      <c r="G207" s="39"/>
      <c r="H207" s="39"/>
      <c r="I207" s="39"/>
      <c r="J207" s="39"/>
      <c r="K207" s="19"/>
      <c r="L207" s="19"/>
      <c r="M207" s="38"/>
      <c r="N207" s="38"/>
      <c r="O207" s="38"/>
      <c r="P207" s="38"/>
    </row>
    <row r="208">
      <c r="A208" s="41"/>
      <c r="C208" s="7"/>
      <c r="D208" s="7"/>
      <c r="E208" s="18"/>
      <c r="F208" s="38"/>
      <c r="G208" s="38"/>
      <c r="H208" s="38"/>
      <c r="I208" s="38"/>
      <c r="J208" s="38"/>
      <c r="K208" s="38"/>
      <c r="L208" s="38"/>
      <c r="M208" s="38"/>
      <c r="N208" s="38"/>
      <c r="O208" s="38"/>
      <c r="P208" s="38"/>
    </row>
    <row r="209">
      <c r="A209" s="41"/>
      <c r="C209" s="7"/>
      <c r="D209" s="7"/>
      <c r="E209" s="18"/>
      <c r="F209" s="38"/>
      <c r="G209" s="38"/>
      <c r="H209" s="38"/>
      <c r="I209" s="38"/>
      <c r="J209" s="38"/>
      <c r="K209" s="38"/>
      <c r="L209" s="38"/>
      <c r="M209" s="38"/>
      <c r="N209" s="38"/>
      <c r="O209" s="38"/>
      <c r="P209" s="38"/>
    </row>
    <row r="210">
      <c r="A210" s="41"/>
      <c r="C210" s="7"/>
      <c r="D210" s="7"/>
      <c r="E210" s="18"/>
      <c r="F210" s="38"/>
      <c r="G210" s="38"/>
      <c r="H210" s="38"/>
      <c r="I210" s="38"/>
      <c r="J210" s="38"/>
      <c r="K210" s="38"/>
      <c r="L210" s="38"/>
      <c r="M210" s="38"/>
      <c r="N210" s="38"/>
      <c r="O210" s="38"/>
      <c r="P210" s="38"/>
    </row>
    <row r="211">
      <c r="A211" s="41"/>
      <c r="C211" s="7"/>
      <c r="D211" s="7"/>
      <c r="E211" s="18"/>
      <c r="F211" s="38"/>
      <c r="G211" s="38"/>
      <c r="H211" s="38"/>
      <c r="I211" s="38"/>
      <c r="J211" s="38"/>
      <c r="K211" s="38"/>
      <c r="L211" s="38"/>
      <c r="M211" s="38"/>
      <c r="N211" s="38"/>
      <c r="O211" s="38"/>
      <c r="P211" s="38"/>
    </row>
    <row r="212">
      <c r="A212" s="41"/>
      <c r="C212" s="7"/>
      <c r="D212" s="7"/>
      <c r="E212" s="18"/>
      <c r="F212" s="38"/>
      <c r="G212" s="38"/>
      <c r="H212" s="38"/>
      <c r="I212" s="38"/>
      <c r="J212" s="38"/>
      <c r="K212" s="38"/>
      <c r="L212" s="38"/>
      <c r="M212" s="38"/>
      <c r="N212" s="38"/>
      <c r="O212" s="38"/>
      <c r="P212" s="38"/>
    </row>
    <row r="213">
      <c r="A213" s="41"/>
      <c r="C213" s="7"/>
      <c r="D213" s="7"/>
      <c r="E213" s="18"/>
      <c r="F213" s="38"/>
      <c r="G213" s="38"/>
      <c r="H213" s="38"/>
      <c r="I213" s="38"/>
      <c r="J213" s="38"/>
      <c r="K213" s="38"/>
      <c r="L213" s="38"/>
      <c r="M213" s="38"/>
      <c r="N213" s="38"/>
      <c r="O213" s="38"/>
      <c r="P213" s="38"/>
    </row>
    <row r="214">
      <c r="A214" s="41"/>
      <c r="C214" s="7"/>
      <c r="D214" s="7"/>
      <c r="E214" s="18"/>
      <c r="F214" s="38"/>
      <c r="G214" s="38"/>
      <c r="H214" s="38"/>
      <c r="I214" s="38"/>
      <c r="J214" s="38"/>
      <c r="K214" s="38"/>
      <c r="L214" s="38"/>
      <c r="M214" s="38"/>
      <c r="N214" s="38"/>
      <c r="O214" s="38"/>
      <c r="P214" s="38"/>
    </row>
    <row r="215">
      <c r="A215" s="41"/>
      <c r="C215" s="7"/>
      <c r="D215" s="7"/>
      <c r="E215" s="18"/>
      <c r="F215" s="38"/>
      <c r="G215" s="38"/>
      <c r="H215" s="38"/>
      <c r="I215" s="38"/>
      <c r="J215" s="38"/>
      <c r="K215" s="38"/>
      <c r="L215" s="38"/>
      <c r="M215" s="38"/>
      <c r="N215" s="38"/>
      <c r="O215" s="38"/>
      <c r="P215" s="38"/>
    </row>
    <row r="216">
      <c r="A216" s="41"/>
      <c r="C216" s="7"/>
      <c r="D216" s="7"/>
      <c r="E216" s="18"/>
      <c r="F216" s="38"/>
      <c r="G216" s="38"/>
      <c r="H216" s="38"/>
      <c r="I216" s="38"/>
      <c r="J216" s="38"/>
      <c r="K216" s="38"/>
      <c r="L216" s="38"/>
      <c r="M216" s="38"/>
      <c r="N216" s="38"/>
      <c r="O216" s="38"/>
      <c r="P216" s="38"/>
    </row>
    <row r="217">
      <c r="A217" s="41"/>
      <c r="C217" s="7"/>
      <c r="D217" s="7"/>
      <c r="E217" s="18"/>
      <c r="F217" s="38"/>
      <c r="G217" s="38"/>
      <c r="H217" s="38"/>
      <c r="I217" s="38"/>
      <c r="J217" s="38"/>
      <c r="K217" s="38"/>
      <c r="L217" s="38"/>
      <c r="M217" s="38"/>
      <c r="N217" s="38"/>
      <c r="O217" s="38"/>
      <c r="P217" s="38"/>
    </row>
    <row r="218">
      <c r="A218" s="41"/>
      <c r="C218" s="7"/>
      <c r="D218" s="7"/>
      <c r="E218" s="18"/>
      <c r="F218" s="38"/>
      <c r="G218" s="38"/>
      <c r="H218" s="38"/>
      <c r="I218" s="38"/>
      <c r="J218" s="38"/>
      <c r="K218" s="38"/>
      <c r="L218" s="38"/>
      <c r="M218" s="38"/>
      <c r="N218" s="38"/>
      <c r="O218" s="38"/>
      <c r="P218" s="38"/>
    </row>
    <row r="219">
      <c r="A219" s="41"/>
      <c r="C219" s="7"/>
      <c r="D219" s="7"/>
      <c r="E219" s="18"/>
      <c r="F219" s="38"/>
      <c r="G219" s="38"/>
      <c r="H219" s="38"/>
      <c r="I219" s="38"/>
      <c r="J219" s="38"/>
      <c r="K219" s="38"/>
      <c r="L219" s="38"/>
      <c r="M219" s="38"/>
      <c r="N219" s="38"/>
      <c r="O219" s="38"/>
      <c r="P219" s="38"/>
    </row>
    <row r="220">
      <c r="A220" s="41"/>
      <c r="C220" s="7"/>
      <c r="D220" s="7"/>
      <c r="E220" s="18"/>
      <c r="F220" s="38"/>
      <c r="G220" s="38"/>
      <c r="H220" s="38"/>
      <c r="I220" s="38"/>
      <c r="J220" s="38"/>
      <c r="K220" s="38"/>
      <c r="L220" s="38"/>
      <c r="M220" s="38"/>
      <c r="N220" s="38"/>
      <c r="O220" s="38"/>
      <c r="P220" s="38"/>
    </row>
    <row r="221">
      <c r="A221" s="41"/>
      <c r="C221" s="7"/>
      <c r="D221" s="7"/>
      <c r="E221" s="18"/>
      <c r="F221" s="38"/>
      <c r="G221" s="38"/>
      <c r="H221" s="38"/>
      <c r="I221" s="38"/>
      <c r="J221" s="38"/>
      <c r="K221" s="38"/>
      <c r="L221" s="38"/>
      <c r="M221" s="38"/>
      <c r="N221" s="38"/>
      <c r="O221" s="38"/>
      <c r="P221" s="38"/>
    </row>
    <row r="222">
      <c r="A222" s="41"/>
      <c r="C222" s="7"/>
      <c r="D222" s="7"/>
      <c r="E222" s="18"/>
      <c r="F222" s="38"/>
      <c r="G222" s="38"/>
      <c r="H222" s="38"/>
      <c r="I222" s="38"/>
      <c r="J222" s="38"/>
      <c r="K222" s="38"/>
      <c r="L222" s="38"/>
      <c r="M222" s="38"/>
      <c r="N222" s="38"/>
      <c r="O222" s="38"/>
      <c r="P222" s="38"/>
    </row>
    <row r="223">
      <c r="A223" s="41"/>
      <c r="C223" s="7"/>
      <c r="D223" s="7"/>
      <c r="E223" s="18"/>
      <c r="F223" s="38"/>
      <c r="G223" s="38"/>
      <c r="H223" s="38"/>
      <c r="I223" s="38"/>
      <c r="J223" s="38"/>
      <c r="K223" s="38"/>
      <c r="L223" s="38"/>
      <c r="M223" s="38"/>
      <c r="N223" s="38"/>
      <c r="O223" s="38"/>
      <c r="P223" s="38"/>
    </row>
    <row r="224">
      <c r="A224" s="41"/>
      <c r="C224" s="7"/>
      <c r="D224" s="7"/>
      <c r="E224" s="18"/>
      <c r="F224" s="38"/>
      <c r="G224" s="38"/>
      <c r="H224" s="38"/>
      <c r="I224" s="38"/>
      <c r="J224" s="38"/>
      <c r="K224" s="38"/>
      <c r="L224" s="38"/>
      <c r="M224" s="38"/>
      <c r="N224" s="38"/>
      <c r="O224" s="38"/>
      <c r="P224" s="38"/>
    </row>
    <row r="225">
      <c r="A225" s="41"/>
      <c r="C225" s="7"/>
      <c r="D225" s="7"/>
      <c r="E225" s="18"/>
      <c r="F225" s="38"/>
      <c r="G225" s="38"/>
      <c r="H225" s="38"/>
      <c r="I225" s="38"/>
      <c r="J225" s="38"/>
      <c r="K225" s="38"/>
      <c r="L225" s="38"/>
      <c r="M225" s="38"/>
      <c r="N225" s="38"/>
      <c r="O225" s="38"/>
      <c r="P225" s="38"/>
    </row>
    <row r="226">
      <c r="A226" s="41"/>
      <c r="C226" s="7"/>
      <c r="D226" s="7"/>
      <c r="E226" s="18"/>
      <c r="F226" s="38"/>
      <c r="G226" s="38"/>
      <c r="H226" s="38"/>
      <c r="I226" s="38"/>
      <c r="J226" s="38"/>
      <c r="K226" s="38"/>
      <c r="L226" s="38"/>
      <c r="M226" s="38"/>
      <c r="N226" s="38"/>
      <c r="O226" s="38"/>
      <c r="P226" s="38"/>
    </row>
    <row r="227">
      <c r="A227" s="41"/>
      <c r="C227" s="7"/>
      <c r="D227" s="7"/>
      <c r="E227" s="18"/>
      <c r="F227" s="38"/>
      <c r="G227" s="38"/>
      <c r="H227" s="38"/>
      <c r="I227" s="38"/>
      <c r="J227" s="38"/>
      <c r="K227" s="38"/>
      <c r="L227" s="38"/>
      <c r="M227" s="38"/>
      <c r="N227" s="38"/>
      <c r="O227" s="38"/>
      <c r="P227" s="38"/>
    </row>
    <row r="228">
      <c r="A228" s="41"/>
      <c r="C228" s="7"/>
      <c r="D228" s="7"/>
      <c r="E228" s="18"/>
      <c r="F228" s="38"/>
      <c r="G228" s="38"/>
      <c r="H228" s="38"/>
      <c r="I228" s="38"/>
      <c r="J228" s="38"/>
      <c r="K228" s="38"/>
      <c r="L228" s="38"/>
      <c r="M228" s="38"/>
      <c r="N228" s="38"/>
      <c r="O228" s="38"/>
      <c r="P228" s="38"/>
    </row>
    <row r="229">
      <c r="A229" s="41"/>
      <c r="C229" s="7"/>
      <c r="D229" s="7"/>
      <c r="E229" s="18"/>
      <c r="F229" s="38"/>
      <c r="G229" s="38"/>
      <c r="H229" s="38"/>
      <c r="I229" s="38"/>
      <c r="J229" s="38"/>
      <c r="K229" s="38"/>
      <c r="L229" s="38"/>
      <c r="M229" s="38"/>
      <c r="N229" s="38"/>
      <c r="O229" s="38"/>
      <c r="P229" s="38"/>
    </row>
    <row r="230">
      <c r="A230" s="41"/>
      <c r="C230" s="7"/>
      <c r="D230" s="7"/>
      <c r="E230" s="18"/>
      <c r="F230" s="38"/>
      <c r="G230" s="38"/>
      <c r="H230" s="38"/>
      <c r="I230" s="38"/>
      <c r="J230" s="38"/>
      <c r="K230" s="38"/>
      <c r="L230" s="38"/>
      <c r="M230" s="38"/>
      <c r="N230" s="38"/>
      <c r="O230" s="38"/>
      <c r="P230" s="38"/>
    </row>
    <row r="231">
      <c r="A231" s="41"/>
      <c r="C231" s="7"/>
      <c r="D231" s="7"/>
      <c r="E231" s="18"/>
      <c r="F231" s="38"/>
      <c r="G231" s="38"/>
      <c r="H231" s="38"/>
      <c r="I231" s="38"/>
      <c r="J231" s="38"/>
      <c r="K231" s="38"/>
      <c r="L231" s="38"/>
      <c r="M231" s="38"/>
      <c r="N231" s="38"/>
      <c r="O231" s="38"/>
      <c r="P231" s="38"/>
    </row>
    <row r="232">
      <c r="A232" s="41"/>
      <c r="C232" s="7"/>
      <c r="D232" s="7"/>
      <c r="E232" s="18"/>
      <c r="F232" s="38"/>
      <c r="G232" s="38"/>
      <c r="H232" s="38"/>
      <c r="I232" s="38"/>
      <c r="J232" s="38"/>
      <c r="K232" s="38"/>
      <c r="L232" s="38"/>
      <c r="M232" s="38"/>
      <c r="N232" s="38"/>
      <c r="O232" s="38"/>
      <c r="P232" s="38"/>
    </row>
    <row r="233">
      <c r="A233" s="41"/>
      <c r="C233" s="7"/>
      <c r="D233" s="7"/>
      <c r="E233" s="18"/>
      <c r="F233" s="38"/>
      <c r="G233" s="38"/>
      <c r="H233" s="38"/>
      <c r="I233" s="38"/>
      <c r="J233" s="38"/>
      <c r="K233" s="38"/>
      <c r="L233" s="38"/>
      <c r="M233" s="38"/>
      <c r="N233" s="38"/>
      <c r="O233" s="38"/>
      <c r="P233" s="38"/>
    </row>
    <row r="234">
      <c r="A234" s="41"/>
      <c r="C234" s="7"/>
      <c r="D234" s="7"/>
      <c r="E234" s="18"/>
      <c r="F234" s="38"/>
      <c r="G234" s="38"/>
      <c r="H234" s="38"/>
      <c r="I234" s="38"/>
      <c r="J234" s="38"/>
      <c r="K234" s="38"/>
      <c r="L234" s="38"/>
      <c r="M234" s="38"/>
      <c r="N234" s="38"/>
      <c r="O234" s="38"/>
      <c r="P234" s="38"/>
    </row>
    <row r="235">
      <c r="A235" s="41"/>
      <c r="C235" s="7"/>
      <c r="D235" s="7"/>
      <c r="E235" s="18"/>
      <c r="F235" s="38"/>
      <c r="G235" s="38"/>
      <c r="H235" s="38"/>
      <c r="I235" s="38"/>
      <c r="J235" s="38"/>
      <c r="K235" s="38"/>
      <c r="L235" s="38"/>
      <c r="M235" s="38"/>
      <c r="N235" s="38"/>
      <c r="O235" s="38"/>
      <c r="P235" s="38"/>
    </row>
    <row r="236">
      <c r="A236" s="41"/>
      <c r="C236" s="7"/>
      <c r="D236" s="7"/>
      <c r="E236" s="18"/>
      <c r="F236" s="38"/>
      <c r="G236" s="38"/>
      <c r="H236" s="38"/>
      <c r="I236" s="38"/>
      <c r="J236" s="38"/>
      <c r="K236" s="38"/>
      <c r="L236" s="38"/>
      <c r="M236" s="38"/>
      <c r="N236" s="38"/>
      <c r="O236" s="38"/>
      <c r="P236" s="38"/>
    </row>
    <row r="237">
      <c r="A237" s="41"/>
      <c r="C237" s="7"/>
      <c r="D237" s="7"/>
      <c r="E237" s="18"/>
      <c r="F237" s="38"/>
      <c r="G237" s="38"/>
      <c r="H237" s="38"/>
      <c r="I237" s="38"/>
      <c r="J237" s="38"/>
      <c r="K237" s="38"/>
      <c r="L237" s="38"/>
      <c r="M237" s="38"/>
      <c r="N237" s="38"/>
      <c r="O237" s="38"/>
      <c r="P237" s="38"/>
    </row>
    <row r="238">
      <c r="A238" s="41"/>
      <c r="C238" s="7"/>
      <c r="D238" s="7"/>
      <c r="E238" s="18"/>
      <c r="F238" s="38"/>
      <c r="G238" s="38"/>
      <c r="H238" s="38"/>
      <c r="I238" s="38"/>
      <c r="J238" s="38"/>
      <c r="K238" s="38"/>
      <c r="L238" s="38"/>
      <c r="M238" s="38"/>
      <c r="N238" s="38"/>
      <c r="O238" s="38"/>
      <c r="P238" s="38"/>
    </row>
    <row r="239">
      <c r="A239" s="41"/>
      <c r="C239" s="7"/>
      <c r="D239" s="7"/>
      <c r="E239" s="18"/>
      <c r="F239" s="38"/>
      <c r="G239" s="38"/>
      <c r="H239" s="38"/>
      <c r="I239" s="38"/>
      <c r="J239" s="38"/>
      <c r="K239" s="38"/>
      <c r="L239" s="38"/>
      <c r="M239" s="38"/>
      <c r="N239" s="38"/>
      <c r="O239" s="38"/>
      <c r="P239" s="38"/>
    </row>
    <row r="240">
      <c r="A240" s="41"/>
      <c r="C240" s="7"/>
      <c r="D240" s="7"/>
      <c r="E240" s="18"/>
      <c r="F240" s="38"/>
      <c r="G240" s="38"/>
      <c r="H240" s="38"/>
      <c r="I240" s="38"/>
      <c r="J240" s="38"/>
      <c r="K240" s="38"/>
      <c r="L240" s="38"/>
      <c r="M240" s="38"/>
      <c r="N240" s="38"/>
      <c r="O240" s="38"/>
      <c r="P240" s="38"/>
    </row>
    <row r="241">
      <c r="A241" s="41"/>
      <c r="C241" s="7"/>
      <c r="D241" s="7"/>
      <c r="E241" s="18"/>
      <c r="F241" s="38"/>
      <c r="G241" s="38"/>
      <c r="H241" s="38"/>
      <c r="I241" s="38"/>
      <c r="J241" s="38"/>
      <c r="K241" s="38"/>
      <c r="L241" s="38"/>
      <c r="M241" s="38"/>
      <c r="N241" s="38"/>
      <c r="O241" s="38"/>
      <c r="P241" s="38"/>
    </row>
    <row r="242">
      <c r="A242" s="41"/>
      <c r="C242" s="7"/>
      <c r="D242" s="7"/>
      <c r="E242" s="18"/>
      <c r="F242" s="38"/>
      <c r="G242" s="38"/>
      <c r="H242" s="38"/>
      <c r="I242" s="38"/>
      <c r="J242" s="38"/>
      <c r="K242" s="38"/>
      <c r="L242" s="38"/>
      <c r="M242" s="38"/>
      <c r="N242" s="38"/>
      <c r="O242" s="38"/>
      <c r="P242" s="38"/>
    </row>
    <row r="243">
      <c r="A243" s="41"/>
      <c r="C243" s="7"/>
      <c r="D243" s="7"/>
      <c r="E243" s="18"/>
      <c r="F243" s="38"/>
      <c r="G243" s="38"/>
      <c r="H243" s="38"/>
      <c r="I243" s="38"/>
      <c r="J243" s="38"/>
      <c r="K243" s="38"/>
      <c r="L243" s="38"/>
      <c r="M243" s="38"/>
      <c r="N243" s="38"/>
      <c r="O243" s="38"/>
      <c r="P243" s="38"/>
    </row>
    <row r="244">
      <c r="A244" s="41"/>
      <c r="C244" s="7"/>
      <c r="D244" s="7"/>
      <c r="E244" s="18"/>
      <c r="F244" s="38"/>
      <c r="G244" s="38"/>
      <c r="H244" s="38"/>
      <c r="I244" s="38"/>
      <c r="J244" s="38"/>
      <c r="K244" s="38"/>
      <c r="L244" s="38"/>
      <c r="M244" s="38"/>
      <c r="N244" s="38"/>
      <c r="O244" s="38"/>
      <c r="P244" s="38"/>
    </row>
    <row r="245">
      <c r="A245" s="41"/>
      <c r="C245" s="7"/>
      <c r="D245" s="7"/>
      <c r="E245" s="18"/>
      <c r="F245" s="38"/>
      <c r="G245" s="38"/>
      <c r="H245" s="38"/>
      <c r="I245" s="38"/>
      <c r="J245" s="38"/>
      <c r="K245" s="38"/>
      <c r="L245" s="38"/>
      <c r="M245" s="38"/>
      <c r="N245" s="38"/>
      <c r="O245" s="38"/>
      <c r="P245" s="38"/>
    </row>
    <row r="246">
      <c r="A246" s="41"/>
      <c r="C246" s="7"/>
      <c r="D246" s="7"/>
      <c r="E246" s="18"/>
      <c r="F246" s="38"/>
      <c r="G246" s="38"/>
      <c r="H246" s="38"/>
      <c r="I246" s="38"/>
      <c r="J246" s="38"/>
      <c r="K246" s="38"/>
      <c r="L246" s="38"/>
      <c r="M246" s="38"/>
      <c r="N246" s="38"/>
      <c r="O246" s="38"/>
      <c r="P246" s="38"/>
    </row>
    <row r="247">
      <c r="A247" s="41"/>
      <c r="C247" s="7"/>
      <c r="D247" s="7"/>
      <c r="E247" s="18"/>
      <c r="F247" s="38"/>
      <c r="G247" s="38"/>
      <c r="H247" s="38"/>
      <c r="I247" s="38"/>
      <c r="J247" s="38"/>
      <c r="K247" s="38"/>
      <c r="L247" s="38"/>
      <c r="M247" s="38"/>
      <c r="N247" s="38"/>
      <c r="O247" s="38"/>
      <c r="P247" s="38"/>
    </row>
    <row r="248">
      <c r="A248" s="19"/>
      <c r="B248" s="19"/>
      <c r="C248" s="42"/>
      <c r="D248" s="42"/>
      <c r="E248" s="19"/>
      <c r="F248" s="39"/>
      <c r="G248" s="39"/>
      <c r="H248" s="39"/>
      <c r="I248" s="39"/>
      <c r="J248" s="39"/>
      <c r="K248" s="19"/>
      <c r="L248" s="19"/>
      <c r="M248" s="38"/>
      <c r="N248" s="38"/>
      <c r="O248" s="38"/>
      <c r="P248" s="38"/>
    </row>
    <row r="249">
      <c r="A249" s="41"/>
      <c r="C249" s="7"/>
      <c r="D249" s="7"/>
      <c r="E249" s="18"/>
      <c r="F249" s="38"/>
      <c r="G249" s="38"/>
      <c r="H249" s="38"/>
      <c r="I249" s="38"/>
      <c r="J249" s="38"/>
      <c r="K249" s="38"/>
      <c r="L249" s="38"/>
      <c r="M249" s="38"/>
      <c r="N249" s="38"/>
      <c r="O249" s="38"/>
      <c r="P249" s="38"/>
    </row>
    <row r="250">
      <c r="A250" s="41"/>
      <c r="C250" s="7"/>
      <c r="D250" s="7"/>
      <c r="E250" s="18"/>
      <c r="F250" s="38"/>
      <c r="G250" s="38"/>
      <c r="H250" s="38"/>
      <c r="I250" s="38"/>
      <c r="J250" s="38"/>
      <c r="K250" s="38"/>
      <c r="L250" s="38"/>
      <c r="M250" s="38"/>
      <c r="N250" s="38"/>
      <c r="O250" s="38"/>
      <c r="P250" s="38"/>
    </row>
    <row r="251">
      <c r="A251" s="41"/>
      <c r="C251" s="7"/>
      <c r="D251" s="7"/>
      <c r="E251" s="18"/>
      <c r="F251" s="38"/>
      <c r="G251" s="38"/>
      <c r="H251" s="38"/>
      <c r="I251" s="38"/>
      <c r="J251" s="38"/>
      <c r="K251" s="38"/>
      <c r="L251" s="38"/>
      <c r="M251" s="38"/>
      <c r="N251" s="38"/>
      <c r="O251" s="38"/>
      <c r="P251" s="38"/>
    </row>
    <row r="252">
      <c r="A252" s="41"/>
      <c r="C252" s="7"/>
      <c r="D252" s="7"/>
      <c r="E252" s="18"/>
      <c r="F252" s="38"/>
      <c r="G252" s="38"/>
      <c r="H252" s="38"/>
      <c r="I252" s="38"/>
      <c r="J252" s="38"/>
      <c r="K252" s="38"/>
      <c r="L252" s="38"/>
      <c r="M252" s="38"/>
      <c r="N252" s="38"/>
      <c r="O252" s="38"/>
      <c r="P252" s="38"/>
    </row>
    <row r="253">
      <c r="A253" s="41"/>
      <c r="C253" s="7"/>
      <c r="D253" s="7"/>
      <c r="E253" s="18"/>
      <c r="F253" s="38"/>
      <c r="G253" s="38"/>
      <c r="H253" s="38"/>
      <c r="I253" s="38"/>
      <c r="J253" s="38"/>
      <c r="K253" s="38"/>
      <c r="L253" s="38"/>
      <c r="M253" s="38"/>
      <c r="N253" s="38"/>
      <c r="O253" s="38"/>
      <c r="P253" s="38"/>
    </row>
    <row r="254">
      <c r="A254" s="41"/>
      <c r="C254" s="7"/>
      <c r="D254" s="7"/>
      <c r="E254" s="18"/>
      <c r="F254" s="38"/>
      <c r="G254" s="38"/>
      <c r="H254" s="38"/>
      <c r="I254" s="38"/>
      <c r="J254" s="38"/>
      <c r="K254" s="38"/>
      <c r="L254" s="38"/>
      <c r="M254" s="38"/>
      <c r="N254" s="38"/>
      <c r="O254" s="38"/>
      <c r="P254" s="38"/>
    </row>
    <row r="255">
      <c r="A255" s="41"/>
      <c r="C255" s="7"/>
      <c r="D255" s="7"/>
      <c r="E255" s="18"/>
      <c r="F255" s="38"/>
      <c r="G255" s="38"/>
      <c r="H255" s="38"/>
      <c r="I255" s="38"/>
      <c r="J255" s="38"/>
      <c r="K255" s="38"/>
      <c r="L255" s="38"/>
      <c r="M255" s="38"/>
      <c r="N255" s="38"/>
      <c r="O255" s="38"/>
      <c r="P255" s="38"/>
    </row>
    <row r="256">
      <c r="A256" s="41"/>
      <c r="C256" s="7"/>
      <c r="D256" s="7"/>
      <c r="E256" s="18"/>
      <c r="F256" s="38"/>
      <c r="G256" s="38"/>
      <c r="H256" s="38"/>
      <c r="I256" s="38"/>
      <c r="J256" s="38"/>
      <c r="K256" s="38"/>
      <c r="L256" s="38"/>
      <c r="M256" s="38"/>
      <c r="N256" s="38"/>
      <c r="O256" s="38"/>
      <c r="P256" s="38"/>
    </row>
    <row r="257">
      <c r="A257" s="41"/>
      <c r="C257" s="7"/>
      <c r="D257" s="7"/>
      <c r="E257" s="18"/>
      <c r="F257" s="38"/>
      <c r="G257" s="38"/>
      <c r="H257" s="38"/>
      <c r="I257" s="38"/>
      <c r="J257" s="38"/>
      <c r="K257" s="38"/>
      <c r="L257" s="38"/>
      <c r="M257" s="38"/>
      <c r="N257" s="38"/>
      <c r="O257" s="38"/>
      <c r="P257" s="38"/>
    </row>
    <row r="258">
      <c r="A258" s="41"/>
      <c r="C258" s="7"/>
      <c r="D258" s="7"/>
      <c r="E258" s="18"/>
      <c r="F258" s="38"/>
      <c r="G258" s="38"/>
      <c r="H258" s="38"/>
      <c r="I258" s="38"/>
      <c r="J258" s="38"/>
      <c r="K258" s="38"/>
      <c r="L258" s="38"/>
      <c r="M258" s="38"/>
      <c r="N258" s="38"/>
      <c r="O258" s="38"/>
      <c r="P258" s="38"/>
    </row>
    <row r="259">
      <c r="A259" s="41"/>
      <c r="C259" s="7"/>
      <c r="D259" s="7"/>
      <c r="E259" s="18"/>
      <c r="F259" s="38"/>
      <c r="G259" s="38"/>
      <c r="H259" s="38"/>
      <c r="I259" s="38"/>
      <c r="J259" s="38"/>
      <c r="K259" s="38"/>
      <c r="L259" s="38"/>
      <c r="M259" s="38"/>
      <c r="N259" s="38"/>
      <c r="O259" s="38"/>
      <c r="P259" s="38"/>
    </row>
    <row r="260">
      <c r="A260" s="41"/>
      <c r="C260" s="7"/>
      <c r="D260" s="7"/>
      <c r="E260" s="18"/>
      <c r="F260" s="38"/>
      <c r="G260" s="38"/>
      <c r="H260" s="38"/>
      <c r="I260" s="38"/>
      <c r="J260" s="38"/>
      <c r="K260" s="38"/>
      <c r="L260" s="38"/>
      <c r="M260" s="38"/>
      <c r="N260" s="38"/>
      <c r="O260" s="38"/>
      <c r="P260" s="38"/>
    </row>
    <row r="261">
      <c r="A261" s="41"/>
      <c r="C261" s="7"/>
      <c r="D261" s="7"/>
      <c r="E261" s="18"/>
      <c r="F261" s="38"/>
      <c r="G261" s="38"/>
      <c r="H261" s="38"/>
      <c r="I261" s="38"/>
      <c r="J261" s="38"/>
      <c r="K261" s="38"/>
      <c r="L261" s="38"/>
      <c r="M261" s="38"/>
      <c r="N261" s="38"/>
      <c r="O261" s="38"/>
      <c r="P261" s="38"/>
    </row>
    <row r="262">
      <c r="A262" s="41"/>
      <c r="C262" s="7"/>
      <c r="D262" s="7"/>
      <c r="E262" s="18"/>
      <c r="F262" s="38"/>
      <c r="G262" s="38"/>
      <c r="H262" s="38"/>
      <c r="I262" s="38"/>
      <c r="J262" s="38"/>
      <c r="K262" s="38"/>
      <c r="L262" s="38"/>
      <c r="M262" s="38"/>
      <c r="N262" s="38"/>
      <c r="O262" s="38"/>
      <c r="P262" s="38"/>
    </row>
    <row r="263">
      <c r="A263" s="41"/>
      <c r="C263" s="7"/>
      <c r="D263" s="7"/>
      <c r="E263" s="18"/>
      <c r="F263" s="38"/>
      <c r="G263" s="38"/>
      <c r="H263" s="38"/>
      <c r="I263" s="38"/>
      <c r="J263" s="38"/>
      <c r="K263" s="38"/>
      <c r="L263" s="38"/>
      <c r="M263" s="38"/>
      <c r="N263" s="38"/>
      <c r="O263" s="38"/>
      <c r="P263" s="38"/>
    </row>
    <row r="264">
      <c r="A264" s="41"/>
      <c r="C264" s="7"/>
      <c r="D264" s="7"/>
      <c r="E264" s="18"/>
      <c r="F264" s="38"/>
      <c r="G264" s="38"/>
      <c r="H264" s="38"/>
      <c r="I264" s="38"/>
      <c r="J264" s="38"/>
      <c r="K264" s="38"/>
      <c r="L264" s="38"/>
      <c r="M264" s="38"/>
      <c r="N264" s="38"/>
      <c r="O264" s="38"/>
      <c r="P264" s="38"/>
    </row>
    <row r="265">
      <c r="A265" s="41"/>
      <c r="C265" s="7"/>
      <c r="D265" s="7"/>
      <c r="E265" s="18"/>
      <c r="F265" s="38"/>
      <c r="G265" s="38"/>
      <c r="H265" s="38"/>
      <c r="I265" s="38"/>
      <c r="J265" s="38"/>
      <c r="K265" s="38"/>
      <c r="L265" s="38"/>
      <c r="M265" s="38"/>
      <c r="N265" s="38"/>
      <c r="O265" s="38"/>
      <c r="P265" s="38"/>
    </row>
    <row r="266">
      <c r="A266" s="41"/>
      <c r="C266" s="7"/>
      <c r="D266" s="7"/>
      <c r="E266" s="18"/>
      <c r="F266" s="38"/>
      <c r="G266" s="38"/>
      <c r="H266" s="38"/>
      <c r="I266" s="38"/>
      <c r="J266" s="38"/>
      <c r="K266" s="38"/>
      <c r="L266" s="38"/>
      <c r="M266" s="38"/>
      <c r="N266" s="38"/>
      <c r="O266" s="38"/>
      <c r="P266" s="38"/>
    </row>
    <row r="267">
      <c r="A267" s="41"/>
      <c r="C267" s="7"/>
      <c r="D267" s="7"/>
      <c r="E267" s="18"/>
      <c r="F267" s="38"/>
      <c r="G267" s="38"/>
      <c r="H267" s="38"/>
      <c r="I267" s="38"/>
      <c r="J267" s="38"/>
      <c r="K267" s="38"/>
      <c r="L267" s="38"/>
      <c r="M267" s="38"/>
      <c r="N267" s="38"/>
      <c r="O267" s="38"/>
      <c r="P267" s="38"/>
    </row>
    <row r="268">
      <c r="A268" s="41"/>
      <c r="C268" s="7"/>
      <c r="D268" s="7"/>
      <c r="E268" s="18"/>
      <c r="F268" s="38"/>
      <c r="G268" s="38"/>
      <c r="H268" s="38"/>
      <c r="I268" s="38"/>
      <c r="J268" s="38"/>
      <c r="K268" s="38"/>
      <c r="L268" s="38"/>
      <c r="M268" s="38"/>
      <c r="N268" s="38"/>
      <c r="O268" s="38"/>
      <c r="P268" s="38"/>
    </row>
    <row r="269">
      <c r="A269" s="41"/>
      <c r="C269" s="7"/>
      <c r="D269" s="7"/>
      <c r="E269" s="18"/>
      <c r="F269" s="38"/>
      <c r="G269" s="38"/>
      <c r="H269" s="38"/>
      <c r="I269" s="38"/>
      <c r="J269" s="38"/>
      <c r="K269" s="38"/>
      <c r="L269" s="38"/>
      <c r="M269" s="38"/>
      <c r="N269" s="38"/>
      <c r="O269" s="38"/>
      <c r="P269" s="38"/>
    </row>
    <row r="270">
      <c r="A270" s="41"/>
      <c r="C270" s="7"/>
      <c r="D270" s="7"/>
      <c r="E270" s="18"/>
      <c r="F270" s="38"/>
      <c r="G270" s="38"/>
      <c r="H270" s="38"/>
      <c r="I270" s="38"/>
      <c r="J270" s="38"/>
      <c r="K270" s="38"/>
      <c r="L270" s="38"/>
      <c r="M270" s="38"/>
      <c r="N270" s="38"/>
      <c r="O270" s="38"/>
      <c r="P270" s="38"/>
    </row>
    <row r="271">
      <c r="A271" s="41"/>
      <c r="C271" s="7"/>
      <c r="D271" s="7"/>
      <c r="E271" s="18"/>
      <c r="F271" s="38"/>
      <c r="G271" s="38"/>
      <c r="H271" s="38"/>
      <c r="I271" s="38"/>
      <c r="J271" s="38"/>
      <c r="K271" s="38"/>
      <c r="L271" s="38"/>
      <c r="M271" s="38"/>
      <c r="N271" s="38"/>
      <c r="O271" s="38"/>
      <c r="P271" s="38"/>
    </row>
    <row r="272">
      <c r="A272" s="41"/>
      <c r="C272" s="7"/>
      <c r="D272" s="7"/>
      <c r="E272" s="18"/>
      <c r="F272" s="38"/>
      <c r="G272" s="38"/>
      <c r="H272" s="38"/>
      <c r="I272" s="38"/>
      <c r="J272" s="38"/>
      <c r="K272" s="38"/>
      <c r="L272" s="38"/>
      <c r="M272" s="38"/>
      <c r="N272" s="38"/>
      <c r="O272" s="38"/>
      <c r="P272" s="38"/>
    </row>
    <row r="273">
      <c r="A273" s="41"/>
      <c r="C273" s="7"/>
      <c r="D273" s="7"/>
      <c r="E273" s="18"/>
      <c r="F273" s="38"/>
      <c r="G273" s="38"/>
      <c r="H273" s="38"/>
      <c r="I273" s="38"/>
      <c r="J273" s="38"/>
      <c r="K273" s="38"/>
      <c r="L273" s="38"/>
      <c r="M273" s="38"/>
      <c r="N273" s="38"/>
      <c r="O273" s="38"/>
      <c r="P273" s="38"/>
    </row>
    <row r="274">
      <c r="A274" s="41"/>
      <c r="C274" s="7"/>
      <c r="D274" s="7"/>
      <c r="E274" s="18"/>
      <c r="F274" s="38"/>
      <c r="G274" s="38"/>
      <c r="H274" s="38"/>
      <c r="I274" s="38"/>
      <c r="J274" s="38"/>
      <c r="K274" s="38"/>
      <c r="L274" s="38"/>
      <c r="M274" s="38"/>
      <c r="N274" s="38"/>
      <c r="O274" s="38"/>
      <c r="P274" s="38"/>
    </row>
    <row r="275">
      <c r="A275" s="41"/>
      <c r="C275" s="7"/>
      <c r="D275" s="7"/>
      <c r="E275" s="18"/>
      <c r="F275" s="38"/>
      <c r="G275" s="38"/>
      <c r="H275" s="38"/>
      <c r="I275" s="38"/>
      <c r="J275" s="38"/>
      <c r="K275" s="38"/>
      <c r="L275" s="38"/>
      <c r="M275" s="38"/>
      <c r="N275" s="38"/>
      <c r="O275" s="38"/>
      <c r="P275" s="38"/>
    </row>
    <row r="276">
      <c r="A276" s="41"/>
      <c r="C276" s="7"/>
      <c r="D276" s="7"/>
      <c r="E276" s="18"/>
      <c r="F276" s="38"/>
      <c r="G276" s="38"/>
      <c r="H276" s="38"/>
      <c r="I276" s="38"/>
      <c r="J276" s="38"/>
      <c r="K276" s="38"/>
      <c r="L276" s="38"/>
      <c r="M276" s="38"/>
      <c r="N276" s="38"/>
      <c r="O276" s="38"/>
      <c r="P276" s="38"/>
    </row>
    <row r="277">
      <c r="A277" s="41"/>
      <c r="C277" s="7"/>
      <c r="D277" s="7"/>
      <c r="E277" s="18"/>
      <c r="F277" s="38"/>
      <c r="G277" s="38"/>
      <c r="H277" s="38"/>
      <c r="I277" s="38"/>
      <c r="J277" s="38"/>
      <c r="K277" s="38"/>
      <c r="L277" s="38"/>
      <c r="M277" s="38"/>
      <c r="N277" s="38"/>
      <c r="O277" s="38"/>
      <c r="P277" s="38"/>
    </row>
    <row r="278">
      <c r="A278" s="41"/>
      <c r="C278" s="7"/>
      <c r="D278" s="7"/>
      <c r="E278" s="18"/>
      <c r="F278" s="38"/>
      <c r="G278" s="38"/>
      <c r="H278" s="38"/>
      <c r="I278" s="38"/>
      <c r="J278" s="38"/>
      <c r="K278" s="38"/>
      <c r="L278" s="38"/>
      <c r="M278" s="38"/>
      <c r="N278" s="38"/>
      <c r="O278" s="38"/>
      <c r="P278" s="38"/>
    </row>
    <row r="279">
      <c r="A279" s="41"/>
      <c r="C279" s="7"/>
      <c r="D279" s="7"/>
      <c r="E279" s="18"/>
      <c r="F279" s="38"/>
      <c r="G279" s="38"/>
      <c r="H279" s="38"/>
      <c r="I279" s="38"/>
      <c r="J279" s="38"/>
      <c r="K279" s="38"/>
      <c r="L279" s="38"/>
      <c r="M279" s="38"/>
      <c r="N279" s="38"/>
      <c r="O279" s="38"/>
      <c r="P279" s="38"/>
    </row>
    <row r="280">
      <c r="A280" s="41"/>
      <c r="C280" s="7"/>
      <c r="D280" s="7"/>
      <c r="E280" s="18"/>
      <c r="F280" s="38"/>
      <c r="G280" s="38"/>
      <c r="H280" s="38"/>
      <c r="I280" s="38"/>
      <c r="J280" s="38"/>
      <c r="K280" s="38"/>
      <c r="L280" s="38"/>
      <c r="M280" s="38"/>
      <c r="N280" s="38"/>
      <c r="O280" s="38"/>
      <c r="P280" s="38"/>
    </row>
    <row r="281">
      <c r="A281" s="41"/>
      <c r="C281" s="7"/>
      <c r="D281" s="7"/>
      <c r="E281" s="18"/>
      <c r="F281" s="38"/>
      <c r="G281" s="38"/>
      <c r="H281" s="38"/>
      <c r="I281" s="38"/>
      <c r="J281" s="38"/>
      <c r="K281" s="38"/>
      <c r="L281" s="38"/>
      <c r="M281" s="38"/>
      <c r="N281" s="38"/>
      <c r="O281" s="38"/>
      <c r="P281" s="38"/>
    </row>
    <row r="282">
      <c r="A282" s="41"/>
      <c r="C282" s="7"/>
      <c r="D282" s="7"/>
      <c r="E282" s="18"/>
      <c r="F282" s="38"/>
      <c r="G282" s="38"/>
      <c r="H282" s="38"/>
      <c r="I282" s="38"/>
      <c r="J282" s="38"/>
      <c r="K282" s="38"/>
      <c r="L282" s="38"/>
      <c r="M282" s="38"/>
      <c r="N282" s="38"/>
      <c r="O282" s="38"/>
      <c r="P282" s="38"/>
    </row>
    <row r="283">
      <c r="A283" s="41"/>
      <c r="C283" s="7"/>
      <c r="D283" s="7"/>
      <c r="E283" s="18"/>
      <c r="F283" s="38"/>
      <c r="G283" s="38"/>
      <c r="H283" s="38"/>
      <c r="I283" s="38"/>
      <c r="J283" s="38"/>
      <c r="K283" s="38"/>
      <c r="L283" s="38"/>
      <c r="M283" s="38"/>
      <c r="N283" s="38"/>
      <c r="O283" s="38"/>
      <c r="P283" s="38"/>
    </row>
    <row r="284">
      <c r="A284" s="41"/>
      <c r="C284" s="7"/>
      <c r="D284" s="7"/>
      <c r="E284" s="18"/>
      <c r="F284" s="38"/>
      <c r="G284" s="38"/>
      <c r="H284" s="38"/>
      <c r="I284" s="38"/>
      <c r="J284" s="38"/>
      <c r="K284" s="38"/>
      <c r="L284" s="38"/>
      <c r="M284" s="38"/>
      <c r="N284" s="38"/>
      <c r="O284" s="38"/>
      <c r="P284" s="38"/>
    </row>
    <row r="285">
      <c r="A285" s="41"/>
      <c r="C285" s="7"/>
      <c r="D285" s="7"/>
      <c r="E285" s="18"/>
      <c r="F285" s="38"/>
      <c r="G285" s="38"/>
      <c r="H285" s="38"/>
      <c r="I285" s="38"/>
      <c r="J285" s="38"/>
      <c r="K285" s="38"/>
      <c r="L285" s="38"/>
      <c r="M285" s="38"/>
      <c r="N285" s="38"/>
      <c r="O285" s="38"/>
      <c r="P285" s="38"/>
    </row>
    <row r="286">
      <c r="A286" s="41"/>
      <c r="C286" s="7"/>
      <c r="D286" s="7"/>
      <c r="E286" s="18"/>
      <c r="F286" s="38"/>
      <c r="G286" s="38"/>
      <c r="H286" s="38"/>
      <c r="I286" s="38"/>
      <c r="J286" s="38"/>
      <c r="K286" s="38"/>
      <c r="L286" s="38"/>
      <c r="M286" s="38"/>
      <c r="N286" s="38"/>
      <c r="O286" s="38"/>
      <c r="P286" s="38"/>
    </row>
    <row r="287">
      <c r="A287" s="41"/>
      <c r="C287" s="7"/>
      <c r="D287" s="7"/>
      <c r="E287" s="18"/>
      <c r="F287" s="38"/>
      <c r="G287" s="38"/>
      <c r="H287" s="38"/>
      <c r="I287" s="38"/>
      <c r="J287" s="38"/>
      <c r="K287" s="38"/>
      <c r="L287" s="38"/>
      <c r="M287" s="38"/>
      <c r="N287" s="38"/>
      <c r="O287" s="38"/>
      <c r="P287" s="38"/>
    </row>
    <row r="288">
      <c r="A288" s="41"/>
      <c r="C288" s="7"/>
      <c r="D288" s="7"/>
      <c r="E288" s="18"/>
      <c r="F288" s="38"/>
      <c r="G288" s="38"/>
      <c r="H288" s="38"/>
      <c r="I288" s="38"/>
      <c r="J288" s="38"/>
      <c r="K288" s="38"/>
      <c r="L288" s="38"/>
      <c r="M288" s="38"/>
      <c r="N288" s="38"/>
      <c r="O288" s="38"/>
      <c r="P288" s="38"/>
    </row>
    <row r="289">
      <c r="A289" s="19"/>
      <c r="B289" s="19"/>
      <c r="C289" s="42"/>
      <c r="D289" s="42"/>
      <c r="E289" s="19"/>
      <c r="F289" s="39"/>
      <c r="G289" s="39"/>
      <c r="H289" s="39"/>
      <c r="I289" s="39"/>
      <c r="J289" s="39"/>
      <c r="K289" s="19"/>
      <c r="L289" s="19"/>
      <c r="M289" s="38"/>
      <c r="N289" s="38"/>
      <c r="O289" s="38"/>
      <c r="P289" s="38"/>
    </row>
    <row r="290">
      <c r="A290" s="41"/>
      <c r="C290" s="7"/>
      <c r="D290" s="7"/>
      <c r="E290" s="18"/>
      <c r="F290" s="38"/>
      <c r="G290" s="38"/>
      <c r="H290" s="38"/>
      <c r="I290" s="38"/>
      <c r="J290" s="38"/>
      <c r="K290" s="38"/>
      <c r="L290" s="38"/>
      <c r="M290" s="38"/>
      <c r="N290" s="38"/>
      <c r="O290" s="38"/>
      <c r="P290" s="38"/>
    </row>
    <row r="291">
      <c r="A291" s="41"/>
      <c r="C291" s="7"/>
      <c r="D291" s="7"/>
      <c r="E291" s="18"/>
      <c r="F291" s="38"/>
      <c r="G291" s="38"/>
      <c r="H291" s="38"/>
      <c r="I291" s="38"/>
      <c r="J291" s="38"/>
      <c r="K291" s="38"/>
      <c r="L291" s="38"/>
      <c r="M291" s="38"/>
      <c r="N291" s="38"/>
      <c r="O291" s="38"/>
      <c r="P291" s="38"/>
    </row>
    <row r="292">
      <c r="A292" s="41"/>
      <c r="C292" s="7"/>
      <c r="D292" s="7"/>
      <c r="E292" s="18"/>
      <c r="F292" s="38"/>
      <c r="G292" s="38"/>
      <c r="H292" s="38"/>
      <c r="I292" s="38"/>
      <c r="J292" s="38"/>
      <c r="K292" s="38"/>
      <c r="L292" s="38"/>
      <c r="M292" s="38"/>
      <c r="N292" s="38"/>
      <c r="O292" s="38"/>
      <c r="P292" s="38"/>
    </row>
    <row r="293">
      <c r="A293" s="41"/>
      <c r="C293" s="7"/>
      <c r="D293" s="7"/>
      <c r="E293" s="18"/>
      <c r="F293" s="38"/>
      <c r="G293" s="38"/>
      <c r="H293" s="38"/>
      <c r="I293" s="38"/>
      <c r="J293" s="38"/>
      <c r="K293" s="38"/>
      <c r="L293" s="38"/>
      <c r="M293" s="38"/>
      <c r="N293" s="38"/>
      <c r="O293" s="38"/>
      <c r="P293" s="38"/>
    </row>
    <row r="294">
      <c r="A294" s="41"/>
      <c r="C294" s="7"/>
      <c r="D294" s="7"/>
      <c r="E294" s="18"/>
      <c r="F294" s="38"/>
      <c r="G294" s="38"/>
      <c r="H294" s="38"/>
      <c r="I294" s="38"/>
      <c r="J294" s="38"/>
      <c r="K294" s="38"/>
      <c r="L294" s="38"/>
      <c r="M294" s="38"/>
      <c r="N294" s="38"/>
      <c r="O294" s="38"/>
      <c r="P294" s="38"/>
    </row>
    <row r="295">
      <c r="A295" s="41"/>
      <c r="C295" s="7"/>
      <c r="D295" s="7"/>
      <c r="E295" s="18"/>
      <c r="F295" s="38"/>
      <c r="G295" s="38"/>
      <c r="H295" s="38"/>
      <c r="I295" s="38"/>
      <c r="J295" s="38"/>
      <c r="K295" s="38"/>
      <c r="L295" s="38"/>
      <c r="M295" s="38"/>
      <c r="N295" s="38"/>
      <c r="O295" s="38"/>
      <c r="P295" s="38"/>
    </row>
    <row r="296">
      <c r="A296" s="41"/>
      <c r="C296" s="7"/>
      <c r="D296" s="7"/>
      <c r="E296" s="18"/>
      <c r="F296" s="38"/>
      <c r="G296" s="38"/>
      <c r="H296" s="38"/>
      <c r="I296" s="38"/>
      <c r="J296" s="38"/>
      <c r="K296" s="38"/>
      <c r="L296" s="38"/>
      <c r="M296" s="38"/>
      <c r="N296" s="38"/>
      <c r="O296" s="38"/>
      <c r="P296" s="38"/>
    </row>
    <row r="297">
      <c r="A297" s="41"/>
      <c r="C297" s="7"/>
      <c r="D297" s="7"/>
      <c r="E297" s="18"/>
      <c r="F297" s="38"/>
      <c r="G297" s="38"/>
      <c r="H297" s="38"/>
      <c r="I297" s="38"/>
      <c r="J297" s="38"/>
      <c r="K297" s="38"/>
      <c r="L297" s="38"/>
      <c r="M297" s="38"/>
      <c r="N297" s="38"/>
      <c r="O297" s="38"/>
      <c r="P297" s="38"/>
    </row>
    <row r="298">
      <c r="A298" s="41"/>
      <c r="C298" s="7"/>
      <c r="D298" s="7"/>
      <c r="E298" s="18"/>
      <c r="F298" s="38"/>
      <c r="G298" s="38"/>
      <c r="H298" s="38"/>
      <c r="I298" s="38"/>
      <c r="J298" s="38"/>
      <c r="K298" s="38"/>
      <c r="L298" s="38"/>
      <c r="M298" s="38"/>
      <c r="N298" s="38"/>
      <c r="O298" s="38"/>
      <c r="P298" s="38"/>
    </row>
    <row r="299">
      <c r="A299" s="41"/>
      <c r="C299" s="7"/>
      <c r="D299" s="7"/>
      <c r="E299" s="18"/>
      <c r="F299" s="38"/>
      <c r="G299" s="38"/>
      <c r="H299" s="38"/>
      <c r="I299" s="38"/>
      <c r="J299" s="38"/>
      <c r="K299" s="38"/>
      <c r="L299" s="38"/>
      <c r="M299" s="38"/>
      <c r="N299" s="38"/>
      <c r="O299" s="38"/>
      <c r="P299" s="38"/>
    </row>
    <row r="300">
      <c r="A300" s="41"/>
      <c r="C300" s="7"/>
      <c r="D300" s="7"/>
      <c r="E300" s="18"/>
      <c r="F300" s="38"/>
      <c r="G300" s="38"/>
      <c r="H300" s="38"/>
      <c r="I300" s="38"/>
      <c r="J300" s="38"/>
      <c r="K300" s="38"/>
      <c r="L300" s="38"/>
      <c r="M300" s="38"/>
      <c r="N300" s="38"/>
      <c r="O300" s="38"/>
      <c r="P300" s="38"/>
    </row>
    <row r="301">
      <c r="A301" s="41"/>
      <c r="C301" s="7"/>
      <c r="D301" s="7"/>
      <c r="E301" s="18"/>
      <c r="F301" s="38"/>
      <c r="G301" s="38"/>
      <c r="H301" s="38"/>
      <c r="I301" s="38"/>
      <c r="J301" s="38"/>
      <c r="K301" s="38"/>
      <c r="L301" s="38"/>
      <c r="M301" s="38"/>
      <c r="N301" s="38"/>
      <c r="O301" s="38"/>
      <c r="P301" s="38"/>
    </row>
    <row r="302">
      <c r="A302" s="41"/>
      <c r="C302" s="7"/>
      <c r="D302" s="7"/>
      <c r="E302" s="18"/>
      <c r="F302" s="38"/>
      <c r="G302" s="38"/>
      <c r="H302" s="38"/>
      <c r="I302" s="38"/>
      <c r="J302" s="38"/>
      <c r="K302" s="38"/>
      <c r="L302" s="38"/>
      <c r="M302" s="38"/>
      <c r="N302" s="38"/>
      <c r="O302" s="38"/>
      <c r="P302" s="38"/>
    </row>
    <row r="303">
      <c r="A303" s="41"/>
      <c r="C303" s="7"/>
      <c r="D303" s="7"/>
      <c r="E303" s="18"/>
      <c r="F303" s="38"/>
      <c r="G303" s="38"/>
      <c r="H303" s="38"/>
      <c r="I303" s="38"/>
      <c r="J303" s="38"/>
      <c r="K303" s="38"/>
      <c r="L303" s="38"/>
      <c r="M303" s="38"/>
      <c r="N303" s="38"/>
      <c r="O303" s="38"/>
      <c r="P303" s="38"/>
    </row>
    <row r="304">
      <c r="A304" s="41"/>
      <c r="C304" s="7"/>
      <c r="D304" s="7"/>
      <c r="E304" s="18"/>
      <c r="F304" s="38"/>
      <c r="G304" s="38"/>
      <c r="H304" s="38"/>
      <c r="I304" s="38"/>
      <c r="J304" s="38"/>
      <c r="K304" s="38"/>
      <c r="L304" s="38"/>
      <c r="M304" s="38"/>
      <c r="N304" s="38"/>
      <c r="O304" s="38"/>
      <c r="P304" s="38"/>
    </row>
    <row r="305">
      <c r="A305" s="41"/>
      <c r="C305" s="7"/>
      <c r="D305" s="7"/>
      <c r="E305" s="18"/>
      <c r="F305" s="38"/>
      <c r="G305" s="38"/>
      <c r="H305" s="38"/>
      <c r="I305" s="38"/>
      <c r="J305" s="38"/>
      <c r="K305" s="38"/>
      <c r="L305" s="38"/>
      <c r="M305" s="38"/>
      <c r="N305" s="38"/>
      <c r="O305" s="38"/>
      <c r="P305" s="38"/>
    </row>
    <row r="306">
      <c r="A306" s="41"/>
      <c r="C306" s="7"/>
      <c r="D306" s="7"/>
      <c r="E306" s="18"/>
      <c r="F306" s="38"/>
      <c r="G306" s="38"/>
      <c r="H306" s="38"/>
      <c r="I306" s="38"/>
      <c r="J306" s="38"/>
      <c r="K306" s="38"/>
      <c r="L306" s="38"/>
      <c r="M306" s="38"/>
      <c r="N306" s="38"/>
      <c r="O306" s="38"/>
      <c r="P306" s="38"/>
    </row>
    <row r="307">
      <c r="A307" s="41"/>
      <c r="C307" s="7"/>
      <c r="D307" s="7"/>
      <c r="E307" s="18"/>
      <c r="F307" s="38"/>
      <c r="G307" s="38"/>
      <c r="H307" s="38"/>
      <c r="I307" s="38"/>
      <c r="J307" s="38"/>
      <c r="K307" s="38"/>
      <c r="L307" s="38"/>
      <c r="M307" s="38"/>
      <c r="N307" s="38"/>
      <c r="O307" s="38"/>
      <c r="P307" s="38"/>
    </row>
    <row r="308">
      <c r="A308" s="41"/>
      <c r="C308" s="7"/>
      <c r="D308" s="7"/>
      <c r="E308" s="18"/>
      <c r="F308" s="38"/>
      <c r="G308" s="38"/>
      <c r="H308" s="38"/>
      <c r="I308" s="38"/>
      <c r="J308" s="38"/>
      <c r="K308" s="38"/>
      <c r="L308" s="38"/>
      <c r="M308" s="38"/>
      <c r="N308" s="38"/>
      <c r="O308" s="38"/>
      <c r="P308" s="38"/>
    </row>
    <row r="309">
      <c r="A309" s="41"/>
      <c r="C309" s="7"/>
      <c r="D309" s="7"/>
      <c r="E309" s="18"/>
      <c r="F309" s="38"/>
      <c r="G309" s="38"/>
      <c r="H309" s="38"/>
      <c r="I309" s="38"/>
      <c r="J309" s="38"/>
      <c r="K309" s="38"/>
      <c r="L309" s="38"/>
      <c r="M309" s="38"/>
      <c r="N309" s="38"/>
      <c r="O309" s="38"/>
      <c r="P309" s="38"/>
    </row>
    <row r="310">
      <c r="A310" s="41"/>
      <c r="C310" s="7"/>
      <c r="D310" s="7"/>
      <c r="E310" s="18"/>
      <c r="F310" s="38"/>
      <c r="G310" s="38"/>
      <c r="H310" s="38"/>
      <c r="I310" s="38"/>
      <c r="J310" s="38"/>
      <c r="K310" s="38"/>
      <c r="L310" s="38"/>
      <c r="M310" s="38"/>
      <c r="N310" s="38"/>
      <c r="O310" s="38"/>
      <c r="P310" s="38"/>
    </row>
    <row r="311">
      <c r="A311" s="41"/>
      <c r="C311" s="7"/>
      <c r="D311" s="7"/>
      <c r="E311" s="18"/>
      <c r="F311" s="38"/>
      <c r="G311" s="38"/>
      <c r="H311" s="38"/>
      <c r="I311" s="38"/>
      <c r="J311" s="38"/>
      <c r="K311" s="38"/>
      <c r="L311" s="38"/>
      <c r="M311" s="38"/>
      <c r="N311" s="38"/>
      <c r="O311" s="38"/>
      <c r="P311" s="38"/>
    </row>
    <row r="312">
      <c r="A312" s="41"/>
      <c r="C312" s="7"/>
      <c r="D312" s="7"/>
      <c r="E312" s="18"/>
      <c r="F312" s="38"/>
      <c r="G312" s="38"/>
      <c r="H312" s="38"/>
      <c r="I312" s="38"/>
      <c r="J312" s="38"/>
      <c r="K312" s="38"/>
      <c r="L312" s="38"/>
      <c r="M312" s="38"/>
      <c r="N312" s="38"/>
      <c r="O312" s="38"/>
      <c r="P312" s="38"/>
    </row>
    <row r="313">
      <c r="A313" s="41"/>
      <c r="C313" s="7"/>
      <c r="D313" s="7"/>
      <c r="E313" s="18"/>
      <c r="F313" s="38"/>
      <c r="G313" s="38"/>
      <c r="H313" s="38"/>
      <c r="I313" s="38"/>
      <c r="J313" s="38"/>
      <c r="K313" s="38"/>
      <c r="L313" s="38"/>
      <c r="M313" s="38"/>
      <c r="N313" s="38"/>
      <c r="O313" s="38"/>
      <c r="P313" s="38"/>
    </row>
    <row r="314">
      <c r="A314" s="41"/>
      <c r="C314" s="7"/>
      <c r="D314" s="7"/>
      <c r="E314" s="18"/>
      <c r="F314" s="38"/>
      <c r="G314" s="38"/>
      <c r="H314" s="38"/>
      <c r="I314" s="38"/>
      <c r="J314" s="38"/>
      <c r="K314" s="38"/>
      <c r="L314" s="38"/>
      <c r="M314" s="38"/>
      <c r="N314" s="38"/>
      <c r="O314" s="38"/>
      <c r="P314" s="38"/>
    </row>
    <row r="315">
      <c r="A315" s="41"/>
      <c r="C315" s="7"/>
      <c r="D315" s="7"/>
      <c r="E315" s="18"/>
      <c r="F315" s="38"/>
      <c r="G315" s="38"/>
      <c r="H315" s="38"/>
      <c r="I315" s="38"/>
      <c r="J315" s="38"/>
      <c r="K315" s="38"/>
      <c r="L315" s="38"/>
      <c r="M315" s="38"/>
      <c r="N315" s="38"/>
      <c r="O315" s="38"/>
      <c r="P315" s="38"/>
    </row>
    <row r="316">
      <c r="A316" s="41"/>
      <c r="C316" s="7"/>
      <c r="D316" s="7"/>
      <c r="E316" s="18"/>
      <c r="F316" s="38"/>
      <c r="G316" s="38"/>
      <c r="H316" s="38"/>
      <c r="I316" s="38"/>
      <c r="J316" s="38"/>
      <c r="K316" s="38"/>
      <c r="L316" s="38"/>
      <c r="M316" s="38"/>
      <c r="N316" s="38"/>
      <c r="O316" s="38"/>
      <c r="P316" s="38"/>
    </row>
    <row r="317">
      <c r="A317" s="41"/>
      <c r="C317" s="7"/>
      <c r="D317" s="7"/>
      <c r="E317" s="18"/>
      <c r="F317" s="38"/>
      <c r="G317" s="38"/>
      <c r="H317" s="38"/>
      <c r="I317" s="38"/>
      <c r="J317" s="38"/>
      <c r="K317" s="38"/>
      <c r="L317" s="38"/>
      <c r="M317" s="38"/>
      <c r="N317" s="38"/>
      <c r="O317" s="38"/>
      <c r="P317" s="38"/>
    </row>
    <row r="318">
      <c r="A318" s="41"/>
      <c r="C318" s="7"/>
      <c r="D318" s="7"/>
      <c r="E318" s="18"/>
      <c r="F318" s="38"/>
      <c r="G318" s="38"/>
      <c r="H318" s="38"/>
      <c r="I318" s="38"/>
      <c r="J318" s="38"/>
      <c r="K318" s="38"/>
      <c r="L318" s="38"/>
      <c r="M318" s="38"/>
      <c r="N318" s="38"/>
      <c r="O318" s="38"/>
      <c r="P318" s="38"/>
    </row>
    <row r="319">
      <c r="A319" s="41"/>
      <c r="C319" s="7"/>
      <c r="D319" s="7"/>
      <c r="E319" s="18"/>
      <c r="F319" s="38"/>
      <c r="G319" s="38"/>
      <c r="H319" s="38"/>
      <c r="I319" s="38"/>
      <c r="J319" s="38"/>
      <c r="K319" s="38"/>
      <c r="L319" s="38"/>
      <c r="M319" s="38"/>
      <c r="N319" s="38"/>
      <c r="O319" s="38"/>
      <c r="P319" s="38"/>
    </row>
    <row r="320">
      <c r="A320" s="41"/>
      <c r="C320" s="7"/>
      <c r="D320" s="7"/>
      <c r="E320" s="18"/>
      <c r="F320" s="38"/>
      <c r="G320" s="38"/>
      <c r="H320" s="38"/>
      <c r="I320" s="38"/>
      <c r="J320" s="38"/>
      <c r="K320" s="38"/>
      <c r="L320" s="38"/>
      <c r="M320" s="38"/>
      <c r="N320" s="38"/>
      <c r="O320" s="38"/>
      <c r="P320" s="38"/>
    </row>
    <row r="321">
      <c r="A321" s="41"/>
      <c r="C321" s="7"/>
      <c r="D321" s="7"/>
      <c r="E321" s="18"/>
      <c r="F321" s="38"/>
      <c r="G321" s="38"/>
      <c r="H321" s="38"/>
      <c r="I321" s="38"/>
      <c r="J321" s="38"/>
      <c r="K321" s="38"/>
      <c r="L321" s="38"/>
      <c r="M321" s="38"/>
      <c r="N321" s="38"/>
      <c r="O321" s="38"/>
      <c r="P321" s="38"/>
    </row>
    <row r="322">
      <c r="A322" s="41"/>
      <c r="C322" s="7"/>
      <c r="D322" s="7"/>
      <c r="E322" s="18"/>
      <c r="F322" s="38"/>
      <c r="G322" s="38"/>
      <c r="H322" s="38"/>
      <c r="I322" s="38"/>
      <c r="J322" s="38"/>
      <c r="K322" s="38"/>
      <c r="L322" s="38"/>
      <c r="M322" s="38"/>
      <c r="N322" s="38"/>
      <c r="O322" s="38"/>
      <c r="P322" s="38"/>
    </row>
    <row r="323">
      <c r="A323" s="41"/>
      <c r="C323" s="7"/>
      <c r="D323" s="7"/>
      <c r="E323" s="18"/>
      <c r="F323" s="38"/>
      <c r="G323" s="38"/>
      <c r="H323" s="38"/>
      <c r="I323" s="38"/>
      <c r="J323" s="38"/>
      <c r="K323" s="38"/>
      <c r="L323" s="38"/>
      <c r="M323" s="38"/>
      <c r="N323" s="38"/>
      <c r="O323" s="38"/>
      <c r="P323" s="38"/>
    </row>
    <row r="324">
      <c r="A324" s="41"/>
      <c r="C324" s="7"/>
      <c r="D324" s="7"/>
      <c r="E324" s="18"/>
      <c r="F324" s="38"/>
      <c r="G324" s="38"/>
      <c r="H324" s="38"/>
      <c r="I324" s="38"/>
      <c r="J324" s="38"/>
      <c r="K324" s="38"/>
      <c r="L324" s="38"/>
      <c r="M324" s="38"/>
      <c r="N324" s="38"/>
      <c r="O324" s="38"/>
      <c r="P324" s="38"/>
    </row>
    <row r="325">
      <c r="A325" s="41"/>
      <c r="C325" s="7"/>
      <c r="D325" s="7"/>
      <c r="E325" s="18"/>
      <c r="F325" s="38"/>
      <c r="G325" s="38"/>
      <c r="H325" s="38"/>
      <c r="I325" s="38"/>
      <c r="J325" s="38"/>
      <c r="K325" s="38"/>
      <c r="L325" s="38"/>
      <c r="M325" s="38"/>
      <c r="N325" s="38"/>
      <c r="O325" s="38"/>
      <c r="P325" s="38"/>
    </row>
    <row r="326">
      <c r="A326" s="41"/>
      <c r="C326" s="7"/>
      <c r="D326" s="7"/>
      <c r="E326" s="18"/>
      <c r="F326" s="38"/>
      <c r="G326" s="38"/>
      <c r="H326" s="38"/>
      <c r="I326" s="38"/>
      <c r="J326" s="38"/>
      <c r="K326" s="38"/>
      <c r="L326" s="38"/>
      <c r="M326" s="38"/>
      <c r="N326" s="38"/>
      <c r="O326" s="38"/>
      <c r="P326" s="38"/>
    </row>
    <row r="327">
      <c r="A327" s="41"/>
      <c r="C327" s="7"/>
      <c r="D327" s="7"/>
      <c r="E327" s="18"/>
      <c r="F327" s="38"/>
      <c r="G327" s="38"/>
      <c r="H327" s="38"/>
      <c r="I327" s="38"/>
      <c r="J327" s="38"/>
      <c r="K327" s="38"/>
      <c r="L327" s="38"/>
      <c r="M327" s="38"/>
      <c r="N327" s="38"/>
      <c r="O327" s="38"/>
      <c r="P327" s="38"/>
    </row>
    <row r="328">
      <c r="A328" s="41"/>
      <c r="C328" s="7"/>
      <c r="D328" s="7"/>
      <c r="E328" s="18"/>
      <c r="F328" s="38"/>
      <c r="G328" s="38"/>
      <c r="H328" s="38"/>
      <c r="I328" s="38"/>
      <c r="J328" s="38"/>
      <c r="K328" s="38"/>
      <c r="L328" s="38"/>
      <c r="M328" s="38"/>
      <c r="N328" s="38"/>
      <c r="O328" s="38"/>
      <c r="P328" s="38"/>
    </row>
    <row r="329">
      <c r="A329" s="41"/>
      <c r="C329" s="7"/>
      <c r="D329" s="7"/>
      <c r="E329" s="18"/>
      <c r="F329" s="38"/>
      <c r="G329" s="38"/>
      <c r="H329" s="38"/>
      <c r="I329" s="38"/>
      <c r="J329" s="38"/>
      <c r="K329" s="38"/>
      <c r="L329" s="38"/>
      <c r="M329" s="38"/>
      <c r="N329" s="38"/>
      <c r="O329" s="38"/>
      <c r="P329" s="38"/>
    </row>
    <row r="330">
      <c r="A330" s="19"/>
      <c r="B330" s="19"/>
      <c r="C330" s="42"/>
      <c r="D330" s="42"/>
      <c r="E330" s="19"/>
      <c r="F330" s="39"/>
      <c r="G330" s="39"/>
      <c r="H330" s="39"/>
      <c r="I330" s="39"/>
      <c r="J330" s="39"/>
      <c r="K330" s="19"/>
      <c r="L330" s="19"/>
      <c r="M330" s="38"/>
      <c r="N330" s="38"/>
      <c r="O330" s="38"/>
      <c r="P330" s="38"/>
    </row>
    <row r="331">
      <c r="A331" s="41"/>
      <c r="C331" s="7"/>
      <c r="D331" s="7"/>
      <c r="E331" s="18"/>
      <c r="F331" s="38"/>
      <c r="G331" s="38"/>
      <c r="H331" s="38"/>
      <c r="I331" s="38"/>
      <c r="J331" s="38"/>
      <c r="K331" s="38"/>
      <c r="L331" s="38"/>
      <c r="M331" s="38"/>
      <c r="N331" s="38"/>
      <c r="O331" s="38"/>
      <c r="P331" s="38"/>
    </row>
    <row r="332">
      <c r="A332" s="41"/>
      <c r="C332" s="7"/>
      <c r="D332" s="7"/>
      <c r="E332" s="18"/>
      <c r="F332" s="38"/>
      <c r="G332" s="38"/>
      <c r="H332" s="38"/>
      <c r="I332" s="38"/>
      <c r="J332" s="38"/>
      <c r="K332" s="38"/>
      <c r="L332" s="38"/>
      <c r="M332" s="38"/>
      <c r="N332" s="38"/>
      <c r="O332" s="38"/>
      <c r="P332" s="38"/>
    </row>
    <row r="333">
      <c r="A333" s="41"/>
      <c r="C333" s="7"/>
      <c r="D333" s="7"/>
      <c r="E333" s="18"/>
      <c r="F333" s="38"/>
      <c r="G333" s="38"/>
      <c r="H333" s="38"/>
      <c r="I333" s="38"/>
      <c r="J333" s="38"/>
      <c r="K333" s="38"/>
      <c r="L333" s="38"/>
      <c r="M333" s="38"/>
      <c r="N333" s="38"/>
      <c r="O333" s="38"/>
      <c r="P333" s="38"/>
    </row>
    <row r="334">
      <c r="A334" s="41"/>
      <c r="C334" s="7"/>
      <c r="D334" s="7"/>
      <c r="E334" s="18"/>
      <c r="F334" s="38"/>
      <c r="G334" s="38"/>
      <c r="H334" s="38"/>
      <c r="I334" s="38"/>
      <c r="J334" s="38"/>
      <c r="K334" s="38"/>
      <c r="L334" s="38"/>
      <c r="M334" s="38"/>
      <c r="N334" s="38"/>
      <c r="O334" s="38"/>
      <c r="P334" s="38"/>
    </row>
    <row r="335">
      <c r="A335" s="41"/>
      <c r="C335" s="7"/>
      <c r="D335" s="7"/>
      <c r="E335" s="18"/>
      <c r="F335" s="38"/>
      <c r="G335" s="38"/>
      <c r="H335" s="38"/>
      <c r="I335" s="38"/>
      <c r="J335" s="38"/>
      <c r="K335" s="38"/>
      <c r="L335" s="38"/>
      <c r="M335" s="38"/>
      <c r="N335" s="38"/>
      <c r="O335" s="38"/>
      <c r="P335" s="38"/>
    </row>
    <row r="336">
      <c r="A336" s="41"/>
      <c r="C336" s="7"/>
      <c r="D336" s="7"/>
      <c r="E336" s="18"/>
      <c r="F336" s="38"/>
      <c r="G336" s="38"/>
      <c r="H336" s="38"/>
      <c r="I336" s="38"/>
      <c r="J336" s="38"/>
      <c r="K336" s="38"/>
      <c r="L336" s="38"/>
      <c r="M336" s="38"/>
      <c r="N336" s="38"/>
      <c r="O336" s="38"/>
      <c r="P336" s="38"/>
    </row>
    <row r="337">
      <c r="A337" s="41"/>
      <c r="C337" s="7"/>
      <c r="D337" s="7"/>
      <c r="E337" s="18"/>
      <c r="F337" s="38"/>
      <c r="G337" s="38"/>
      <c r="H337" s="38"/>
      <c r="I337" s="38"/>
      <c r="J337" s="38"/>
      <c r="K337" s="38"/>
      <c r="L337" s="38"/>
      <c r="M337" s="38"/>
      <c r="N337" s="38"/>
      <c r="O337" s="38"/>
      <c r="P337" s="38"/>
    </row>
    <row r="338">
      <c r="A338" s="41"/>
      <c r="C338" s="7"/>
      <c r="D338" s="7"/>
      <c r="E338" s="18"/>
      <c r="F338" s="38"/>
      <c r="G338" s="38"/>
      <c r="H338" s="38"/>
      <c r="I338" s="38"/>
      <c r="J338" s="38"/>
      <c r="K338" s="38"/>
      <c r="L338" s="38"/>
      <c r="M338" s="38"/>
      <c r="N338" s="38"/>
      <c r="O338" s="38"/>
      <c r="P338" s="38"/>
    </row>
    <row r="339">
      <c r="A339" s="41"/>
      <c r="C339" s="7"/>
      <c r="D339" s="7"/>
      <c r="E339" s="18"/>
      <c r="F339" s="38"/>
      <c r="G339" s="38"/>
      <c r="H339" s="38"/>
      <c r="I339" s="38"/>
      <c r="J339" s="38"/>
      <c r="K339" s="38"/>
      <c r="L339" s="38"/>
      <c r="M339" s="38"/>
      <c r="N339" s="38"/>
      <c r="O339" s="38"/>
      <c r="P339" s="38"/>
    </row>
    <row r="340">
      <c r="A340" s="41"/>
      <c r="C340" s="7"/>
      <c r="D340" s="7"/>
      <c r="E340" s="18"/>
      <c r="F340" s="38"/>
      <c r="G340" s="38"/>
      <c r="H340" s="38"/>
      <c r="I340" s="38"/>
      <c r="J340" s="38"/>
      <c r="K340" s="38"/>
      <c r="L340" s="38"/>
      <c r="M340" s="38"/>
      <c r="N340" s="38"/>
      <c r="O340" s="38"/>
      <c r="P340" s="38"/>
    </row>
    <row r="341">
      <c r="A341" s="41"/>
      <c r="C341" s="7"/>
      <c r="D341" s="7"/>
      <c r="E341" s="18"/>
      <c r="F341" s="38"/>
      <c r="G341" s="38"/>
      <c r="H341" s="38"/>
      <c r="I341" s="38"/>
      <c r="J341" s="38"/>
      <c r="K341" s="38"/>
      <c r="L341" s="38"/>
      <c r="M341" s="38"/>
      <c r="N341" s="38"/>
      <c r="O341" s="38"/>
      <c r="P341" s="38"/>
    </row>
    <row r="342">
      <c r="A342" s="41"/>
      <c r="C342" s="7"/>
      <c r="D342" s="7"/>
      <c r="E342" s="18"/>
      <c r="F342" s="38"/>
      <c r="G342" s="38"/>
      <c r="H342" s="38"/>
      <c r="I342" s="38"/>
      <c r="J342" s="38"/>
      <c r="K342" s="38"/>
      <c r="L342" s="38"/>
      <c r="M342" s="38"/>
      <c r="N342" s="38"/>
      <c r="O342" s="38"/>
      <c r="P342" s="38"/>
    </row>
    <row r="343">
      <c r="A343" s="41"/>
      <c r="C343" s="7"/>
      <c r="D343" s="7"/>
      <c r="E343" s="18"/>
      <c r="F343" s="38"/>
      <c r="G343" s="38"/>
      <c r="H343" s="38"/>
      <c r="I343" s="38"/>
      <c r="J343" s="38"/>
      <c r="K343" s="38"/>
      <c r="L343" s="38"/>
      <c r="M343" s="38"/>
      <c r="N343" s="38"/>
      <c r="O343" s="38"/>
      <c r="P343" s="38"/>
    </row>
    <row r="344">
      <c r="A344" s="41"/>
      <c r="C344" s="7"/>
      <c r="D344" s="7"/>
      <c r="E344" s="18"/>
      <c r="F344" s="38"/>
      <c r="G344" s="38"/>
      <c r="H344" s="38"/>
      <c r="I344" s="38"/>
      <c r="J344" s="38"/>
      <c r="K344" s="38"/>
      <c r="L344" s="38"/>
      <c r="M344" s="38"/>
      <c r="N344" s="38"/>
      <c r="O344" s="38"/>
      <c r="P344" s="38"/>
    </row>
    <row r="345">
      <c r="A345" s="41"/>
      <c r="C345" s="7"/>
      <c r="D345" s="7"/>
      <c r="E345" s="18"/>
      <c r="F345" s="38"/>
      <c r="G345" s="38"/>
      <c r="H345" s="38"/>
      <c r="I345" s="38"/>
      <c r="J345" s="38"/>
      <c r="K345" s="38"/>
      <c r="L345" s="38"/>
      <c r="M345" s="38"/>
      <c r="N345" s="38"/>
      <c r="O345" s="38"/>
      <c r="P345" s="38"/>
    </row>
    <row r="346">
      <c r="A346" s="41"/>
      <c r="C346" s="7"/>
      <c r="D346" s="7"/>
      <c r="E346" s="18"/>
      <c r="F346" s="38"/>
      <c r="G346" s="38"/>
      <c r="H346" s="38"/>
      <c r="I346" s="38"/>
      <c r="J346" s="38"/>
      <c r="K346" s="38"/>
      <c r="L346" s="38"/>
      <c r="M346" s="38"/>
      <c r="N346" s="38"/>
      <c r="O346" s="38"/>
      <c r="P346" s="38"/>
    </row>
    <row r="347">
      <c r="A347" s="41"/>
      <c r="C347" s="7"/>
      <c r="D347" s="7"/>
      <c r="E347" s="18"/>
      <c r="F347" s="38"/>
      <c r="G347" s="38"/>
      <c r="H347" s="38"/>
      <c r="I347" s="38"/>
      <c r="J347" s="38"/>
      <c r="K347" s="38"/>
      <c r="L347" s="38"/>
      <c r="M347" s="38"/>
      <c r="N347" s="38"/>
      <c r="O347" s="38"/>
      <c r="P347" s="38"/>
    </row>
    <row r="348">
      <c r="A348" s="41"/>
      <c r="C348" s="7"/>
      <c r="D348" s="7"/>
      <c r="E348" s="18"/>
      <c r="F348" s="38"/>
      <c r="G348" s="38"/>
      <c r="H348" s="38"/>
      <c r="I348" s="38"/>
      <c r="J348" s="38"/>
      <c r="K348" s="38"/>
      <c r="L348" s="38"/>
      <c r="M348" s="38"/>
      <c r="N348" s="38"/>
      <c r="O348" s="38"/>
      <c r="P348" s="38"/>
    </row>
    <row r="349">
      <c r="A349" s="41"/>
      <c r="C349" s="7"/>
      <c r="D349" s="7"/>
      <c r="E349" s="18"/>
      <c r="F349" s="38"/>
      <c r="G349" s="38"/>
      <c r="H349" s="38"/>
      <c r="I349" s="38"/>
      <c r="J349" s="38"/>
      <c r="K349" s="38"/>
      <c r="L349" s="38"/>
      <c r="M349" s="38"/>
      <c r="N349" s="38"/>
      <c r="O349" s="38"/>
      <c r="P349" s="38"/>
    </row>
    <row r="350">
      <c r="A350" s="41"/>
      <c r="C350" s="7"/>
      <c r="D350" s="7"/>
      <c r="E350" s="18"/>
      <c r="F350" s="38"/>
      <c r="G350" s="38"/>
      <c r="H350" s="38"/>
      <c r="I350" s="38"/>
      <c r="J350" s="38"/>
      <c r="K350" s="38"/>
      <c r="L350" s="38"/>
      <c r="M350" s="38"/>
      <c r="N350" s="38"/>
      <c r="O350" s="38"/>
      <c r="P350" s="38"/>
    </row>
    <row r="351">
      <c r="A351" s="41"/>
      <c r="C351" s="7"/>
      <c r="D351" s="7"/>
      <c r="E351" s="18"/>
      <c r="F351" s="38"/>
      <c r="G351" s="38"/>
      <c r="H351" s="38"/>
      <c r="I351" s="38"/>
      <c r="J351" s="38"/>
      <c r="K351" s="38"/>
      <c r="L351" s="38"/>
      <c r="M351" s="38"/>
      <c r="N351" s="38"/>
      <c r="O351" s="38"/>
      <c r="P351" s="38"/>
    </row>
    <row r="352">
      <c r="A352" s="41"/>
      <c r="C352" s="7"/>
      <c r="D352" s="7"/>
      <c r="E352" s="18"/>
      <c r="F352" s="38"/>
      <c r="G352" s="38"/>
      <c r="H352" s="38"/>
      <c r="I352" s="38"/>
      <c r="J352" s="38"/>
      <c r="K352" s="38"/>
      <c r="L352" s="38"/>
      <c r="M352" s="38"/>
      <c r="N352" s="38"/>
      <c r="O352" s="38"/>
      <c r="P352" s="38"/>
    </row>
    <row r="353">
      <c r="A353" s="41"/>
      <c r="C353" s="7"/>
      <c r="D353" s="7"/>
      <c r="E353" s="18"/>
      <c r="F353" s="38"/>
      <c r="G353" s="38"/>
      <c r="H353" s="38"/>
      <c r="I353" s="38"/>
      <c r="J353" s="38"/>
      <c r="K353" s="38"/>
      <c r="L353" s="38"/>
      <c r="M353" s="38"/>
      <c r="N353" s="38"/>
      <c r="O353" s="38"/>
      <c r="P353" s="38"/>
    </row>
    <row r="354">
      <c r="A354" s="41"/>
      <c r="C354" s="7"/>
      <c r="D354" s="7"/>
      <c r="E354" s="18"/>
      <c r="F354" s="38"/>
      <c r="G354" s="38"/>
      <c r="H354" s="38"/>
      <c r="I354" s="38"/>
      <c r="J354" s="38"/>
      <c r="K354" s="38"/>
      <c r="L354" s="38"/>
      <c r="M354" s="38"/>
      <c r="N354" s="38"/>
      <c r="O354" s="38"/>
      <c r="P354" s="38"/>
    </row>
    <row r="355">
      <c r="A355" s="41"/>
      <c r="C355" s="7"/>
      <c r="D355" s="7"/>
      <c r="E355" s="18"/>
      <c r="F355" s="38"/>
      <c r="G355" s="38"/>
      <c r="H355" s="38"/>
      <c r="I355" s="38"/>
      <c r="J355" s="38"/>
      <c r="K355" s="38"/>
      <c r="L355" s="38"/>
      <c r="M355" s="38"/>
      <c r="N355" s="38"/>
      <c r="O355" s="38"/>
      <c r="P355" s="38"/>
    </row>
    <row r="356">
      <c r="A356" s="41"/>
      <c r="C356" s="7"/>
      <c r="D356" s="7"/>
      <c r="E356" s="18"/>
      <c r="F356" s="38"/>
      <c r="G356" s="38"/>
      <c r="H356" s="38"/>
      <c r="I356" s="38"/>
      <c r="J356" s="38"/>
      <c r="K356" s="38"/>
      <c r="L356" s="38"/>
      <c r="M356" s="38"/>
      <c r="N356" s="38"/>
      <c r="O356" s="38"/>
      <c r="P356" s="38"/>
    </row>
    <row r="357">
      <c r="A357" s="41"/>
      <c r="C357" s="7"/>
      <c r="D357" s="7"/>
      <c r="E357" s="18"/>
      <c r="F357" s="38"/>
      <c r="G357" s="38"/>
      <c r="H357" s="38"/>
      <c r="I357" s="38"/>
      <c r="J357" s="38"/>
      <c r="K357" s="38"/>
      <c r="L357" s="38"/>
      <c r="M357" s="38"/>
      <c r="N357" s="38"/>
      <c r="O357" s="38"/>
      <c r="P357" s="38"/>
    </row>
    <row r="358">
      <c r="A358" s="41"/>
      <c r="C358" s="7"/>
      <c r="D358" s="7"/>
      <c r="E358" s="18"/>
      <c r="F358" s="38"/>
      <c r="G358" s="38"/>
      <c r="H358" s="38"/>
      <c r="I358" s="38"/>
      <c r="J358" s="38"/>
      <c r="K358" s="38"/>
      <c r="L358" s="38"/>
      <c r="M358" s="38"/>
      <c r="N358" s="38"/>
      <c r="O358" s="38"/>
      <c r="P358" s="38"/>
    </row>
    <row r="359">
      <c r="A359" s="41"/>
      <c r="C359" s="7"/>
      <c r="D359" s="7"/>
      <c r="E359" s="18"/>
      <c r="F359" s="38"/>
      <c r="G359" s="38"/>
      <c r="H359" s="38"/>
      <c r="I359" s="38"/>
      <c r="J359" s="38"/>
      <c r="K359" s="38"/>
      <c r="L359" s="38"/>
      <c r="M359" s="38"/>
      <c r="N359" s="38"/>
      <c r="O359" s="38"/>
      <c r="P359" s="38"/>
    </row>
    <row r="360">
      <c r="A360" s="41"/>
      <c r="C360" s="7"/>
      <c r="D360" s="7"/>
      <c r="E360" s="18"/>
      <c r="F360" s="38"/>
      <c r="G360" s="38"/>
      <c r="H360" s="38"/>
      <c r="I360" s="38"/>
      <c r="J360" s="38"/>
      <c r="K360" s="38"/>
      <c r="L360" s="38"/>
      <c r="M360" s="38"/>
      <c r="N360" s="38"/>
      <c r="O360" s="38"/>
      <c r="P360" s="38"/>
    </row>
    <row r="361">
      <c r="A361" s="41"/>
      <c r="C361" s="7"/>
      <c r="D361" s="7"/>
      <c r="E361" s="18"/>
      <c r="F361" s="38"/>
      <c r="G361" s="38"/>
      <c r="H361" s="38"/>
      <c r="I361" s="38"/>
      <c r="J361" s="38"/>
      <c r="K361" s="38"/>
      <c r="L361" s="38"/>
      <c r="M361" s="38"/>
      <c r="N361" s="38"/>
      <c r="O361" s="38"/>
      <c r="P361" s="38"/>
    </row>
    <row r="362">
      <c r="A362" s="41"/>
      <c r="C362" s="7"/>
      <c r="D362" s="7"/>
      <c r="E362" s="18"/>
      <c r="F362" s="38"/>
      <c r="G362" s="38"/>
      <c r="H362" s="38"/>
      <c r="I362" s="38"/>
      <c r="J362" s="38"/>
      <c r="K362" s="38"/>
      <c r="L362" s="38"/>
      <c r="M362" s="38"/>
      <c r="N362" s="38"/>
      <c r="O362" s="38"/>
      <c r="P362" s="38"/>
    </row>
    <row r="363">
      <c r="A363" s="41"/>
      <c r="C363" s="7"/>
      <c r="D363" s="7"/>
      <c r="E363" s="18"/>
      <c r="F363" s="38"/>
      <c r="G363" s="38"/>
      <c r="H363" s="38"/>
      <c r="I363" s="38"/>
      <c r="J363" s="38"/>
      <c r="K363" s="38"/>
      <c r="L363" s="38"/>
      <c r="M363" s="38"/>
      <c r="N363" s="38"/>
      <c r="O363" s="38"/>
      <c r="P363" s="38"/>
    </row>
    <row r="364">
      <c r="A364" s="41"/>
      <c r="C364" s="7"/>
      <c r="D364" s="7"/>
      <c r="E364" s="18"/>
      <c r="F364" s="38"/>
      <c r="G364" s="38"/>
      <c r="H364" s="38"/>
      <c r="I364" s="38"/>
      <c r="J364" s="38"/>
      <c r="K364" s="38"/>
      <c r="L364" s="38"/>
      <c r="M364" s="38"/>
      <c r="N364" s="38"/>
      <c r="O364" s="38"/>
      <c r="P364" s="38"/>
    </row>
    <row r="365">
      <c r="A365" s="41"/>
      <c r="C365" s="7"/>
      <c r="D365" s="7"/>
      <c r="E365" s="18"/>
      <c r="F365" s="38"/>
      <c r="G365" s="38"/>
      <c r="H365" s="38"/>
      <c r="I365" s="38"/>
      <c r="J365" s="38"/>
      <c r="K365" s="38"/>
      <c r="L365" s="38"/>
      <c r="M365" s="38"/>
      <c r="N365" s="38"/>
      <c r="O365" s="38"/>
      <c r="P365" s="38"/>
    </row>
    <row r="366">
      <c r="A366" s="41"/>
      <c r="C366" s="7"/>
      <c r="D366" s="7"/>
      <c r="E366" s="18"/>
      <c r="F366" s="38"/>
      <c r="G366" s="38"/>
      <c r="H366" s="38"/>
      <c r="I366" s="38"/>
      <c r="J366" s="38"/>
      <c r="K366" s="38"/>
      <c r="L366" s="38"/>
      <c r="M366" s="38"/>
      <c r="N366" s="38"/>
      <c r="O366" s="38"/>
      <c r="P366" s="38"/>
    </row>
    <row r="367">
      <c r="A367" s="41"/>
      <c r="C367" s="7"/>
      <c r="D367" s="7"/>
      <c r="E367" s="18"/>
      <c r="F367" s="38"/>
      <c r="G367" s="38"/>
      <c r="H367" s="38"/>
      <c r="I367" s="38"/>
      <c r="J367" s="38"/>
      <c r="K367" s="38"/>
      <c r="L367" s="38"/>
      <c r="M367" s="38"/>
      <c r="N367" s="38"/>
      <c r="O367" s="38"/>
      <c r="P367" s="38"/>
    </row>
    <row r="368">
      <c r="A368" s="41"/>
      <c r="C368" s="7"/>
      <c r="D368" s="7"/>
      <c r="E368" s="18"/>
      <c r="F368" s="38"/>
      <c r="G368" s="38"/>
      <c r="H368" s="38"/>
      <c r="I368" s="38"/>
      <c r="J368" s="38"/>
      <c r="K368" s="38"/>
      <c r="L368" s="38"/>
      <c r="M368" s="38"/>
      <c r="N368" s="38"/>
      <c r="O368" s="38"/>
      <c r="P368" s="38"/>
    </row>
    <row r="369">
      <c r="A369" s="41"/>
      <c r="C369" s="7"/>
      <c r="D369" s="7"/>
      <c r="E369" s="18"/>
      <c r="F369" s="38"/>
      <c r="G369" s="38"/>
      <c r="H369" s="38"/>
      <c r="I369" s="38"/>
      <c r="J369" s="38"/>
      <c r="K369" s="38"/>
      <c r="L369" s="38"/>
      <c r="M369" s="38"/>
      <c r="N369" s="38"/>
      <c r="O369" s="38"/>
      <c r="P369" s="38"/>
    </row>
    <row r="370">
      <c r="A370" s="41"/>
      <c r="C370" s="7"/>
      <c r="D370" s="7"/>
      <c r="E370" s="18"/>
      <c r="F370" s="38"/>
      <c r="G370" s="38"/>
      <c r="H370" s="38"/>
      <c r="I370" s="38"/>
      <c r="J370" s="38"/>
      <c r="K370" s="38"/>
      <c r="L370" s="38"/>
      <c r="M370" s="38"/>
      <c r="N370" s="38"/>
      <c r="O370" s="38"/>
      <c r="P370" s="38"/>
    </row>
    <row r="371">
      <c r="A371" s="19"/>
      <c r="B371" s="19"/>
      <c r="C371" s="42"/>
      <c r="D371" s="42"/>
      <c r="E371" s="19"/>
      <c r="F371" s="39"/>
      <c r="G371" s="39"/>
      <c r="H371" s="39"/>
      <c r="I371" s="39"/>
      <c r="J371" s="39"/>
      <c r="K371" s="19"/>
      <c r="L371" s="19"/>
      <c r="M371" s="38"/>
      <c r="N371" s="38"/>
      <c r="O371" s="38"/>
      <c r="P371" s="38"/>
    </row>
    <row r="372">
      <c r="A372" s="41"/>
      <c r="C372" s="7"/>
      <c r="D372" s="7"/>
      <c r="E372" s="18"/>
      <c r="F372" s="38"/>
      <c r="G372" s="38"/>
      <c r="H372" s="38"/>
      <c r="I372" s="38"/>
      <c r="J372" s="38"/>
      <c r="K372" s="38"/>
      <c r="L372" s="38"/>
      <c r="M372" s="38"/>
      <c r="N372" s="38"/>
      <c r="O372" s="38"/>
      <c r="P372" s="38"/>
    </row>
    <row r="373">
      <c r="A373" s="41"/>
      <c r="C373" s="7"/>
      <c r="D373" s="7"/>
      <c r="E373" s="18"/>
      <c r="F373" s="38"/>
      <c r="G373" s="38"/>
      <c r="H373" s="38"/>
      <c r="I373" s="38"/>
      <c r="J373" s="38"/>
      <c r="K373" s="38"/>
      <c r="L373" s="38"/>
      <c r="M373" s="38"/>
      <c r="N373" s="38"/>
      <c r="O373" s="38"/>
      <c r="P373" s="38"/>
    </row>
    <row r="374">
      <c r="A374" s="41"/>
      <c r="C374" s="7"/>
      <c r="D374" s="7"/>
      <c r="E374" s="18"/>
      <c r="F374" s="38"/>
      <c r="G374" s="38"/>
      <c r="H374" s="38"/>
      <c r="I374" s="38"/>
      <c r="J374" s="38"/>
      <c r="K374" s="38"/>
      <c r="L374" s="38"/>
      <c r="M374" s="38"/>
      <c r="N374" s="38"/>
      <c r="O374" s="38"/>
      <c r="P374" s="38"/>
    </row>
    <row r="375">
      <c r="A375" s="41"/>
      <c r="C375" s="7"/>
      <c r="D375" s="7"/>
      <c r="E375" s="18"/>
      <c r="F375" s="38"/>
      <c r="G375" s="38"/>
      <c r="H375" s="38"/>
      <c r="I375" s="38"/>
      <c r="J375" s="38"/>
      <c r="K375" s="38"/>
      <c r="L375" s="38"/>
      <c r="M375" s="38"/>
      <c r="N375" s="38"/>
      <c r="O375" s="38"/>
      <c r="P375" s="38"/>
    </row>
    <row r="376">
      <c r="A376" s="41"/>
      <c r="C376" s="7"/>
      <c r="D376" s="7"/>
      <c r="E376" s="18"/>
      <c r="F376" s="38"/>
      <c r="G376" s="38"/>
      <c r="H376" s="38"/>
      <c r="I376" s="38"/>
      <c r="J376" s="38"/>
      <c r="K376" s="38"/>
      <c r="L376" s="38"/>
      <c r="M376" s="38"/>
      <c r="N376" s="38"/>
      <c r="O376" s="38"/>
      <c r="P376" s="38"/>
    </row>
    <row r="377">
      <c r="A377" s="41"/>
      <c r="C377" s="7"/>
      <c r="D377" s="7"/>
      <c r="E377" s="18"/>
      <c r="F377" s="38"/>
      <c r="G377" s="38"/>
      <c r="H377" s="38"/>
      <c r="I377" s="38"/>
      <c r="J377" s="38"/>
      <c r="K377" s="38"/>
      <c r="L377" s="38"/>
      <c r="M377" s="38"/>
      <c r="N377" s="38"/>
      <c r="O377" s="38"/>
      <c r="P377" s="38"/>
    </row>
    <row r="378">
      <c r="A378" s="41"/>
      <c r="C378" s="7"/>
      <c r="D378" s="7"/>
      <c r="E378" s="18"/>
      <c r="F378" s="38"/>
      <c r="G378" s="38"/>
      <c r="H378" s="38"/>
      <c r="I378" s="38"/>
      <c r="J378" s="38"/>
      <c r="K378" s="38"/>
      <c r="L378" s="38"/>
      <c r="M378" s="38"/>
      <c r="N378" s="38"/>
      <c r="O378" s="38"/>
      <c r="P378" s="38"/>
    </row>
    <row r="379">
      <c r="A379" s="41"/>
      <c r="C379" s="7"/>
      <c r="D379" s="7"/>
      <c r="E379" s="18"/>
      <c r="F379" s="38"/>
      <c r="G379" s="38"/>
      <c r="H379" s="38"/>
      <c r="I379" s="38"/>
      <c r="J379" s="38"/>
      <c r="K379" s="38"/>
      <c r="L379" s="38"/>
      <c r="M379" s="38"/>
      <c r="N379" s="38"/>
      <c r="O379" s="38"/>
      <c r="P379" s="38"/>
    </row>
    <row r="380">
      <c r="A380" s="41"/>
      <c r="C380" s="7"/>
      <c r="D380" s="7"/>
      <c r="E380" s="18"/>
      <c r="F380" s="38"/>
      <c r="G380" s="38"/>
      <c r="H380" s="38"/>
      <c r="I380" s="38"/>
      <c r="J380" s="38"/>
      <c r="K380" s="38"/>
      <c r="L380" s="38"/>
      <c r="M380" s="38"/>
      <c r="N380" s="38"/>
      <c r="O380" s="38"/>
      <c r="P380" s="38"/>
    </row>
    <row r="381">
      <c r="A381" s="41"/>
      <c r="C381" s="7"/>
      <c r="D381" s="7"/>
      <c r="E381" s="18"/>
      <c r="F381" s="38"/>
      <c r="G381" s="38"/>
      <c r="H381" s="38"/>
      <c r="I381" s="38"/>
      <c r="J381" s="38"/>
      <c r="K381" s="38"/>
      <c r="L381" s="38"/>
      <c r="M381" s="38"/>
      <c r="N381" s="38"/>
      <c r="O381" s="38"/>
      <c r="P381" s="38"/>
    </row>
    <row r="382">
      <c r="A382" s="41"/>
      <c r="C382" s="7"/>
      <c r="D382" s="7"/>
      <c r="E382" s="18"/>
      <c r="F382" s="38"/>
      <c r="G382" s="38"/>
      <c r="H382" s="38"/>
      <c r="I382" s="38"/>
      <c r="J382" s="38"/>
      <c r="K382" s="38"/>
      <c r="L382" s="38"/>
      <c r="M382" s="38"/>
      <c r="N382" s="38"/>
      <c r="O382" s="38"/>
      <c r="P382" s="38"/>
    </row>
    <row r="383">
      <c r="A383" s="41"/>
      <c r="C383" s="7"/>
      <c r="D383" s="7"/>
      <c r="E383" s="18"/>
      <c r="F383" s="38"/>
      <c r="G383" s="38"/>
      <c r="H383" s="38"/>
      <c r="I383" s="38"/>
      <c r="J383" s="38"/>
      <c r="K383" s="38"/>
      <c r="L383" s="38"/>
      <c r="M383" s="38"/>
      <c r="N383" s="38"/>
      <c r="O383" s="38"/>
      <c r="P383" s="38"/>
    </row>
    <row r="384">
      <c r="A384" s="41"/>
      <c r="C384" s="7"/>
      <c r="D384" s="7"/>
      <c r="E384" s="18"/>
      <c r="F384" s="38"/>
      <c r="G384" s="38"/>
      <c r="H384" s="38"/>
      <c r="I384" s="38"/>
      <c r="J384" s="38"/>
      <c r="K384" s="38"/>
      <c r="L384" s="38"/>
      <c r="M384" s="38"/>
      <c r="N384" s="38"/>
      <c r="O384" s="38"/>
      <c r="P384" s="38"/>
    </row>
    <row r="385">
      <c r="A385" s="41"/>
      <c r="C385" s="7"/>
      <c r="D385" s="7"/>
      <c r="E385" s="18"/>
      <c r="F385" s="38"/>
      <c r="G385" s="38"/>
      <c r="H385" s="38"/>
      <c r="I385" s="38"/>
      <c r="J385" s="38"/>
      <c r="K385" s="38"/>
      <c r="L385" s="38"/>
      <c r="M385" s="38"/>
      <c r="N385" s="38"/>
      <c r="O385" s="38"/>
      <c r="P385" s="38"/>
    </row>
    <row r="386">
      <c r="A386" s="41"/>
      <c r="C386" s="7"/>
      <c r="D386" s="7"/>
      <c r="E386" s="18"/>
      <c r="F386" s="38"/>
      <c r="G386" s="38"/>
      <c r="H386" s="38"/>
      <c r="I386" s="38"/>
      <c r="J386" s="38"/>
      <c r="K386" s="38"/>
      <c r="L386" s="38"/>
      <c r="M386" s="38"/>
      <c r="N386" s="38"/>
      <c r="O386" s="38"/>
      <c r="P386" s="38"/>
    </row>
    <row r="387">
      <c r="A387" s="41"/>
      <c r="C387" s="7"/>
      <c r="D387" s="7"/>
      <c r="E387" s="18"/>
      <c r="F387" s="38"/>
      <c r="G387" s="38"/>
      <c r="H387" s="38"/>
      <c r="I387" s="38"/>
      <c r="J387" s="38"/>
      <c r="K387" s="38"/>
      <c r="L387" s="38"/>
      <c r="M387" s="38"/>
      <c r="N387" s="38"/>
      <c r="O387" s="38"/>
      <c r="P387" s="38"/>
    </row>
    <row r="388">
      <c r="A388" s="41"/>
      <c r="C388" s="7"/>
      <c r="D388" s="7"/>
      <c r="E388" s="18"/>
      <c r="F388" s="38"/>
      <c r="G388" s="38"/>
      <c r="H388" s="38"/>
      <c r="I388" s="38"/>
      <c r="J388" s="38"/>
      <c r="K388" s="38"/>
      <c r="L388" s="38"/>
      <c r="M388" s="38"/>
      <c r="N388" s="38"/>
      <c r="O388" s="38"/>
      <c r="P388" s="38"/>
    </row>
    <row r="389">
      <c r="A389" s="41"/>
      <c r="C389" s="7"/>
      <c r="D389" s="7"/>
      <c r="E389" s="18"/>
      <c r="F389" s="38"/>
      <c r="G389" s="38"/>
      <c r="H389" s="38"/>
      <c r="I389" s="38"/>
      <c r="J389" s="38"/>
      <c r="K389" s="38"/>
      <c r="L389" s="38"/>
      <c r="M389" s="38"/>
      <c r="N389" s="38"/>
      <c r="O389" s="38"/>
      <c r="P389" s="38"/>
    </row>
    <row r="390">
      <c r="A390" s="41"/>
      <c r="C390" s="7"/>
      <c r="D390" s="7"/>
      <c r="E390" s="18"/>
      <c r="F390" s="38"/>
      <c r="G390" s="38"/>
      <c r="H390" s="38"/>
      <c r="I390" s="38"/>
      <c r="J390" s="38"/>
      <c r="K390" s="38"/>
      <c r="L390" s="38"/>
      <c r="M390" s="38"/>
      <c r="N390" s="38"/>
      <c r="O390" s="38"/>
      <c r="P390" s="38"/>
    </row>
    <row r="391">
      <c r="A391" s="41"/>
      <c r="C391" s="7"/>
      <c r="D391" s="7"/>
      <c r="E391" s="18"/>
      <c r="F391" s="38"/>
      <c r="G391" s="38"/>
      <c r="H391" s="38"/>
      <c r="I391" s="38"/>
      <c r="J391" s="38"/>
      <c r="K391" s="38"/>
      <c r="L391" s="38"/>
      <c r="M391" s="38"/>
      <c r="N391" s="38"/>
      <c r="O391" s="38"/>
      <c r="P391" s="38"/>
    </row>
    <row r="392">
      <c r="A392" s="41"/>
      <c r="C392" s="7"/>
      <c r="D392" s="7"/>
      <c r="E392" s="18"/>
      <c r="F392" s="38"/>
      <c r="G392" s="38"/>
      <c r="H392" s="38"/>
      <c r="I392" s="38"/>
      <c r="J392" s="38"/>
      <c r="K392" s="38"/>
      <c r="L392" s="38"/>
      <c r="M392" s="38"/>
      <c r="N392" s="38"/>
      <c r="O392" s="38"/>
      <c r="P392" s="38"/>
    </row>
    <row r="393">
      <c r="A393" s="41"/>
      <c r="C393" s="7"/>
      <c r="D393" s="7"/>
      <c r="E393" s="18"/>
      <c r="F393" s="38"/>
      <c r="G393" s="38"/>
      <c r="H393" s="38"/>
      <c r="I393" s="38"/>
      <c r="J393" s="38"/>
      <c r="K393" s="38"/>
      <c r="L393" s="38"/>
      <c r="M393" s="38"/>
      <c r="N393" s="38"/>
      <c r="O393" s="38"/>
      <c r="P393" s="38"/>
    </row>
    <row r="394">
      <c r="A394" s="41"/>
      <c r="C394" s="7"/>
      <c r="D394" s="7"/>
      <c r="E394" s="18"/>
      <c r="F394" s="38"/>
      <c r="G394" s="38"/>
      <c r="H394" s="38"/>
      <c r="I394" s="38"/>
      <c r="J394" s="38"/>
      <c r="K394" s="38"/>
      <c r="L394" s="38"/>
      <c r="M394" s="38"/>
      <c r="N394" s="38"/>
      <c r="O394" s="38"/>
      <c r="P394" s="38"/>
    </row>
    <row r="395">
      <c r="A395" s="41"/>
      <c r="C395" s="7"/>
      <c r="D395" s="7"/>
      <c r="E395" s="18"/>
      <c r="F395" s="38"/>
      <c r="G395" s="38"/>
      <c r="H395" s="38"/>
      <c r="I395" s="38"/>
      <c r="J395" s="38"/>
      <c r="K395" s="38"/>
      <c r="L395" s="38"/>
      <c r="M395" s="38"/>
      <c r="N395" s="38"/>
      <c r="O395" s="38"/>
      <c r="P395" s="38"/>
    </row>
    <row r="396">
      <c r="A396" s="41"/>
      <c r="C396" s="7"/>
      <c r="D396" s="7"/>
      <c r="E396" s="18"/>
      <c r="F396" s="38"/>
      <c r="G396" s="38"/>
      <c r="H396" s="38"/>
      <c r="I396" s="38"/>
      <c r="J396" s="38"/>
      <c r="K396" s="38"/>
      <c r="L396" s="38"/>
      <c r="M396" s="38"/>
      <c r="N396" s="38"/>
      <c r="O396" s="38"/>
      <c r="P396" s="38"/>
    </row>
    <row r="397">
      <c r="A397" s="41"/>
      <c r="C397" s="7"/>
      <c r="D397" s="7"/>
      <c r="E397" s="18"/>
      <c r="F397" s="38"/>
      <c r="G397" s="38"/>
      <c r="H397" s="38"/>
      <c r="I397" s="38"/>
      <c r="J397" s="38"/>
      <c r="K397" s="38"/>
      <c r="L397" s="38"/>
      <c r="M397" s="38"/>
      <c r="N397" s="38"/>
      <c r="O397" s="38"/>
      <c r="P397" s="38"/>
    </row>
    <row r="398">
      <c r="A398" s="41"/>
      <c r="C398" s="7"/>
      <c r="D398" s="7"/>
      <c r="E398" s="18"/>
      <c r="F398" s="38"/>
      <c r="G398" s="38"/>
      <c r="H398" s="38"/>
      <c r="I398" s="38"/>
      <c r="J398" s="38"/>
      <c r="K398" s="38"/>
      <c r="L398" s="38"/>
      <c r="M398" s="38"/>
      <c r="N398" s="38"/>
      <c r="O398" s="38"/>
      <c r="P398" s="38"/>
    </row>
    <row r="399">
      <c r="A399" s="41"/>
      <c r="C399" s="7"/>
      <c r="D399" s="7"/>
      <c r="E399" s="18"/>
      <c r="F399" s="38"/>
      <c r="G399" s="38"/>
      <c r="H399" s="38"/>
      <c r="I399" s="38"/>
      <c r="J399" s="38"/>
      <c r="K399" s="38"/>
      <c r="L399" s="38"/>
      <c r="M399" s="38"/>
      <c r="N399" s="38"/>
      <c r="O399" s="38"/>
      <c r="P399" s="38"/>
    </row>
    <row r="400">
      <c r="A400" s="41"/>
      <c r="C400" s="7"/>
      <c r="D400" s="7"/>
      <c r="E400" s="18"/>
      <c r="F400" s="38"/>
      <c r="G400" s="38"/>
      <c r="H400" s="38"/>
      <c r="I400" s="38"/>
      <c r="J400" s="38"/>
      <c r="K400" s="38"/>
      <c r="L400" s="38"/>
      <c r="M400" s="38"/>
      <c r="N400" s="38"/>
      <c r="O400" s="38"/>
      <c r="P400" s="38"/>
    </row>
    <row r="401">
      <c r="A401" s="41"/>
      <c r="C401" s="7"/>
      <c r="D401" s="7"/>
      <c r="E401" s="18"/>
      <c r="F401" s="38"/>
      <c r="G401" s="38"/>
      <c r="H401" s="38"/>
      <c r="I401" s="38"/>
      <c r="J401" s="38"/>
      <c r="K401" s="38"/>
      <c r="L401" s="38"/>
      <c r="M401" s="38"/>
      <c r="N401" s="38"/>
      <c r="O401" s="38"/>
      <c r="P401" s="38"/>
    </row>
    <row r="402">
      <c r="A402" s="41"/>
      <c r="C402" s="7"/>
      <c r="D402" s="7"/>
      <c r="E402" s="18"/>
      <c r="F402" s="38"/>
      <c r="G402" s="38"/>
      <c r="H402" s="38"/>
      <c r="I402" s="38"/>
      <c r="J402" s="38"/>
      <c r="K402" s="38"/>
      <c r="L402" s="38"/>
      <c r="M402" s="38"/>
      <c r="N402" s="38"/>
      <c r="O402" s="38"/>
      <c r="P402" s="38"/>
    </row>
    <row r="403">
      <c r="A403" s="41"/>
      <c r="C403" s="7"/>
      <c r="D403" s="7"/>
      <c r="E403" s="18"/>
      <c r="F403" s="38"/>
      <c r="G403" s="38"/>
      <c r="H403" s="38"/>
      <c r="I403" s="38"/>
      <c r="J403" s="38"/>
      <c r="K403" s="38"/>
      <c r="L403" s="38"/>
      <c r="M403" s="38"/>
      <c r="N403" s="38"/>
      <c r="O403" s="38"/>
      <c r="P403" s="38"/>
    </row>
    <row r="404">
      <c r="A404" s="41"/>
      <c r="C404" s="7"/>
      <c r="D404" s="7"/>
      <c r="E404" s="18"/>
      <c r="F404" s="38"/>
      <c r="G404" s="38"/>
      <c r="H404" s="38"/>
      <c r="I404" s="38"/>
      <c r="J404" s="38"/>
      <c r="K404" s="38"/>
      <c r="L404" s="38"/>
      <c r="M404" s="38"/>
      <c r="N404" s="38"/>
      <c r="O404" s="38"/>
      <c r="P404" s="38"/>
    </row>
    <row r="405">
      <c r="A405" s="41"/>
      <c r="C405" s="7"/>
      <c r="D405" s="7"/>
      <c r="E405" s="18"/>
      <c r="F405" s="38"/>
      <c r="G405" s="38"/>
      <c r="H405" s="38"/>
      <c r="I405" s="38"/>
      <c r="J405" s="38"/>
      <c r="K405" s="38"/>
      <c r="L405" s="38"/>
      <c r="M405" s="38"/>
      <c r="N405" s="38"/>
      <c r="O405" s="38"/>
      <c r="P405" s="38"/>
    </row>
    <row r="406">
      <c r="A406" s="41"/>
      <c r="C406" s="7"/>
      <c r="D406" s="7"/>
      <c r="E406" s="18"/>
      <c r="F406" s="38"/>
      <c r="G406" s="38"/>
      <c r="H406" s="38"/>
      <c r="I406" s="38"/>
      <c r="J406" s="38"/>
      <c r="K406" s="38"/>
      <c r="L406" s="38"/>
      <c r="M406" s="38"/>
      <c r="N406" s="38"/>
      <c r="O406" s="38"/>
      <c r="P406" s="38"/>
    </row>
    <row r="407">
      <c r="A407" s="41"/>
      <c r="C407" s="7"/>
      <c r="D407" s="7"/>
      <c r="E407" s="18"/>
      <c r="F407" s="38"/>
      <c r="G407" s="38"/>
      <c r="H407" s="38"/>
      <c r="I407" s="38"/>
      <c r="J407" s="38"/>
      <c r="K407" s="38"/>
      <c r="L407" s="38"/>
      <c r="M407" s="38"/>
      <c r="N407" s="38"/>
      <c r="O407" s="38"/>
      <c r="P407" s="38"/>
    </row>
    <row r="408">
      <c r="A408" s="41"/>
      <c r="C408" s="7"/>
      <c r="D408" s="7"/>
      <c r="E408" s="18"/>
      <c r="F408" s="38"/>
      <c r="G408" s="38"/>
      <c r="H408" s="38"/>
      <c r="I408" s="38"/>
      <c r="J408" s="38"/>
      <c r="K408" s="38"/>
      <c r="L408" s="38"/>
      <c r="M408" s="38"/>
      <c r="N408" s="38"/>
      <c r="O408" s="38"/>
      <c r="P408" s="38"/>
    </row>
    <row r="409">
      <c r="A409" s="41"/>
      <c r="C409" s="7"/>
      <c r="D409" s="7"/>
      <c r="E409" s="18"/>
      <c r="F409" s="38"/>
      <c r="G409" s="38"/>
      <c r="H409" s="38"/>
      <c r="I409" s="38"/>
      <c r="J409" s="38"/>
      <c r="K409" s="38"/>
      <c r="L409" s="38"/>
      <c r="M409" s="38"/>
      <c r="N409" s="38"/>
      <c r="O409" s="38"/>
      <c r="P409" s="38"/>
    </row>
    <row r="410">
      <c r="A410" s="41"/>
      <c r="C410" s="7"/>
      <c r="D410" s="7"/>
      <c r="E410" s="18"/>
      <c r="F410" s="38"/>
      <c r="G410" s="38"/>
      <c r="H410" s="38"/>
      <c r="I410" s="38"/>
      <c r="J410" s="38"/>
      <c r="K410" s="38"/>
      <c r="L410" s="38"/>
      <c r="M410" s="38"/>
      <c r="N410" s="38"/>
      <c r="O410" s="38"/>
      <c r="P410" s="38"/>
    </row>
    <row r="411">
      <c r="A411" s="41"/>
      <c r="C411" s="7"/>
      <c r="D411" s="7"/>
      <c r="E411" s="18"/>
      <c r="F411" s="38"/>
      <c r="G411" s="38"/>
      <c r="H411" s="38"/>
      <c r="I411" s="38"/>
      <c r="J411" s="38"/>
      <c r="K411" s="38"/>
      <c r="L411" s="38"/>
      <c r="M411" s="38"/>
      <c r="N411" s="38"/>
      <c r="O411" s="38"/>
      <c r="P411" s="38"/>
    </row>
    <row r="412">
      <c r="A412" s="19"/>
      <c r="B412" s="19"/>
      <c r="C412" s="42"/>
      <c r="D412" s="42"/>
      <c r="E412" s="19"/>
      <c r="F412" s="39"/>
      <c r="G412" s="39"/>
      <c r="H412" s="39"/>
      <c r="I412" s="39"/>
      <c r="J412" s="39"/>
      <c r="K412" s="19"/>
      <c r="L412" s="19"/>
      <c r="M412" s="38"/>
      <c r="N412" s="38"/>
      <c r="O412" s="38"/>
      <c r="P412" s="38"/>
    </row>
    <row r="413">
      <c r="A413" s="41"/>
      <c r="C413" s="7"/>
      <c r="D413" s="7"/>
      <c r="E413" s="18"/>
      <c r="F413" s="38"/>
      <c r="G413" s="38"/>
      <c r="H413" s="38"/>
      <c r="I413" s="38"/>
      <c r="J413" s="38"/>
      <c r="K413" s="38"/>
      <c r="L413" s="38"/>
      <c r="M413" s="38"/>
      <c r="N413" s="38"/>
      <c r="O413" s="38"/>
      <c r="P413" s="38"/>
    </row>
    <row r="414">
      <c r="A414" s="41"/>
      <c r="C414" s="7"/>
      <c r="D414" s="7"/>
      <c r="E414" s="18"/>
      <c r="F414" s="38"/>
      <c r="G414" s="38"/>
      <c r="H414" s="38"/>
      <c r="I414" s="38"/>
      <c r="J414" s="38"/>
      <c r="K414" s="38"/>
      <c r="L414" s="38"/>
      <c r="M414" s="38"/>
      <c r="N414" s="38"/>
      <c r="O414" s="38"/>
      <c r="P414" s="38"/>
    </row>
    <row r="415">
      <c r="A415" s="41"/>
      <c r="C415" s="7"/>
      <c r="D415" s="7"/>
      <c r="E415" s="18"/>
      <c r="F415" s="38"/>
      <c r="G415" s="38"/>
      <c r="H415" s="38"/>
      <c r="I415" s="38"/>
      <c r="J415" s="38"/>
      <c r="K415" s="38"/>
      <c r="L415" s="38"/>
      <c r="M415" s="38"/>
      <c r="N415" s="38"/>
      <c r="O415" s="38"/>
      <c r="P415" s="38"/>
    </row>
    <row r="416">
      <c r="A416" s="41"/>
      <c r="C416" s="7"/>
      <c r="D416" s="7"/>
      <c r="E416" s="18"/>
      <c r="F416" s="38"/>
      <c r="G416" s="38"/>
      <c r="H416" s="38"/>
      <c r="I416" s="38"/>
      <c r="J416" s="38"/>
      <c r="K416" s="38"/>
      <c r="L416" s="38"/>
      <c r="M416" s="38"/>
      <c r="N416" s="38"/>
      <c r="O416" s="38"/>
      <c r="P416" s="38"/>
    </row>
    <row r="417">
      <c r="A417" s="41"/>
      <c r="C417" s="7"/>
      <c r="D417" s="7"/>
      <c r="E417" s="18"/>
      <c r="F417" s="38"/>
      <c r="G417" s="38"/>
      <c r="H417" s="38"/>
      <c r="I417" s="38"/>
      <c r="J417" s="38"/>
      <c r="K417" s="38"/>
      <c r="L417" s="38"/>
      <c r="M417" s="38"/>
      <c r="N417" s="38"/>
      <c r="O417" s="38"/>
      <c r="P417" s="38"/>
    </row>
    <row r="418">
      <c r="A418" s="41"/>
      <c r="C418" s="7"/>
      <c r="D418" s="7"/>
      <c r="E418" s="18"/>
      <c r="F418" s="38"/>
      <c r="G418" s="38"/>
      <c r="H418" s="38"/>
      <c r="I418" s="38"/>
      <c r="J418" s="38"/>
      <c r="K418" s="38"/>
      <c r="L418" s="38"/>
      <c r="M418" s="38"/>
      <c r="N418" s="38"/>
      <c r="O418" s="38"/>
      <c r="P418" s="38"/>
    </row>
    <row r="419">
      <c r="A419" s="41"/>
      <c r="C419" s="7"/>
      <c r="D419" s="7"/>
      <c r="E419" s="18"/>
      <c r="F419" s="38"/>
      <c r="G419" s="38"/>
      <c r="H419" s="38"/>
      <c r="I419" s="38"/>
      <c r="J419" s="38"/>
      <c r="K419" s="38"/>
      <c r="L419" s="38"/>
      <c r="M419" s="38"/>
      <c r="N419" s="38"/>
      <c r="O419" s="38"/>
      <c r="P419" s="38"/>
    </row>
    <row r="420">
      <c r="A420" s="41"/>
      <c r="C420" s="7"/>
      <c r="D420" s="7"/>
      <c r="E420" s="18"/>
      <c r="F420" s="38"/>
      <c r="G420" s="38"/>
      <c r="H420" s="38"/>
      <c r="I420" s="38"/>
      <c r="J420" s="38"/>
      <c r="K420" s="38"/>
      <c r="L420" s="38"/>
      <c r="M420" s="38"/>
      <c r="N420" s="38"/>
      <c r="O420" s="38"/>
      <c r="P420" s="38"/>
    </row>
    <row r="421">
      <c r="A421" s="41"/>
      <c r="C421" s="7"/>
      <c r="D421" s="7"/>
      <c r="E421" s="18"/>
      <c r="F421" s="38"/>
      <c r="G421" s="38"/>
      <c r="H421" s="38"/>
      <c r="I421" s="38"/>
      <c r="J421" s="38"/>
      <c r="K421" s="38"/>
      <c r="L421" s="38"/>
      <c r="M421" s="38"/>
      <c r="N421" s="38"/>
      <c r="O421" s="38"/>
      <c r="P421" s="38"/>
    </row>
    <row r="422">
      <c r="A422" s="41"/>
      <c r="C422" s="7"/>
      <c r="D422" s="7"/>
      <c r="E422" s="18"/>
      <c r="F422" s="38"/>
      <c r="G422" s="38"/>
      <c r="H422" s="38"/>
      <c r="I422" s="38"/>
      <c r="J422" s="38"/>
      <c r="K422" s="38"/>
      <c r="L422" s="38"/>
      <c r="M422" s="38"/>
      <c r="N422" s="38"/>
      <c r="O422" s="38"/>
      <c r="P422" s="38"/>
    </row>
    <row r="423">
      <c r="A423" s="41"/>
      <c r="C423" s="7"/>
      <c r="D423" s="7"/>
      <c r="E423" s="18"/>
      <c r="F423" s="38"/>
      <c r="G423" s="38"/>
      <c r="H423" s="38"/>
      <c r="I423" s="38"/>
      <c r="J423" s="38"/>
      <c r="K423" s="38"/>
      <c r="L423" s="38"/>
      <c r="M423" s="38"/>
      <c r="N423" s="38"/>
      <c r="O423" s="38"/>
      <c r="P423" s="38"/>
    </row>
    <row r="424">
      <c r="A424" s="41"/>
      <c r="C424" s="7"/>
      <c r="D424" s="7"/>
      <c r="E424" s="18"/>
      <c r="F424" s="38"/>
      <c r="G424" s="38"/>
      <c r="H424" s="38"/>
      <c r="I424" s="38"/>
      <c r="J424" s="38"/>
      <c r="K424" s="38"/>
      <c r="L424" s="38"/>
      <c r="M424" s="38"/>
      <c r="N424" s="38"/>
      <c r="O424" s="38"/>
      <c r="P424" s="38"/>
    </row>
    <row r="425">
      <c r="A425" s="41"/>
      <c r="C425" s="7"/>
      <c r="D425" s="7"/>
      <c r="E425" s="18"/>
      <c r="F425" s="38"/>
      <c r="G425" s="38"/>
      <c r="H425" s="38"/>
      <c r="I425" s="38"/>
      <c r="J425" s="38"/>
      <c r="K425" s="38"/>
      <c r="L425" s="38"/>
      <c r="M425" s="38"/>
      <c r="N425" s="38"/>
      <c r="O425" s="38"/>
      <c r="P425" s="38"/>
    </row>
    <row r="426">
      <c r="A426" s="41"/>
      <c r="C426" s="7"/>
      <c r="D426" s="7"/>
      <c r="E426" s="18"/>
      <c r="F426" s="38"/>
      <c r="G426" s="38"/>
      <c r="H426" s="38"/>
      <c r="I426" s="38"/>
      <c r="J426" s="38"/>
      <c r="K426" s="38"/>
      <c r="L426" s="38"/>
      <c r="M426" s="38"/>
      <c r="N426" s="38"/>
      <c r="O426" s="38"/>
      <c r="P426" s="38"/>
    </row>
    <row r="427">
      <c r="A427" s="41"/>
      <c r="C427" s="7"/>
      <c r="D427" s="7"/>
      <c r="E427" s="18"/>
      <c r="F427" s="38"/>
      <c r="G427" s="38"/>
      <c r="H427" s="38"/>
      <c r="I427" s="38"/>
      <c r="J427" s="38"/>
      <c r="K427" s="38"/>
      <c r="L427" s="38"/>
      <c r="M427" s="38"/>
      <c r="N427" s="38"/>
      <c r="O427" s="38"/>
      <c r="P427" s="38"/>
    </row>
    <row r="428">
      <c r="A428" s="41"/>
      <c r="C428" s="7"/>
      <c r="D428" s="7"/>
      <c r="E428" s="18"/>
      <c r="F428" s="38"/>
      <c r="G428" s="38"/>
      <c r="H428" s="38"/>
      <c r="I428" s="38"/>
      <c r="J428" s="38"/>
      <c r="K428" s="38"/>
      <c r="L428" s="38"/>
      <c r="M428" s="38"/>
      <c r="N428" s="38"/>
      <c r="O428" s="38"/>
      <c r="P428" s="38"/>
    </row>
    <row r="429">
      <c r="A429" s="41"/>
      <c r="C429" s="7"/>
      <c r="D429" s="7"/>
      <c r="E429" s="18"/>
      <c r="F429" s="38"/>
      <c r="G429" s="38"/>
      <c r="H429" s="38"/>
      <c r="I429" s="38"/>
      <c r="J429" s="38"/>
      <c r="K429" s="38"/>
      <c r="L429" s="38"/>
      <c r="M429" s="38"/>
      <c r="N429" s="38"/>
      <c r="O429" s="38"/>
      <c r="P429" s="38"/>
    </row>
    <row r="430">
      <c r="A430" s="41"/>
      <c r="C430" s="7"/>
      <c r="D430" s="7"/>
      <c r="E430" s="18"/>
      <c r="F430" s="38"/>
      <c r="G430" s="38"/>
      <c r="H430" s="38"/>
      <c r="I430" s="38"/>
      <c r="J430" s="38"/>
      <c r="K430" s="38"/>
      <c r="L430" s="38"/>
      <c r="M430" s="38"/>
      <c r="N430" s="38"/>
      <c r="O430" s="38"/>
      <c r="P430" s="38"/>
    </row>
    <row r="431">
      <c r="A431" s="41"/>
      <c r="C431" s="7"/>
      <c r="D431" s="7"/>
      <c r="E431" s="18"/>
      <c r="F431" s="38"/>
      <c r="G431" s="38"/>
      <c r="H431" s="38"/>
      <c r="I431" s="38"/>
      <c r="J431" s="38"/>
      <c r="K431" s="38"/>
      <c r="L431" s="38"/>
      <c r="M431" s="38"/>
      <c r="N431" s="38"/>
      <c r="O431" s="38"/>
      <c r="P431" s="38"/>
    </row>
    <row r="432">
      <c r="A432" s="41"/>
      <c r="C432" s="7"/>
      <c r="D432" s="7"/>
      <c r="E432" s="18"/>
      <c r="F432" s="38"/>
      <c r="G432" s="38"/>
      <c r="H432" s="38"/>
      <c r="I432" s="38"/>
      <c r="J432" s="38"/>
      <c r="K432" s="38"/>
      <c r="L432" s="38"/>
      <c r="M432" s="38"/>
      <c r="N432" s="38"/>
      <c r="O432" s="38"/>
      <c r="P432" s="38"/>
    </row>
    <row r="433">
      <c r="A433" s="41"/>
      <c r="C433" s="7"/>
      <c r="D433" s="7"/>
      <c r="E433" s="18"/>
      <c r="F433" s="38"/>
      <c r="G433" s="38"/>
      <c r="H433" s="38"/>
      <c r="I433" s="38"/>
      <c r="J433" s="38"/>
      <c r="K433" s="38"/>
      <c r="L433" s="38"/>
      <c r="M433" s="38"/>
      <c r="N433" s="38"/>
      <c r="O433" s="38"/>
      <c r="P433" s="38"/>
    </row>
    <row r="434">
      <c r="A434" s="41"/>
      <c r="C434" s="7"/>
      <c r="D434" s="7"/>
      <c r="E434" s="18"/>
      <c r="F434" s="38"/>
      <c r="G434" s="38"/>
      <c r="H434" s="38"/>
      <c r="I434" s="38"/>
      <c r="J434" s="38"/>
      <c r="K434" s="38"/>
      <c r="L434" s="38"/>
      <c r="M434" s="38"/>
      <c r="N434" s="38"/>
      <c r="O434" s="38"/>
      <c r="P434" s="38"/>
    </row>
    <row r="435">
      <c r="A435" s="41"/>
      <c r="C435" s="7"/>
      <c r="D435" s="7"/>
      <c r="E435" s="18"/>
      <c r="F435" s="38"/>
      <c r="G435" s="38"/>
      <c r="H435" s="38"/>
      <c r="I435" s="38"/>
      <c r="J435" s="38"/>
      <c r="K435" s="38"/>
      <c r="L435" s="38"/>
      <c r="M435" s="38"/>
      <c r="N435" s="38"/>
      <c r="O435" s="38"/>
      <c r="P435" s="38"/>
    </row>
    <row r="436">
      <c r="A436" s="41"/>
      <c r="C436" s="7"/>
      <c r="D436" s="7"/>
      <c r="E436" s="18"/>
      <c r="F436" s="38"/>
      <c r="G436" s="38"/>
      <c r="H436" s="38"/>
      <c r="I436" s="38"/>
      <c r="J436" s="38"/>
      <c r="K436" s="38"/>
      <c r="L436" s="38"/>
      <c r="M436" s="38"/>
      <c r="N436" s="38"/>
      <c r="O436" s="38"/>
      <c r="P436" s="38"/>
    </row>
    <row r="437">
      <c r="A437" s="41"/>
      <c r="C437" s="7"/>
      <c r="D437" s="7"/>
      <c r="E437" s="18"/>
      <c r="F437" s="38"/>
      <c r="G437" s="38"/>
      <c r="H437" s="38"/>
      <c r="I437" s="38"/>
      <c r="J437" s="38"/>
      <c r="K437" s="38"/>
      <c r="L437" s="38"/>
      <c r="M437" s="38"/>
      <c r="N437" s="38"/>
      <c r="O437" s="38"/>
      <c r="P437" s="38"/>
    </row>
    <row r="438">
      <c r="A438" s="41"/>
      <c r="C438" s="7"/>
      <c r="D438" s="7"/>
      <c r="E438" s="18"/>
      <c r="F438" s="38"/>
      <c r="G438" s="38"/>
      <c r="H438" s="38"/>
      <c r="I438" s="38"/>
      <c r="J438" s="38"/>
      <c r="K438" s="38"/>
      <c r="L438" s="38"/>
      <c r="M438" s="38"/>
      <c r="N438" s="38"/>
      <c r="O438" s="38"/>
      <c r="P438" s="38"/>
    </row>
    <row r="439">
      <c r="A439" s="41"/>
      <c r="C439" s="7"/>
      <c r="D439" s="7"/>
      <c r="E439" s="18"/>
      <c r="F439" s="38"/>
      <c r="G439" s="38"/>
      <c r="H439" s="38"/>
      <c r="I439" s="38"/>
      <c r="J439" s="38"/>
      <c r="K439" s="38"/>
      <c r="L439" s="38"/>
      <c r="M439" s="38"/>
      <c r="N439" s="38"/>
      <c r="O439" s="38"/>
      <c r="P439" s="38"/>
    </row>
    <row r="440">
      <c r="A440" s="41"/>
      <c r="C440" s="7"/>
      <c r="D440" s="7"/>
      <c r="E440" s="18"/>
      <c r="F440" s="38"/>
      <c r="G440" s="38"/>
      <c r="H440" s="38"/>
      <c r="I440" s="38"/>
      <c r="J440" s="38"/>
      <c r="K440" s="38"/>
      <c r="L440" s="38"/>
      <c r="M440" s="38"/>
      <c r="N440" s="38"/>
      <c r="O440" s="38"/>
      <c r="P440" s="38"/>
    </row>
    <row r="441">
      <c r="A441" s="41"/>
      <c r="C441" s="7"/>
      <c r="D441" s="7"/>
      <c r="E441" s="18"/>
      <c r="F441" s="38"/>
      <c r="G441" s="38"/>
      <c r="H441" s="38"/>
      <c r="I441" s="38"/>
      <c r="J441" s="38"/>
      <c r="K441" s="38"/>
      <c r="L441" s="38"/>
      <c r="M441" s="38"/>
      <c r="N441" s="38"/>
      <c r="O441" s="38"/>
      <c r="P441" s="38"/>
    </row>
    <row r="442">
      <c r="A442" s="41"/>
      <c r="C442" s="7"/>
      <c r="D442" s="7"/>
      <c r="E442" s="18"/>
      <c r="F442" s="38"/>
      <c r="G442" s="38"/>
      <c r="H442" s="38"/>
      <c r="I442" s="38"/>
      <c r="J442" s="38"/>
      <c r="K442" s="38"/>
      <c r="L442" s="38"/>
      <c r="M442" s="38"/>
      <c r="N442" s="38"/>
      <c r="O442" s="38"/>
      <c r="P442" s="38"/>
    </row>
    <row r="443">
      <c r="A443" s="41"/>
      <c r="C443" s="7"/>
      <c r="D443" s="7"/>
      <c r="E443" s="18"/>
      <c r="F443" s="38"/>
      <c r="G443" s="38"/>
      <c r="H443" s="38"/>
      <c r="I443" s="38"/>
      <c r="J443" s="38"/>
      <c r="K443" s="38"/>
      <c r="L443" s="38"/>
      <c r="M443" s="38"/>
      <c r="N443" s="38"/>
      <c r="O443" s="38"/>
      <c r="P443" s="38"/>
    </row>
    <row r="444">
      <c r="A444" s="41"/>
      <c r="C444" s="7"/>
      <c r="D444" s="7"/>
      <c r="E444" s="18"/>
      <c r="F444" s="38"/>
      <c r="G444" s="38"/>
      <c r="H444" s="38"/>
      <c r="I444" s="38"/>
      <c r="J444" s="38"/>
      <c r="K444" s="38"/>
      <c r="L444" s="38"/>
      <c r="M444" s="38"/>
      <c r="N444" s="38"/>
      <c r="O444" s="38"/>
      <c r="P444" s="38"/>
    </row>
    <row r="445">
      <c r="A445" s="41"/>
      <c r="C445" s="7"/>
      <c r="D445" s="7"/>
      <c r="E445" s="18"/>
      <c r="F445" s="38"/>
      <c r="G445" s="38"/>
      <c r="H445" s="38"/>
      <c r="I445" s="38"/>
      <c r="J445" s="38"/>
      <c r="K445" s="38"/>
      <c r="L445" s="38"/>
      <c r="M445" s="38"/>
      <c r="N445" s="38"/>
      <c r="O445" s="38"/>
      <c r="P445" s="38"/>
    </row>
    <row r="446">
      <c r="A446" s="41"/>
      <c r="C446" s="7"/>
      <c r="D446" s="7"/>
      <c r="E446" s="18"/>
      <c r="F446" s="38"/>
      <c r="G446" s="38"/>
      <c r="H446" s="38"/>
      <c r="I446" s="38"/>
      <c r="J446" s="38"/>
      <c r="K446" s="38"/>
      <c r="L446" s="38"/>
      <c r="M446" s="38"/>
      <c r="N446" s="38"/>
      <c r="O446" s="38"/>
      <c r="P446" s="38"/>
    </row>
    <row r="447">
      <c r="A447" s="41"/>
      <c r="C447" s="7"/>
      <c r="D447" s="7"/>
      <c r="E447" s="18"/>
      <c r="F447" s="38"/>
      <c r="G447" s="38"/>
      <c r="H447" s="38"/>
      <c r="I447" s="38"/>
      <c r="J447" s="38"/>
      <c r="K447" s="38"/>
      <c r="L447" s="38"/>
      <c r="M447" s="38"/>
      <c r="N447" s="38"/>
      <c r="O447" s="38"/>
      <c r="P447" s="38"/>
    </row>
    <row r="448">
      <c r="A448" s="41"/>
      <c r="C448" s="7"/>
      <c r="D448" s="7"/>
      <c r="E448" s="18"/>
      <c r="F448" s="38"/>
      <c r="G448" s="38"/>
      <c r="H448" s="38"/>
      <c r="I448" s="38"/>
      <c r="J448" s="38"/>
      <c r="K448" s="38"/>
      <c r="L448" s="38"/>
      <c r="M448" s="38"/>
      <c r="N448" s="38"/>
      <c r="O448" s="38"/>
      <c r="P448" s="38"/>
    </row>
    <row r="449">
      <c r="A449" s="41"/>
      <c r="C449" s="7"/>
      <c r="D449" s="7"/>
      <c r="E449" s="18"/>
      <c r="F449" s="38"/>
      <c r="G449" s="38"/>
      <c r="H449" s="38"/>
      <c r="I449" s="38"/>
      <c r="J449" s="38"/>
      <c r="K449" s="38"/>
      <c r="L449" s="38"/>
      <c r="M449" s="38"/>
      <c r="N449" s="38"/>
      <c r="O449" s="38"/>
      <c r="P449" s="38"/>
    </row>
    <row r="450">
      <c r="A450" s="41"/>
      <c r="C450" s="7"/>
      <c r="D450" s="7"/>
      <c r="E450" s="18"/>
      <c r="F450" s="38"/>
      <c r="G450" s="38"/>
      <c r="H450" s="38"/>
      <c r="I450" s="38"/>
      <c r="J450" s="38"/>
      <c r="K450" s="38"/>
      <c r="L450" s="38"/>
      <c r="M450" s="38"/>
      <c r="N450" s="38"/>
      <c r="O450" s="38"/>
      <c r="P450" s="38"/>
    </row>
    <row r="451">
      <c r="A451" s="41"/>
      <c r="C451" s="7"/>
      <c r="D451" s="7"/>
      <c r="E451" s="18"/>
      <c r="F451" s="38"/>
      <c r="G451" s="38"/>
      <c r="H451" s="38"/>
      <c r="I451" s="38"/>
      <c r="J451" s="38"/>
      <c r="K451" s="38"/>
      <c r="L451" s="38"/>
      <c r="M451" s="38"/>
      <c r="N451" s="38"/>
      <c r="O451" s="38"/>
      <c r="P451" s="38"/>
    </row>
    <row r="452">
      <c r="A452" s="41"/>
      <c r="C452" s="7"/>
      <c r="D452" s="7"/>
      <c r="E452" s="18"/>
      <c r="F452" s="38"/>
      <c r="G452" s="38"/>
      <c r="H452" s="38"/>
      <c r="I452" s="38"/>
      <c r="J452" s="38"/>
      <c r="K452" s="38"/>
      <c r="L452" s="38"/>
      <c r="M452" s="38"/>
      <c r="N452" s="38"/>
      <c r="O452" s="38"/>
      <c r="P452" s="38"/>
    </row>
    <row r="453">
      <c r="A453" s="19"/>
      <c r="B453" s="19"/>
      <c r="C453" s="42"/>
      <c r="D453" s="42"/>
      <c r="E453" s="19"/>
      <c r="F453" s="39"/>
      <c r="G453" s="39"/>
      <c r="H453" s="39"/>
      <c r="I453" s="39"/>
      <c r="J453" s="39"/>
      <c r="K453" s="19"/>
      <c r="L453" s="19"/>
      <c r="M453" s="38"/>
      <c r="N453" s="38"/>
      <c r="O453" s="38"/>
      <c r="P453" s="38"/>
    </row>
    <row r="454">
      <c r="A454" s="41"/>
      <c r="C454" s="7"/>
      <c r="D454" s="7"/>
      <c r="E454" s="18"/>
      <c r="F454" s="38"/>
      <c r="G454" s="38"/>
      <c r="H454" s="38"/>
      <c r="I454" s="38"/>
      <c r="J454" s="38"/>
      <c r="K454" s="38"/>
      <c r="L454" s="38"/>
      <c r="M454" s="38"/>
      <c r="N454" s="38"/>
      <c r="O454" s="38"/>
      <c r="P454" s="38"/>
    </row>
    <row r="455">
      <c r="A455" s="41"/>
      <c r="C455" s="7"/>
      <c r="D455" s="7"/>
      <c r="E455" s="18"/>
      <c r="F455" s="38"/>
      <c r="G455" s="38"/>
      <c r="H455" s="38"/>
      <c r="I455" s="38"/>
      <c r="J455" s="38"/>
      <c r="K455" s="38"/>
      <c r="L455" s="38"/>
      <c r="M455" s="38"/>
      <c r="N455" s="38"/>
      <c r="O455" s="38"/>
      <c r="P455" s="38"/>
    </row>
    <row r="456">
      <c r="A456" s="41"/>
      <c r="C456" s="7"/>
      <c r="D456" s="7"/>
      <c r="E456" s="18"/>
      <c r="F456" s="38"/>
      <c r="G456" s="38"/>
      <c r="H456" s="38"/>
      <c r="I456" s="38"/>
      <c r="J456" s="38"/>
      <c r="K456" s="38"/>
      <c r="L456" s="38"/>
      <c r="M456" s="38"/>
      <c r="N456" s="38"/>
      <c r="O456" s="38"/>
      <c r="P456" s="38"/>
    </row>
    <row r="457">
      <c r="A457" s="41"/>
      <c r="C457" s="7"/>
      <c r="D457" s="7"/>
      <c r="E457" s="18"/>
      <c r="F457" s="38"/>
      <c r="G457" s="38"/>
      <c r="H457" s="38"/>
      <c r="I457" s="38"/>
      <c r="J457" s="38"/>
      <c r="K457" s="38"/>
      <c r="L457" s="38"/>
      <c r="M457" s="38"/>
      <c r="N457" s="38"/>
      <c r="O457" s="38"/>
      <c r="P457" s="38"/>
    </row>
    <row r="458">
      <c r="A458" s="41"/>
      <c r="C458" s="7"/>
      <c r="D458" s="7"/>
      <c r="E458" s="18"/>
      <c r="F458" s="38"/>
      <c r="G458" s="38"/>
      <c r="H458" s="38"/>
      <c r="I458" s="38"/>
      <c r="J458" s="38"/>
      <c r="K458" s="38"/>
      <c r="L458" s="38"/>
      <c r="M458" s="38"/>
      <c r="N458" s="38"/>
      <c r="O458" s="38"/>
      <c r="P458" s="38"/>
    </row>
    <row r="459">
      <c r="A459" s="41"/>
      <c r="C459" s="7"/>
      <c r="D459" s="7"/>
      <c r="E459" s="18"/>
      <c r="F459" s="38"/>
      <c r="G459" s="38"/>
      <c r="H459" s="38"/>
      <c r="I459" s="38"/>
      <c r="J459" s="38"/>
      <c r="K459" s="38"/>
      <c r="L459" s="38"/>
      <c r="M459" s="38"/>
      <c r="N459" s="38"/>
      <c r="O459" s="38"/>
      <c r="P459" s="38"/>
    </row>
    <row r="460">
      <c r="A460" s="41"/>
      <c r="C460" s="7"/>
      <c r="D460" s="7"/>
      <c r="E460" s="18"/>
      <c r="F460" s="38"/>
      <c r="G460" s="38"/>
      <c r="H460" s="38"/>
      <c r="I460" s="38"/>
      <c r="J460" s="38"/>
      <c r="K460" s="38"/>
      <c r="L460" s="38"/>
      <c r="M460" s="38"/>
      <c r="N460" s="38"/>
      <c r="O460" s="38"/>
      <c r="P460" s="38"/>
    </row>
    <row r="461">
      <c r="A461" s="41"/>
      <c r="C461" s="7"/>
      <c r="D461" s="7"/>
      <c r="E461" s="18"/>
      <c r="F461" s="38"/>
      <c r="G461" s="38"/>
      <c r="H461" s="38"/>
      <c r="I461" s="38"/>
      <c r="J461" s="38"/>
      <c r="K461" s="38"/>
      <c r="L461" s="38"/>
      <c r="M461" s="38"/>
      <c r="N461" s="38"/>
      <c r="O461" s="38"/>
      <c r="P461" s="38"/>
    </row>
    <row r="462">
      <c r="A462" s="41"/>
      <c r="C462" s="7"/>
      <c r="D462" s="7"/>
      <c r="E462" s="18"/>
      <c r="F462" s="38"/>
      <c r="G462" s="38"/>
      <c r="H462" s="38"/>
      <c r="I462" s="38"/>
      <c r="J462" s="38"/>
      <c r="K462" s="38"/>
      <c r="L462" s="38"/>
      <c r="M462" s="38"/>
      <c r="N462" s="38"/>
      <c r="O462" s="38"/>
      <c r="P462" s="38"/>
    </row>
    <row r="463">
      <c r="A463" s="41"/>
      <c r="C463" s="7"/>
      <c r="D463" s="7"/>
      <c r="E463" s="18"/>
      <c r="F463" s="38"/>
      <c r="G463" s="38"/>
      <c r="H463" s="38"/>
      <c r="I463" s="38"/>
      <c r="J463" s="38"/>
      <c r="K463" s="38"/>
      <c r="L463" s="38"/>
      <c r="M463" s="38"/>
      <c r="N463" s="38"/>
      <c r="O463" s="38"/>
      <c r="P463" s="38"/>
    </row>
    <row r="464">
      <c r="A464" s="41"/>
      <c r="C464" s="7"/>
      <c r="D464" s="7"/>
      <c r="E464" s="18"/>
      <c r="F464" s="38"/>
      <c r="G464" s="38"/>
      <c r="H464" s="38"/>
      <c r="I464" s="38"/>
      <c r="J464" s="38"/>
      <c r="K464" s="38"/>
      <c r="L464" s="38"/>
      <c r="M464" s="38"/>
      <c r="N464" s="38"/>
      <c r="O464" s="38"/>
      <c r="P464" s="38"/>
    </row>
    <row r="465">
      <c r="A465" s="41"/>
      <c r="C465" s="7"/>
      <c r="D465" s="7"/>
      <c r="E465" s="18"/>
      <c r="F465" s="38"/>
      <c r="G465" s="38"/>
      <c r="H465" s="38"/>
      <c r="I465" s="38"/>
      <c r="J465" s="38"/>
      <c r="K465" s="38"/>
      <c r="L465" s="38"/>
      <c r="M465" s="38"/>
      <c r="N465" s="38"/>
      <c r="O465" s="38"/>
      <c r="P465" s="38"/>
    </row>
    <row r="466">
      <c r="A466" s="41"/>
      <c r="C466" s="7"/>
      <c r="D466" s="7"/>
      <c r="E466" s="18"/>
      <c r="F466" s="38"/>
      <c r="G466" s="38"/>
      <c r="H466" s="38"/>
      <c r="I466" s="38"/>
      <c r="J466" s="38"/>
      <c r="K466" s="38"/>
      <c r="L466" s="38"/>
      <c r="M466" s="38"/>
      <c r="N466" s="38"/>
      <c r="O466" s="38"/>
      <c r="P466" s="38"/>
    </row>
    <row r="467">
      <c r="A467" s="41"/>
      <c r="C467" s="7"/>
      <c r="D467" s="7"/>
      <c r="E467" s="18"/>
      <c r="F467" s="38"/>
      <c r="G467" s="38"/>
      <c r="H467" s="38"/>
      <c r="I467" s="38"/>
      <c r="J467" s="38"/>
      <c r="K467" s="38"/>
      <c r="L467" s="38"/>
      <c r="M467" s="38"/>
      <c r="N467" s="38"/>
      <c r="O467" s="38"/>
      <c r="P467" s="38"/>
    </row>
    <row r="468">
      <c r="A468" s="41"/>
      <c r="C468" s="7"/>
      <c r="D468" s="7"/>
      <c r="E468" s="18"/>
      <c r="F468" s="38"/>
      <c r="G468" s="38"/>
      <c r="H468" s="38"/>
      <c r="I468" s="38"/>
      <c r="J468" s="38"/>
      <c r="K468" s="38"/>
      <c r="L468" s="38"/>
      <c r="M468" s="38"/>
      <c r="N468" s="38"/>
      <c r="O468" s="38"/>
      <c r="P468" s="38"/>
    </row>
    <row r="469">
      <c r="A469" s="41"/>
      <c r="C469" s="7"/>
      <c r="D469" s="7"/>
      <c r="E469" s="18"/>
      <c r="F469" s="38"/>
      <c r="G469" s="38"/>
      <c r="H469" s="38"/>
      <c r="I469" s="38"/>
      <c r="J469" s="38"/>
      <c r="K469" s="38"/>
      <c r="L469" s="38"/>
      <c r="M469" s="38"/>
      <c r="N469" s="38"/>
      <c r="O469" s="38"/>
      <c r="P469" s="38"/>
    </row>
    <row r="470">
      <c r="A470" s="41"/>
      <c r="C470" s="7"/>
      <c r="D470" s="7"/>
      <c r="E470" s="18"/>
      <c r="F470" s="38"/>
      <c r="G470" s="38"/>
      <c r="H470" s="38"/>
      <c r="I470" s="38"/>
      <c r="J470" s="38"/>
      <c r="K470" s="38"/>
      <c r="L470" s="38"/>
      <c r="M470" s="38"/>
      <c r="N470" s="38"/>
      <c r="O470" s="38"/>
      <c r="P470" s="38"/>
    </row>
    <row r="471">
      <c r="A471" s="41"/>
      <c r="C471" s="7"/>
      <c r="D471" s="7"/>
      <c r="E471" s="18"/>
      <c r="F471" s="38"/>
      <c r="G471" s="38"/>
      <c r="H471" s="38"/>
      <c r="I471" s="38"/>
      <c r="J471" s="38"/>
      <c r="K471" s="38"/>
      <c r="L471" s="38"/>
      <c r="M471" s="38"/>
      <c r="N471" s="38"/>
      <c r="O471" s="38"/>
      <c r="P471" s="38"/>
    </row>
    <row r="472">
      <c r="A472" s="41"/>
      <c r="C472" s="7"/>
      <c r="D472" s="7"/>
      <c r="E472" s="18"/>
      <c r="F472" s="38"/>
      <c r="G472" s="38"/>
      <c r="H472" s="38"/>
      <c r="I472" s="38"/>
      <c r="J472" s="38"/>
      <c r="K472" s="38"/>
      <c r="L472" s="38"/>
      <c r="M472" s="38"/>
      <c r="N472" s="38"/>
      <c r="O472" s="38"/>
      <c r="P472" s="38"/>
    </row>
    <row r="473">
      <c r="A473" s="41"/>
      <c r="C473" s="7"/>
      <c r="D473" s="7"/>
      <c r="E473" s="18"/>
      <c r="F473" s="38"/>
      <c r="G473" s="38"/>
      <c r="H473" s="38"/>
      <c r="I473" s="38"/>
      <c r="J473" s="38"/>
      <c r="K473" s="38"/>
      <c r="L473" s="38"/>
      <c r="M473" s="38"/>
      <c r="N473" s="38"/>
      <c r="O473" s="38"/>
      <c r="P473" s="38"/>
    </row>
    <row r="474">
      <c r="A474" s="41"/>
      <c r="C474" s="7"/>
      <c r="D474" s="7"/>
      <c r="E474" s="18"/>
      <c r="F474" s="38"/>
      <c r="G474" s="38"/>
      <c r="H474" s="38"/>
      <c r="I474" s="38"/>
      <c r="J474" s="38"/>
      <c r="K474" s="38"/>
      <c r="L474" s="38"/>
      <c r="M474" s="38"/>
      <c r="N474" s="38"/>
      <c r="O474" s="38"/>
      <c r="P474" s="38"/>
    </row>
    <row r="475">
      <c r="A475" s="41"/>
      <c r="C475" s="7"/>
      <c r="D475" s="7"/>
      <c r="E475" s="18"/>
      <c r="F475" s="38"/>
      <c r="G475" s="38"/>
      <c r="H475" s="38"/>
      <c r="I475" s="38"/>
      <c r="J475" s="38"/>
      <c r="K475" s="38"/>
      <c r="L475" s="38"/>
      <c r="M475" s="38"/>
      <c r="N475" s="38"/>
      <c r="O475" s="38"/>
      <c r="P475" s="38"/>
    </row>
    <row r="476">
      <c r="A476" s="41"/>
      <c r="C476" s="7"/>
      <c r="D476" s="7"/>
      <c r="E476" s="18"/>
      <c r="F476" s="38"/>
      <c r="G476" s="38"/>
      <c r="H476" s="38"/>
      <c r="I476" s="38"/>
      <c r="J476" s="38"/>
      <c r="K476" s="38"/>
      <c r="L476" s="38"/>
      <c r="M476" s="38"/>
      <c r="N476" s="38"/>
      <c r="O476" s="38"/>
      <c r="P476" s="38"/>
    </row>
    <row r="477">
      <c r="A477" s="41"/>
      <c r="C477" s="7"/>
      <c r="D477" s="7"/>
      <c r="E477" s="18"/>
      <c r="F477" s="38"/>
      <c r="G477" s="38"/>
      <c r="H477" s="38"/>
      <c r="I477" s="38"/>
      <c r="J477" s="38"/>
      <c r="K477" s="38"/>
      <c r="L477" s="38"/>
      <c r="M477" s="38"/>
      <c r="N477" s="38"/>
      <c r="O477" s="38"/>
      <c r="P477" s="38"/>
    </row>
    <row r="478">
      <c r="A478" s="41"/>
      <c r="C478" s="7"/>
      <c r="D478" s="7"/>
      <c r="E478" s="18"/>
      <c r="F478" s="38"/>
      <c r="G478" s="38"/>
      <c r="H478" s="38"/>
      <c r="I478" s="38"/>
      <c r="J478" s="38"/>
      <c r="K478" s="38"/>
      <c r="L478" s="38"/>
      <c r="M478" s="38"/>
      <c r="N478" s="38"/>
      <c r="O478" s="38"/>
      <c r="P478" s="38"/>
    </row>
    <row r="479">
      <c r="A479" s="41"/>
      <c r="C479" s="7"/>
      <c r="D479" s="7"/>
      <c r="E479" s="18"/>
      <c r="F479" s="38"/>
      <c r="G479" s="38"/>
      <c r="H479" s="38"/>
      <c r="I479" s="38"/>
      <c r="J479" s="38"/>
      <c r="K479" s="38"/>
      <c r="L479" s="38"/>
      <c r="M479" s="38"/>
      <c r="N479" s="38"/>
      <c r="O479" s="38"/>
      <c r="P479" s="38"/>
    </row>
    <row r="480">
      <c r="A480" s="41"/>
      <c r="C480" s="7"/>
      <c r="D480" s="7"/>
      <c r="E480" s="18"/>
      <c r="F480" s="38"/>
      <c r="G480" s="38"/>
      <c r="H480" s="38"/>
      <c r="I480" s="38"/>
      <c r="J480" s="38"/>
      <c r="K480" s="38"/>
      <c r="L480" s="38"/>
      <c r="M480" s="38"/>
      <c r="N480" s="38"/>
      <c r="O480" s="38"/>
      <c r="P480" s="38"/>
    </row>
    <row r="481">
      <c r="A481" s="41"/>
      <c r="C481" s="7"/>
      <c r="D481" s="7"/>
      <c r="E481" s="18"/>
      <c r="F481" s="38"/>
      <c r="G481" s="38"/>
      <c r="H481" s="38"/>
      <c r="I481" s="38"/>
      <c r="J481" s="38"/>
      <c r="K481" s="38"/>
      <c r="L481" s="38"/>
      <c r="M481" s="38"/>
      <c r="N481" s="38"/>
      <c r="O481" s="38"/>
      <c r="P481" s="38"/>
    </row>
    <row r="482">
      <c r="A482" s="41"/>
      <c r="C482" s="7"/>
      <c r="D482" s="7"/>
      <c r="E482" s="18"/>
      <c r="F482" s="38"/>
      <c r="G482" s="38"/>
      <c r="H482" s="38"/>
      <c r="I482" s="38"/>
      <c r="J482" s="38"/>
      <c r="K482" s="38"/>
      <c r="L482" s="38"/>
      <c r="M482" s="38"/>
      <c r="N482" s="38"/>
      <c r="O482" s="38"/>
      <c r="P482" s="38"/>
    </row>
    <row r="483">
      <c r="A483" s="41"/>
      <c r="C483" s="7"/>
      <c r="D483" s="7"/>
      <c r="E483" s="18"/>
      <c r="F483" s="38"/>
      <c r="G483" s="38"/>
      <c r="H483" s="38"/>
      <c r="I483" s="38"/>
      <c r="J483" s="38"/>
      <c r="K483" s="38"/>
      <c r="L483" s="38"/>
      <c r="M483" s="38"/>
      <c r="N483" s="38"/>
      <c r="O483" s="38"/>
      <c r="P483" s="38"/>
    </row>
    <row r="484">
      <c r="A484" s="41"/>
      <c r="C484" s="7"/>
      <c r="D484" s="7"/>
      <c r="E484" s="18"/>
      <c r="F484" s="38"/>
      <c r="G484" s="38"/>
      <c r="H484" s="38"/>
      <c r="I484" s="38"/>
      <c r="J484" s="38"/>
      <c r="K484" s="38"/>
      <c r="L484" s="38"/>
      <c r="M484" s="38"/>
      <c r="N484" s="38"/>
      <c r="O484" s="38"/>
      <c r="P484" s="38"/>
    </row>
    <row r="485">
      <c r="A485" s="41"/>
      <c r="C485" s="7"/>
      <c r="D485" s="7"/>
      <c r="E485" s="18"/>
      <c r="F485" s="38"/>
      <c r="G485" s="38"/>
      <c r="H485" s="38"/>
      <c r="I485" s="38"/>
      <c r="J485" s="38"/>
      <c r="K485" s="38"/>
      <c r="L485" s="38"/>
      <c r="M485" s="38"/>
      <c r="N485" s="38"/>
      <c r="O485" s="38"/>
      <c r="P485" s="38"/>
    </row>
    <row r="486">
      <c r="A486" s="41"/>
      <c r="C486" s="7"/>
      <c r="D486" s="7"/>
      <c r="E486" s="18"/>
      <c r="F486" s="38"/>
      <c r="G486" s="38"/>
      <c r="H486" s="38"/>
      <c r="I486" s="38"/>
      <c r="J486" s="38"/>
      <c r="K486" s="38"/>
      <c r="L486" s="38"/>
      <c r="M486" s="38"/>
      <c r="N486" s="38"/>
      <c r="O486" s="38"/>
      <c r="P486" s="38"/>
    </row>
    <row r="487">
      <c r="A487" s="41"/>
      <c r="C487" s="7"/>
      <c r="D487" s="7"/>
      <c r="E487" s="18"/>
      <c r="F487" s="38"/>
      <c r="G487" s="38"/>
      <c r="H487" s="38"/>
      <c r="I487" s="38"/>
      <c r="J487" s="38"/>
      <c r="K487" s="38"/>
      <c r="L487" s="38"/>
      <c r="M487" s="38"/>
      <c r="N487" s="38"/>
      <c r="O487" s="38"/>
      <c r="P487" s="38"/>
    </row>
    <row r="488">
      <c r="A488" s="41"/>
      <c r="C488" s="7"/>
      <c r="D488" s="7"/>
      <c r="E488" s="18"/>
      <c r="F488" s="38"/>
      <c r="G488" s="38"/>
      <c r="H488" s="38"/>
      <c r="I488" s="38"/>
      <c r="J488" s="38"/>
      <c r="K488" s="38"/>
      <c r="L488" s="38"/>
      <c r="M488" s="38"/>
      <c r="N488" s="38"/>
      <c r="O488" s="38"/>
      <c r="P488" s="38"/>
    </row>
    <row r="489">
      <c r="A489" s="41"/>
      <c r="C489" s="7"/>
      <c r="D489" s="7"/>
      <c r="E489" s="18"/>
      <c r="F489" s="38"/>
      <c r="G489" s="38"/>
      <c r="H489" s="38"/>
      <c r="I489" s="38"/>
      <c r="J489" s="38"/>
      <c r="K489" s="38"/>
      <c r="L489" s="38"/>
      <c r="M489" s="38"/>
      <c r="N489" s="38"/>
      <c r="O489" s="38"/>
      <c r="P489" s="38"/>
    </row>
    <row r="490">
      <c r="A490" s="41"/>
      <c r="C490" s="7"/>
      <c r="D490" s="7"/>
      <c r="E490" s="18"/>
      <c r="F490" s="38"/>
      <c r="G490" s="38"/>
      <c r="H490" s="38"/>
      <c r="I490" s="38"/>
      <c r="J490" s="38"/>
      <c r="K490" s="38"/>
      <c r="L490" s="38"/>
      <c r="M490" s="38"/>
      <c r="N490" s="38"/>
      <c r="O490" s="38"/>
      <c r="P490" s="38"/>
    </row>
    <row r="491">
      <c r="A491" s="41"/>
      <c r="C491" s="7"/>
      <c r="D491" s="7"/>
      <c r="E491" s="18"/>
      <c r="F491" s="38"/>
      <c r="G491" s="38"/>
      <c r="H491" s="38"/>
      <c r="I491" s="38"/>
      <c r="J491" s="38"/>
      <c r="K491" s="38"/>
      <c r="L491" s="38"/>
      <c r="M491" s="38"/>
      <c r="N491" s="38"/>
      <c r="O491" s="38"/>
      <c r="P491" s="38"/>
    </row>
    <row r="492">
      <c r="A492" s="41"/>
      <c r="C492" s="7"/>
      <c r="D492" s="7"/>
      <c r="E492" s="18"/>
      <c r="F492" s="38"/>
      <c r="G492" s="38"/>
      <c r="H492" s="38"/>
      <c r="I492" s="38"/>
      <c r="J492" s="38"/>
      <c r="K492" s="38"/>
      <c r="L492" s="38"/>
      <c r="M492" s="38"/>
      <c r="N492" s="38"/>
      <c r="O492" s="38"/>
      <c r="P492" s="38"/>
    </row>
    <row r="493">
      <c r="A493" s="41"/>
      <c r="C493" s="7"/>
      <c r="D493" s="7"/>
      <c r="E493" s="18"/>
      <c r="F493" s="38"/>
      <c r="G493" s="38"/>
      <c r="H493" s="38"/>
      <c r="I493" s="38"/>
      <c r="J493" s="38"/>
      <c r="K493" s="38"/>
      <c r="L493" s="38"/>
      <c r="M493" s="38"/>
      <c r="N493" s="38"/>
      <c r="O493" s="38"/>
      <c r="P493" s="38"/>
    </row>
    <row r="494">
      <c r="A494" s="19"/>
      <c r="B494" s="19"/>
      <c r="C494" s="42"/>
      <c r="D494" s="42"/>
      <c r="E494" s="19"/>
      <c r="F494" s="39"/>
      <c r="G494" s="39"/>
      <c r="H494" s="39"/>
      <c r="I494" s="39"/>
      <c r="J494" s="39"/>
      <c r="K494" s="19"/>
      <c r="L494" s="19"/>
      <c r="M494" s="38"/>
      <c r="N494" s="38"/>
      <c r="O494" s="38"/>
      <c r="P494" s="38"/>
    </row>
    <row r="495">
      <c r="A495" s="41"/>
      <c r="C495" s="7"/>
      <c r="D495" s="7"/>
      <c r="E495" s="18"/>
      <c r="F495" s="38"/>
      <c r="G495" s="38"/>
      <c r="H495" s="38"/>
      <c r="I495" s="38"/>
      <c r="J495" s="38"/>
      <c r="K495" s="38"/>
      <c r="L495" s="38"/>
      <c r="M495" s="38"/>
      <c r="N495" s="38"/>
      <c r="O495" s="38"/>
      <c r="P495" s="38"/>
    </row>
    <row r="496">
      <c r="A496" s="41"/>
      <c r="C496" s="7"/>
      <c r="D496" s="7"/>
      <c r="E496" s="18"/>
      <c r="F496" s="38"/>
      <c r="G496" s="38"/>
      <c r="H496" s="38"/>
      <c r="I496" s="38"/>
      <c r="J496" s="38"/>
      <c r="K496" s="38"/>
      <c r="L496" s="38"/>
      <c r="M496" s="38"/>
      <c r="N496" s="38"/>
      <c r="O496" s="38"/>
      <c r="P496" s="38"/>
    </row>
    <row r="497">
      <c r="A497" s="41"/>
      <c r="C497" s="7"/>
      <c r="D497" s="7"/>
      <c r="E497" s="18"/>
      <c r="F497" s="38"/>
      <c r="G497" s="38"/>
      <c r="H497" s="38"/>
      <c r="I497" s="38"/>
      <c r="J497" s="38"/>
      <c r="K497" s="38"/>
      <c r="L497" s="38"/>
      <c r="M497" s="38"/>
      <c r="N497" s="38"/>
      <c r="O497" s="38"/>
      <c r="P497" s="38"/>
    </row>
    <row r="498">
      <c r="A498" s="41"/>
      <c r="C498" s="7"/>
      <c r="D498" s="7"/>
      <c r="E498" s="18"/>
      <c r="F498" s="38"/>
      <c r="G498" s="38"/>
      <c r="H498" s="38"/>
      <c r="I498" s="38"/>
      <c r="J498" s="38"/>
      <c r="K498" s="38"/>
      <c r="L498" s="38"/>
      <c r="M498" s="38"/>
      <c r="N498" s="38"/>
      <c r="O498" s="38"/>
      <c r="P498" s="38"/>
    </row>
    <row r="499">
      <c r="A499" s="41"/>
      <c r="C499" s="7"/>
      <c r="D499" s="7"/>
      <c r="E499" s="18"/>
      <c r="F499" s="38"/>
      <c r="G499" s="38"/>
      <c r="H499" s="38"/>
      <c r="I499" s="38"/>
      <c r="J499" s="38"/>
      <c r="K499" s="38"/>
      <c r="L499" s="38"/>
      <c r="M499" s="38"/>
      <c r="N499" s="38"/>
      <c r="O499" s="38"/>
      <c r="P499" s="38"/>
    </row>
    <row r="500">
      <c r="A500" s="41"/>
      <c r="C500" s="7"/>
      <c r="D500" s="7"/>
      <c r="E500" s="18"/>
      <c r="F500" s="38"/>
      <c r="G500" s="38"/>
      <c r="H500" s="38"/>
      <c r="I500" s="38"/>
      <c r="J500" s="38"/>
      <c r="K500" s="38"/>
      <c r="L500" s="38"/>
      <c r="M500" s="38"/>
      <c r="N500" s="38"/>
      <c r="O500" s="38"/>
      <c r="P500" s="38"/>
    </row>
    <row r="501">
      <c r="A501" s="41"/>
      <c r="C501" s="7"/>
      <c r="D501" s="7"/>
      <c r="E501" s="18"/>
      <c r="F501" s="38"/>
      <c r="G501" s="38"/>
      <c r="H501" s="38"/>
      <c r="I501" s="38"/>
      <c r="J501" s="38"/>
      <c r="K501" s="38"/>
      <c r="L501" s="38"/>
      <c r="M501" s="38"/>
      <c r="N501" s="38"/>
      <c r="O501" s="38"/>
      <c r="P501" s="38"/>
    </row>
    <row r="502">
      <c r="A502" s="41"/>
      <c r="C502" s="7"/>
      <c r="D502" s="7"/>
      <c r="E502" s="18"/>
      <c r="F502" s="38"/>
      <c r="G502" s="38"/>
      <c r="H502" s="38"/>
      <c r="I502" s="38"/>
      <c r="J502" s="38"/>
      <c r="K502" s="38"/>
      <c r="L502" s="38"/>
      <c r="M502" s="38"/>
      <c r="N502" s="38"/>
      <c r="O502" s="38"/>
      <c r="P502" s="38"/>
    </row>
    <row r="503">
      <c r="A503" s="41"/>
      <c r="C503" s="7"/>
      <c r="D503" s="7"/>
      <c r="E503" s="18"/>
      <c r="F503" s="38"/>
      <c r="G503" s="38"/>
      <c r="H503" s="38"/>
      <c r="I503" s="38"/>
      <c r="J503" s="38"/>
      <c r="K503" s="38"/>
      <c r="L503" s="38"/>
      <c r="M503" s="38"/>
      <c r="N503" s="38"/>
      <c r="O503" s="38"/>
      <c r="P503" s="38"/>
    </row>
    <row r="504">
      <c r="A504" s="41"/>
      <c r="C504" s="7"/>
      <c r="D504" s="7"/>
      <c r="E504" s="18"/>
      <c r="F504" s="38"/>
      <c r="G504" s="38"/>
      <c r="H504" s="38"/>
      <c r="I504" s="38"/>
      <c r="J504" s="38"/>
      <c r="K504" s="38"/>
      <c r="L504" s="38"/>
      <c r="M504" s="38"/>
      <c r="N504" s="38"/>
      <c r="O504" s="38"/>
      <c r="P504" s="38"/>
    </row>
    <row r="505">
      <c r="A505" s="41"/>
      <c r="C505" s="7"/>
      <c r="D505" s="7"/>
      <c r="E505" s="18"/>
      <c r="F505" s="38"/>
      <c r="G505" s="38"/>
      <c r="H505" s="38"/>
      <c r="I505" s="38"/>
      <c r="J505" s="38"/>
      <c r="K505" s="38"/>
      <c r="L505" s="38"/>
      <c r="M505" s="38"/>
      <c r="N505" s="38"/>
      <c r="O505" s="38"/>
      <c r="P505" s="38"/>
    </row>
    <row r="506">
      <c r="A506" s="41"/>
      <c r="C506" s="7"/>
      <c r="D506" s="7"/>
      <c r="E506" s="18"/>
      <c r="F506" s="38"/>
      <c r="G506" s="38"/>
      <c r="H506" s="38"/>
      <c r="I506" s="38"/>
      <c r="J506" s="38"/>
      <c r="K506" s="38"/>
      <c r="L506" s="38"/>
      <c r="M506" s="38"/>
      <c r="N506" s="38"/>
      <c r="O506" s="38"/>
      <c r="P506" s="38"/>
    </row>
    <row r="507">
      <c r="A507" s="41"/>
      <c r="C507" s="7"/>
      <c r="D507" s="7"/>
      <c r="E507" s="18"/>
      <c r="F507" s="38"/>
      <c r="G507" s="38"/>
      <c r="H507" s="38"/>
      <c r="I507" s="38"/>
      <c r="J507" s="38"/>
      <c r="K507" s="38"/>
      <c r="L507" s="38"/>
      <c r="M507" s="38"/>
      <c r="N507" s="38"/>
      <c r="O507" s="38"/>
      <c r="P507" s="38"/>
    </row>
    <row r="508">
      <c r="A508" s="41"/>
      <c r="C508" s="7"/>
      <c r="D508" s="7"/>
      <c r="E508" s="18"/>
      <c r="F508" s="38"/>
      <c r="G508" s="38"/>
      <c r="H508" s="38"/>
      <c r="I508" s="38"/>
      <c r="J508" s="38"/>
      <c r="K508" s="38"/>
      <c r="L508" s="38"/>
      <c r="M508" s="38"/>
      <c r="N508" s="38"/>
      <c r="O508" s="38"/>
      <c r="P508" s="38"/>
    </row>
    <row r="509">
      <c r="A509" s="41"/>
      <c r="C509" s="7"/>
      <c r="D509" s="7"/>
      <c r="E509" s="18"/>
      <c r="F509" s="38"/>
      <c r="G509" s="38"/>
      <c r="H509" s="38"/>
      <c r="I509" s="38"/>
      <c r="J509" s="38"/>
      <c r="K509" s="38"/>
      <c r="L509" s="38"/>
      <c r="M509" s="38"/>
      <c r="N509" s="38"/>
      <c r="O509" s="38"/>
      <c r="P509" s="38"/>
    </row>
    <row r="510">
      <c r="A510" s="41"/>
      <c r="C510" s="7"/>
      <c r="D510" s="7"/>
      <c r="E510" s="18"/>
      <c r="F510" s="38"/>
      <c r="G510" s="38"/>
      <c r="H510" s="38"/>
      <c r="I510" s="38"/>
      <c r="J510" s="38"/>
      <c r="K510" s="38"/>
      <c r="L510" s="38"/>
      <c r="M510" s="38"/>
      <c r="N510" s="38"/>
      <c r="O510" s="38"/>
      <c r="P510" s="38"/>
    </row>
    <row r="511">
      <c r="A511" s="41"/>
      <c r="C511" s="7"/>
      <c r="D511" s="7"/>
      <c r="E511" s="18"/>
      <c r="F511" s="38"/>
      <c r="G511" s="38"/>
      <c r="H511" s="38"/>
      <c r="I511" s="38"/>
      <c r="J511" s="38"/>
      <c r="K511" s="38"/>
      <c r="L511" s="38"/>
      <c r="M511" s="38"/>
      <c r="N511" s="38"/>
      <c r="O511" s="38"/>
      <c r="P511" s="38"/>
    </row>
    <row r="512">
      <c r="A512" s="41"/>
      <c r="C512" s="7"/>
      <c r="D512" s="7"/>
      <c r="E512" s="18"/>
      <c r="F512" s="38"/>
      <c r="G512" s="38"/>
      <c r="H512" s="38"/>
      <c r="I512" s="38"/>
      <c r="J512" s="38"/>
      <c r="K512" s="38"/>
      <c r="L512" s="38"/>
      <c r="M512" s="38"/>
      <c r="N512" s="38"/>
      <c r="O512" s="38"/>
      <c r="P512" s="38"/>
    </row>
    <row r="513">
      <c r="A513" s="41"/>
      <c r="C513" s="7"/>
      <c r="D513" s="7"/>
      <c r="E513" s="18"/>
      <c r="F513" s="38"/>
      <c r="G513" s="38"/>
      <c r="H513" s="38"/>
      <c r="I513" s="38"/>
      <c r="J513" s="38"/>
      <c r="K513" s="38"/>
      <c r="L513" s="38"/>
      <c r="M513" s="38"/>
      <c r="N513" s="38"/>
      <c r="O513" s="38"/>
      <c r="P513" s="38"/>
    </row>
    <row r="514">
      <c r="A514" s="41"/>
      <c r="C514" s="7"/>
      <c r="D514" s="7"/>
      <c r="E514" s="18"/>
      <c r="F514" s="38"/>
      <c r="G514" s="38"/>
      <c r="H514" s="38"/>
      <c r="I514" s="38"/>
      <c r="J514" s="38"/>
      <c r="K514" s="38"/>
      <c r="L514" s="38"/>
      <c r="M514" s="38"/>
      <c r="N514" s="38"/>
      <c r="O514" s="38"/>
      <c r="P514" s="38"/>
    </row>
    <row r="515">
      <c r="A515" s="41"/>
      <c r="C515" s="7"/>
      <c r="D515" s="7"/>
      <c r="E515" s="18"/>
      <c r="F515" s="38"/>
      <c r="G515" s="38"/>
      <c r="H515" s="38"/>
      <c r="I515" s="38"/>
      <c r="J515" s="38"/>
      <c r="K515" s="38"/>
      <c r="L515" s="38"/>
      <c r="M515" s="38"/>
      <c r="N515" s="38"/>
      <c r="O515" s="38"/>
      <c r="P515" s="38"/>
    </row>
    <row r="516">
      <c r="A516" s="41"/>
      <c r="C516" s="7"/>
      <c r="D516" s="7"/>
      <c r="E516" s="18"/>
      <c r="F516" s="38"/>
      <c r="G516" s="38"/>
      <c r="H516" s="38"/>
      <c r="I516" s="38"/>
      <c r="J516" s="38"/>
      <c r="K516" s="38"/>
      <c r="L516" s="38"/>
      <c r="M516" s="38"/>
      <c r="N516" s="38"/>
      <c r="O516" s="38"/>
      <c r="P516" s="38"/>
    </row>
    <row r="517">
      <c r="A517" s="41"/>
      <c r="C517" s="7"/>
      <c r="D517" s="7"/>
      <c r="E517" s="18"/>
      <c r="F517" s="38"/>
      <c r="G517" s="38"/>
      <c r="H517" s="38"/>
      <c r="I517" s="38"/>
      <c r="J517" s="38"/>
      <c r="K517" s="38"/>
      <c r="L517" s="38"/>
      <c r="M517" s="38"/>
      <c r="N517" s="38"/>
      <c r="O517" s="38"/>
      <c r="P517" s="38"/>
    </row>
    <row r="518">
      <c r="A518" s="41"/>
      <c r="C518" s="7"/>
      <c r="D518" s="7"/>
      <c r="E518" s="18"/>
      <c r="F518" s="38"/>
      <c r="G518" s="38"/>
      <c r="H518" s="38"/>
      <c r="I518" s="38"/>
      <c r="J518" s="38"/>
      <c r="K518" s="38"/>
      <c r="L518" s="38"/>
      <c r="M518" s="38"/>
      <c r="N518" s="38"/>
      <c r="O518" s="38"/>
      <c r="P518" s="38"/>
    </row>
    <row r="519">
      <c r="A519" s="41"/>
      <c r="C519" s="7"/>
      <c r="D519" s="7"/>
      <c r="E519" s="18"/>
      <c r="F519" s="38"/>
      <c r="G519" s="38"/>
      <c r="H519" s="38"/>
      <c r="I519" s="38"/>
      <c r="J519" s="38"/>
      <c r="K519" s="38"/>
      <c r="L519" s="38"/>
      <c r="M519" s="38"/>
      <c r="N519" s="38"/>
      <c r="O519" s="38"/>
      <c r="P519" s="38"/>
    </row>
    <row r="520">
      <c r="A520" s="41"/>
      <c r="C520" s="7"/>
      <c r="D520" s="7"/>
      <c r="E520" s="18"/>
      <c r="F520" s="38"/>
      <c r="G520" s="38"/>
      <c r="H520" s="38"/>
      <c r="I520" s="38"/>
      <c r="J520" s="38"/>
      <c r="K520" s="38"/>
      <c r="L520" s="38"/>
      <c r="M520" s="38"/>
      <c r="N520" s="38"/>
      <c r="O520" s="38"/>
      <c r="P520" s="38"/>
    </row>
    <row r="521">
      <c r="A521" s="41"/>
      <c r="C521" s="7"/>
      <c r="D521" s="7"/>
      <c r="E521" s="18"/>
      <c r="F521" s="38"/>
      <c r="G521" s="38"/>
      <c r="H521" s="38"/>
      <c r="I521" s="38"/>
      <c r="J521" s="38"/>
      <c r="K521" s="38"/>
      <c r="L521" s="38"/>
      <c r="M521" s="38"/>
      <c r="N521" s="38"/>
      <c r="O521" s="38"/>
      <c r="P521" s="38"/>
    </row>
    <row r="522">
      <c r="A522" s="41"/>
      <c r="C522" s="7"/>
      <c r="D522" s="7"/>
      <c r="E522" s="18"/>
      <c r="F522" s="38"/>
      <c r="G522" s="38"/>
      <c r="H522" s="38"/>
      <c r="I522" s="38"/>
      <c r="J522" s="38"/>
      <c r="K522" s="38"/>
      <c r="L522" s="38"/>
      <c r="M522" s="38"/>
      <c r="N522" s="38"/>
      <c r="O522" s="38"/>
      <c r="P522" s="38"/>
    </row>
    <row r="523">
      <c r="A523" s="41"/>
      <c r="C523" s="7"/>
      <c r="D523" s="7"/>
      <c r="E523" s="18"/>
      <c r="F523" s="38"/>
      <c r="G523" s="38"/>
      <c r="H523" s="38"/>
      <c r="I523" s="38"/>
      <c r="J523" s="38"/>
      <c r="K523" s="38"/>
      <c r="L523" s="38"/>
      <c r="M523" s="38"/>
      <c r="N523" s="38"/>
      <c r="O523" s="38"/>
      <c r="P523" s="38"/>
    </row>
    <row r="524">
      <c r="A524" s="41"/>
      <c r="C524" s="7"/>
      <c r="D524" s="7"/>
      <c r="E524" s="18"/>
      <c r="F524" s="38"/>
      <c r="G524" s="38"/>
      <c r="H524" s="38"/>
      <c r="I524" s="38"/>
      <c r="J524" s="38"/>
      <c r="K524" s="38"/>
      <c r="L524" s="38"/>
      <c r="M524" s="38"/>
      <c r="N524" s="38"/>
      <c r="O524" s="38"/>
      <c r="P524" s="38"/>
    </row>
    <row r="525">
      <c r="A525" s="41"/>
      <c r="C525" s="7"/>
      <c r="D525" s="7"/>
      <c r="E525" s="18"/>
      <c r="F525" s="38"/>
      <c r="G525" s="38"/>
      <c r="H525" s="38"/>
      <c r="I525" s="38"/>
      <c r="J525" s="38"/>
      <c r="K525" s="38"/>
      <c r="L525" s="38"/>
      <c r="M525" s="38"/>
      <c r="N525" s="38"/>
      <c r="O525" s="38"/>
      <c r="P525" s="38"/>
    </row>
    <row r="526">
      <c r="A526" s="41"/>
      <c r="C526" s="7"/>
      <c r="D526" s="7"/>
      <c r="E526" s="18"/>
      <c r="F526" s="38"/>
      <c r="G526" s="38"/>
      <c r="H526" s="38"/>
      <c r="I526" s="38"/>
      <c r="J526" s="38"/>
      <c r="K526" s="38"/>
      <c r="L526" s="38"/>
      <c r="M526" s="38"/>
      <c r="N526" s="38"/>
      <c r="O526" s="38"/>
      <c r="P526" s="38"/>
    </row>
    <row r="527">
      <c r="A527" s="41"/>
      <c r="C527" s="7"/>
      <c r="D527" s="7"/>
      <c r="E527" s="18"/>
      <c r="F527" s="38"/>
      <c r="G527" s="38"/>
      <c r="H527" s="38"/>
      <c r="I527" s="38"/>
      <c r="J527" s="38"/>
      <c r="K527" s="38"/>
      <c r="L527" s="38"/>
      <c r="M527" s="38"/>
      <c r="N527" s="38"/>
      <c r="O527" s="38"/>
      <c r="P527" s="38"/>
    </row>
    <row r="528">
      <c r="A528" s="41"/>
      <c r="C528" s="7"/>
      <c r="D528" s="7"/>
      <c r="E528" s="18"/>
      <c r="F528" s="38"/>
      <c r="G528" s="38"/>
      <c r="H528" s="38"/>
      <c r="I528" s="38"/>
      <c r="J528" s="38"/>
      <c r="K528" s="38"/>
      <c r="L528" s="38"/>
      <c r="M528" s="38"/>
      <c r="N528" s="38"/>
      <c r="O528" s="38"/>
      <c r="P528" s="38"/>
    </row>
    <row r="529">
      <c r="A529" s="41"/>
      <c r="C529" s="7"/>
      <c r="D529" s="7"/>
      <c r="E529" s="18"/>
      <c r="F529" s="38"/>
      <c r="G529" s="38"/>
      <c r="H529" s="38"/>
      <c r="I529" s="38"/>
      <c r="J529" s="38"/>
      <c r="K529" s="38"/>
      <c r="L529" s="38"/>
      <c r="M529" s="38"/>
      <c r="N529" s="38"/>
      <c r="O529" s="38"/>
      <c r="P529" s="38"/>
    </row>
    <row r="530">
      <c r="A530" s="41"/>
      <c r="C530" s="7"/>
      <c r="D530" s="7"/>
      <c r="E530" s="18"/>
      <c r="F530" s="38"/>
      <c r="G530" s="38"/>
      <c r="H530" s="38"/>
      <c r="I530" s="38"/>
      <c r="J530" s="38"/>
      <c r="K530" s="38"/>
      <c r="L530" s="38"/>
      <c r="M530" s="38"/>
      <c r="N530" s="38"/>
      <c r="O530" s="38"/>
      <c r="P530" s="38"/>
    </row>
    <row r="531">
      <c r="A531" s="41"/>
      <c r="C531" s="7"/>
      <c r="D531" s="7"/>
      <c r="E531" s="18"/>
      <c r="F531" s="38"/>
      <c r="G531" s="38"/>
      <c r="H531" s="38"/>
      <c r="I531" s="38"/>
      <c r="J531" s="38"/>
      <c r="K531" s="38"/>
      <c r="L531" s="38"/>
      <c r="M531" s="38"/>
      <c r="N531" s="38"/>
      <c r="O531" s="38"/>
      <c r="P531" s="38"/>
    </row>
    <row r="532">
      <c r="A532" s="41"/>
      <c r="C532" s="7"/>
      <c r="D532" s="7"/>
      <c r="E532" s="18"/>
      <c r="F532" s="38"/>
      <c r="G532" s="38"/>
      <c r="H532" s="38"/>
      <c r="I532" s="38"/>
      <c r="J532" s="38"/>
      <c r="K532" s="38"/>
      <c r="L532" s="38"/>
      <c r="M532" s="38"/>
      <c r="N532" s="38"/>
      <c r="O532" s="38"/>
      <c r="P532" s="38"/>
    </row>
    <row r="533">
      <c r="A533" s="41"/>
      <c r="C533" s="7"/>
      <c r="D533" s="7"/>
      <c r="E533" s="18"/>
      <c r="F533" s="38"/>
      <c r="G533" s="38"/>
      <c r="H533" s="38"/>
      <c r="I533" s="38"/>
      <c r="J533" s="38"/>
      <c r="K533" s="38"/>
      <c r="L533" s="38"/>
      <c r="M533" s="38"/>
      <c r="N533" s="38"/>
      <c r="O533" s="38"/>
      <c r="P533" s="38"/>
    </row>
    <row r="534">
      <c r="A534" s="41"/>
      <c r="C534" s="7"/>
      <c r="D534" s="7"/>
      <c r="E534" s="18"/>
      <c r="F534" s="38"/>
      <c r="G534" s="38"/>
      <c r="H534" s="38"/>
      <c r="I534" s="38"/>
      <c r="J534" s="38"/>
      <c r="K534" s="38"/>
      <c r="L534" s="38"/>
      <c r="M534" s="38"/>
      <c r="N534" s="38"/>
      <c r="O534" s="38"/>
      <c r="P534" s="38"/>
    </row>
    <row r="535">
      <c r="A535" s="19"/>
      <c r="B535" s="19"/>
      <c r="C535" s="42"/>
      <c r="D535" s="42"/>
      <c r="E535" s="19"/>
      <c r="F535" s="39"/>
      <c r="G535" s="39"/>
      <c r="H535" s="39"/>
      <c r="I535" s="39"/>
      <c r="J535" s="39"/>
      <c r="K535" s="19"/>
      <c r="L535" s="19"/>
      <c r="M535" s="38"/>
      <c r="N535" s="38"/>
      <c r="O535" s="38"/>
      <c r="P535" s="38"/>
    </row>
    <row r="536">
      <c r="A536" s="41"/>
      <c r="C536" s="7"/>
      <c r="D536" s="7"/>
      <c r="E536" s="18"/>
      <c r="F536" s="38"/>
      <c r="G536" s="38"/>
      <c r="H536" s="38"/>
      <c r="I536" s="38"/>
      <c r="J536" s="38"/>
      <c r="K536" s="38"/>
      <c r="L536" s="38"/>
      <c r="M536" s="38"/>
      <c r="N536" s="38"/>
      <c r="O536" s="38"/>
      <c r="P536" s="38"/>
    </row>
    <row r="537">
      <c r="A537" s="41"/>
      <c r="C537" s="7"/>
      <c r="D537" s="7"/>
      <c r="E537" s="18"/>
      <c r="F537" s="38"/>
      <c r="G537" s="38"/>
      <c r="H537" s="38"/>
      <c r="I537" s="38"/>
      <c r="J537" s="38"/>
      <c r="K537" s="38"/>
      <c r="L537" s="38"/>
      <c r="M537" s="38"/>
      <c r="N537" s="38"/>
      <c r="O537" s="38"/>
      <c r="P537" s="38"/>
    </row>
    <row r="538">
      <c r="A538" s="41"/>
      <c r="C538" s="7"/>
      <c r="D538" s="7"/>
      <c r="E538" s="18"/>
      <c r="F538" s="38"/>
      <c r="G538" s="38"/>
      <c r="H538" s="38"/>
      <c r="I538" s="38"/>
      <c r="J538" s="38"/>
      <c r="K538" s="38"/>
      <c r="L538" s="38"/>
      <c r="M538" s="38"/>
      <c r="N538" s="38"/>
      <c r="O538" s="38"/>
      <c r="P538" s="38"/>
    </row>
    <row r="539">
      <c r="A539" s="41"/>
      <c r="C539" s="7"/>
      <c r="D539" s="7"/>
      <c r="E539" s="18"/>
      <c r="F539" s="38"/>
      <c r="G539" s="38"/>
      <c r="H539" s="38"/>
      <c r="I539" s="38"/>
      <c r="J539" s="38"/>
      <c r="K539" s="38"/>
      <c r="L539" s="38"/>
      <c r="M539" s="38"/>
      <c r="N539" s="38"/>
      <c r="O539" s="38"/>
      <c r="P539" s="38"/>
    </row>
    <row r="540">
      <c r="A540" s="41"/>
      <c r="C540" s="7"/>
      <c r="D540" s="7"/>
      <c r="E540" s="18"/>
      <c r="F540" s="38"/>
      <c r="G540" s="38"/>
      <c r="H540" s="38"/>
      <c r="I540" s="38"/>
      <c r="J540" s="38"/>
      <c r="K540" s="38"/>
      <c r="L540" s="38"/>
      <c r="M540" s="38"/>
      <c r="N540" s="38"/>
      <c r="O540" s="38"/>
      <c r="P540" s="38"/>
    </row>
    <row r="541">
      <c r="A541" s="41"/>
      <c r="C541" s="7"/>
      <c r="D541" s="7"/>
      <c r="E541" s="18"/>
      <c r="F541" s="38"/>
      <c r="G541" s="38"/>
      <c r="H541" s="38"/>
      <c r="I541" s="38"/>
      <c r="J541" s="38"/>
      <c r="K541" s="38"/>
      <c r="L541" s="38"/>
      <c r="M541" s="38"/>
      <c r="N541" s="38"/>
      <c r="O541" s="38"/>
      <c r="P541" s="38"/>
    </row>
    <row r="542">
      <c r="A542" s="41"/>
      <c r="C542" s="7"/>
      <c r="D542" s="7"/>
      <c r="E542" s="18"/>
      <c r="F542" s="38"/>
      <c r="G542" s="38"/>
      <c r="H542" s="38"/>
      <c r="I542" s="38"/>
      <c r="J542" s="38"/>
      <c r="K542" s="38"/>
      <c r="L542" s="38"/>
      <c r="M542" s="38"/>
      <c r="N542" s="38"/>
      <c r="O542" s="38"/>
      <c r="P542" s="38"/>
    </row>
    <row r="543">
      <c r="A543" s="41"/>
      <c r="C543" s="7"/>
      <c r="D543" s="7"/>
      <c r="E543" s="18"/>
      <c r="F543" s="38"/>
      <c r="G543" s="38"/>
      <c r="H543" s="38"/>
      <c r="I543" s="38"/>
      <c r="J543" s="38"/>
      <c r="K543" s="38"/>
      <c r="L543" s="38"/>
      <c r="M543" s="38"/>
      <c r="N543" s="38"/>
      <c r="O543" s="38"/>
      <c r="P543" s="38"/>
    </row>
    <row r="544">
      <c r="A544" s="41"/>
      <c r="C544" s="7"/>
      <c r="D544" s="7"/>
      <c r="E544" s="18"/>
      <c r="F544" s="38"/>
      <c r="G544" s="38"/>
      <c r="H544" s="38"/>
      <c r="I544" s="38"/>
      <c r="J544" s="38"/>
      <c r="K544" s="38"/>
      <c r="L544" s="38"/>
      <c r="M544" s="38"/>
      <c r="N544" s="38"/>
      <c r="O544" s="38"/>
      <c r="P544" s="38"/>
    </row>
    <row r="545">
      <c r="A545" s="41"/>
      <c r="C545" s="7"/>
      <c r="D545" s="7"/>
      <c r="E545" s="18"/>
      <c r="F545" s="38"/>
      <c r="G545" s="38"/>
      <c r="H545" s="38"/>
      <c r="I545" s="38"/>
      <c r="J545" s="38"/>
      <c r="K545" s="38"/>
      <c r="L545" s="38"/>
      <c r="M545" s="38"/>
      <c r="N545" s="38"/>
      <c r="O545" s="38"/>
      <c r="P545" s="38"/>
    </row>
    <row r="546">
      <c r="A546" s="41"/>
      <c r="C546" s="7"/>
      <c r="D546" s="7"/>
      <c r="E546" s="18"/>
      <c r="F546" s="38"/>
      <c r="G546" s="38"/>
      <c r="H546" s="38"/>
      <c r="I546" s="38"/>
      <c r="J546" s="38"/>
      <c r="K546" s="38"/>
      <c r="L546" s="38"/>
      <c r="M546" s="38"/>
      <c r="N546" s="38"/>
      <c r="O546" s="38"/>
      <c r="P546" s="38"/>
    </row>
    <row r="547">
      <c r="A547" s="41"/>
      <c r="C547" s="7"/>
      <c r="D547" s="7"/>
      <c r="E547" s="18"/>
      <c r="F547" s="38"/>
      <c r="G547" s="38"/>
      <c r="H547" s="38"/>
      <c r="I547" s="38"/>
      <c r="J547" s="38"/>
      <c r="K547" s="38"/>
      <c r="L547" s="38"/>
      <c r="M547" s="38"/>
      <c r="N547" s="38"/>
      <c r="O547" s="38"/>
      <c r="P547" s="38"/>
    </row>
    <row r="548">
      <c r="A548" s="41"/>
      <c r="C548" s="7"/>
      <c r="D548" s="7"/>
      <c r="E548" s="18"/>
      <c r="F548" s="38"/>
      <c r="G548" s="38"/>
      <c r="H548" s="38"/>
      <c r="I548" s="38"/>
      <c r="J548" s="38"/>
      <c r="K548" s="38"/>
      <c r="L548" s="38"/>
      <c r="M548" s="38"/>
      <c r="N548" s="38"/>
      <c r="O548" s="38"/>
      <c r="P548" s="38"/>
    </row>
    <row r="549">
      <c r="A549" s="41"/>
      <c r="C549" s="7"/>
      <c r="D549" s="7"/>
      <c r="E549" s="18"/>
      <c r="F549" s="38"/>
      <c r="G549" s="38"/>
      <c r="H549" s="38"/>
      <c r="I549" s="38"/>
      <c r="J549" s="38"/>
      <c r="K549" s="38"/>
      <c r="L549" s="38"/>
      <c r="M549" s="38"/>
      <c r="N549" s="38"/>
      <c r="O549" s="38"/>
      <c r="P549" s="38"/>
    </row>
    <row r="550">
      <c r="A550" s="41"/>
      <c r="C550" s="7"/>
      <c r="D550" s="7"/>
      <c r="E550" s="18"/>
      <c r="F550" s="38"/>
      <c r="G550" s="38"/>
      <c r="H550" s="38"/>
      <c r="I550" s="38"/>
      <c r="J550" s="38"/>
      <c r="K550" s="38"/>
      <c r="L550" s="38"/>
      <c r="M550" s="38"/>
      <c r="N550" s="38"/>
      <c r="O550" s="38"/>
      <c r="P550" s="38"/>
    </row>
    <row r="551">
      <c r="A551" s="41"/>
      <c r="C551" s="7"/>
      <c r="D551" s="7"/>
      <c r="E551" s="18"/>
      <c r="F551" s="38"/>
      <c r="G551" s="38"/>
      <c r="H551" s="38"/>
      <c r="I551" s="38"/>
      <c r="J551" s="38"/>
      <c r="K551" s="38"/>
      <c r="L551" s="38"/>
      <c r="M551" s="38"/>
      <c r="N551" s="38"/>
      <c r="O551" s="38"/>
      <c r="P551" s="38"/>
    </row>
    <row r="552">
      <c r="A552" s="41"/>
      <c r="C552" s="7"/>
      <c r="D552" s="7"/>
      <c r="E552" s="18"/>
      <c r="F552" s="38"/>
      <c r="G552" s="38"/>
      <c r="H552" s="38"/>
      <c r="I552" s="38"/>
      <c r="J552" s="38"/>
      <c r="K552" s="38"/>
      <c r="L552" s="38"/>
      <c r="M552" s="38"/>
      <c r="N552" s="38"/>
      <c r="O552" s="38"/>
      <c r="P552" s="38"/>
    </row>
    <row r="553">
      <c r="A553" s="41"/>
      <c r="C553" s="7"/>
      <c r="D553" s="7"/>
      <c r="E553" s="18"/>
      <c r="F553" s="38"/>
      <c r="G553" s="38"/>
      <c r="H553" s="38"/>
      <c r="I553" s="38"/>
      <c r="J553" s="38"/>
      <c r="K553" s="38"/>
      <c r="L553" s="38"/>
      <c r="M553" s="38"/>
      <c r="N553" s="38"/>
      <c r="O553" s="38"/>
      <c r="P553" s="38"/>
    </row>
    <row r="554">
      <c r="A554" s="41"/>
      <c r="C554" s="7"/>
      <c r="D554" s="7"/>
      <c r="E554" s="18"/>
      <c r="F554" s="38"/>
      <c r="G554" s="38"/>
      <c r="H554" s="38"/>
      <c r="I554" s="38"/>
      <c r="J554" s="38"/>
      <c r="K554" s="38"/>
      <c r="L554" s="38"/>
      <c r="M554" s="38"/>
      <c r="N554" s="38"/>
      <c r="O554" s="38"/>
      <c r="P554" s="38"/>
    </row>
    <row r="555">
      <c r="A555" s="41"/>
      <c r="C555" s="7"/>
      <c r="D555" s="7"/>
      <c r="E555" s="18"/>
      <c r="F555" s="38"/>
      <c r="G555" s="38"/>
      <c r="H555" s="38"/>
      <c r="I555" s="38"/>
      <c r="J555" s="38"/>
      <c r="K555" s="38"/>
      <c r="L555" s="38"/>
      <c r="M555" s="38"/>
      <c r="N555" s="38"/>
      <c r="O555" s="38"/>
      <c r="P555" s="38"/>
    </row>
    <row r="556">
      <c r="A556" s="41"/>
      <c r="C556" s="7"/>
      <c r="D556" s="7"/>
      <c r="E556" s="18"/>
      <c r="F556" s="38"/>
      <c r="G556" s="38"/>
      <c r="H556" s="38"/>
      <c r="I556" s="38"/>
      <c r="J556" s="38"/>
      <c r="K556" s="38"/>
      <c r="L556" s="38"/>
      <c r="M556" s="38"/>
      <c r="N556" s="38"/>
      <c r="O556" s="38"/>
      <c r="P556" s="38"/>
    </row>
    <row r="557">
      <c r="A557" s="41"/>
      <c r="C557" s="7"/>
      <c r="D557" s="7"/>
      <c r="E557" s="18"/>
      <c r="F557" s="38"/>
      <c r="G557" s="38"/>
      <c r="H557" s="38"/>
      <c r="I557" s="38"/>
      <c r="J557" s="38"/>
      <c r="K557" s="38"/>
      <c r="L557" s="38"/>
      <c r="M557" s="38"/>
      <c r="N557" s="38"/>
      <c r="O557" s="38"/>
      <c r="P557" s="38"/>
    </row>
    <row r="558">
      <c r="A558" s="41"/>
      <c r="C558" s="7"/>
      <c r="D558" s="7"/>
      <c r="E558" s="18"/>
      <c r="F558" s="38"/>
      <c r="G558" s="38"/>
      <c r="H558" s="38"/>
      <c r="I558" s="38"/>
      <c r="J558" s="38"/>
      <c r="K558" s="38"/>
      <c r="L558" s="38"/>
      <c r="M558" s="38"/>
      <c r="N558" s="38"/>
      <c r="O558" s="38"/>
      <c r="P558" s="38"/>
    </row>
    <row r="559">
      <c r="A559" s="41"/>
      <c r="C559" s="7"/>
      <c r="D559" s="7"/>
      <c r="E559" s="18"/>
      <c r="F559" s="38"/>
      <c r="G559" s="38"/>
      <c r="H559" s="38"/>
      <c r="I559" s="38"/>
      <c r="J559" s="38"/>
      <c r="K559" s="38"/>
      <c r="L559" s="38"/>
      <c r="M559" s="38"/>
      <c r="N559" s="38"/>
      <c r="O559" s="38"/>
      <c r="P559" s="38"/>
    </row>
    <row r="560">
      <c r="A560" s="41"/>
      <c r="C560" s="7"/>
      <c r="D560" s="7"/>
      <c r="E560" s="18"/>
      <c r="F560" s="38"/>
      <c r="G560" s="38"/>
      <c r="H560" s="38"/>
      <c r="I560" s="38"/>
      <c r="J560" s="38"/>
      <c r="K560" s="38"/>
      <c r="L560" s="38"/>
      <c r="M560" s="38"/>
      <c r="N560" s="38"/>
      <c r="O560" s="38"/>
      <c r="P560" s="38"/>
    </row>
    <row r="561">
      <c r="A561" s="41"/>
      <c r="C561" s="7"/>
      <c r="D561" s="7"/>
      <c r="E561" s="18"/>
      <c r="F561" s="38"/>
      <c r="G561" s="38"/>
      <c r="H561" s="38"/>
      <c r="I561" s="38"/>
      <c r="J561" s="38"/>
      <c r="K561" s="38"/>
      <c r="L561" s="38"/>
      <c r="M561" s="38"/>
      <c r="N561" s="38"/>
      <c r="O561" s="38"/>
      <c r="P561" s="38"/>
    </row>
    <row r="562">
      <c r="A562" s="41"/>
      <c r="C562" s="7"/>
      <c r="D562" s="7"/>
      <c r="E562" s="18"/>
      <c r="F562" s="38"/>
      <c r="G562" s="38"/>
      <c r="H562" s="38"/>
      <c r="I562" s="38"/>
      <c r="J562" s="38"/>
      <c r="K562" s="38"/>
      <c r="L562" s="38"/>
      <c r="M562" s="38"/>
      <c r="N562" s="38"/>
      <c r="O562" s="38"/>
      <c r="P562" s="38"/>
    </row>
    <row r="563">
      <c r="A563" s="41"/>
      <c r="C563" s="7"/>
      <c r="D563" s="7"/>
      <c r="E563" s="18"/>
      <c r="F563" s="38"/>
      <c r="G563" s="38"/>
      <c r="H563" s="38"/>
      <c r="I563" s="38"/>
      <c r="J563" s="38"/>
      <c r="K563" s="38"/>
      <c r="L563" s="38"/>
      <c r="M563" s="38"/>
      <c r="N563" s="38"/>
      <c r="O563" s="38"/>
      <c r="P563" s="38"/>
    </row>
    <row r="564">
      <c r="A564" s="41"/>
      <c r="C564" s="7"/>
      <c r="D564" s="7"/>
      <c r="E564" s="18"/>
      <c r="F564" s="38"/>
      <c r="G564" s="38"/>
      <c r="H564" s="38"/>
      <c r="I564" s="38"/>
      <c r="J564" s="38"/>
      <c r="K564" s="38"/>
      <c r="L564" s="38"/>
      <c r="M564" s="38"/>
      <c r="N564" s="38"/>
      <c r="O564" s="38"/>
      <c r="P564" s="38"/>
    </row>
    <row r="565">
      <c r="A565" s="41"/>
      <c r="C565" s="7"/>
      <c r="D565" s="7"/>
      <c r="E565" s="18"/>
      <c r="F565" s="38"/>
      <c r="G565" s="38"/>
      <c r="H565" s="38"/>
      <c r="I565" s="38"/>
      <c r="J565" s="38"/>
      <c r="K565" s="38"/>
      <c r="L565" s="38"/>
      <c r="M565" s="38"/>
      <c r="N565" s="38"/>
      <c r="O565" s="38"/>
      <c r="P565" s="38"/>
    </row>
    <row r="566">
      <c r="A566" s="41"/>
      <c r="C566" s="7"/>
      <c r="D566" s="7"/>
      <c r="E566" s="18"/>
      <c r="F566" s="38"/>
      <c r="G566" s="38"/>
      <c r="H566" s="38"/>
      <c r="I566" s="38"/>
      <c r="J566" s="38"/>
      <c r="K566" s="38"/>
      <c r="L566" s="38"/>
      <c r="M566" s="38"/>
      <c r="N566" s="38"/>
      <c r="O566" s="38"/>
      <c r="P566" s="38"/>
    </row>
    <row r="567">
      <c r="A567" s="41"/>
      <c r="C567" s="7"/>
      <c r="D567" s="7"/>
      <c r="E567" s="18"/>
      <c r="F567" s="38"/>
      <c r="G567" s="38"/>
      <c r="H567" s="38"/>
      <c r="I567" s="38"/>
      <c r="J567" s="38"/>
      <c r="K567" s="38"/>
      <c r="L567" s="38"/>
      <c r="M567" s="38"/>
      <c r="N567" s="38"/>
      <c r="O567" s="38"/>
      <c r="P567" s="38"/>
    </row>
    <row r="568">
      <c r="A568" s="41"/>
      <c r="C568" s="7"/>
      <c r="D568" s="7"/>
      <c r="E568" s="18"/>
      <c r="F568" s="38"/>
      <c r="G568" s="38"/>
      <c r="H568" s="38"/>
      <c r="I568" s="38"/>
      <c r="J568" s="38"/>
      <c r="K568" s="38"/>
      <c r="L568" s="38"/>
      <c r="M568" s="38"/>
      <c r="N568" s="38"/>
      <c r="O568" s="38"/>
      <c r="P568" s="38"/>
    </row>
    <row r="569">
      <c r="A569" s="41"/>
      <c r="C569" s="7"/>
      <c r="D569" s="7"/>
      <c r="E569" s="18"/>
      <c r="F569" s="38"/>
      <c r="G569" s="38"/>
      <c r="H569" s="38"/>
      <c r="I569" s="38"/>
      <c r="J569" s="38"/>
      <c r="K569" s="38"/>
      <c r="L569" s="38"/>
      <c r="M569" s="38"/>
      <c r="N569" s="38"/>
      <c r="O569" s="38"/>
      <c r="P569" s="38"/>
    </row>
    <row r="570">
      <c r="A570" s="41"/>
      <c r="C570" s="7"/>
      <c r="D570" s="7"/>
      <c r="E570" s="18"/>
      <c r="F570" s="38"/>
      <c r="G570" s="38"/>
      <c r="H570" s="38"/>
      <c r="I570" s="38"/>
      <c r="J570" s="38"/>
      <c r="K570" s="38"/>
      <c r="L570" s="38"/>
      <c r="M570" s="38"/>
      <c r="N570" s="38"/>
      <c r="O570" s="38"/>
      <c r="P570" s="38"/>
    </row>
    <row r="571">
      <c r="A571" s="41"/>
      <c r="C571" s="7"/>
      <c r="D571" s="7"/>
      <c r="E571" s="18"/>
      <c r="F571" s="38"/>
      <c r="G571" s="38"/>
      <c r="H571" s="38"/>
      <c r="I571" s="38"/>
      <c r="J571" s="38"/>
      <c r="K571" s="38"/>
      <c r="L571" s="38"/>
      <c r="M571" s="38"/>
      <c r="N571" s="38"/>
      <c r="O571" s="38"/>
      <c r="P571" s="38"/>
    </row>
    <row r="572">
      <c r="A572" s="41"/>
      <c r="C572" s="7"/>
      <c r="D572" s="7"/>
      <c r="E572" s="18"/>
      <c r="F572" s="38"/>
      <c r="G572" s="38"/>
      <c r="H572" s="38"/>
      <c r="I572" s="38"/>
      <c r="J572" s="38"/>
      <c r="K572" s="38"/>
      <c r="L572" s="38"/>
      <c r="M572" s="38"/>
      <c r="N572" s="38"/>
      <c r="O572" s="38"/>
      <c r="P572" s="38"/>
    </row>
    <row r="573">
      <c r="A573" s="41"/>
      <c r="C573" s="7"/>
      <c r="D573" s="7"/>
      <c r="E573" s="18"/>
      <c r="F573" s="38"/>
      <c r="G573" s="38"/>
      <c r="H573" s="38"/>
      <c r="I573" s="38"/>
      <c r="J573" s="38"/>
      <c r="K573" s="38"/>
      <c r="L573" s="38"/>
      <c r="M573" s="38"/>
      <c r="N573" s="38"/>
      <c r="O573" s="38"/>
      <c r="P573" s="38"/>
    </row>
    <row r="574">
      <c r="A574" s="41"/>
      <c r="C574" s="7"/>
      <c r="D574" s="7"/>
      <c r="E574" s="18"/>
      <c r="F574" s="38"/>
      <c r="G574" s="38"/>
      <c r="H574" s="38"/>
      <c r="I574" s="38"/>
      <c r="J574" s="38"/>
      <c r="K574" s="38"/>
      <c r="L574" s="38"/>
      <c r="M574" s="38"/>
      <c r="N574" s="38"/>
      <c r="O574" s="38"/>
      <c r="P574" s="38"/>
    </row>
    <row r="575">
      <c r="A575" s="41"/>
      <c r="C575" s="7"/>
      <c r="D575" s="7"/>
      <c r="E575" s="18"/>
      <c r="F575" s="38"/>
      <c r="G575" s="38"/>
      <c r="H575" s="38"/>
      <c r="I575" s="38"/>
      <c r="J575" s="38"/>
      <c r="K575" s="38"/>
      <c r="L575" s="38"/>
      <c r="M575" s="38"/>
      <c r="N575" s="38"/>
      <c r="O575" s="38"/>
      <c r="P575" s="38"/>
    </row>
    <row r="576">
      <c r="A576" s="19"/>
      <c r="B576" s="19"/>
      <c r="C576" s="42"/>
      <c r="D576" s="42"/>
      <c r="E576" s="19"/>
      <c r="F576" s="39"/>
      <c r="G576" s="39"/>
      <c r="H576" s="39"/>
      <c r="I576" s="39"/>
      <c r="J576" s="39"/>
      <c r="K576" s="19"/>
      <c r="L576" s="19"/>
      <c r="M576" s="38"/>
      <c r="N576" s="38"/>
      <c r="O576" s="38"/>
      <c r="P576" s="38"/>
    </row>
    <row r="577">
      <c r="A577" s="41"/>
      <c r="C577" s="7"/>
      <c r="D577" s="7"/>
      <c r="E577" s="18"/>
      <c r="F577" s="38"/>
      <c r="G577" s="38"/>
      <c r="H577" s="38"/>
      <c r="I577" s="38"/>
      <c r="J577" s="38"/>
      <c r="K577" s="38"/>
      <c r="L577" s="38"/>
      <c r="M577" s="38"/>
      <c r="N577" s="38"/>
      <c r="O577" s="38"/>
      <c r="P577" s="38"/>
    </row>
    <row r="578">
      <c r="A578" s="41"/>
      <c r="C578" s="7"/>
      <c r="D578" s="7"/>
      <c r="E578" s="18"/>
      <c r="F578" s="38"/>
      <c r="G578" s="38"/>
      <c r="H578" s="38"/>
      <c r="I578" s="38"/>
      <c r="J578" s="38"/>
      <c r="K578" s="38"/>
      <c r="L578" s="38"/>
      <c r="M578" s="38"/>
      <c r="N578" s="38"/>
      <c r="O578" s="38"/>
      <c r="P578" s="38"/>
    </row>
    <row r="579">
      <c r="A579" s="41"/>
      <c r="C579" s="7"/>
      <c r="D579" s="7"/>
      <c r="E579" s="18"/>
      <c r="F579" s="38"/>
      <c r="G579" s="38"/>
      <c r="H579" s="38"/>
      <c r="I579" s="38"/>
      <c r="J579" s="38"/>
      <c r="K579" s="38"/>
      <c r="L579" s="38"/>
      <c r="M579" s="38"/>
      <c r="N579" s="38"/>
      <c r="O579" s="38"/>
      <c r="P579" s="38"/>
    </row>
    <row r="580">
      <c r="A580" s="41"/>
      <c r="C580" s="7"/>
      <c r="D580" s="7"/>
      <c r="E580" s="18"/>
      <c r="F580" s="38"/>
      <c r="G580" s="38"/>
      <c r="H580" s="38"/>
      <c r="I580" s="38"/>
      <c r="J580" s="38"/>
      <c r="K580" s="38"/>
      <c r="L580" s="38"/>
      <c r="M580" s="38"/>
      <c r="N580" s="38"/>
      <c r="O580" s="38"/>
      <c r="P580" s="38"/>
    </row>
    <row r="581">
      <c r="A581" s="41"/>
      <c r="C581" s="7"/>
      <c r="D581" s="7"/>
      <c r="E581" s="18"/>
      <c r="F581" s="38"/>
      <c r="G581" s="38"/>
      <c r="H581" s="38"/>
      <c r="I581" s="38"/>
      <c r="J581" s="38"/>
      <c r="K581" s="38"/>
      <c r="L581" s="38"/>
      <c r="M581" s="38"/>
      <c r="N581" s="38"/>
      <c r="O581" s="38"/>
      <c r="P581" s="38"/>
    </row>
    <row r="582">
      <c r="A582" s="41"/>
      <c r="C582" s="7"/>
      <c r="D582" s="7"/>
      <c r="E582" s="18"/>
      <c r="F582" s="38"/>
      <c r="G582" s="38"/>
      <c r="H582" s="38"/>
      <c r="I582" s="38"/>
      <c r="J582" s="38"/>
      <c r="K582" s="38"/>
      <c r="L582" s="38"/>
      <c r="M582" s="38"/>
      <c r="N582" s="38"/>
      <c r="O582" s="38"/>
      <c r="P582" s="38"/>
    </row>
    <row r="583">
      <c r="A583" s="41"/>
      <c r="C583" s="7"/>
      <c r="D583" s="7"/>
      <c r="E583" s="18"/>
      <c r="F583" s="38"/>
      <c r="G583" s="38"/>
      <c r="H583" s="38"/>
      <c r="I583" s="38"/>
      <c r="J583" s="38"/>
      <c r="K583" s="38"/>
      <c r="L583" s="38"/>
      <c r="M583" s="38"/>
      <c r="N583" s="38"/>
      <c r="O583" s="38"/>
      <c r="P583" s="38"/>
    </row>
    <row r="584">
      <c r="A584" s="41"/>
      <c r="C584" s="7"/>
      <c r="D584" s="7"/>
      <c r="E584" s="18"/>
      <c r="F584" s="38"/>
      <c r="G584" s="38"/>
      <c r="H584" s="38"/>
      <c r="I584" s="38"/>
      <c r="J584" s="38"/>
      <c r="K584" s="38"/>
      <c r="L584" s="38"/>
      <c r="M584" s="38"/>
      <c r="N584" s="38"/>
      <c r="O584" s="38"/>
      <c r="P584" s="38"/>
    </row>
    <row r="585">
      <c r="A585" s="41"/>
      <c r="C585" s="7"/>
      <c r="D585" s="7"/>
      <c r="E585" s="18"/>
      <c r="F585" s="38"/>
      <c r="G585" s="38"/>
      <c r="H585" s="38"/>
      <c r="I585" s="38"/>
      <c r="J585" s="38"/>
      <c r="K585" s="38"/>
      <c r="L585" s="38"/>
      <c r="M585" s="38"/>
      <c r="N585" s="38"/>
      <c r="O585" s="38"/>
      <c r="P585" s="38"/>
    </row>
    <row r="586">
      <c r="A586" s="41"/>
      <c r="C586" s="7"/>
      <c r="D586" s="7"/>
      <c r="E586" s="18"/>
      <c r="F586" s="38"/>
      <c r="G586" s="38"/>
      <c r="H586" s="38"/>
      <c r="I586" s="38"/>
      <c r="J586" s="38"/>
      <c r="K586" s="38"/>
      <c r="L586" s="38"/>
      <c r="M586" s="38"/>
      <c r="N586" s="38"/>
      <c r="O586" s="38"/>
      <c r="P586" s="38"/>
    </row>
    <row r="587">
      <c r="A587" s="41"/>
      <c r="C587" s="7"/>
      <c r="D587" s="7"/>
      <c r="E587" s="18"/>
      <c r="F587" s="38"/>
      <c r="G587" s="38"/>
      <c r="H587" s="38"/>
      <c r="I587" s="38"/>
      <c r="J587" s="38"/>
      <c r="K587" s="38"/>
      <c r="L587" s="38"/>
      <c r="M587" s="38"/>
      <c r="N587" s="38"/>
      <c r="O587" s="38"/>
      <c r="P587" s="38"/>
    </row>
    <row r="588">
      <c r="A588" s="41"/>
      <c r="C588" s="7"/>
      <c r="D588" s="7"/>
      <c r="E588" s="18"/>
      <c r="F588" s="38"/>
      <c r="G588" s="38"/>
      <c r="H588" s="38"/>
      <c r="I588" s="38"/>
      <c r="J588" s="38"/>
      <c r="K588" s="38"/>
      <c r="L588" s="38"/>
      <c r="M588" s="38"/>
      <c r="N588" s="38"/>
      <c r="O588" s="38"/>
      <c r="P588" s="38"/>
    </row>
    <row r="589">
      <c r="A589" s="41"/>
      <c r="C589" s="7"/>
      <c r="D589" s="7"/>
      <c r="E589" s="18"/>
      <c r="F589" s="38"/>
      <c r="G589" s="38"/>
      <c r="H589" s="38"/>
      <c r="I589" s="38"/>
      <c r="J589" s="38"/>
      <c r="K589" s="38"/>
      <c r="L589" s="38"/>
      <c r="M589" s="38"/>
      <c r="N589" s="38"/>
      <c r="O589" s="38"/>
      <c r="P589" s="38"/>
    </row>
    <row r="590">
      <c r="A590" s="41"/>
      <c r="C590" s="7"/>
      <c r="D590" s="7"/>
      <c r="E590" s="18"/>
      <c r="F590" s="38"/>
      <c r="G590" s="38"/>
      <c r="H590" s="38"/>
      <c r="I590" s="38"/>
      <c r="J590" s="38"/>
      <c r="K590" s="38"/>
      <c r="L590" s="38"/>
      <c r="M590" s="38"/>
      <c r="N590" s="38"/>
      <c r="O590" s="38"/>
      <c r="P590" s="38"/>
    </row>
    <row r="591">
      <c r="A591" s="41"/>
      <c r="C591" s="7"/>
      <c r="D591" s="7"/>
      <c r="E591" s="18"/>
      <c r="F591" s="38"/>
      <c r="G591" s="38"/>
      <c r="H591" s="38"/>
      <c r="I591" s="38"/>
      <c r="J591" s="38"/>
      <c r="K591" s="38"/>
      <c r="L591" s="38"/>
      <c r="M591" s="38"/>
      <c r="N591" s="38"/>
      <c r="O591" s="38"/>
      <c r="P591" s="38"/>
    </row>
    <row r="592">
      <c r="A592" s="41"/>
      <c r="C592" s="7"/>
      <c r="D592" s="7"/>
      <c r="E592" s="18"/>
      <c r="F592" s="38"/>
      <c r="G592" s="38"/>
      <c r="H592" s="38"/>
      <c r="I592" s="38"/>
      <c r="J592" s="38"/>
      <c r="K592" s="38"/>
      <c r="L592" s="38"/>
      <c r="M592" s="38"/>
      <c r="N592" s="38"/>
      <c r="O592" s="38"/>
      <c r="P592" s="38"/>
    </row>
    <row r="593">
      <c r="A593" s="41"/>
      <c r="C593" s="7"/>
      <c r="D593" s="7"/>
      <c r="E593" s="18"/>
      <c r="F593" s="38"/>
      <c r="G593" s="38"/>
      <c r="H593" s="38"/>
      <c r="I593" s="38"/>
      <c r="J593" s="38"/>
      <c r="K593" s="38"/>
      <c r="L593" s="38"/>
      <c r="M593" s="38"/>
      <c r="N593" s="38"/>
      <c r="O593" s="38"/>
      <c r="P593" s="38"/>
    </row>
    <row r="594">
      <c r="A594" s="41"/>
      <c r="C594" s="7"/>
      <c r="D594" s="7"/>
      <c r="E594" s="18"/>
      <c r="F594" s="38"/>
      <c r="G594" s="38"/>
      <c r="H594" s="38"/>
      <c r="I594" s="38"/>
      <c r="J594" s="38"/>
      <c r="K594" s="38"/>
      <c r="L594" s="38"/>
      <c r="M594" s="38"/>
      <c r="N594" s="38"/>
      <c r="O594" s="38"/>
      <c r="P594" s="38"/>
    </row>
    <row r="595">
      <c r="A595" s="41"/>
      <c r="C595" s="7"/>
      <c r="D595" s="7"/>
      <c r="E595" s="18"/>
      <c r="F595" s="38"/>
      <c r="G595" s="38"/>
      <c r="H595" s="38"/>
      <c r="I595" s="38"/>
      <c r="J595" s="38"/>
      <c r="K595" s="38"/>
      <c r="L595" s="38"/>
      <c r="M595" s="38"/>
      <c r="N595" s="38"/>
      <c r="O595" s="38"/>
      <c r="P595" s="38"/>
    </row>
    <row r="596">
      <c r="A596" s="41"/>
      <c r="C596" s="7"/>
      <c r="D596" s="7"/>
      <c r="E596" s="18"/>
      <c r="F596" s="38"/>
      <c r="G596" s="38"/>
      <c r="H596" s="38"/>
      <c r="I596" s="38"/>
      <c r="J596" s="38"/>
      <c r="K596" s="38"/>
      <c r="L596" s="38"/>
      <c r="M596" s="38"/>
      <c r="N596" s="38"/>
      <c r="O596" s="38"/>
      <c r="P596" s="38"/>
    </row>
    <row r="597">
      <c r="A597" s="41"/>
      <c r="C597" s="7"/>
      <c r="D597" s="7"/>
      <c r="E597" s="18"/>
      <c r="F597" s="38"/>
      <c r="G597" s="38"/>
      <c r="H597" s="38"/>
      <c r="I597" s="38"/>
      <c r="J597" s="38"/>
      <c r="K597" s="38"/>
      <c r="L597" s="38"/>
      <c r="M597" s="38"/>
      <c r="N597" s="38"/>
      <c r="O597" s="38"/>
      <c r="P597" s="38"/>
    </row>
    <row r="598">
      <c r="A598" s="41"/>
      <c r="C598" s="7"/>
      <c r="D598" s="7"/>
      <c r="E598" s="18"/>
      <c r="F598" s="38"/>
      <c r="G598" s="38"/>
      <c r="H598" s="38"/>
      <c r="I598" s="38"/>
      <c r="J598" s="38"/>
      <c r="K598" s="38"/>
      <c r="L598" s="38"/>
      <c r="M598" s="38"/>
      <c r="N598" s="38"/>
      <c r="O598" s="38"/>
      <c r="P598" s="38"/>
    </row>
    <row r="599">
      <c r="A599" s="41"/>
      <c r="C599" s="7"/>
      <c r="D599" s="7"/>
      <c r="E599" s="18"/>
      <c r="F599" s="38"/>
      <c r="G599" s="38"/>
      <c r="H599" s="38"/>
      <c r="I599" s="38"/>
      <c r="J599" s="38"/>
      <c r="K599" s="38"/>
      <c r="L599" s="38"/>
      <c r="M599" s="38"/>
      <c r="N599" s="38"/>
      <c r="O599" s="38"/>
      <c r="P599" s="38"/>
    </row>
    <row r="600">
      <c r="A600" s="41"/>
      <c r="C600" s="7"/>
      <c r="D600" s="7"/>
      <c r="E600" s="18"/>
      <c r="F600" s="38"/>
      <c r="G600" s="38"/>
      <c r="H600" s="38"/>
      <c r="I600" s="38"/>
      <c r="J600" s="38"/>
      <c r="K600" s="38"/>
      <c r="L600" s="38"/>
      <c r="M600" s="38"/>
      <c r="N600" s="38"/>
      <c r="O600" s="38"/>
      <c r="P600" s="38"/>
    </row>
    <row r="601">
      <c r="A601" s="41"/>
      <c r="C601" s="7"/>
      <c r="D601" s="7"/>
      <c r="E601" s="18"/>
      <c r="F601" s="38"/>
      <c r="G601" s="38"/>
      <c r="H601" s="38"/>
      <c r="I601" s="38"/>
      <c r="J601" s="38"/>
      <c r="K601" s="38"/>
      <c r="L601" s="38"/>
      <c r="M601" s="38"/>
      <c r="N601" s="38"/>
      <c r="O601" s="38"/>
      <c r="P601" s="38"/>
    </row>
    <row r="602">
      <c r="A602" s="41"/>
      <c r="C602" s="7"/>
      <c r="D602" s="7"/>
      <c r="E602" s="18"/>
      <c r="F602" s="38"/>
      <c r="G602" s="38"/>
      <c r="H602" s="38"/>
      <c r="I602" s="38"/>
      <c r="J602" s="38"/>
      <c r="K602" s="38"/>
      <c r="L602" s="38"/>
      <c r="M602" s="38"/>
      <c r="N602" s="38"/>
      <c r="O602" s="38"/>
      <c r="P602" s="38"/>
    </row>
    <row r="603">
      <c r="A603" s="41"/>
      <c r="C603" s="7"/>
      <c r="D603" s="7"/>
      <c r="E603" s="18"/>
      <c r="F603" s="38"/>
      <c r="G603" s="38"/>
      <c r="H603" s="38"/>
      <c r="I603" s="38"/>
      <c r="J603" s="38"/>
      <c r="K603" s="38"/>
      <c r="L603" s="38"/>
      <c r="M603" s="38"/>
      <c r="N603" s="38"/>
      <c r="O603" s="38"/>
      <c r="P603" s="38"/>
    </row>
    <row r="604">
      <c r="A604" s="41"/>
      <c r="C604" s="7"/>
      <c r="D604" s="7"/>
      <c r="E604" s="18"/>
      <c r="F604" s="38"/>
      <c r="G604" s="38"/>
      <c r="H604" s="38"/>
      <c r="I604" s="38"/>
      <c r="J604" s="38"/>
      <c r="K604" s="38"/>
      <c r="L604" s="38"/>
      <c r="M604" s="38"/>
      <c r="N604" s="38"/>
      <c r="O604" s="38"/>
      <c r="P604" s="38"/>
    </row>
    <row r="605">
      <c r="A605" s="41"/>
      <c r="C605" s="7"/>
      <c r="D605" s="7"/>
      <c r="E605" s="18"/>
      <c r="F605" s="38"/>
      <c r="G605" s="38"/>
      <c r="H605" s="38"/>
      <c r="I605" s="38"/>
      <c r="J605" s="38"/>
      <c r="K605" s="38"/>
      <c r="L605" s="38"/>
      <c r="M605" s="38"/>
      <c r="N605" s="38"/>
      <c r="O605" s="38"/>
      <c r="P605" s="38"/>
    </row>
    <row r="606">
      <c r="A606" s="41"/>
      <c r="C606" s="7"/>
      <c r="D606" s="7"/>
      <c r="E606" s="18"/>
      <c r="F606" s="38"/>
      <c r="G606" s="38"/>
      <c r="H606" s="38"/>
      <c r="I606" s="38"/>
      <c r="J606" s="38"/>
      <c r="K606" s="38"/>
      <c r="L606" s="38"/>
      <c r="M606" s="38"/>
      <c r="N606" s="38"/>
      <c r="O606" s="38"/>
      <c r="P606" s="38"/>
    </row>
    <row r="607">
      <c r="A607" s="41"/>
      <c r="C607" s="7"/>
      <c r="D607" s="7"/>
      <c r="E607" s="18"/>
      <c r="F607" s="38"/>
      <c r="G607" s="38"/>
      <c r="H607" s="38"/>
      <c r="I607" s="38"/>
      <c r="J607" s="38"/>
      <c r="K607" s="38"/>
      <c r="L607" s="38"/>
      <c r="M607" s="38"/>
      <c r="N607" s="38"/>
      <c r="O607" s="38"/>
      <c r="P607" s="38"/>
    </row>
    <row r="608">
      <c r="A608" s="41"/>
      <c r="C608" s="7"/>
      <c r="D608" s="7"/>
      <c r="E608" s="18"/>
      <c r="F608" s="38"/>
      <c r="G608" s="38"/>
      <c r="H608" s="38"/>
      <c r="I608" s="38"/>
      <c r="J608" s="38"/>
      <c r="K608" s="38"/>
      <c r="L608" s="38"/>
      <c r="M608" s="38"/>
      <c r="N608" s="38"/>
      <c r="O608" s="38"/>
      <c r="P608" s="38"/>
    </row>
    <row r="609">
      <c r="A609" s="41"/>
      <c r="C609" s="7"/>
      <c r="D609" s="7"/>
      <c r="E609" s="18"/>
      <c r="F609" s="38"/>
      <c r="G609" s="38"/>
      <c r="H609" s="38"/>
      <c r="I609" s="38"/>
      <c r="J609" s="38"/>
      <c r="K609" s="38"/>
      <c r="L609" s="38"/>
      <c r="M609" s="38"/>
      <c r="N609" s="38"/>
      <c r="O609" s="38"/>
      <c r="P609" s="38"/>
    </row>
    <row r="610">
      <c r="A610" s="41"/>
      <c r="C610" s="7"/>
      <c r="D610" s="7"/>
      <c r="E610" s="18"/>
      <c r="F610" s="38"/>
      <c r="G610" s="38"/>
      <c r="H610" s="38"/>
      <c r="I610" s="38"/>
      <c r="J610" s="38"/>
      <c r="K610" s="38"/>
      <c r="L610" s="38"/>
      <c r="M610" s="38"/>
      <c r="N610" s="38"/>
      <c r="O610" s="38"/>
      <c r="P610" s="38"/>
    </row>
    <row r="611">
      <c r="A611" s="41"/>
      <c r="C611" s="7"/>
      <c r="D611" s="7"/>
      <c r="E611" s="18"/>
      <c r="F611" s="38"/>
      <c r="G611" s="38"/>
      <c r="H611" s="38"/>
      <c r="I611" s="38"/>
      <c r="J611" s="38"/>
      <c r="K611" s="38"/>
      <c r="L611" s="38"/>
      <c r="M611" s="38"/>
      <c r="N611" s="38"/>
      <c r="O611" s="38"/>
      <c r="P611" s="38"/>
    </row>
    <row r="612">
      <c r="A612" s="41"/>
      <c r="C612" s="7"/>
      <c r="D612" s="7"/>
      <c r="E612" s="18"/>
      <c r="F612" s="38"/>
      <c r="G612" s="38"/>
      <c r="H612" s="38"/>
      <c r="I612" s="38"/>
      <c r="J612" s="38"/>
      <c r="K612" s="38"/>
      <c r="L612" s="38"/>
      <c r="M612" s="38"/>
      <c r="N612" s="38"/>
      <c r="O612" s="38"/>
      <c r="P612" s="38"/>
    </row>
    <row r="613">
      <c r="A613" s="41"/>
      <c r="C613" s="7"/>
      <c r="D613" s="7"/>
      <c r="E613" s="18"/>
      <c r="F613" s="38"/>
      <c r="G613" s="38"/>
      <c r="H613" s="38"/>
      <c r="I613" s="38"/>
      <c r="J613" s="38"/>
      <c r="K613" s="38"/>
      <c r="L613" s="38"/>
      <c r="M613" s="38"/>
      <c r="N613" s="38"/>
      <c r="O613" s="38"/>
      <c r="P613" s="38"/>
    </row>
    <row r="614">
      <c r="A614" s="41"/>
      <c r="C614" s="7"/>
      <c r="D614" s="7"/>
      <c r="E614" s="18"/>
      <c r="F614" s="38"/>
      <c r="G614" s="38"/>
      <c r="H614" s="38"/>
      <c r="I614" s="38"/>
      <c r="J614" s="38"/>
      <c r="K614" s="38"/>
      <c r="L614" s="38"/>
      <c r="M614" s="38"/>
      <c r="N614" s="38"/>
      <c r="O614" s="38"/>
      <c r="P614" s="38"/>
    </row>
    <row r="615">
      <c r="A615" s="41"/>
      <c r="C615" s="7"/>
      <c r="D615" s="7"/>
      <c r="E615" s="18"/>
      <c r="F615" s="38"/>
      <c r="G615" s="38"/>
      <c r="H615" s="38"/>
      <c r="I615" s="38"/>
      <c r="J615" s="38"/>
      <c r="K615" s="38"/>
      <c r="L615" s="38"/>
      <c r="M615" s="38"/>
      <c r="N615" s="38"/>
      <c r="O615" s="38"/>
      <c r="P615" s="38"/>
    </row>
    <row r="616">
      <c r="A616" s="41"/>
      <c r="C616" s="7"/>
      <c r="D616" s="7"/>
      <c r="E616" s="18"/>
      <c r="F616" s="38"/>
      <c r="G616" s="38"/>
      <c r="H616" s="38"/>
      <c r="I616" s="38"/>
      <c r="J616" s="38"/>
      <c r="K616" s="38"/>
      <c r="L616" s="38"/>
      <c r="M616" s="38"/>
      <c r="N616" s="38"/>
      <c r="O616" s="38"/>
      <c r="P616" s="38"/>
    </row>
    <row r="617">
      <c r="A617" s="19"/>
      <c r="B617" s="19"/>
      <c r="C617" s="42"/>
      <c r="D617" s="42"/>
      <c r="E617" s="19"/>
      <c r="F617" s="39"/>
      <c r="G617" s="39"/>
      <c r="H617" s="39"/>
      <c r="I617" s="39"/>
      <c r="J617" s="39"/>
      <c r="K617" s="19"/>
      <c r="L617" s="19"/>
      <c r="M617" s="38"/>
      <c r="N617" s="38"/>
      <c r="O617" s="38"/>
      <c r="P617" s="38"/>
    </row>
    <row r="618">
      <c r="A618" s="41"/>
      <c r="C618" s="7"/>
      <c r="D618" s="7"/>
      <c r="E618" s="18"/>
      <c r="F618" s="38"/>
      <c r="G618" s="38"/>
      <c r="H618" s="38"/>
      <c r="I618" s="38"/>
      <c r="J618" s="38"/>
      <c r="K618" s="38"/>
      <c r="L618" s="38"/>
      <c r="M618" s="38"/>
      <c r="N618" s="38"/>
      <c r="O618" s="38"/>
      <c r="P618" s="38"/>
    </row>
    <row r="619">
      <c r="A619" s="41"/>
      <c r="C619" s="7"/>
      <c r="D619" s="7"/>
      <c r="E619" s="18"/>
      <c r="F619" s="38"/>
      <c r="G619" s="38"/>
      <c r="H619" s="38"/>
      <c r="I619" s="38"/>
      <c r="J619" s="38"/>
      <c r="K619" s="38"/>
      <c r="L619" s="38"/>
      <c r="M619" s="38"/>
      <c r="N619" s="38"/>
      <c r="O619" s="38"/>
      <c r="P619" s="38"/>
    </row>
    <row r="620">
      <c r="A620" s="41"/>
      <c r="C620" s="7"/>
      <c r="D620" s="7"/>
      <c r="E620" s="18"/>
      <c r="F620" s="38"/>
      <c r="G620" s="38"/>
      <c r="H620" s="38"/>
      <c r="I620" s="38"/>
      <c r="J620" s="38"/>
      <c r="K620" s="38"/>
      <c r="L620" s="38"/>
      <c r="M620" s="38"/>
      <c r="N620" s="38"/>
      <c r="O620" s="38"/>
      <c r="P620" s="38"/>
    </row>
    <row r="621">
      <c r="A621" s="41"/>
      <c r="C621" s="7"/>
      <c r="D621" s="7"/>
      <c r="E621" s="18"/>
      <c r="F621" s="38"/>
      <c r="G621" s="38"/>
      <c r="H621" s="38"/>
      <c r="I621" s="38"/>
      <c r="J621" s="38"/>
      <c r="K621" s="38"/>
      <c r="L621" s="38"/>
      <c r="M621" s="38"/>
      <c r="N621" s="38"/>
      <c r="O621" s="38"/>
      <c r="P621" s="38"/>
    </row>
    <row r="622">
      <c r="A622" s="41"/>
      <c r="C622" s="7"/>
      <c r="D622" s="7"/>
      <c r="E622" s="18"/>
      <c r="F622" s="38"/>
      <c r="G622" s="38"/>
      <c r="H622" s="38"/>
      <c r="I622" s="38"/>
      <c r="J622" s="38"/>
      <c r="K622" s="38"/>
      <c r="L622" s="38"/>
      <c r="M622" s="38"/>
      <c r="N622" s="38"/>
      <c r="O622" s="38"/>
      <c r="P622" s="38"/>
    </row>
    <row r="623">
      <c r="A623" s="41"/>
      <c r="C623" s="7"/>
      <c r="D623" s="7"/>
      <c r="E623" s="18"/>
      <c r="F623" s="38"/>
      <c r="G623" s="38"/>
      <c r="H623" s="38"/>
      <c r="I623" s="38"/>
      <c r="J623" s="38"/>
      <c r="K623" s="38"/>
      <c r="L623" s="38"/>
      <c r="M623" s="38"/>
      <c r="N623" s="38"/>
      <c r="O623" s="38"/>
      <c r="P623" s="38"/>
    </row>
    <row r="624">
      <c r="A624" s="41"/>
      <c r="C624" s="7"/>
      <c r="D624" s="7"/>
      <c r="E624" s="18"/>
      <c r="F624" s="38"/>
      <c r="G624" s="38"/>
      <c r="H624" s="38"/>
      <c r="I624" s="38"/>
      <c r="J624" s="38"/>
      <c r="K624" s="38"/>
      <c r="L624" s="38"/>
      <c r="M624" s="38"/>
      <c r="N624" s="38"/>
      <c r="O624" s="38"/>
      <c r="P624" s="38"/>
    </row>
    <row r="625">
      <c r="A625" s="41"/>
      <c r="C625" s="7"/>
      <c r="D625" s="7"/>
      <c r="E625" s="18"/>
      <c r="F625" s="38"/>
      <c r="G625" s="38"/>
      <c r="H625" s="38"/>
      <c r="I625" s="38"/>
      <c r="J625" s="38"/>
      <c r="K625" s="38"/>
      <c r="L625" s="38"/>
      <c r="M625" s="38"/>
      <c r="N625" s="38"/>
      <c r="O625" s="38"/>
      <c r="P625" s="38"/>
    </row>
    <row r="626">
      <c r="A626" s="41"/>
      <c r="C626" s="7"/>
      <c r="D626" s="7"/>
      <c r="E626" s="18"/>
      <c r="F626" s="38"/>
      <c r="G626" s="38"/>
      <c r="H626" s="38"/>
      <c r="I626" s="38"/>
      <c r="J626" s="38"/>
      <c r="K626" s="38"/>
      <c r="L626" s="38"/>
      <c r="M626" s="38"/>
      <c r="N626" s="38"/>
      <c r="O626" s="38"/>
      <c r="P626" s="38"/>
    </row>
    <row r="627">
      <c r="A627" s="41"/>
      <c r="C627" s="7"/>
      <c r="D627" s="7"/>
      <c r="E627" s="18"/>
      <c r="F627" s="38"/>
      <c r="G627" s="38"/>
      <c r="H627" s="38"/>
      <c r="I627" s="38"/>
      <c r="J627" s="38"/>
      <c r="K627" s="38"/>
      <c r="L627" s="38"/>
      <c r="M627" s="38"/>
      <c r="N627" s="38"/>
      <c r="O627" s="38"/>
      <c r="P627" s="38"/>
    </row>
    <row r="628">
      <c r="A628" s="41"/>
      <c r="C628" s="7"/>
      <c r="D628" s="7"/>
      <c r="E628" s="18"/>
      <c r="F628" s="38"/>
      <c r="G628" s="38"/>
      <c r="H628" s="38"/>
      <c r="I628" s="38"/>
      <c r="J628" s="38"/>
      <c r="K628" s="38"/>
      <c r="L628" s="38"/>
      <c r="M628" s="38"/>
      <c r="N628" s="38"/>
      <c r="O628" s="38"/>
      <c r="P628" s="38"/>
    </row>
    <row r="629">
      <c r="A629" s="41"/>
      <c r="C629" s="7"/>
      <c r="D629" s="7"/>
      <c r="E629" s="18"/>
      <c r="F629" s="38"/>
      <c r="G629" s="38"/>
      <c r="H629" s="38"/>
      <c r="I629" s="38"/>
      <c r="J629" s="38"/>
      <c r="K629" s="38"/>
      <c r="L629" s="38"/>
      <c r="M629" s="38"/>
      <c r="N629" s="38"/>
      <c r="O629" s="38"/>
      <c r="P629" s="38"/>
    </row>
    <row r="630">
      <c r="A630" s="41"/>
      <c r="C630" s="7"/>
      <c r="D630" s="7"/>
      <c r="E630" s="18"/>
      <c r="F630" s="38"/>
      <c r="G630" s="38"/>
      <c r="H630" s="38"/>
      <c r="I630" s="38"/>
      <c r="J630" s="38"/>
      <c r="K630" s="38"/>
      <c r="L630" s="38"/>
      <c r="M630" s="38"/>
      <c r="N630" s="38"/>
      <c r="O630" s="38"/>
      <c r="P630" s="38"/>
    </row>
    <row r="631">
      <c r="A631" s="41"/>
      <c r="C631" s="7"/>
      <c r="D631" s="7"/>
      <c r="E631" s="18"/>
      <c r="F631" s="38"/>
      <c r="G631" s="38"/>
      <c r="H631" s="38"/>
      <c r="I631" s="38"/>
      <c r="J631" s="38"/>
      <c r="K631" s="38"/>
      <c r="L631" s="38"/>
      <c r="M631" s="38"/>
      <c r="N631" s="38"/>
      <c r="O631" s="38"/>
      <c r="P631" s="38"/>
    </row>
    <row r="632">
      <c r="A632" s="41"/>
      <c r="C632" s="7"/>
      <c r="D632" s="7"/>
      <c r="E632" s="18"/>
      <c r="F632" s="38"/>
      <c r="G632" s="38"/>
      <c r="H632" s="38"/>
      <c r="I632" s="38"/>
      <c r="J632" s="38"/>
      <c r="K632" s="38"/>
      <c r="L632" s="38"/>
      <c r="M632" s="38"/>
      <c r="N632" s="38"/>
      <c r="O632" s="38"/>
      <c r="P632" s="38"/>
    </row>
    <row r="633">
      <c r="A633" s="41"/>
      <c r="C633" s="7"/>
      <c r="D633" s="7"/>
      <c r="E633" s="18"/>
      <c r="F633" s="38"/>
      <c r="G633" s="38"/>
      <c r="H633" s="38"/>
      <c r="I633" s="38"/>
      <c r="J633" s="38"/>
      <c r="K633" s="38"/>
      <c r="L633" s="38"/>
      <c r="M633" s="38"/>
      <c r="N633" s="38"/>
      <c r="O633" s="38"/>
      <c r="P633" s="38"/>
    </row>
    <row r="634">
      <c r="A634" s="41"/>
      <c r="C634" s="7"/>
      <c r="D634" s="7"/>
      <c r="E634" s="18"/>
      <c r="F634" s="38"/>
      <c r="G634" s="38"/>
      <c r="H634" s="38"/>
      <c r="I634" s="38"/>
      <c r="J634" s="38"/>
      <c r="K634" s="38"/>
      <c r="L634" s="38"/>
      <c r="M634" s="38"/>
      <c r="N634" s="38"/>
      <c r="O634" s="38"/>
      <c r="P634" s="38"/>
    </row>
    <row r="635">
      <c r="A635" s="41"/>
      <c r="C635" s="7"/>
      <c r="D635" s="7"/>
      <c r="E635" s="18"/>
      <c r="F635" s="38"/>
      <c r="G635" s="38"/>
      <c r="H635" s="38"/>
      <c r="I635" s="38"/>
      <c r="J635" s="38"/>
      <c r="K635" s="38"/>
      <c r="L635" s="38"/>
      <c r="M635" s="38"/>
      <c r="N635" s="38"/>
      <c r="O635" s="38"/>
      <c r="P635" s="38"/>
    </row>
    <row r="636">
      <c r="A636" s="41"/>
      <c r="C636" s="7"/>
      <c r="D636" s="7"/>
      <c r="E636" s="18"/>
      <c r="F636" s="38"/>
      <c r="G636" s="38"/>
      <c r="H636" s="38"/>
      <c r="I636" s="38"/>
      <c r="J636" s="38"/>
      <c r="K636" s="38"/>
      <c r="L636" s="38"/>
      <c r="M636" s="38"/>
      <c r="N636" s="38"/>
      <c r="O636" s="38"/>
      <c r="P636" s="38"/>
    </row>
    <row r="637">
      <c r="A637" s="41"/>
      <c r="C637" s="7"/>
      <c r="D637" s="7"/>
      <c r="E637" s="18"/>
      <c r="F637" s="38"/>
      <c r="G637" s="38"/>
      <c r="H637" s="38"/>
      <c r="I637" s="38"/>
      <c r="J637" s="38"/>
      <c r="K637" s="38"/>
      <c r="L637" s="38"/>
      <c r="M637" s="38"/>
      <c r="N637" s="38"/>
      <c r="O637" s="38"/>
      <c r="P637" s="38"/>
    </row>
    <row r="638">
      <c r="A638" s="41"/>
      <c r="C638" s="7"/>
      <c r="D638" s="7"/>
      <c r="E638" s="18"/>
      <c r="F638" s="38"/>
      <c r="G638" s="38"/>
      <c r="H638" s="38"/>
      <c r="I638" s="38"/>
      <c r="J638" s="38"/>
      <c r="K638" s="38"/>
      <c r="L638" s="38"/>
      <c r="M638" s="38"/>
      <c r="N638" s="38"/>
      <c r="O638" s="38"/>
      <c r="P638" s="38"/>
    </row>
    <row r="639">
      <c r="A639" s="41"/>
      <c r="C639" s="7"/>
      <c r="D639" s="7"/>
      <c r="E639" s="18"/>
      <c r="F639" s="38"/>
      <c r="G639" s="38"/>
      <c r="H639" s="38"/>
      <c r="I639" s="38"/>
      <c r="J639" s="38"/>
      <c r="K639" s="38"/>
      <c r="L639" s="38"/>
      <c r="M639" s="38"/>
      <c r="N639" s="38"/>
      <c r="O639" s="38"/>
      <c r="P639" s="38"/>
    </row>
    <row r="640">
      <c r="A640" s="41"/>
      <c r="C640" s="7"/>
      <c r="D640" s="7"/>
      <c r="E640" s="18"/>
      <c r="F640" s="38"/>
      <c r="G640" s="38"/>
      <c r="H640" s="38"/>
      <c r="I640" s="38"/>
      <c r="J640" s="38"/>
      <c r="K640" s="38"/>
      <c r="L640" s="38"/>
      <c r="M640" s="38"/>
      <c r="N640" s="38"/>
      <c r="O640" s="38"/>
      <c r="P640" s="38"/>
    </row>
    <row r="641">
      <c r="A641" s="41"/>
      <c r="C641" s="7"/>
      <c r="D641" s="7"/>
      <c r="E641" s="18"/>
      <c r="F641" s="38"/>
      <c r="G641" s="38"/>
      <c r="H641" s="38"/>
      <c r="I641" s="38"/>
      <c r="J641" s="38"/>
      <c r="K641" s="38"/>
      <c r="L641" s="38"/>
      <c r="M641" s="38"/>
      <c r="N641" s="38"/>
      <c r="O641" s="38"/>
      <c r="P641" s="38"/>
    </row>
    <row r="642">
      <c r="A642" s="41"/>
      <c r="C642" s="7"/>
      <c r="D642" s="7"/>
      <c r="E642" s="18"/>
      <c r="F642" s="38"/>
      <c r="G642" s="38"/>
      <c r="H642" s="38"/>
      <c r="I642" s="38"/>
      <c r="J642" s="38"/>
      <c r="K642" s="38"/>
      <c r="L642" s="38"/>
      <c r="M642" s="38"/>
      <c r="N642" s="38"/>
      <c r="O642" s="38"/>
      <c r="P642" s="38"/>
    </row>
    <row r="643">
      <c r="A643" s="41"/>
      <c r="C643" s="7"/>
      <c r="D643" s="7"/>
      <c r="E643" s="18"/>
      <c r="F643" s="38"/>
      <c r="G643" s="38"/>
      <c r="H643" s="38"/>
      <c r="I643" s="38"/>
      <c r="J643" s="38"/>
      <c r="K643" s="38"/>
      <c r="L643" s="38"/>
      <c r="M643" s="38"/>
      <c r="N643" s="38"/>
      <c r="O643" s="38"/>
      <c r="P643" s="38"/>
    </row>
    <row r="644">
      <c r="A644" s="41"/>
      <c r="C644" s="7"/>
      <c r="D644" s="7"/>
      <c r="E644" s="18"/>
      <c r="F644" s="38"/>
      <c r="G644" s="38"/>
      <c r="H644" s="38"/>
      <c r="I644" s="38"/>
      <c r="J644" s="38"/>
      <c r="K644" s="38"/>
      <c r="L644" s="38"/>
      <c r="M644" s="38"/>
      <c r="N644" s="38"/>
      <c r="O644" s="38"/>
      <c r="P644" s="38"/>
    </row>
    <row r="645">
      <c r="A645" s="41"/>
      <c r="C645" s="7"/>
      <c r="D645" s="7"/>
      <c r="E645" s="18"/>
      <c r="F645" s="38"/>
      <c r="G645" s="38"/>
      <c r="H645" s="38"/>
      <c r="I645" s="38"/>
      <c r="J645" s="38"/>
      <c r="K645" s="38"/>
      <c r="L645" s="38"/>
      <c r="M645" s="38"/>
      <c r="N645" s="38"/>
      <c r="O645" s="38"/>
      <c r="P645" s="38"/>
    </row>
    <row r="646">
      <c r="A646" s="41"/>
      <c r="C646" s="7"/>
      <c r="D646" s="7"/>
      <c r="E646" s="18"/>
      <c r="F646" s="38"/>
      <c r="G646" s="38"/>
      <c r="H646" s="38"/>
      <c r="I646" s="38"/>
      <c r="J646" s="38"/>
      <c r="K646" s="38"/>
      <c r="L646" s="38"/>
      <c r="M646" s="38"/>
      <c r="N646" s="38"/>
      <c r="O646" s="38"/>
      <c r="P646" s="38"/>
    </row>
    <row r="647">
      <c r="A647" s="41"/>
      <c r="C647" s="7"/>
      <c r="D647" s="7"/>
      <c r="E647" s="18"/>
      <c r="F647" s="38"/>
      <c r="G647" s="38"/>
      <c r="H647" s="38"/>
      <c r="I647" s="38"/>
      <c r="J647" s="38"/>
      <c r="K647" s="38"/>
      <c r="L647" s="38"/>
      <c r="M647" s="38"/>
      <c r="N647" s="38"/>
      <c r="O647" s="38"/>
      <c r="P647" s="38"/>
    </row>
    <row r="648">
      <c r="A648" s="41"/>
      <c r="C648" s="7"/>
      <c r="D648" s="7"/>
      <c r="E648" s="18"/>
      <c r="F648" s="38"/>
      <c r="G648" s="38"/>
      <c r="H648" s="38"/>
      <c r="I648" s="38"/>
      <c r="J648" s="38"/>
      <c r="K648" s="38"/>
      <c r="L648" s="38"/>
      <c r="M648" s="38"/>
      <c r="N648" s="38"/>
      <c r="O648" s="38"/>
      <c r="P648" s="38"/>
    </row>
    <row r="649">
      <c r="A649" s="41"/>
      <c r="C649" s="7"/>
      <c r="D649" s="7"/>
      <c r="E649" s="18"/>
      <c r="F649" s="38"/>
      <c r="G649" s="38"/>
      <c r="H649" s="38"/>
      <c r="I649" s="38"/>
      <c r="J649" s="38"/>
      <c r="K649" s="38"/>
      <c r="L649" s="38"/>
      <c r="M649" s="38"/>
      <c r="N649" s="38"/>
      <c r="O649" s="38"/>
      <c r="P649" s="38"/>
    </row>
    <row r="650">
      <c r="A650" s="41"/>
      <c r="C650" s="7"/>
      <c r="D650" s="7"/>
      <c r="E650" s="18"/>
      <c r="F650" s="38"/>
      <c r="G650" s="38"/>
      <c r="H650" s="38"/>
      <c r="I650" s="38"/>
      <c r="J650" s="38"/>
      <c r="K650" s="38"/>
      <c r="L650" s="38"/>
      <c r="M650" s="38"/>
      <c r="N650" s="38"/>
      <c r="O650" s="38"/>
      <c r="P650" s="38"/>
    </row>
    <row r="651">
      <c r="A651" s="41"/>
      <c r="C651" s="7"/>
      <c r="D651" s="7"/>
      <c r="E651" s="18"/>
      <c r="F651" s="38"/>
      <c r="G651" s="38"/>
      <c r="H651" s="38"/>
      <c r="I651" s="38"/>
      <c r="J651" s="38"/>
      <c r="K651" s="38"/>
      <c r="L651" s="38"/>
      <c r="M651" s="38"/>
      <c r="N651" s="38"/>
      <c r="O651" s="38"/>
      <c r="P651" s="38"/>
    </row>
    <row r="652">
      <c r="A652" s="41"/>
      <c r="C652" s="7"/>
      <c r="D652" s="7"/>
      <c r="E652" s="18"/>
      <c r="F652" s="38"/>
      <c r="G652" s="38"/>
      <c r="H652" s="38"/>
      <c r="I652" s="38"/>
      <c r="J652" s="38"/>
      <c r="K652" s="38"/>
      <c r="L652" s="38"/>
      <c r="M652" s="38"/>
      <c r="N652" s="38"/>
      <c r="O652" s="38"/>
      <c r="P652" s="38"/>
    </row>
    <row r="653">
      <c r="A653" s="41"/>
      <c r="C653" s="7"/>
      <c r="D653" s="7"/>
      <c r="E653" s="18"/>
      <c r="F653" s="38"/>
      <c r="G653" s="38"/>
      <c r="H653" s="38"/>
      <c r="I653" s="38"/>
      <c r="J653" s="38"/>
      <c r="K653" s="38"/>
      <c r="L653" s="38"/>
      <c r="M653" s="38"/>
      <c r="N653" s="38"/>
      <c r="O653" s="38"/>
      <c r="P653" s="38"/>
    </row>
    <row r="654">
      <c r="A654" s="41"/>
      <c r="C654" s="7"/>
      <c r="D654" s="7"/>
      <c r="E654" s="18"/>
      <c r="F654" s="38"/>
      <c r="G654" s="38"/>
      <c r="H654" s="38"/>
      <c r="I654" s="38"/>
      <c r="J654" s="38"/>
      <c r="K654" s="38"/>
      <c r="L654" s="38"/>
      <c r="M654" s="38"/>
      <c r="N654" s="38"/>
      <c r="O654" s="38"/>
      <c r="P654" s="38"/>
    </row>
    <row r="655">
      <c r="A655" s="41"/>
      <c r="C655" s="7"/>
      <c r="D655" s="7"/>
      <c r="E655" s="18"/>
      <c r="F655" s="38"/>
      <c r="G655" s="38"/>
      <c r="H655" s="38"/>
      <c r="I655" s="38"/>
      <c r="J655" s="38"/>
      <c r="K655" s="38"/>
      <c r="L655" s="38"/>
      <c r="M655" s="38"/>
      <c r="N655" s="38"/>
      <c r="O655" s="38"/>
      <c r="P655" s="38"/>
    </row>
    <row r="656">
      <c r="A656" s="41"/>
      <c r="C656" s="7"/>
      <c r="D656" s="7"/>
      <c r="E656" s="18"/>
      <c r="F656" s="38"/>
      <c r="G656" s="38"/>
      <c r="H656" s="38"/>
      <c r="I656" s="38"/>
      <c r="J656" s="38"/>
      <c r="K656" s="38"/>
      <c r="L656" s="38"/>
      <c r="M656" s="38"/>
      <c r="N656" s="38"/>
      <c r="O656" s="38"/>
      <c r="P656" s="38"/>
    </row>
    <row r="657">
      <c r="A657" s="41"/>
      <c r="C657" s="7"/>
      <c r="D657" s="7"/>
      <c r="E657" s="18"/>
      <c r="F657" s="38"/>
      <c r="G657" s="38"/>
      <c r="H657" s="38"/>
      <c r="I657" s="38"/>
      <c r="J657" s="38"/>
      <c r="K657" s="38"/>
      <c r="L657" s="38"/>
      <c r="M657" s="38"/>
      <c r="N657" s="38"/>
      <c r="O657" s="38"/>
      <c r="P657" s="38"/>
    </row>
    <row r="658">
      <c r="A658" s="19"/>
      <c r="B658" s="19"/>
      <c r="C658" s="42"/>
      <c r="D658" s="42"/>
      <c r="E658" s="19"/>
      <c r="F658" s="39"/>
      <c r="G658" s="39"/>
      <c r="H658" s="39"/>
      <c r="I658" s="39"/>
      <c r="J658" s="39"/>
      <c r="K658" s="19"/>
      <c r="L658" s="19"/>
      <c r="M658" s="38"/>
      <c r="N658" s="38"/>
      <c r="O658" s="38"/>
      <c r="P658" s="38"/>
    </row>
    <row r="659">
      <c r="A659" s="41"/>
      <c r="C659" s="7"/>
      <c r="D659" s="7"/>
      <c r="E659" s="18"/>
      <c r="F659" s="38"/>
      <c r="G659" s="38"/>
      <c r="H659" s="38"/>
      <c r="I659" s="38"/>
      <c r="J659" s="38"/>
      <c r="K659" s="38"/>
      <c r="L659" s="38"/>
      <c r="M659" s="38"/>
      <c r="N659" s="38"/>
      <c r="O659" s="38"/>
      <c r="P659" s="38"/>
    </row>
    <row r="660">
      <c r="A660" s="41"/>
      <c r="C660" s="7"/>
      <c r="D660" s="7"/>
      <c r="E660" s="18"/>
      <c r="F660" s="38"/>
      <c r="G660" s="38"/>
      <c r="H660" s="38"/>
      <c r="I660" s="38"/>
      <c r="J660" s="38"/>
      <c r="K660" s="38"/>
      <c r="L660" s="38"/>
      <c r="M660" s="38"/>
      <c r="N660" s="38"/>
      <c r="O660" s="38"/>
      <c r="P660" s="38"/>
    </row>
    <row r="661">
      <c r="A661" s="41"/>
      <c r="C661" s="7"/>
      <c r="D661" s="7"/>
      <c r="E661" s="18"/>
      <c r="F661" s="38"/>
      <c r="G661" s="38"/>
      <c r="H661" s="38"/>
      <c r="I661" s="38"/>
      <c r="J661" s="38"/>
      <c r="K661" s="38"/>
      <c r="L661" s="38"/>
      <c r="M661" s="38"/>
      <c r="N661" s="38"/>
      <c r="O661" s="38"/>
      <c r="P661" s="38"/>
    </row>
    <row r="662">
      <c r="A662" s="41"/>
      <c r="C662" s="7"/>
      <c r="D662" s="7"/>
      <c r="E662" s="18"/>
      <c r="F662" s="38"/>
      <c r="G662" s="38"/>
      <c r="H662" s="38"/>
      <c r="I662" s="38"/>
      <c r="J662" s="38"/>
      <c r="K662" s="38"/>
      <c r="L662" s="38"/>
      <c r="M662" s="38"/>
      <c r="N662" s="38"/>
      <c r="O662" s="38"/>
      <c r="P662" s="38"/>
    </row>
    <row r="663">
      <c r="A663" s="41"/>
      <c r="C663" s="7"/>
      <c r="D663" s="7"/>
      <c r="E663" s="18"/>
      <c r="F663" s="38"/>
      <c r="G663" s="38"/>
      <c r="H663" s="38"/>
      <c r="I663" s="38"/>
      <c r="J663" s="38"/>
      <c r="K663" s="38"/>
      <c r="L663" s="38"/>
      <c r="M663" s="38"/>
      <c r="N663" s="38"/>
      <c r="O663" s="38"/>
      <c r="P663" s="38"/>
    </row>
    <row r="664">
      <c r="A664" s="41"/>
      <c r="C664" s="7"/>
      <c r="D664" s="7"/>
      <c r="E664" s="18"/>
      <c r="F664" s="38"/>
      <c r="G664" s="38"/>
      <c r="H664" s="38"/>
      <c r="I664" s="38"/>
      <c r="J664" s="38"/>
      <c r="K664" s="38"/>
      <c r="L664" s="38"/>
      <c r="M664" s="38"/>
      <c r="N664" s="38"/>
      <c r="O664" s="38"/>
      <c r="P664" s="38"/>
    </row>
    <row r="665">
      <c r="A665" s="41"/>
      <c r="C665" s="7"/>
      <c r="D665" s="7"/>
      <c r="E665" s="18"/>
      <c r="F665" s="38"/>
      <c r="G665" s="38"/>
      <c r="H665" s="38"/>
      <c r="I665" s="38"/>
      <c r="J665" s="38"/>
      <c r="K665" s="38"/>
      <c r="L665" s="38"/>
      <c r="M665" s="38"/>
      <c r="N665" s="38"/>
      <c r="O665" s="38"/>
      <c r="P665" s="38"/>
    </row>
    <row r="666">
      <c r="A666" s="41"/>
      <c r="C666" s="7"/>
      <c r="D666" s="7"/>
      <c r="E666" s="18"/>
      <c r="F666" s="38"/>
      <c r="G666" s="38"/>
      <c r="H666" s="38"/>
      <c r="I666" s="38"/>
      <c r="J666" s="38"/>
      <c r="K666" s="38"/>
      <c r="L666" s="38"/>
      <c r="M666" s="38"/>
      <c r="N666" s="38"/>
      <c r="O666" s="38"/>
      <c r="P666" s="38"/>
    </row>
    <row r="667">
      <c r="A667" s="41"/>
      <c r="C667" s="7"/>
      <c r="D667" s="7"/>
      <c r="E667" s="18"/>
      <c r="F667" s="38"/>
      <c r="G667" s="38"/>
      <c r="H667" s="38"/>
      <c r="I667" s="38"/>
      <c r="J667" s="38"/>
      <c r="K667" s="38"/>
      <c r="L667" s="38"/>
      <c r="M667" s="38"/>
      <c r="N667" s="38"/>
      <c r="O667" s="38"/>
      <c r="P667" s="38"/>
    </row>
    <row r="668">
      <c r="A668" s="41"/>
      <c r="C668" s="7"/>
      <c r="D668" s="7"/>
      <c r="E668" s="18"/>
      <c r="F668" s="38"/>
      <c r="G668" s="38"/>
      <c r="H668" s="38"/>
      <c r="I668" s="38"/>
      <c r="J668" s="38"/>
      <c r="K668" s="38"/>
      <c r="L668" s="38"/>
      <c r="M668" s="38"/>
      <c r="N668" s="38"/>
      <c r="O668" s="38"/>
      <c r="P668" s="38"/>
    </row>
    <row r="669">
      <c r="A669" s="41"/>
      <c r="C669" s="7"/>
      <c r="D669" s="7"/>
      <c r="E669" s="18"/>
      <c r="F669" s="38"/>
      <c r="G669" s="38"/>
      <c r="H669" s="38"/>
      <c r="I669" s="38"/>
      <c r="J669" s="38"/>
      <c r="K669" s="38"/>
      <c r="L669" s="38"/>
      <c r="M669" s="38"/>
      <c r="N669" s="38"/>
      <c r="O669" s="38"/>
      <c r="P669" s="38"/>
    </row>
    <row r="670">
      <c r="A670" s="41"/>
      <c r="C670" s="7"/>
      <c r="D670" s="7"/>
      <c r="E670" s="18"/>
      <c r="F670" s="38"/>
      <c r="G670" s="38"/>
      <c r="H670" s="38"/>
      <c r="I670" s="38"/>
      <c r="J670" s="38"/>
      <c r="K670" s="38"/>
      <c r="L670" s="38"/>
      <c r="M670" s="38"/>
      <c r="N670" s="38"/>
      <c r="O670" s="38"/>
      <c r="P670" s="38"/>
    </row>
    <row r="671">
      <c r="A671" s="41"/>
      <c r="C671" s="7"/>
      <c r="D671" s="7"/>
      <c r="E671" s="18"/>
      <c r="F671" s="38"/>
      <c r="G671" s="38"/>
      <c r="H671" s="38"/>
      <c r="I671" s="38"/>
      <c r="J671" s="38"/>
      <c r="K671" s="38"/>
      <c r="L671" s="38"/>
      <c r="M671" s="38"/>
      <c r="N671" s="38"/>
      <c r="O671" s="38"/>
      <c r="P671" s="38"/>
    </row>
    <row r="672">
      <c r="A672" s="41"/>
      <c r="C672" s="7"/>
      <c r="D672" s="7"/>
      <c r="E672" s="18"/>
      <c r="F672" s="38"/>
      <c r="G672" s="38"/>
      <c r="H672" s="38"/>
      <c r="I672" s="38"/>
      <c r="J672" s="38"/>
      <c r="K672" s="38"/>
      <c r="L672" s="38"/>
      <c r="M672" s="38"/>
      <c r="N672" s="38"/>
      <c r="O672" s="38"/>
      <c r="P672" s="38"/>
    </row>
    <row r="673">
      <c r="A673" s="41"/>
      <c r="C673" s="7"/>
      <c r="D673" s="7"/>
      <c r="E673" s="18"/>
      <c r="F673" s="38"/>
      <c r="G673" s="38"/>
      <c r="H673" s="38"/>
      <c r="I673" s="38"/>
      <c r="J673" s="38"/>
      <c r="K673" s="38"/>
      <c r="L673" s="38"/>
      <c r="M673" s="38"/>
      <c r="N673" s="38"/>
      <c r="O673" s="38"/>
      <c r="P673" s="38"/>
    </row>
    <row r="674">
      <c r="A674" s="41"/>
      <c r="C674" s="7"/>
      <c r="D674" s="7"/>
      <c r="E674" s="18"/>
      <c r="F674" s="38"/>
      <c r="G674" s="38"/>
      <c r="H674" s="38"/>
      <c r="I674" s="38"/>
      <c r="J674" s="38"/>
      <c r="K674" s="38"/>
      <c r="L674" s="38"/>
      <c r="M674" s="38"/>
      <c r="N674" s="38"/>
      <c r="O674" s="38"/>
      <c r="P674" s="38"/>
    </row>
    <row r="675">
      <c r="A675" s="41"/>
      <c r="C675" s="7"/>
      <c r="D675" s="7"/>
      <c r="E675" s="18"/>
      <c r="F675" s="38"/>
      <c r="G675" s="38"/>
      <c r="H675" s="38"/>
      <c r="I675" s="38"/>
      <c r="J675" s="38"/>
      <c r="K675" s="38"/>
      <c r="L675" s="38"/>
      <c r="M675" s="38"/>
      <c r="N675" s="38"/>
      <c r="O675" s="38"/>
      <c r="P675" s="38"/>
    </row>
    <row r="676">
      <c r="A676" s="41"/>
      <c r="C676" s="7"/>
      <c r="D676" s="7"/>
      <c r="E676" s="18"/>
      <c r="F676" s="38"/>
      <c r="G676" s="38"/>
      <c r="H676" s="38"/>
      <c r="I676" s="38"/>
      <c r="J676" s="38"/>
      <c r="K676" s="38"/>
      <c r="L676" s="38"/>
      <c r="M676" s="38"/>
      <c r="N676" s="38"/>
      <c r="O676" s="38"/>
      <c r="P676" s="38"/>
    </row>
    <row r="677">
      <c r="A677" s="41"/>
      <c r="C677" s="7"/>
      <c r="D677" s="7"/>
      <c r="E677" s="18"/>
      <c r="F677" s="38"/>
      <c r="G677" s="38"/>
      <c r="H677" s="38"/>
      <c r="I677" s="38"/>
      <c r="J677" s="38"/>
      <c r="K677" s="38"/>
      <c r="L677" s="38"/>
      <c r="M677" s="38"/>
      <c r="N677" s="38"/>
      <c r="O677" s="38"/>
      <c r="P677" s="38"/>
    </row>
    <row r="678">
      <c r="A678" s="41"/>
      <c r="C678" s="7"/>
      <c r="D678" s="7"/>
      <c r="E678" s="18"/>
      <c r="F678" s="38"/>
      <c r="G678" s="38"/>
      <c r="H678" s="38"/>
      <c r="I678" s="38"/>
      <c r="J678" s="38"/>
      <c r="K678" s="38"/>
      <c r="L678" s="38"/>
      <c r="M678" s="38"/>
      <c r="N678" s="38"/>
      <c r="O678" s="38"/>
      <c r="P678" s="38"/>
    </row>
    <row r="679">
      <c r="A679" s="41"/>
      <c r="C679" s="7"/>
      <c r="D679" s="7"/>
      <c r="E679" s="18"/>
      <c r="F679" s="38"/>
      <c r="G679" s="38"/>
      <c r="H679" s="38"/>
      <c r="I679" s="38"/>
      <c r="J679" s="38"/>
      <c r="K679" s="38"/>
      <c r="L679" s="38"/>
      <c r="M679" s="38"/>
      <c r="N679" s="38"/>
      <c r="O679" s="38"/>
      <c r="P679" s="38"/>
    </row>
    <row r="680">
      <c r="A680" s="41"/>
      <c r="C680" s="7"/>
      <c r="D680" s="7"/>
      <c r="E680" s="18"/>
      <c r="F680" s="38"/>
      <c r="G680" s="38"/>
      <c r="H680" s="38"/>
      <c r="I680" s="38"/>
      <c r="J680" s="38"/>
      <c r="K680" s="38"/>
      <c r="L680" s="38"/>
      <c r="M680" s="38"/>
      <c r="N680" s="38"/>
      <c r="O680" s="38"/>
      <c r="P680" s="38"/>
    </row>
    <row r="681">
      <c r="A681" s="41"/>
      <c r="C681" s="7"/>
      <c r="D681" s="7"/>
      <c r="E681" s="18"/>
      <c r="F681" s="38"/>
      <c r="G681" s="38"/>
      <c r="H681" s="38"/>
      <c r="I681" s="38"/>
      <c r="J681" s="38"/>
      <c r="K681" s="38"/>
      <c r="L681" s="38"/>
      <c r="M681" s="38"/>
      <c r="N681" s="38"/>
      <c r="O681" s="38"/>
      <c r="P681" s="38"/>
    </row>
    <row r="682">
      <c r="A682" s="41"/>
      <c r="C682" s="7"/>
      <c r="D682" s="7"/>
      <c r="E682" s="18"/>
      <c r="F682" s="38"/>
      <c r="G682" s="38"/>
      <c r="H682" s="38"/>
      <c r="I682" s="38"/>
      <c r="J682" s="38"/>
      <c r="K682" s="38"/>
      <c r="L682" s="38"/>
      <c r="M682" s="38"/>
      <c r="N682" s="38"/>
      <c r="O682" s="38"/>
      <c r="P682" s="38"/>
    </row>
    <row r="683">
      <c r="A683" s="41"/>
      <c r="C683" s="7"/>
      <c r="D683" s="7"/>
      <c r="E683" s="18"/>
      <c r="F683" s="38"/>
      <c r="G683" s="38"/>
      <c r="H683" s="38"/>
      <c r="I683" s="38"/>
      <c r="J683" s="38"/>
      <c r="K683" s="38"/>
      <c r="L683" s="38"/>
      <c r="M683" s="38"/>
      <c r="N683" s="38"/>
      <c r="O683" s="38"/>
      <c r="P683" s="38"/>
    </row>
    <row r="684">
      <c r="A684" s="41"/>
      <c r="C684" s="7"/>
      <c r="D684" s="7"/>
      <c r="E684" s="18"/>
      <c r="F684" s="38"/>
      <c r="G684" s="38"/>
      <c r="H684" s="38"/>
      <c r="I684" s="38"/>
      <c r="J684" s="38"/>
      <c r="K684" s="38"/>
      <c r="L684" s="38"/>
      <c r="M684" s="38"/>
      <c r="N684" s="38"/>
      <c r="O684" s="38"/>
      <c r="P684" s="38"/>
    </row>
    <row r="685">
      <c r="A685" s="41"/>
      <c r="C685" s="7"/>
      <c r="D685" s="7"/>
      <c r="E685" s="18"/>
      <c r="F685" s="38"/>
      <c r="G685" s="38"/>
      <c r="H685" s="38"/>
      <c r="I685" s="38"/>
      <c r="J685" s="38"/>
      <c r="K685" s="38"/>
      <c r="L685" s="38"/>
      <c r="M685" s="38"/>
      <c r="N685" s="38"/>
      <c r="O685" s="38"/>
      <c r="P685" s="38"/>
    </row>
    <row r="686">
      <c r="A686" s="41"/>
      <c r="C686" s="7"/>
      <c r="D686" s="7"/>
      <c r="E686" s="18"/>
      <c r="F686" s="38"/>
      <c r="G686" s="38"/>
      <c r="H686" s="38"/>
      <c r="I686" s="38"/>
      <c r="J686" s="38"/>
      <c r="K686" s="38"/>
      <c r="L686" s="38"/>
      <c r="M686" s="38"/>
      <c r="N686" s="38"/>
      <c r="O686" s="38"/>
      <c r="P686" s="38"/>
    </row>
    <row r="687">
      <c r="A687" s="41"/>
      <c r="C687" s="7"/>
      <c r="D687" s="7"/>
      <c r="E687" s="18"/>
      <c r="F687" s="38"/>
      <c r="G687" s="38"/>
      <c r="H687" s="38"/>
      <c r="I687" s="38"/>
      <c r="J687" s="38"/>
      <c r="K687" s="38"/>
      <c r="L687" s="38"/>
      <c r="M687" s="38"/>
      <c r="N687" s="38"/>
      <c r="O687" s="38"/>
      <c r="P687" s="38"/>
    </row>
    <row r="688">
      <c r="A688" s="41"/>
      <c r="C688" s="7"/>
      <c r="D688" s="7"/>
      <c r="E688" s="18"/>
      <c r="F688" s="38"/>
      <c r="G688" s="38"/>
      <c r="H688" s="38"/>
      <c r="I688" s="38"/>
      <c r="J688" s="38"/>
      <c r="K688" s="38"/>
      <c r="L688" s="38"/>
      <c r="M688" s="38"/>
      <c r="N688" s="38"/>
      <c r="O688" s="38"/>
      <c r="P688" s="38"/>
    </row>
    <row r="689">
      <c r="A689" s="41"/>
      <c r="C689" s="7"/>
      <c r="D689" s="7"/>
      <c r="E689" s="18"/>
      <c r="F689" s="38"/>
      <c r="G689" s="38"/>
      <c r="H689" s="38"/>
      <c r="I689" s="38"/>
      <c r="J689" s="38"/>
      <c r="K689" s="38"/>
      <c r="L689" s="38"/>
      <c r="M689" s="38"/>
      <c r="N689" s="38"/>
      <c r="O689" s="38"/>
      <c r="P689" s="38"/>
    </row>
    <row r="690">
      <c r="A690" s="41"/>
      <c r="C690" s="7"/>
      <c r="D690" s="7"/>
      <c r="E690" s="18"/>
      <c r="F690" s="38"/>
      <c r="G690" s="38"/>
      <c r="H690" s="38"/>
      <c r="I690" s="38"/>
      <c r="J690" s="38"/>
      <c r="K690" s="38"/>
      <c r="L690" s="38"/>
      <c r="M690" s="38"/>
      <c r="N690" s="38"/>
      <c r="O690" s="38"/>
      <c r="P690" s="38"/>
    </row>
    <row r="691">
      <c r="A691" s="41"/>
      <c r="C691" s="7"/>
      <c r="D691" s="7"/>
      <c r="E691" s="18"/>
      <c r="F691" s="38"/>
      <c r="G691" s="38"/>
      <c r="H691" s="38"/>
      <c r="I691" s="38"/>
      <c r="J691" s="38"/>
      <c r="K691" s="38"/>
      <c r="L691" s="38"/>
      <c r="M691" s="38"/>
      <c r="N691" s="38"/>
      <c r="O691" s="38"/>
      <c r="P691" s="38"/>
    </row>
    <row r="692">
      <c r="A692" s="41"/>
      <c r="C692" s="7"/>
      <c r="D692" s="7"/>
      <c r="E692" s="18"/>
      <c r="F692" s="38"/>
      <c r="G692" s="38"/>
      <c r="H692" s="38"/>
      <c r="I692" s="38"/>
      <c r="J692" s="38"/>
      <c r="K692" s="38"/>
      <c r="L692" s="38"/>
      <c r="M692" s="38"/>
      <c r="N692" s="38"/>
      <c r="O692" s="38"/>
      <c r="P692" s="38"/>
    </row>
    <row r="693">
      <c r="A693" s="41"/>
      <c r="C693" s="7"/>
      <c r="D693" s="7"/>
      <c r="E693" s="18"/>
      <c r="F693" s="38"/>
      <c r="G693" s="38"/>
      <c r="H693" s="38"/>
      <c r="I693" s="38"/>
      <c r="J693" s="38"/>
      <c r="K693" s="38"/>
      <c r="L693" s="38"/>
      <c r="M693" s="38"/>
      <c r="N693" s="38"/>
      <c r="O693" s="38"/>
      <c r="P693" s="38"/>
    </row>
    <row r="694">
      <c r="A694" s="41"/>
      <c r="C694" s="7"/>
      <c r="D694" s="7"/>
      <c r="E694" s="18"/>
      <c r="F694" s="38"/>
      <c r="G694" s="38"/>
      <c r="H694" s="38"/>
      <c r="I694" s="38"/>
      <c r="J694" s="38"/>
      <c r="K694" s="38"/>
      <c r="L694" s="38"/>
      <c r="M694" s="38"/>
      <c r="N694" s="38"/>
      <c r="O694" s="38"/>
      <c r="P694" s="38"/>
    </row>
    <row r="695">
      <c r="A695" s="41"/>
      <c r="C695" s="7"/>
      <c r="D695" s="7"/>
      <c r="E695" s="18"/>
      <c r="F695" s="38"/>
      <c r="G695" s="38"/>
      <c r="H695" s="38"/>
      <c r="I695" s="38"/>
      <c r="J695" s="38"/>
      <c r="K695" s="38"/>
      <c r="L695" s="38"/>
      <c r="M695" s="38"/>
      <c r="N695" s="38"/>
      <c r="O695" s="38"/>
      <c r="P695" s="38"/>
    </row>
    <row r="696">
      <c r="A696" s="41"/>
      <c r="C696" s="7"/>
      <c r="D696" s="7"/>
      <c r="E696" s="18"/>
      <c r="F696" s="38"/>
      <c r="G696" s="38"/>
      <c r="H696" s="38"/>
      <c r="I696" s="38"/>
      <c r="J696" s="38"/>
      <c r="K696" s="38"/>
      <c r="L696" s="38"/>
      <c r="M696" s="38"/>
      <c r="N696" s="38"/>
      <c r="O696" s="38"/>
      <c r="P696" s="38"/>
    </row>
    <row r="697">
      <c r="A697" s="41"/>
      <c r="C697" s="7"/>
      <c r="D697" s="7"/>
      <c r="E697" s="18"/>
      <c r="F697" s="38"/>
      <c r="G697" s="38"/>
      <c r="H697" s="38"/>
      <c r="I697" s="38"/>
      <c r="J697" s="38"/>
      <c r="K697" s="38"/>
      <c r="L697" s="38"/>
      <c r="M697" s="38"/>
      <c r="N697" s="38"/>
      <c r="O697" s="38"/>
      <c r="P697" s="38"/>
    </row>
    <row r="698">
      <c r="A698" s="41"/>
      <c r="C698" s="7"/>
      <c r="D698" s="7"/>
      <c r="E698" s="18"/>
      <c r="F698" s="38"/>
      <c r="G698" s="38"/>
      <c r="H698" s="38"/>
      <c r="I698" s="38"/>
      <c r="J698" s="38"/>
      <c r="K698" s="38"/>
      <c r="L698" s="38"/>
      <c r="M698" s="38"/>
      <c r="N698" s="38"/>
      <c r="O698" s="38"/>
      <c r="P698" s="38"/>
    </row>
    <row r="699">
      <c r="A699" s="19"/>
      <c r="B699" s="19"/>
      <c r="C699" s="42"/>
      <c r="D699" s="42"/>
      <c r="E699" s="19"/>
      <c r="F699" s="39"/>
      <c r="G699" s="39"/>
      <c r="H699" s="39"/>
      <c r="I699" s="39"/>
      <c r="J699" s="39"/>
      <c r="K699" s="19"/>
      <c r="L699" s="19"/>
      <c r="M699" s="38"/>
      <c r="N699" s="38"/>
      <c r="O699" s="38"/>
      <c r="P699" s="38"/>
    </row>
    <row r="700">
      <c r="A700" s="41"/>
      <c r="C700" s="7"/>
      <c r="D700" s="7"/>
      <c r="E700" s="18"/>
      <c r="F700" s="38"/>
      <c r="G700" s="38"/>
      <c r="H700" s="38"/>
      <c r="I700" s="38"/>
      <c r="J700" s="38"/>
      <c r="K700" s="38"/>
      <c r="L700" s="38"/>
      <c r="M700" s="38"/>
      <c r="N700" s="38"/>
      <c r="O700" s="38"/>
      <c r="P700" s="38"/>
    </row>
    <row r="701">
      <c r="A701" s="41"/>
      <c r="C701" s="7"/>
      <c r="D701" s="7"/>
      <c r="E701" s="18"/>
      <c r="F701" s="38"/>
      <c r="G701" s="38"/>
      <c r="H701" s="38"/>
      <c r="I701" s="38"/>
      <c r="J701" s="38"/>
      <c r="K701" s="38"/>
      <c r="L701" s="38"/>
      <c r="M701" s="38"/>
      <c r="N701" s="38"/>
      <c r="O701" s="38"/>
      <c r="P701" s="38"/>
    </row>
    <row r="702">
      <c r="A702" s="41"/>
      <c r="C702" s="7"/>
      <c r="D702" s="7"/>
      <c r="E702" s="18"/>
      <c r="F702" s="38"/>
      <c r="G702" s="38"/>
      <c r="H702" s="38"/>
      <c r="I702" s="38"/>
      <c r="J702" s="38"/>
      <c r="K702" s="38"/>
      <c r="L702" s="38"/>
      <c r="M702" s="38"/>
      <c r="N702" s="38"/>
      <c r="O702" s="38"/>
      <c r="P702" s="38"/>
    </row>
    <row r="703">
      <c r="A703" s="41"/>
      <c r="C703" s="7"/>
      <c r="D703" s="7"/>
      <c r="E703" s="18"/>
      <c r="F703" s="38"/>
      <c r="G703" s="38"/>
      <c r="H703" s="38"/>
      <c r="I703" s="38"/>
      <c r="J703" s="38"/>
      <c r="K703" s="38"/>
      <c r="L703" s="38"/>
      <c r="M703" s="38"/>
      <c r="N703" s="38"/>
      <c r="O703" s="38"/>
      <c r="P703" s="38"/>
    </row>
    <row r="704">
      <c r="A704" s="41"/>
      <c r="C704" s="7"/>
      <c r="D704" s="7"/>
      <c r="E704" s="18"/>
      <c r="F704" s="38"/>
      <c r="G704" s="38"/>
      <c r="H704" s="38"/>
      <c r="I704" s="38"/>
      <c r="J704" s="38"/>
      <c r="K704" s="38"/>
      <c r="L704" s="38"/>
      <c r="M704" s="38"/>
      <c r="N704" s="38"/>
      <c r="O704" s="38"/>
      <c r="P704" s="38"/>
    </row>
    <row r="705">
      <c r="A705" s="41"/>
      <c r="C705" s="7"/>
      <c r="D705" s="7"/>
      <c r="E705" s="18"/>
      <c r="F705" s="38"/>
      <c r="G705" s="38"/>
      <c r="H705" s="38"/>
      <c r="I705" s="38"/>
      <c r="J705" s="38"/>
      <c r="K705" s="38"/>
      <c r="L705" s="38"/>
      <c r="M705" s="38"/>
      <c r="N705" s="38"/>
      <c r="O705" s="38"/>
      <c r="P705" s="38"/>
    </row>
    <row r="706">
      <c r="A706" s="41"/>
      <c r="C706" s="7"/>
      <c r="D706" s="7"/>
      <c r="E706" s="18"/>
      <c r="F706" s="38"/>
      <c r="G706" s="38"/>
      <c r="H706" s="38"/>
      <c r="I706" s="38"/>
      <c r="J706" s="38"/>
      <c r="K706" s="38"/>
      <c r="L706" s="38"/>
      <c r="M706" s="38"/>
      <c r="N706" s="38"/>
      <c r="O706" s="38"/>
      <c r="P706" s="38"/>
    </row>
    <row r="707">
      <c r="A707" s="41"/>
      <c r="C707" s="7"/>
      <c r="D707" s="7"/>
      <c r="E707" s="18"/>
      <c r="F707" s="38"/>
      <c r="G707" s="38"/>
      <c r="H707" s="38"/>
      <c r="I707" s="38"/>
      <c r="J707" s="38"/>
      <c r="K707" s="38"/>
      <c r="L707" s="38"/>
      <c r="M707" s="38"/>
      <c r="N707" s="38"/>
      <c r="O707" s="38"/>
      <c r="P707" s="38"/>
    </row>
    <row r="708">
      <c r="A708" s="41"/>
      <c r="C708" s="7"/>
      <c r="D708" s="7"/>
      <c r="E708" s="18"/>
      <c r="F708" s="38"/>
      <c r="G708" s="38"/>
      <c r="H708" s="38"/>
      <c r="I708" s="38"/>
      <c r="J708" s="38"/>
      <c r="K708" s="38"/>
      <c r="L708" s="38"/>
      <c r="M708" s="38"/>
      <c r="N708" s="38"/>
      <c r="O708" s="38"/>
      <c r="P708" s="38"/>
    </row>
    <row r="709">
      <c r="A709" s="41"/>
      <c r="C709" s="7"/>
      <c r="D709" s="7"/>
      <c r="E709" s="18"/>
      <c r="F709" s="38"/>
      <c r="G709" s="38"/>
      <c r="H709" s="38"/>
      <c r="I709" s="38"/>
      <c r="J709" s="38"/>
      <c r="K709" s="38"/>
      <c r="L709" s="38"/>
      <c r="M709" s="38"/>
      <c r="N709" s="38"/>
      <c r="O709" s="38"/>
      <c r="P709" s="38"/>
    </row>
    <row r="710">
      <c r="A710" s="41"/>
      <c r="C710" s="7"/>
      <c r="D710" s="7"/>
      <c r="E710" s="18"/>
      <c r="F710" s="38"/>
      <c r="G710" s="38"/>
      <c r="H710" s="38"/>
      <c r="I710" s="38"/>
      <c r="J710" s="38"/>
      <c r="K710" s="38"/>
      <c r="L710" s="38"/>
      <c r="M710" s="38"/>
      <c r="N710" s="38"/>
      <c r="O710" s="38"/>
      <c r="P710" s="38"/>
    </row>
    <row r="711">
      <c r="A711" s="41"/>
      <c r="C711" s="7"/>
      <c r="D711" s="7"/>
      <c r="E711" s="18"/>
      <c r="F711" s="38"/>
      <c r="G711" s="38"/>
      <c r="H711" s="38"/>
      <c r="I711" s="38"/>
      <c r="J711" s="38"/>
      <c r="K711" s="38"/>
      <c r="L711" s="38"/>
      <c r="M711" s="38"/>
      <c r="N711" s="38"/>
      <c r="O711" s="38"/>
      <c r="P711" s="38"/>
    </row>
    <row r="712">
      <c r="A712" s="41"/>
      <c r="C712" s="7"/>
      <c r="D712" s="7"/>
      <c r="E712" s="18"/>
      <c r="F712" s="38"/>
      <c r="G712" s="38"/>
      <c r="H712" s="38"/>
      <c r="I712" s="38"/>
      <c r="J712" s="38"/>
      <c r="K712" s="38"/>
      <c r="L712" s="38"/>
      <c r="M712" s="38"/>
      <c r="N712" s="38"/>
      <c r="O712" s="38"/>
      <c r="P712" s="38"/>
    </row>
    <row r="713">
      <c r="A713" s="41"/>
      <c r="C713" s="7"/>
      <c r="D713" s="7"/>
      <c r="E713" s="18"/>
      <c r="F713" s="38"/>
      <c r="G713" s="38"/>
      <c r="H713" s="38"/>
      <c r="I713" s="38"/>
      <c r="J713" s="38"/>
      <c r="K713" s="38"/>
      <c r="L713" s="38"/>
      <c r="M713" s="38"/>
      <c r="N713" s="38"/>
      <c r="O713" s="38"/>
      <c r="P713" s="38"/>
    </row>
    <row r="714">
      <c r="A714" s="41"/>
      <c r="C714" s="7"/>
      <c r="D714" s="7"/>
      <c r="E714" s="18"/>
      <c r="F714" s="38"/>
      <c r="G714" s="38"/>
      <c r="H714" s="38"/>
      <c r="I714" s="38"/>
      <c r="J714" s="38"/>
      <c r="K714" s="38"/>
      <c r="L714" s="38"/>
      <c r="M714" s="38"/>
      <c r="N714" s="38"/>
      <c r="O714" s="38"/>
      <c r="P714" s="38"/>
    </row>
    <row r="715">
      <c r="A715" s="41"/>
      <c r="C715" s="7"/>
      <c r="D715" s="7"/>
      <c r="E715" s="18"/>
      <c r="F715" s="38"/>
      <c r="G715" s="38"/>
      <c r="H715" s="38"/>
      <c r="I715" s="38"/>
      <c r="J715" s="38"/>
      <c r="K715" s="38"/>
      <c r="L715" s="38"/>
      <c r="M715" s="38"/>
      <c r="N715" s="38"/>
      <c r="O715" s="38"/>
      <c r="P715" s="38"/>
    </row>
    <row r="716">
      <c r="A716" s="41"/>
      <c r="C716" s="7"/>
      <c r="D716" s="7"/>
      <c r="E716" s="18"/>
      <c r="F716" s="38"/>
      <c r="G716" s="38"/>
      <c r="H716" s="38"/>
      <c r="I716" s="38"/>
      <c r="J716" s="38"/>
      <c r="K716" s="38"/>
      <c r="L716" s="38"/>
      <c r="M716" s="38"/>
      <c r="N716" s="38"/>
      <c r="O716" s="38"/>
      <c r="P716" s="38"/>
    </row>
    <row r="717">
      <c r="A717" s="41"/>
      <c r="C717" s="7"/>
      <c r="D717" s="7"/>
      <c r="E717" s="18"/>
      <c r="F717" s="38"/>
      <c r="G717" s="38"/>
      <c r="H717" s="38"/>
      <c r="I717" s="38"/>
      <c r="J717" s="38"/>
      <c r="K717" s="38"/>
      <c r="L717" s="38"/>
      <c r="M717" s="38"/>
      <c r="N717" s="38"/>
      <c r="O717" s="38"/>
      <c r="P717" s="38"/>
    </row>
    <row r="718">
      <c r="A718" s="41"/>
      <c r="C718" s="7"/>
      <c r="D718" s="7"/>
      <c r="E718" s="18"/>
      <c r="F718" s="38"/>
      <c r="G718" s="38"/>
      <c r="H718" s="38"/>
      <c r="I718" s="38"/>
      <c r="J718" s="38"/>
      <c r="K718" s="38"/>
      <c r="L718" s="38"/>
      <c r="M718" s="38"/>
      <c r="N718" s="38"/>
      <c r="O718" s="38"/>
      <c r="P718" s="38"/>
    </row>
    <row r="719">
      <c r="A719" s="41"/>
      <c r="C719" s="7"/>
      <c r="D719" s="7"/>
      <c r="E719" s="18"/>
      <c r="F719" s="38"/>
      <c r="G719" s="38"/>
      <c r="H719" s="38"/>
      <c r="I719" s="38"/>
      <c r="J719" s="38"/>
      <c r="K719" s="38"/>
      <c r="L719" s="38"/>
      <c r="M719" s="38"/>
      <c r="N719" s="38"/>
      <c r="O719" s="38"/>
      <c r="P719" s="38"/>
    </row>
    <row r="720">
      <c r="A720" s="41"/>
      <c r="C720" s="7"/>
      <c r="D720" s="7"/>
      <c r="E720" s="18"/>
      <c r="F720" s="38"/>
      <c r="G720" s="38"/>
      <c r="H720" s="38"/>
      <c r="I720" s="38"/>
      <c r="J720" s="38"/>
      <c r="K720" s="38"/>
      <c r="L720" s="38"/>
      <c r="M720" s="38"/>
      <c r="N720" s="38"/>
      <c r="O720" s="38"/>
      <c r="P720" s="38"/>
    </row>
    <row r="721">
      <c r="A721" s="41"/>
      <c r="C721" s="7"/>
      <c r="D721" s="7"/>
      <c r="E721" s="18"/>
      <c r="F721" s="38"/>
      <c r="G721" s="38"/>
      <c r="H721" s="38"/>
      <c r="I721" s="38"/>
      <c r="J721" s="38"/>
      <c r="K721" s="38"/>
      <c r="L721" s="38"/>
      <c r="M721" s="38"/>
      <c r="N721" s="38"/>
      <c r="O721" s="38"/>
      <c r="P721" s="38"/>
    </row>
    <row r="722">
      <c r="A722" s="41"/>
      <c r="C722" s="7"/>
      <c r="D722" s="7"/>
      <c r="E722" s="18"/>
      <c r="F722" s="38"/>
      <c r="G722" s="38"/>
      <c r="H722" s="38"/>
      <c r="I722" s="38"/>
      <c r="J722" s="38"/>
      <c r="K722" s="38"/>
      <c r="L722" s="38"/>
      <c r="M722" s="38"/>
      <c r="N722" s="38"/>
      <c r="O722" s="38"/>
      <c r="P722" s="38"/>
    </row>
    <row r="723">
      <c r="A723" s="41"/>
      <c r="C723" s="7"/>
      <c r="D723" s="7"/>
      <c r="E723" s="18"/>
      <c r="F723" s="38"/>
      <c r="G723" s="38"/>
      <c r="H723" s="38"/>
      <c r="I723" s="38"/>
      <c r="J723" s="38"/>
      <c r="K723" s="38"/>
      <c r="L723" s="38"/>
      <c r="M723" s="38"/>
      <c r="N723" s="38"/>
      <c r="O723" s="38"/>
      <c r="P723" s="38"/>
    </row>
    <row r="724">
      <c r="A724" s="41"/>
      <c r="C724" s="7"/>
      <c r="D724" s="7"/>
      <c r="E724" s="18"/>
      <c r="F724" s="38"/>
      <c r="G724" s="38"/>
      <c r="H724" s="38"/>
      <c r="I724" s="38"/>
      <c r="J724" s="38"/>
      <c r="K724" s="38"/>
      <c r="L724" s="38"/>
      <c r="M724" s="38"/>
      <c r="N724" s="38"/>
      <c r="O724" s="38"/>
      <c r="P724" s="38"/>
    </row>
    <row r="725">
      <c r="A725" s="41"/>
      <c r="C725" s="7"/>
      <c r="D725" s="7"/>
      <c r="E725" s="18"/>
      <c r="F725" s="38"/>
      <c r="G725" s="38"/>
      <c r="H725" s="38"/>
      <c r="I725" s="38"/>
      <c r="J725" s="38"/>
      <c r="K725" s="38"/>
      <c r="L725" s="38"/>
      <c r="M725" s="38"/>
      <c r="N725" s="38"/>
      <c r="O725" s="38"/>
      <c r="P725" s="38"/>
    </row>
    <row r="726">
      <c r="A726" s="41"/>
      <c r="C726" s="7"/>
      <c r="D726" s="7"/>
      <c r="E726" s="18"/>
      <c r="F726" s="38"/>
      <c r="G726" s="38"/>
      <c r="H726" s="38"/>
      <c r="I726" s="38"/>
      <c r="J726" s="38"/>
      <c r="K726" s="38"/>
      <c r="L726" s="38"/>
      <c r="M726" s="38"/>
      <c r="N726" s="38"/>
      <c r="O726" s="38"/>
      <c r="P726" s="38"/>
    </row>
    <row r="727">
      <c r="A727" s="41"/>
      <c r="C727" s="7"/>
      <c r="D727" s="7"/>
      <c r="E727" s="18"/>
      <c r="F727" s="38"/>
      <c r="G727" s="38"/>
      <c r="H727" s="38"/>
      <c r="I727" s="38"/>
      <c r="J727" s="38"/>
      <c r="K727" s="38"/>
      <c r="L727" s="38"/>
      <c r="M727" s="38"/>
      <c r="N727" s="38"/>
      <c r="O727" s="38"/>
      <c r="P727" s="38"/>
    </row>
    <row r="728">
      <c r="A728" s="41"/>
      <c r="C728" s="7"/>
      <c r="D728" s="7"/>
      <c r="E728" s="18"/>
      <c r="F728" s="38"/>
      <c r="G728" s="38"/>
      <c r="H728" s="38"/>
      <c r="I728" s="38"/>
      <c r="J728" s="38"/>
      <c r="K728" s="38"/>
      <c r="L728" s="38"/>
      <c r="M728" s="38"/>
      <c r="N728" s="38"/>
      <c r="O728" s="38"/>
      <c r="P728" s="38"/>
    </row>
    <row r="729">
      <c r="A729" s="41"/>
      <c r="C729" s="7"/>
      <c r="D729" s="7"/>
      <c r="E729" s="18"/>
      <c r="F729" s="38"/>
      <c r="G729" s="38"/>
      <c r="H729" s="38"/>
      <c r="I729" s="38"/>
      <c r="J729" s="38"/>
      <c r="K729" s="38"/>
      <c r="L729" s="38"/>
      <c r="M729" s="38"/>
      <c r="N729" s="38"/>
      <c r="O729" s="38"/>
      <c r="P729" s="38"/>
    </row>
    <row r="730">
      <c r="A730" s="41"/>
      <c r="C730" s="7"/>
      <c r="D730" s="7"/>
      <c r="E730" s="18"/>
      <c r="F730" s="38"/>
      <c r="G730" s="38"/>
      <c r="H730" s="38"/>
      <c r="I730" s="38"/>
      <c r="J730" s="38"/>
      <c r="K730" s="38"/>
      <c r="L730" s="38"/>
      <c r="M730" s="38"/>
      <c r="N730" s="38"/>
      <c r="O730" s="38"/>
      <c r="P730" s="38"/>
    </row>
    <row r="731">
      <c r="A731" s="41"/>
      <c r="C731" s="7"/>
      <c r="D731" s="7"/>
      <c r="E731" s="18"/>
      <c r="F731" s="38"/>
      <c r="G731" s="38"/>
      <c r="H731" s="38"/>
      <c r="I731" s="38"/>
      <c r="J731" s="38"/>
      <c r="K731" s="38"/>
      <c r="L731" s="38"/>
      <c r="M731" s="38"/>
      <c r="N731" s="38"/>
      <c r="O731" s="38"/>
      <c r="P731" s="38"/>
    </row>
    <row r="732">
      <c r="A732" s="41"/>
      <c r="C732" s="7"/>
      <c r="D732" s="7"/>
      <c r="E732" s="18"/>
      <c r="F732" s="38"/>
      <c r="G732" s="38"/>
      <c r="H732" s="38"/>
      <c r="I732" s="38"/>
      <c r="J732" s="38"/>
      <c r="K732" s="38"/>
      <c r="L732" s="38"/>
      <c r="M732" s="38"/>
      <c r="N732" s="38"/>
      <c r="O732" s="38"/>
      <c r="P732" s="38"/>
    </row>
    <row r="733">
      <c r="A733" s="41"/>
      <c r="C733" s="7"/>
      <c r="D733" s="7"/>
      <c r="E733" s="18"/>
      <c r="F733" s="38"/>
      <c r="G733" s="38"/>
      <c r="H733" s="38"/>
      <c r="I733" s="38"/>
      <c r="J733" s="38"/>
      <c r="K733" s="38"/>
      <c r="L733" s="38"/>
      <c r="M733" s="38"/>
      <c r="N733" s="38"/>
      <c r="O733" s="38"/>
      <c r="P733" s="38"/>
    </row>
    <row r="734">
      <c r="A734" s="41"/>
      <c r="C734" s="7"/>
      <c r="D734" s="7"/>
      <c r="E734" s="18"/>
      <c r="F734" s="38"/>
      <c r="G734" s="38"/>
      <c r="H734" s="38"/>
      <c r="I734" s="38"/>
      <c r="J734" s="38"/>
      <c r="K734" s="38"/>
      <c r="L734" s="38"/>
      <c r="M734" s="38"/>
      <c r="N734" s="38"/>
      <c r="O734" s="38"/>
      <c r="P734" s="38"/>
    </row>
    <row r="735">
      <c r="A735" s="41"/>
      <c r="C735" s="7"/>
      <c r="D735" s="7"/>
      <c r="E735" s="18"/>
      <c r="F735" s="38"/>
      <c r="G735" s="38"/>
      <c r="H735" s="38"/>
      <c r="I735" s="38"/>
      <c r="J735" s="38"/>
      <c r="K735" s="38"/>
      <c r="L735" s="38"/>
      <c r="M735" s="38"/>
      <c r="N735" s="38"/>
      <c r="O735" s="38"/>
      <c r="P735" s="38"/>
    </row>
    <row r="736">
      <c r="A736" s="41"/>
      <c r="C736" s="7"/>
      <c r="D736" s="7"/>
      <c r="E736" s="18"/>
      <c r="F736" s="38"/>
      <c r="G736" s="38"/>
      <c r="H736" s="38"/>
      <c r="I736" s="38"/>
      <c r="J736" s="38"/>
      <c r="K736" s="38"/>
      <c r="L736" s="38"/>
      <c r="M736" s="38"/>
      <c r="N736" s="38"/>
      <c r="O736" s="38"/>
      <c r="P736" s="38"/>
    </row>
    <row r="737">
      <c r="A737" s="41"/>
      <c r="C737" s="7"/>
      <c r="D737" s="7"/>
      <c r="E737" s="18"/>
      <c r="F737" s="38"/>
      <c r="G737" s="38"/>
      <c r="H737" s="38"/>
      <c r="I737" s="38"/>
      <c r="J737" s="38"/>
      <c r="K737" s="38"/>
      <c r="L737" s="38"/>
      <c r="M737" s="38"/>
      <c r="N737" s="38"/>
      <c r="O737" s="38"/>
      <c r="P737" s="38"/>
    </row>
    <row r="738">
      <c r="A738" s="41"/>
      <c r="C738" s="7"/>
      <c r="D738" s="7"/>
      <c r="E738" s="18"/>
      <c r="F738" s="38"/>
      <c r="G738" s="38"/>
      <c r="H738" s="38"/>
      <c r="I738" s="38"/>
      <c r="J738" s="38"/>
      <c r="K738" s="38"/>
      <c r="L738" s="38"/>
      <c r="M738" s="38"/>
      <c r="N738" s="38"/>
      <c r="O738" s="38"/>
      <c r="P738" s="38"/>
    </row>
    <row r="739">
      <c r="A739" s="41"/>
      <c r="C739" s="7"/>
      <c r="D739" s="7"/>
      <c r="E739" s="18"/>
      <c r="F739" s="38"/>
      <c r="G739" s="38"/>
      <c r="H739" s="38"/>
      <c r="I739" s="38"/>
      <c r="J739" s="38"/>
      <c r="K739" s="38"/>
      <c r="L739" s="38"/>
      <c r="M739" s="38"/>
      <c r="N739" s="38"/>
      <c r="O739" s="38"/>
      <c r="P739" s="38"/>
    </row>
    <row r="740">
      <c r="A740" s="19"/>
      <c r="B740" s="19"/>
      <c r="C740" s="42"/>
      <c r="D740" s="42"/>
      <c r="E740" s="19"/>
      <c r="F740" s="39"/>
      <c r="G740" s="39"/>
      <c r="H740" s="39"/>
      <c r="I740" s="39"/>
      <c r="J740" s="39"/>
      <c r="K740" s="19"/>
      <c r="L740" s="19"/>
      <c r="M740" s="38"/>
      <c r="N740" s="38"/>
      <c r="O740" s="38"/>
      <c r="P740" s="38"/>
    </row>
    <row r="741">
      <c r="A741" s="41"/>
      <c r="C741" s="7"/>
      <c r="D741" s="7"/>
      <c r="E741" s="18"/>
      <c r="F741" s="38"/>
      <c r="G741" s="38"/>
      <c r="H741" s="38"/>
      <c r="I741" s="38"/>
      <c r="J741" s="38"/>
      <c r="K741" s="38"/>
      <c r="L741" s="38"/>
      <c r="M741" s="38"/>
      <c r="N741" s="38"/>
      <c r="O741" s="38"/>
      <c r="P741" s="38"/>
    </row>
    <row r="742">
      <c r="A742" s="41"/>
      <c r="C742" s="7"/>
      <c r="D742" s="7"/>
      <c r="E742" s="18"/>
      <c r="F742" s="38"/>
      <c r="G742" s="38"/>
      <c r="H742" s="38"/>
      <c r="I742" s="38"/>
      <c r="J742" s="38"/>
      <c r="K742" s="38"/>
      <c r="L742" s="38"/>
      <c r="M742" s="38"/>
      <c r="N742" s="38"/>
      <c r="O742" s="38"/>
      <c r="P742" s="38"/>
    </row>
    <row r="743">
      <c r="A743" s="41"/>
      <c r="C743" s="7"/>
      <c r="D743" s="7"/>
      <c r="E743" s="18"/>
      <c r="F743" s="38"/>
      <c r="G743" s="38"/>
      <c r="H743" s="38"/>
      <c r="I743" s="38"/>
      <c r="J743" s="38"/>
      <c r="K743" s="38"/>
      <c r="L743" s="38"/>
      <c r="M743" s="38"/>
      <c r="N743" s="38"/>
      <c r="O743" s="38"/>
      <c r="P743" s="38"/>
    </row>
    <row r="744">
      <c r="A744" s="41"/>
      <c r="C744" s="7"/>
      <c r="D744" s="7"/>
      <c r="E744" s="18"/>
      <c r="F744" s="38"/>
      <c r="G744" s="38"/>
      <c r="H744" s="38"/>
      <c r="I744" s="38"/>
      <c r="J744" s="38"/>
      <c r="K744" s="38"/>
      <c r="L744" s="38"/>
      <c r="M744" s="38"/>
      <c r="N744" s="38"/>
      <c r="O744" s="38"/>
      <c r="P744" s="38"/>
    </row>
    <row r="745">
      <c r="A745" s="41"/>
      <c r="C745" s="7"/>
      <c r="D745" s="7"/>
      <c r="E745" s="18"/>
      <c r="F745" s="38"/>
      <c r="G745" s="38"/>
      <c r="H745" s="38"/>
      <c r="I745" s="38"/>
      <c r="J745" s="38"/>
      <c r="K745" s="38"/>
      <c r="L745" s="38"/>
      <c r="M745" s="38"/>
      <c r="N745" s="38"/>
      <c r="O745" s="38"/>
      <c r="P745" s="38"/>
    </row>
    <row r="746">
      <c r="A746" s="41"/>
      <c r="C746" s="7"/>
      <c r="D746" s="7"/>
      <c r="E746" s="18"/>
      <c r="F746" s="38"/>
      <c r="G746" s="38"/>
      <c r="H746" s="38"/>
      <c r="I746" s="38"/>
      <c r="J746" s="38"/>
      <c r="K746" s="38"/>
      <c r="L746" s="38"/>
      <c r="M746" s="38"/>
      <c r="N746" s="38"/>
      <c r="O746" s="38"/>
      <c r="P746" s="38"/>
    </row>
    <row r="747">
      <c r="A747" s="41"/>
      <c r="C747" s="7"/>
      <c r="D747" s="7"/>
      <c r="E747" s="18"/>
      <c r="F747" s="38"/>
      <c r="G747" s="38"/>
      <c r="H747" s="38"/>
      <c r="I747" s="38"/>
      <c r="J747" s="38"/>
      <c r="K747" s="38"/>
      <c r="L747" s="38"/>
      <c r="M747" s="38"/>
      <c r="N747" s="38"/>
      <c r="O747" s="38"/>
      <c r="P747" s="38"/>
    </row>
    <row r="748">
      <c r="A748" s="41"/>
      <c r="C748" s="7"/>
      <c r="D748" s="7"/>
      <c r="E748" s="18"/>
      <c r="F748" s="38"/>
      <c r="G748" s="38"/>
      <c r="H748" s="38"/>
      <c r="I748" s="38"/>
      <c r="J748" s="38"/>
      <c r="K748" s="38"/>
      <c r="L748" s="38"/>
      <c r="M748" s="38"/>
      <c r="N748" s="38"/>
      <c r="O748" s="38"/>
      <c r="P748" s="38"/>
    </row>
    <row r="749">
      <c r="A749" s="41"/>
      <c r="C749" s="7"/>
      <c r="D749" s="7"/>
      <c r="E749" s="18"/>
      <c r="F749" s="38"/>
      <c r="G749" s="38"/>
      <c r="H749" s="38"/>
      <c r="I749" s="38"/>
      <c r="J749" s="38"/>
      <c r="K749" s="38"/>
      <c r="L749" s="38"/>
      <c r="M749" s="38"/>
      <c r="N749" s="38"/>
      <c r="O749" s="38"/>
      <c r="P749" s="38"/>
    </row>
    <row r="750">
      <c r="A750" s="41"/>
      <c r="C750" s="7"/>
      <c r="D750" s="7"/>
      <c r="E750" s="18"/>
      <c r="F750" s="38"/>
      <c r="G750" s="38"/>
      <c r="H750" s="38"/>
      <c r="I750" s="38"/>
      <c r="J750" s="38"/>
      <c r="K750" s="38"/>
      <c r="L750" s="38"/>
      <c r="M750" s="38"/>
      <c r="N750" s="38"/>
      <c r="O750" s="38"/>
      <c r="P750" s="38"/>
    </row>
    <row r="751">
      <c r="A751" s="41"/>
      <c r="C751" s="7"/>
      <c r="D751" s="7"/>
      <c r="E751" s="18"/>
      <c r="F751" s="38"/>
      <c r="G751" s="38"/>
      <c r="H751" s="38"/>
      <c r="I751" s="38"/>
      <c r="J751" s="38"/>
      <c r="K751" s="38"/>
      <c r="L751" s="38"/>
      <c r="M751" s="38"/>
      <c r="N751" s="38"/>
      <c r="O751" s="38"/>
      <c r="P751" s="38"/>
    </row>
    <row r="752">
      <c r="A752" s="41"/>
      <c r="C752" s="7"/>
      <c r="D752" s="7"/>
      <c r="E752" s="18"/>
      <c r="F752" s="38"/>
      <c r="G752" s="38"/>
      <c r="H752" s="38"/>
      <c r="I752" s="38"/>
      <c r="J752" s="38"/>
      <c r="K752" s="38"/>
      <c r="L752" s="38"/>
      <c r="M752" s="38"/>
      <c r="N752" s="38"/>
      <c r="O752" s="38"/>
      <c r="P752" s="38"/>
    </row>
    <row r="753">
      <c r="A753" s="41"/>
      <c r="C753" s="7"/>
      <c r="D753" s="7"/>
      <c r="E753" s="18"/>
      <c r="F753" s="38"/>
      <c r="G753" s="38"/>
      <c r="H753" s="38"/>
      <c r="I753" s="38"/>
      <c r="J753" s="38"/>
      <c r="K753" s="38"/>
      <c r="L753" s="38"/>
      <c r="M753" s="38"/>
      <c r="N753" s="38"/>
      <c r="O753" s="38"/>
      <c r="P753" s="38"/>
    </row>
    <row r="754">
      <c r="A754" s="41"/>
      <c r="C754" s="7"/>
      <c r="D754" s="7"/>
      <c r="E754" s="18"/>
      <c r="F754" s="38"/>
      <c r="G754" s="38"/>
      <c r="H754" s="38"/>
      <c r="I754" s="38"/>
      <c r="J754" s="38"/>
      <c r="K754" s="38"/>
      <c r="L754" s="38"/>
      <c r="M754" s="38"/>
      <c r="N754" s="38"/>
      <c r="O754" s="38"/>
      <c r="P754" s="38"/>
    </row>
    <row r="755">
      <c r="A755" s="41"/>
      <c r="C755" s="7"/>
      <c r="D755" s="7"/>
      <c r="E755" s="18"/>
      <c r="F755" s="38"/>
      <c r="G755" s="38"/>
      <c r="H755" s="38"/>
      <c r="I755" s="38"/>
      <c r="J755" s="38"/>
      <c r="K755" s="38"/>
      <c r="L755" s="38"/>
      <c r="M755" s="38"/>
      <c r="N755" s="38"/>
      <c r="O755" s="38"/>
      <c r="P755" s="38"/>
    </row>
    <row r="756">
      <c r="A756" s="41"/>
      <c r="C756" s="7"/>
      <c r="D756" s="7"/>
      <c r="E756" s="18"/>
      <c r="F756" s="38"/>
      <c r="G756" s="38"/>
      <c r="H756" s="38"/>
      <c r="I756" s="38"/>
      <c r="J756" s="38"/>
      <c r="K756" s="38"/>
      <c r="L756" s="38"/>
      <c r="M756" s="38"/>
      <c r="N756" s="38"/>
      <c r="O756" s="38"/>
      <c r="P756" s="38"/>
    </row>
    <row r="757">
      <c r="A757" s="41"/>
      <c r="C757" s="7"/>
      <c r="D757" s="7"/>
      <c r="E757" s="18"/>
      <c r="F757" s="38"/>
      <c r="G757" s="38"/>
      <c r="H757" s="38"/>
      <c r="I757" s="38"/>
      <c r="J757" s="38"/>
      <c r="K757" s="38"/>
      <c r="L757" s="38"/>
      <c r="M757" s="38"/>
      <c r="N757" s="38"/>
      <c r="O757" s="38"/>
      <c r="P757" s="38"/>
    </row>
    <row r="758">
      <c r="A758" s="41"/>
      <c r="C758" s="7"/>
      <c r="D758" s="7"/>
      <c r="E758" s="18"/>
      <c r="F758" s="38"/>
      <c r="G758" s="38"/>
      <c r="H758" s="38"/>
      <c r="I758" s="38"/>
      <c r="J758" s="38"/>
      <c r="K758" s="38"/>
      <c r="L758" s="38"/>
      <c r="M758" s="38"/>
      <c r="N758" s="38"/>
      <c r="O758" s="38"/>
      <c r="P758" s="38"/>
    </row>
    <row r="759">
      <c r="A759" s="41"/>
      <c r="C759" s="7"/>
      <c r="D759" s="7"/>
      <c r="E759" s="18"/>
      <c r="F759" s="38"/>
      <c r="G759" s="38"/>
      <c r="H759" s="38"/>
      <c r="I759" s="38"/>
      <c r="J759" s="38"/>
      <c r="K759" s="38"/>
      <c r="L759" s="38"/>
      <c r="M759" s="38"/>
      <c r="N759" s="38"/>
      <c r="O759" s="38"/>
      <c r="P759" s="38"/>
    </row>
    <row r="760">
      <c r="A760" s="41"/>
      <c r="C760" s="7"/>
      <c r="D760" s="7"/>
      <c r="E760" s="18"/>
      <c r="F760" s="38"/>
      <c r="G760" s="38"/>
      <c r="H760" s="38"/>
      <c r="I760" s="38"/>
      <c r="J760" s="38"/>
      <c r="K760" s="38"/>
      <c r="L760" s="38"/>
      <c r="M760" s="38"/>
      <c r="N760" s="38"/>
      <c r="O760" s="38"/>
      <c r="P760" s="38"/>
    </row>
    <row r="761">
      <c r="A761" s="41"/>
      <c r="C761" s="7"/>
      <c r="D761" s="7"/>
      <c r="E761" s="18"/>
      <c r="F761" s="38"/>
      <c r="G761" s="38"/>
      <c r="H761" s="38"/>
      <c r="I761" s="38"/>
      <c r="J761" s="38"/>
      <c r="K761" s="38"/>
      <c r="L761" s="38"/>
      <c r="M761" s="38"/>
      <c r="N761" s="38"/>
      <c r="O761" s="38"/>
      <c r="P761" s="38"/>
    </row>
    <row r="762">
      <c r="A762" s="41"/>
      <c r="C762" s="7"/>
      <c r="D762" s="7"/>
      <c r="E762" s="18"/>
      <c r="F762" s="38"/>
      <c r="G762" s="38"/>
      <c r="H762" s="38"/>
      <c r="I762" s="38"/>
      <c r="J762" s="38"/>
      <c r="K762" s="38"/>
      <c r="L762" s="38"/>
      <c r="M762" s="38"/>
      <c r="N762" s="38"/>
      <c r="O762" s="38"/>
      <c r="P762" s="38"/>
    </row>
    <row r="763">
      <c r="A763" s="41"/>
      <c r="C763" s="7"/>
      <c r="D763" s="7"/>
      <c r="E763" s="18"/>
      <c r="F763" s="38"/>
      <c r="G763" s="38"/>
      <c r="H763" s="38"/>
      <c r="I763" s="38"/>
      <c r="J763" s="38"/>
      <c r="K763" s="38"/>
      <c r="L763" s="38"/>
      <c r="M763" s="38"/>
      <c r="N763" s="38"/>
      <c r="O763" s="38"/>
      <c r="P763" s="38"/>
    </row>
    <row r="764">
      <c r="A764" s="41"/>
      <c r="C764" s="7"/>
      <c r="D764" s="7"/>
      <c r="E764" s="18"/>
      <c r="F764" s="38"/>
      <c r="G764" s="38"/>
      <c r="H764" s="38"/>
      <c r="I764" s="38"/>
      <c r="J764" s="38"/>
      <c r="K764" s="38"/>
      <c r="L764" s="38"/>
      <c r="M764" s="38"/>
      <c r="N764" s="38"/>
      <c r="O764" s="38"/>
      <c r="P764" s="38"/>
    </row>
    <row r="765">
      <c r="A765" s="41"/>
      <c r="C765" s="7"/>
      <c r="D765" s="7"/>
      <c r="E765" s="18"/>
      <c r="F765" s="38"/>
      <c r="G765" s="38"/>
      <c r="H765" s="38"/>
      <c r="I765" s="38"/>
      <c r="J765" s="38"/>
      <c r="K765" s="38"/>
      <c r="L765" s="38"/>
      <c r="M765" s="38"/>
      <c r="N765" s="38"/>
      <c r="O765" s="38"/>
      <c r="P765" s="38"/>
    </row>
    <row r="766">
      <c r="A766" s="41"/>
      <c r="C766" s="7"/>
      <c r="D766" s="7"/>
      <c r="E766" s="18"/>
      <c r="F766" s="38"/>
      <c r="G766" s="38"/>
      <c r="H766" s="38"/>
      <c r="I766" s="38"/>
      <c r="J766" s="38"/>
      <c r="K766" s="38"/>
      <c r="L766" s="38"/>
      <c r="M766" s="38"/>
      <c r="N766" s="38"/>
      <c r="O766" s="38"/>
      <c r="P766" s="38"/>
    </row>
    <row r="767">
      <c r="A767" s="41"/>
      <c r="C767" s="7"/>
      <c r="D767" s="7"/>
      <c r="E767" s="18"/>
      <c r="F767" s="38"/>
      <c r="G767" s="38"/>
      <c r="H767" s="38"/>
      <c r="I767" s="38"/>
      <c r="J767" s="38"/>
      <c r="K767" s="38"/>
      <c r="L767" s="38"/>
      <c r="M767" s="38"/>
      <c r="N767" s="38"/>
      <c r="O767" s="38"/>
      <c r="P767" s="38"/>
    </row>
    <row r="768">
      <c r="A768" s="41"/>
      <c r="C768" s="7"/>
      <c r="D768" s="7"/>
      <c r="E768" s="18"/>
      <c r="F768" s="38"/>
      <c r="G768" s="38"/>
      <c r="H768" s="38"/>
      <c r="I768" s="38"/>
      <c r="J768" s="38"/>
      <c r="K768" s="38"/>
      <c r="L768" s="38"/>
      <c r="M768" s="38"/>
      <c r="N768" s="38"/>
      <c r="O768" s="38"/>
      <c r="P768" s="38"/>
    </row>
    <row r="769">
      <c r="A769" s="41"/>
      <c r="C769" s="7"/>
      <c r="D769" s="7"/>
      <c r="E769" s="18"/>
      <c r="F769" s="38"/>
      <c r="G769" s="38"/>
      <c r="H769" s="38"/>
      <c r="I769" s="38"/>
      <c r="J769" s="38"/>
      <c r="K769" s="38"/>
      <c r="L769" s="38"/>
      <c r="M769" s="38"/>
      <c r="N769" s="38"/>
      <c r="O769" s="38"/>
      <c r="P769" s="38"/>
    </row>
    <row r="770">
      <c r="A770" s="41"/>
      <c r="C770" s="7"/>
      <c r="D770" s="7"/>
      <c r="E770" s="18"/>
      <c r="F770" s="38"/>
      <c r="G770" s="38"/>
      <c r="H770" s="38"/>
      <c r="I770" s="38"/>
      <c r="J770" s="38"/>
      <c r="K770" s="38"/>
      <c r="L770" s="38"/>
      <c r="M770" s="38"/>
      <c r="N770" s="38"/>
      <c r="O770" s="38"/>
      <c r="P770" s="38"/>
    </row>
    <row r="771">
      <c r="A771" s="41"/>
      <c r="C771" s="7"/>
      <c r="D771" s="7"/>
      <c r="E771" s="18"/>
      <c r="F771" s="38"/>
      <c r="G771" s="38"/>
      <c r="H771" s="38"/>
      <c r="I771" s="38"/>
      <c r="J771" s="38"/>
      <c r="K771" s="38"/>
      <c r="L771" s="38"/>
      <c r="M771" s="38"/>
      <c r="N771" s="38"/>
      <c r="O771" s="38"/>
      <c r="P771" s="38"/>
    </row>
    <row r="772">
      <c r="A772" s="41"/>
      <c r="C772" s="7"/>
      <c r="D772" s="7"/>
      <c r="E772" s="18"/>
      <c r="F772" s="38"/>
      <c r="G772" s="38"/>
      <c r="H772" s="38"/>
      <c r="I772" s="38"/>
      <c r="J772" s="38"/>
      <c r="K772" s="38"/>
      <c r="L772" s="38"/>
      <c r="M772" s="38"/>
      <c r="N772" s="38"/>
      <c r="O772" s="38"/>
      <c r="P772" s="38"/>
    </row>
    <row r="773">
      <c r="A773" s="41"/>
      <c r="C773" s="7"/>
      <c r="D773" s="7"/>
      <c r="E773" s="18"/>
      <c r="F773" s="38"/>
      <c r="G773" s="38"/>
      <c r="H773" s="38"/>
      <c r="I773" s="38"/>
      <c r="J773" s="38"/>
      <c r="K773" s="38"/>
      <c r="L773" s="38"/>
      <c r="M773" s="38"/>
      <c r="N773" s="38"/>
      <c r="O773" s="38"/>
      <c r="P773" s="38"/>
    </row>
    <row r="774">
      <c r="A774" s="41"/>
      <c r="C774" s="7"/>
      <c r="D774" s="7"/>
      <c r="E774" s="18"/>
      <c r="F774" s="38"/>
      <c r="G774" s="38"/>
      <c r="H774" s="38"/>
      <c r="I774" s="38"/>
      <c r="J774" s="38"/>
      <c r="K774" s="38"/>
      <c r="L774" s="38"/>
      <c r="M774" s="38"/>
      <c r="N774" s="38"/>
      <c r="O774" s="38"/>
      <c r="P774" s="38"/>
    </row>
    <row r="775">
      <c r="A775" s="41"/>
      <c r="C775" s="7"/>
      <c r="D775" s="7"/>
      <c r="E775" s="18"/>
      <c r="F775" s="38"/>
      <c r="G775" s="38"/>
      <c r="H775" s="38"/>
      <c r="I775" s="38"/>
      <c r="J775" s="38"/>
      <c r="K775" s="38"/>
      <c r="L775" s="38"/>
      <c r="M775" s="38"/>
      <c r="N775" s="38"/>
      <c r="O775" s="38"/>
      <c r="P775" s="38"/>
    </row>
    <row r="776">
      <c r="A776" s="41"/>
      <c r="C776" s="7"/>
      <c r="D776" s="7"/>
      <c r="E776" s="18"/>
      <c r="F776" s="38"/>
      <c r="G776" s="38"/>
      <c r="H776" s="38"/>
      <c r="I776" s="38"/>
      <c r="J776" s="38"/>
      <c r="K776" s="38"/>
      <c r="L776" s="38"/>
      <c r="M776" s="38"/>
      <c r="N776" s="38"/>
      <c r="O776" s="38"/>
      <c r="P776" s="38"/>
    </row>
    <row r="777">
      <c r="A777" s="41"/>
      <c r="C777" s="7"/>
      <c r="D777" s="7"/>
      <c r="E777" s="18"/>
      <c r="F777" s="38"/>
      <c r="G777" s="38"/>
      <c r="H777" s="38"/>
      <c r="I777" s="38"/>
      <c r="J777" s="38"/>
      <c r="K777" s="38"/>
      <c r="L777" s="38"/>
      <c r="M777" s="38"/>
      <c r="N777" s="38"/>
      <c r="O777" s="38"/>
      <c r="P777" s="38"/>
    </row>
    <row r="778">
      <c r="A778" s="41"/>
      <c r="C778" s="7"/>
      <c r="D778" s="7"/>
      <c r="E778" s="18"/>
      <c r="F778" s="38"/>
      <c r="G778" s="38"/>
      <c r="H778" s="38"/>
      <c r="I778" s="38"/>
      <c r="J778" s="38"/>
      <c r="K778" s="38"/>
      <c r="L778" s="38"/>
      <c r="M778" s="38"/>
      <c r="N778" s="38"/>
      <c r="O778" s="38"/>
      <c r="P778" s="38"/>
    </row>
    <row r="779">
      <c r="A779" s="41"/>
      <c r="C779" s="7"/>
      <c r="D779" s="7"/>
      <c r="E779" s="18"/>
      <c r="F779" s="38"/>
      <c r="G779" s="38"/>
      <c r="H779" s="38"/>
      <c r="I779" s="38"/>
      <c r="J779" s="38"/>
      <c r="K779" s="38"/>
      <c r="L779" s="38"/>
      <c r="M779" s="38"/>
      <c r="N779" s="38"/>
      <c r="O779" s="38"/>
      <c r="P779" s="38"/>
    </row>
    <row r="780">
      <c r="A780" s="41"/>
      <c r="C780" s="7"/>
      <c r="D780" s="7"/>
      <c r="E780" s="18"/>
      <c r="F780" s="38"/>
      <c r="G780" s="38"/>
      <c r="H780" s="38"/>
      <c r="I780" s="38"/>
      <c r="J780" s="38"/>
      <c r="K780" s="38"/>
      <c r="L780" s="38"/>
      <c r="M780" s="38"/>
      <c r="N780" s="38"/>
      <c r="O780" s="38"/>
      <c r="P780" s="38"/>
    </row>
    <row r="781">
      <c r="A781" s="19"/>
      <c r="B781" s="19"/>
      <c r="C781" s="42"/>
      <c r="D781" s="42"/>
      <c r="E781" s="19"/>
      <c r="F781" s="39"/>
      <c r="G781" s="39"/>
      <c r="H781" s="39"/>
      <c r="I781" s="39"/>
      <c r="J781" s="39"/>
      <c r="K781" s="19"/>
      <c r="L781" s="19"/>
      <c r="M781" s="38"/>
      <c r="N781" s="38"/>
      <c r="O781" s="38"/>
      <c r="P781" s="38"/>
    </row>
    <row r="782">
      <c r="A782" s="41"/>
      <c r="C782" s="7"/>
      <c r="D782" s="7"/>
      <c r="E782" s="18"/>
      <c r="F782" s="38"/>
      <c r="G782" s="38"/>
      <c r="H782" s="38"/>
      <c r="I782" s="38"/>
      <c r="J782" s="38"/>
      <c r="K782" s="38"/>
      <c r="L782" s="38"/>
      <c r="M782" s="38"/>
      <c r="N782" s="38"/>
      <c r="O782" s="38"/>
      <c r="P782" s="38"/>
    </row>
    <row r="783">
      <c r="A783" s="41"/>
      <c r="C783" s="7"/>
      <c r="D783" s="7"/>
      <c r="E783" s="18"/>
      <c r="F783" s="38"/>
      <c r="G783" s="38"/>
      <c r="H783" s="38"/>
      <c r="I783" s="38"/>
      <c r="J783" s="38"/>
      <c r="K783" s="38"/>
      <c r="L783" s="38"/>
      <c r="M783" s="38"/>
      <c r="N783" s="38"/>
      <c r="O783" s="38"/>
      <c r="P783" s="38"/>
    </row>
    <row r="784">
      <c r="A784" s="41"/>
      <c r="C784" s="7"/>
      <c r="D784" s="7"/>
      <c r="E784" s="18"/>
      <c r="F784" s="38"/>
      <c r="G784" s="38"/>
      <c r="H784" s="38"/>
      <c r="I784" s="38"/>
      <c r="J784" s="38"/>
      <c r="K784" s="38"/>
      <c r="L784" s="38"/>
      <c r="M784" s="38"/>
      <c r="N784" s="38"/>
      <c r="O784" s="38"/>
      <c r="P784" s="38"/>
    </row>
    <row r="785">
      <c r="A785" s="41"/>
      <c r="C785" s="7"/>
      <c r="D785" s="7"/>
      <c r="E785" s="18"/>
      <c r="F785" s="38"/>
      <c r="G785" s="38"/>
      <c r="H785" s="38"/>
      <c r="I785" s="38"/>
      <c r="J785" s="38"/>
      <c r="K785" s="38"/>
      <c r="L785" s="38"/>
      <c r="M785" s="38"/>
      <c r="N785" s="38"/>
      <c r="O785" s="38"/>
      <c r="P785" s="38"/>
    </row>
    <row r="786">
      <c r="A786" s="41"/>
      <c r="C786" s="7"/>
      <c r="D786" s="7"/>
      <c r="E786" s="18"/>
      <c r="F786" s="38"/>
      <c r="G786" s="38"/>
      <c r="H786" s="38"/>
      <c r="I786" s="38"/>
      <c r="J786" s="38"/>
      <c r="K786" s="38"/>
      <c r="L786" s="38"/>
      <c r="M786" s="38"/>
      <c r="N786" s="38"/>
      <c r="O786" s="38"/>
      <c r="P786" s="38"/>
    </row>
    <row r="787">
      <c r="A787" s="41"/>
      <c r="C787" s="7"/>
      <c r="D787" s="7"/>
      <c r="E787" s="18"/>
      <c r="F787" s="38"/>
      <c r="G787" s="38"/>
      <c r="H787" s="38"/>
      <c r="I787" s="38"/>
      <c r="J787" s="38"/>
      <c r="K787" s="38"/>
      <c r="L787" s="38"/>
      <c r="M787" s="38"/>
      <c r="N787" s="38"/>
      <c r="O787" s="38"/>
      <c r="P787" s="38"/>
    </row>
    <row r="788">
      <c r="A788" s="41"/>
      <c r="C788" s="7"/>
      <c r="D788" s="7"/>
      <c r="E788" s="18"/>
      <c r="F788" s="38"/>
      <c r="G788" s="38"/>
      <c r="H788" s="38"/>
      <c r="I788" s="38"/>
      <c r="J788" s="38"/>
      <c r="K788" s="38"/>
      <c r="L788" s="38"/>
      <c r="M788" s="38"/>
      <c r="N788" s="38"/>
      <c r="O788" s="38"/>
      <c r="P788" s="38"/>
    </row>
    <row r="789">
      <c r="A789" s="41"/>
      <c r="C789" s="7"/>
      <c r="D789" s="7"/>
      <c r="E789" s="18"/>
      <c r="F789" s="38"/>
      <c r="G789" s="38"/>
      <c r="H789" s="38"/>
      <c r="I789" s="38"/>
      <c r="J789" s="38"/>
      <c r="K789" s="38"/>
      <c r="L789" s="38"/>
      <c r="M789" s="38"/>
      <c r="N789" s="38"/>
      <c r="O789" s="38"/>
      <c r="P789" s="38"/>
    </row>
    <row r="790">
      <c r="A790" s="41"/>
      <c r="C790" s="7"/>
      <c r="D790" s="7"/>
      <c r="E790" s="18"/>
      <c r="F790" s="38"/>
      <c r="G790" s="38"/>
      <c r="H790" s="38"/>
      <c r="I790" s="38"/>
      <c r="J790" s="38"/>
      <c r="K790" s="38"/>
      <c r="L790" s="38"/>
      <c r="M790" s="38"/>
      <c r="N790" s="38"/>
      <c r="O790" s="38"/>
      <c r="P790" s="38"/>
    </row>
    <row r="791">
      <c r="A791" s="41"/>
      <c r="C791" s="7"/>
      <c r="D791" s="7"/>
      <c r="E791" s="18"/>
      <c r="F791" s="38"/>
      <c r="G791" s="38"/>
      <c r="H791" s="38"/>
      <c r="I791" s="38"/>
      <c r="J791" s="38"/>
      <c r="K791" s="38"/>
      <c r="L791" s="38"/>
      <c r="M791" s="38"/>
      <c r="N791" s="38"/>
      <c r="O791" s="38"/>
      <c r="P791" s="38"/>
    </row>
    <row r="792">
      <c r="A792" s="41"/>
      <c r="C792" s="7"/>
      <c r="D792" s="7"/>
      <c r="E792" s="18"/>
      <c r="F792" s="38"/>
      <c r="G792" s="38"/>
      <c r="H792" s="38"/>
      <c r="I792" s="38"/>
      <c r="J792" s="38"/>
      <c r="K792" s="38"/>
      <c r="L792" s="38"/>
      <c r="M792" s="38"/>
      <c r="N792" s="38"/>
      <c r="O792" s="38"/>
      <c r="P792" s="38"/>
    </row>
    <row r="793">
      <c r="A793" s="41"/>
      <c r="C793" s="7"/>
      <c r="D793" s="7"/>
      <c r="E793" s="18"/>
      <c r="F793" s="38"/>
      <c r="G793" s="38"/>
      <c r="H793" s="38"/>
      <c r="I793" s="38"/>
      <c r="J793" s="38"/>
      <c r="K793" s="38"/>
      <c r="L793" s="38"/>
      <c r="M793" s="38"/>
      <c r="N793" s="38"/>
      <c r="O793" s="38"/>
      <c r="P793" s="38"/>
    </row>
    <row r="794">
      <c r="A794" s="41"/>
      <c r="C794" s="7"/>
      <c r="D794" s="7"/>
      <c r="E794" s="18"/>
      <c r="F794" s="38"/>
      <c r="G794" s="38"/>
      <c r="H794" s="38"/>
      <c r="I794" s="38"/>
      <c r="J794" s="38"/>
      <c r="K794" s="38"/>
      <c r="L794" s="38"/>
      <c r="M794" s="38"/>
      <c r="N794" s="38"/>
      <c r="O794" s="38"/>
      <c r="P794" s="38"/>
    </row>
    <row r="795">
      <c r="A795" s="41"/>
      <c r="C795" s="7"/>
      <c r="D795" s="7"/>
      <c r="E795" s="18"/>
      <c r="F795" s="38"/>
      <c r="G795" s="38"/>
      <c r="H795" s="38"/>
      <c r="I795" s="38"/>
      <c r="J795" s="38"/>
      <c r="K795" s="38"/>
      <c r="L795" s="38"/>
      <c r="M795" s="38"/>
      <c r="N795" s="38"/>
      <c r="O795" s="38"/>
      <c r="P795" s="38"/>
    </row>
    <row r="796">
      <c r="A796" s="41"/>
      <c r="C796" s="7"/>
      <c r="D796" s="7"/>
      <c r="E796" s="18"/>
      <c r="F796" s="38"/>
      <c r="G796" s="38"/>
      <c r="H796" s="38"/>
      <c r="I796" s="38"/>
      <c r="J796" s="38"/>
      <c r="K796" s="38"/>
      <c r="L796" s="38"/>
      <c r="M796" s="38"/>
      <c r="N796" s="38"/>
      <c r="O796" s="38"/>
      <c r="P796" s="38"/>
    </row>
    <row r="797">
      <c r="A797" s="41"/>
      <c r="C797" s="7"/>
      <c r="D797" s="7"/>
      <c r="E797" s="18"/>
      <c r="F797" s="38"/>
      <c r="G797" s="38"/>
      <c r="H797" s="38"/>
      <c r="I797" s="38"/>
      <c r="J797" s="38"/>
      <c r="K797" s="38"/>
      <c r="L797" s="38"/>
      <c r="M797" s="38"/>
      <c r="N797" s="38"/>
      <c r="O797" s="38"/>
      <c r="P797" s="38"/>
    </row>
    <row r="798">
      <c r="A798" s="41"/>
      <c r="C798" s="7"/>
      <c r="D798" s="7"/>
      <c r="E798" s="18"/>
      <c r="F798" s="38"/>
      <c r="G798" s="38"/>
      <c r="H798" s="38"/>
      <c r="I798" s="38"/>
      <c r="J798" s="38"/>
      <c r="K798" s="38"/>
      <c r="L798" s="38"/>
      <c r="M798" s="38"/>
      <c r="N798" s="38"/>
      <c r="O798" s="38"/>
      <c r="P798" s="38"/>
    </row>
    <row r="799">
      <c r="A799" s="41"/>
      <c r="C799" s="7"/>
      <c r="D799" s="7"/>
      <c r="E799" s="18"/>
      <c r="F799" s="38"/>
      <c r="G799" s="38"/>
      <c r="H799" s="38"/>
      <c r="I799" s="38"/>
      <c r="J799" s="38"/>
      <c r="K799" s="38"/>
      <c r="L799" s="38"/>
      <c r="M799" s="38"/>
      <c r="N799" s="38"/>
      <c r="O799" s="38"/>
      <c r="P799" s="38"/>
    </row>
    <row r="800">
      <c r="A800" s="41"/>
      <c r="C800" s="7"/>
      <c r="D800" s="7"/>
      <c r="E800" s="18"/>
      <c r="F800" s="38"/>
      <c r="G800" s="38"/>
      <c r="H800" s="38"/>
      <c r="I800" s="38"/>
      <c r="J800" s="38"/>
      <c r="K800" s="38"/>
      <c r="L800" s="38"/>
      <c r="M800" s="38"/>
      <c r="N800" s="38"/>
      <c r="O800" s="38"/>
      <c r="P800" s="38"/>
    </row>
    <row r="801">
      <c r="A801" s="41"/>
      <c r="C801" s="7"/>
      <c r="D801" s="7"/>
      <c r="E801" s="18"/>
      <c r="F801" s="38"/>
      <c r="G801" s="38"/>
      <c r="H801" s="38"/>
      <c r="I801" s="38"/>
      <c r="J801" s="38"/>
      <c r="K801" s="38"/>
      <c r="L801" s="38"/>
      <c r="M801" s="38"/>
      <c r="N801" s="38"/>
      <c r="O801" s="38"/>
      <c r="P801" s="38"/>
    </row>
    <row r="802">
      <c r="A802" s="41"/>
      <c r="C802" s="7"/>
      <c r="D802" s="7"/>
      <c r="E802" s="18"/>
      <c r="F802" s="38"/>
      <c r="G802" s="38"/>
      <c r="H802" s="38"/>
      <c r="I802" s="38"/>
      <c r="J802" s="38"/>
      <c r="K802" s="38"/>
      <c r="L802" s="38"/>
      <c r="M802" s="38"/>
      <c r="N802" s="38"/>
      <c r="O802" s="38"/>
      <c r="P802" s="38"/>
    </row>
    <row r="803">
      <c r="A803" s="41"/>
      <c r="C803" s="7"/>
      <c r="D803" s="7"/>
      <c r="E803" s="18"/>
      <c r="F803" s="38"/>
      <c r="G803" s="38"/>
      <c r="H803" s="38"/>
      <c r="I803" s="38"/>
      <c r="J803" s="38"/>
      <c r="K803" s="38"/>
      <c r="L803" s="38"/>
      <c r="M803" s="38"/>
      <c r="N803" s="38"/>
      <c r="O803" s="38"/>
      <c r="P803" s="38"/>
    </row>
    <row r="804">
      <c r="A804" s="41"/>
      <c r="C804" s="7"/>
      <c r="D804" s="7"/>
      <c r="E804" s="18"/>
      <c r="F804" s="38"/>
      <c r="G804" s="38"/>
      <c r="H804" s="38"/>
      <c r="I804" s="38"/>
      <c r="J804" s="38"/>
      <c r="K804" s="38"/>
      <c r="L804" s="38"/>
      <c r="M804" s="38"/>
      <c r="N804" s="38"/>
      <c r="O804" s="38"/>
      <c r="P804" s="38"/>
    </row>
    <row r="805">
      <c r="A805" s="41"/>
      <c r="C805" s="7"/>
      <c r="D805" s="7"/>
      <c r="E805" s="18"/>
      <c r="F805" s="38"/>
      <c r="G805" s="38"/>
      <c r="H805" s="38"/>
      <c r="I805" s="38"/>
      <c r="J805" s="38"/>
      <c r="K805" s="38"/>
      <c r="L805" s="38"/>
      <c r="M805" s="38"/>
      <c r="N805" s="38"/>
      <c r="O805" s="38"/>
      <c r="P805" s="38"/>
    </row>
    <row r="806">
      <c r="A806" s="41"/>
      <c r="C806" s="7"/>
      <c r="D806" s="7"/>
      <c r="E806" s="18"/>
      <c r="F806" s="38"/>
      <c r="G806" s="38"/>
      <c r="H806" s="38"/>
      <c r="I806" s="38"/>
      <c r="J806" s="38"/>
      <c r="K806" s="38"/>
      <c r="L806" s="38"/>
      <c r="M806" s="38"/>
      <c r="N806" s="38"/>
      <c r="O806" s="38"/>
      <c r="P806" s="38"/>
    </row>
    <row r="807">
      <c r="A807" s="41"/>
      <c r="C807" s="7"/>
      <c r="D807" s="7"/>
      <c r="E807" s="18"/>
      <c r="F807" s="38"/>
      <c r="G807" s="38"/>
      <c r="H807" s="38"/>
      <c r="I807" s="38"/>
      <c r="J807" s="38"/>
      <c r="K807" s="38"/>
      <c r="L807" s="38"/>
      <c r="M807" s="38"/>
      <c r="N807" s="38"/>
      <c r="O807" s="38"/>
      <c r="P807" s="38"/>
    </row>
    <row r="808">
      <c r="A808" s="41"/>
      <c r="C808" s="7"/>
      <c r="D808" s="7"/>
      <c r="E808" s="18"/>
      <c r="F808" s="38"/>
      <c r="G808" s="38"/>
      <c r="H808" s="38"/>
      <c r="I808" s="38"/>
      <c r="J808" s="38"/>
      <c r="K808" s="38"/>
      <c r="L808" s="38"/>
      <c r="M808" s="38"/>
      <c r="N808" s="38"/>
      <c r="O808" s="38"/>
      <c r="P808" s="38"/>
    </row>
    <row r="809">
      <c r="A809" s="41"/>
      <c r="C809" s="7"/>
      <c r="D809" s="7"/>
      <c r="E809" s="18"/>
      <c r="F809" s="38"/>
      <c r="G809" s="38"/>
      <c r="H809" s="38"/>
      <c r="I809" s="38"/>
      <c r="J809" s="38"/>
      <c r="K809" s="38"/>
      <c r="L809" s="38"/>
      <c r="M809" s="38"/>
      <c r="N809" s="38"/>
      <c r="O809" s="38"/>
      <c r="P809" s="38"/>
    </row>
    <row r="810">
      <c r="A810" s="41"/>
      <c r="C810" s="7"/>
      <c r="D810" s="7"/>
      <c r="E810" s="18"/>
      <c r="F810" s="38"/>
      <c r="G810" s="38"/>
      <c r="H810" s="38"/>
      <c r="I810" s="38"/>
      <c r="J810" s="38"/>
      <c r="K810" s="38"/>
      <c r="L810" s="38"/>
      <c r="M810" s="38"/>
      <c r="N810" s="38"/>
      <c r="O810" s="38"/>
      <c r="P810" s="38"/>
    </row>
    <row r="811">
      <c r="A811" s="41"/>
      <c r="C811" s="7"/>
      <c r="D811" s="7"/>
      <c r="E811" s="18"/>
      <c r="F811" s="38"/>
      <c r="G811" s="38"/>
      <c r="H811" s="38"/>
      <c r="I811" s="38"/>
      <c r="J811" s="38"/>
      <c r="K811" s="38"/>
      <c r="L811" s="38"/>
      <c r="M811" s="38"/>
      <c r="N811" s="38"/>
      <c r="O811" s="38"/>
      <c r="P811" s="38"/>
    </row>
    <row r="812">
      <c r="A812" s="41"/>
      <c r="C812" s="7"/>
      <c r="D812" s="7"/>
      <c r="E812" s="18"/>
      <c r="F812" s="38"/>
      <c r="G812" s="38"/>
      <c r="H812" s="38"/>
      <c r="I812" s="38"/>
      <c r="J812" s="38"/>
      <c r="K812" s="38"/>
      <c r="L812" s="38"/>
      <c r="M812" s="38"/>
      <c r="N812" s="38"/>
      <c r="O812" s="38"/>
      <c r="P812" s="38"/>
    </row>
    <row r="813">
      <c r="A813" s="41"/>
      <c r="C813" s="7"/>
      <c r="D813" s="7"/>
      <c r="E813" s="18"/>
      <c r="F813" s="38"/>
      <c r="G813" s="38"/>
      <c r="H813" s="38"/>
      <c r="I813" s="38"/>
      <c r="J813" s="38"/>
      <c r="K813" s="38"/>
      <c r="L813" s="38"/>
      <c r="M813" s="38"/>
      <c r="N813" s="38"/>
      <c r="O813" s="38"/>
      <c r="P813" s="38"/>
    </row>
    <row r="814">
      <c r="A814" s="41"/>
      <c r="C814" s="7"/>
      <c r="D814" s="7"/>
      <c r="E814" s="18"/>
      <c r="F814" s="38"/>
      <c r="G814" s="38"/>
      <c r="H814" s="38"/>
      <c r="I814" s="38"/>
      <c r="J814" s="38"/>
      <c r="K814" s="38"/>
      <c r="L814" s="38"/>
      <c r="M814" s="38"/>
      <c r="N814" s="38"/>
      <c r="O814" s="38"/>
      <c r="P814" s="38"/>
    </row>
    <row r="815">
      <c r="A815" s="41"/>
      <c r="C815" s="7"/>
      <c r="D815" s="7"/>
      <c r="E815" s="18"/>
      <c r="F815" s="38"/>
      <c r="G815" s="38"/>
      <c r="H815" s="38"/>
      <c r="I815" s="38"/>
      <c r="J815" s="38"/>
      <c r="K815" s="38"/>
      <c r="L815" s="38"/>
      <c r="M815" s="38"/>
      <c r="N815" s="38"/>
      <c r="O815" s="38"/>
      <c r="P815" s="38"/>
    </row>
    <row r="816">
      <c r="A816" s="41"/>
      <c r="C816" s="7"/>
      <c r="D816" s="7"/>
      <c r="E816" s="18"/>
      <c r="F816" s="38"/>
      <c r="G816" s="38"/>
      <c r="H816" s="38"/>
      <c r="I816" s="38"/>
      <c r="J816" s="38"/>
      <c r="K816" s="38"/>
      <c r="L816" s="38"/>
      <c r="M816" s="38"/>
      <c r="N816" s="38"/>
      <c r="O816" s="38"/>
      <c r="P816" s="38"/>
    </row>
    <row r="817">
      <c r="A817" s="41"/>
      <c r="C817" s="7"/>
      <c r="D817" s="7"/>
      <c r="E817" s="18"/>
      <c r="F817" s="38"/>
      <c r="G817" s="38"/>
      <c r="H817" s="38"/>
      <c r="I817" s="38"/>
      <c r="J817" s="38"/>
      <c r="K817" s="38"/>
      <c r="L817" s="38"/>
      <c r="M817" s="38"/>
      <c r="N817" s="38"/>
      <c r="O817" s="38"/>
      <c r="P817" s="38"/>
    </row>
    <row r="818">
      <c r="A818" s="41"/>
      <c r="C818" s="7"/>
      <c r="D818" s="7"/>
      <c r="E818" s="18"/>
      <c r="F818" s="38"/>
      <c r="G818" s="38"/>
      <c r="H818" s="38"/>
      <c r="I818" s="38"/>
      <c r="J818" s="38"/>
      <c r="K818" s="38"/>
      <c r="L818" s="38"/>
      <c r="M818" s="38"/>
      <c r="N818" s="38"/>
      <c r="O818" s="38"/>
      <c r="P818" s="38"/>
    </row>
    <row r="819">
      <c r="A819" s="41"/>
      <c r="C819" s="7"/>
      <c r="D819" s="7"/>
      <c r="E819" s="18"/>
      <c r="F819" s="38"/>
      <c r="G819" s="38"/>
      <c r="H819" s="38"/>
      <c r="I819" s="38"/>
      <c r="J819" s="38"/>
      <c r="K819" s="38"/>
      <c r="L819" s="38"/>
      <c r="M819" s="38"/>
      <c r="N819" s="38"/>
      <c r="O819" s="38"/>
      <c r="P819" s="38"/>
    </row>
    <row r="820">
      <c r="A820" s="41"/>
      <c r="C820" s="7"/>
      <c r="D820" s="7"/>
      <c r="E820" s="18"/>
      <c r="F820" s="38"/>
      <c r="G820" s="38"/>
      <c r="H820" s="38"/>
      <c r="I820" s="38"/>
      <c r="J820" s="38"/>
      <c r="K820" s="38"/>
      <c r="L820" s="38"/>
      <c r="M820" s="38"/>
      <c r="N820" s="38"/>
      <c r="O820" s="38"/>
      <c r="P820" s="38"/>
    </row>
    <row r="821">
      <c r="A821" s="41"/>
      <c r="C821" s="7"/>
      <c r="D821" s="7"/>
      <c r="E821" s="18"/>
      <c r="F821" s="38"/>
      <c r="G821" s="38"/>
      <c r="H821" s="38"/>
      <c r="I821" s="38"/>
      <c r="J821" s="38"/>
      <c r="K821" s="38"/>
      <c r="L821" s="38"/>
      <c r="M821" s="38"/>
      <c r="N821" s="38"/>
      <c r="O821" s="38"/>
      <c r="P821" s="38"/>
    </row>
    <row r="822">
      <c r="A822" s="19"/>
      <c r="B822" s="19"/>
      <c r="C822" s="42"/>
      <c r="D822" s="42"/>
      <c r="E822" s="19"/>
      <c r="F822" s="39"/>
      <c r="G822" s="39"/>
      <c r="H822" s="39"/>
      <c r="I822" s="39"/>
      <c r="J822" s="39"/>
      <c r="K822" s="19"/>
      <c r="L822" s="19"/>
      <c r="M822" s="38"/>
      <c r="N822" s="38"/>
      <c r="O822" s="38"/>
      <c r="P822" s="38"/>
    </row>
    <row r="823">
      <c r="A823" s="41"/>
      <c r="C823" s="7"/>
      <c r="D823" s="7"/>
      <c r="E823" s="18"/>
      <c r="F823" s="38"/>
      <c r="G823" s="38"/>
      <c r="H823" s="38"/>
      <c r="I823" s="38"/>
      <c r="J823" s="38"/>
      <c r="K823" s="38"/>
      <c r="L823" s="38"/>
      <c r="M823" s="38"/>
      <c r="N823" s="38"/>
      <c r="O823" s="38"/>
      <c r="P823" s="38"/>
    </row>
    <row r="824">
      <c r="A824" s="41"/>
      <c r="C824" s="7"/>
      <c r="D824" s="7"/>
      <c r="E824" s="18"/>
      <c r="F824" s="38"/>
      <c r="G824" s="38"/>
      <c r="H824" s="38"/>
      <c r="I824" s="38"/>
      <c r="J824" s="38"/>
      <c r="K824" s="38"/>
      <c r="L824" s="38"/>
      <c r="M824" s="38"/>
      <c r="N824" s="38"/>
      <c r="O824" s="38"/>
      <c r="P824" s="38"/>
    </row>
    <row r="825">
      <c r="A825" s="41"/>
      <c r="C825" s="7"/>
      <c r="D825" s="7"/>
      <c r="E825" s="18"/>
      <c r="F825" s="38"/>
      <c r="G825" s="38"/>
      <c r="H825" s="38"/>
      <c r="I825" s="38"/>
      <c r="J825" s="38"/>
      <c r="K825" s="38"/>
      <c r="L825" s="38"/>
      <c r="M825" s="38"/>
      <c r="N825" s="38"/>
      <c r="O825" s="38"/>
      <c r="P825" s="38"/>
    </row>
    <row r="826">
      <c r="A826" s="41"/>
      <c r="C826" s="7"/>
      <c r="D826" s="7"/>
      <c r="E826" s="18"/>
      <c r="F826" s="38"/>
      <c r="G826" s="38"/>
      <c r="H826" s="38"/>
      <c r="I826" s="38"/>
      <c r="J826" s="38"/>
      <c r="K826" s="38"/>
      <c r="L826" s="38"/>
      <c r="M826" s="38"/>
      <c r="N826" s="38"/>
      <c r="O826" s="38"/>
      <c r="P826" s="38"/>
    </row>
    <row r="827">
      <c r="A827" s="41"/>
      <c r="C827" s="7"/>
      <c r="D827" s="7"/>
      <c r="E827" s="18"/>
      <c r="F827" s="38"/>
      <c r="G827" s="38"/>
      <c r="H827" s="38"/>
      <c r="I827" s="38"/>
      <c r="J827" s="38"/>
      <c r="K827" s="38"/>
      <c r="L827" s="38"/>
      <c r="M827" s="38"/>
      <c r="N827" s="38"/>
      <c r="O827" s="38"/>
      <c r="P827" s="38"/>
    </row>
    <row r="828">
      <c r="A828" s="41"/>
      <c r="C828" s="7"/>
      <c r="D828" s="7"/>
      <c r="E828" s="18"/>
      <c r="F828" s="38"/>
      <c r="G828" s="38"/>
      <c r="H828" s="38"/>
      <c r="I828" s="38"/>
      <c r="J828" s="38"/>
      <c r="K828" s="38"/>
      <c r="L828" s="38"/>
      <c r="M828" s="38"/>
      <c r="N828" s="38"/>
      <c r="O828" s="38"/>
      <c r="P828" s="38"/>
    </row>
    <row r="829">
      <c r="A829" s="41"/>
      <c r="C829" s="7"/>
      <c r="D829" s="7"/>
      <c r="E829" s="18"/>
      <c r="F829" s="38"/>
      <c r="G829" s="38"/>
      <c r="H829" s="38"/>
      <c r="I829" s="38"/>
      <c r="J829" s="38"/>
      <c r="K829" s="38"/>
      <c r="L829" s="38"/>
      <c r="M829" s="38"/>
      <c r="N829" s="38"/>
      <c r="O829" s="38"/>
      <c r="P829" s="38"/>
    </row>
    <row r="830">
      <c r="A830" s="41"/>
      <c r="C830" s="7"/>
      <c r="D830" s="7"/>
      <c r="E830" s="18"/>
      <c r="F830" s="38"/>
      <c r="G830" s="38"/>
      <c r="H830" s="38"/>
      <c r="I830" s="38"/>
      <c r="J830" s="38"/>
      <c r="K830" s="38"/>
      <c r="L830" s="38"/>
      <c r="M830" s="38"/>
      <c r="N830" s="38"/>
      <c r="O830" s="38"/>
      <c r="P830" s="38"/>
    </row>
    <row r="831">
      <c r="A831" s="41"/>
      <c r="C831" s="7"/>
      <c r="D831" s="7"/>
      <c r="E831" s="18"/>
      <c r="F831" s="38"/>
      <c r="G831" s="38"/>
      <c r="H831" s="38"/>
      <c r="I831" s="38"/>
      <c r="J831" s="38"/>
      <c r="K831" s="38"/>
      <c r="L831" s="38"/>
      <c r="M831" s="38"/>
      <c r="N831" s="38"/>
      <c r="O831" s="38"/>
      <c r="P831" s="38"/>
    </row>
    <row r="832">
      <c r="A832" s="41"/>
      <c r="C832" s="7"/>
      <c r="D832" s="7"/>
      <c r="E832" s="18"/>
      <c r="F832" s="38"/>
      <c r="G832" s="38"/>
      <c r="H832" s="38"/>
      <c r="I832" s="38"/>
      <c r="J832" s="38"/>
      <c r="K832" s="38"/>
      <c r="L832" s="38"/>
      <c r="M832" s="38"/>
      <c r="N832" s="38"/>
      <c r="O832" s="38"/>
      <c r="P832" s="38"/>
    </row>
    <row r="833">
      <c r="A833" s="41"/>
      <c r="C833" s="7"/>
      <c r="D833" s="7"/>
      <c r="E833" s="18"/>
      <c r="F833" s="38"/>
      <c r="G833" s="38"/>
      <c r="H833" s="38"/>
      <c r="I833" s="38"/>
      <c r="J833" s="38"/>
      <c r="K833" s="38"/>
      <c r="L833" s="38"/>
      <c r="M833" s="38"/>
      <c r="N833" s="38"/>
      <c r="O833" s="38"/>
      <c r="P833" s="38"/>
    </row>
    <row r="834">
      <c r="A834" s="41"/>
      <c r="C834" s="7"/>
      <c r="D834" s="7"/>
      <c r="E834" s="18"/>
      <c r="F834" s="38"/>
      <c r="G834" s="38"/>
      <c r="H834" s="38"/>
      <c r="I834" s="38"/>
      <c r="J834" s="38"/>
      <c r="K834" s="38"/>
      <c r="L834" s="38"/>
      <c r="M834" s="38"/>
      <c r="N834" s="38"/>
      <c r="O834" s="38"/>
      <c r="P834" s="38"/>
    </row>
    <row r="835">
      <c r="A835" s="41"/>
      <c r="C835" s="7"/>
      <c r="D835" s="7"/>
      <c r="E835" s="18"/>
      <c r="F835" s="38"/>
      <c r="G835" s="38"/>
      <c r="H835" s="38"/>
      <c r="I835" s="38"/>
      <c r="J835" s="38"/>
      <c r="K835" s="38"/>
      <c r="L835" s="38"/>
      <c r="M835" s="38"/>
      <c r="N835" s="38"/>
      <c r="O835" s="38"/>
      <c r="P835" s="38"/>
    </row>
    <row r="836">
      <c r="A836" s="41"/>
      <c r="C836" s="7"/>
      <c r="D836" s="7"/>
      <c r="E836" s="18"/>
      <c r="F836" s="38"/>
      <c r="G836" s="38"/>
      <c r="H836" s="38"/>
      <c r="I836" s="38"/>
      <c r="J836" s="38"/>
      <c r="K836" s="38"/>
      <c r="L836" s="38"/>
      <c r="M836" s="38"/>
      <c r="N836" s="38"/>
      <c r="O836" s="38"/>
      <c r="P836" s="38"/>
    </row>
    <row r="837">
      <c r="A837" s="41"/>
      <c r="C837" s="7"/>
      <c r="D837" s="7"/>
      <c r="E837" s="18"/>
      <c r="F837" s="38"/>
      <c r="G837" s="38"/>
      <c r="H837" s="38"/>
      <c r="I837" s="38"/>
      <c r="J837" s="38"/>
      <c r="K837" s="38"/>
      <c r="L837" s="38"/>
      <c r="M837" s="38"/>
      <c r="N837" s="38"/>
      <c r="O837" s="38"/>
      <c r="P837" s="38"/>
    </row>
    <row r="838">
      <c r="A838" s="41"/>
      <c r="C838" s="7"/>
      <c r="D838" s="7"/>
      <c r="E838" s="18"/>
      <c r="F838" s="38"/>
      <c r="G838" s="38"/>
      <c r="H838" s="38"/>
      <c r="I838" s="38"/>
      <c r="J838" s="38"/>
      <c r="K838" s="38"/>
      <c r="L838" s="38"/>
      <c r="M838" s="38"/>
      <c r="N838" s="38"/>
      <c r="O838" s="38"/>
      <c r="P838" s="38"/>
    </row>
    <row r="839">
      <c r="A839" s="41"/>
      <c r="C839" s="7"/>
      <c r="D839" s="7"/>
      <c r="E839" s="18"/>
      <c r="F839" s="38"/>
      <c r="G839" s="38"/>
      <c r="H839" s="38"/>
      <c r="I839" s="38"/>
      <c r="J839" s="38"/>
      <c r="K839" s="38"/>
      <c r="L839" s="38"/>
      <c r="M839" s="38"/>
      <c r="N839" s="38"/>
      <c r="O839" s="38"/>
      <c r="P839" s="38"/>
    </row>
    <row r="840">
      <c r="A840" s="41"/>
      <c r="C840" s="7"/>
      <c r="D840" s="7"/>
      <c r="E840" s="18"/>
      <c r="F840" s="38"/>
      <c r="G840" s="38"/>
      <c r="H840" s="38"/>
      <c r="I840" s="38"/>
      <c r="J840" s="38"/>
      <c r="K840" s="38"/>
      <c r="L840" s="38"/>
      <c r="M840" s="38"/>
      <c r="N840" s="38"/>
      <c r="O840" s="38"/>
      <c r="P840" s="38"/>
    </row>
    <row r="841">
      <c r="A841" s="41"/>
      <c r="C841" s="7"/>
      <c r="D841" s="7"/>
      <c r="E841" s="18"/>
      <c r="F841" s="38"/>
      <c r="G841" s="38"/>
      <c r="H841" s="38"/>
      <c r="I841" s="38"/>
      <c r="J841" s="38"/>
      <c r="K841" s="38"/>
      <c r="L841" s="38"/>
      <c r="M841" s="38"/>
      <c r="N841" s="38"/>
      <c r="O841" s="38"/>
      <c r="P841" s="38"/>
    </row>
    <row r="842">
      <c r="A842" s="41"/>
      <c r="C842" s="7"/>
      <c r="D842" s="7"/>
      <c r="E842" s="18"/>
      <c r="F842" s="38"/>
      <c r="G842" s="38"/>
      <c r="H842" s="38"/>
      <c r="I842" s="38"/>
      <c r="J842" s="38"/>
      <c r="K842" s="38"/>
      <c r="L842" s="38"/>
      <c r="M842" s="38"/>
      <c r="N842" s="38"/>
      <c r="O842" s="38"/>
      <c r="P842" s="38"/>
    </row>
    <row r="843">
      <c r="A843" s="41"/>
      <c r="C843" s="7"/>
      <c r="D843" s="7"/>
      <c r="E843" s="18"/>
      <c r="F843" s="38"/>
      <c r="G843" s="38"/>
      <c r="H843" s="38"/>
      <c r="I843" s="38"/>
      <c r="J843" s="38"/>
      <c r="K843" s="38"/>
      <c r="L843" s="38"/>
      <c r="M843" s="38"/>
      <c r="N843" s="38"/>
      <c r="O843" s="38"/>
      <c r="P843" s="38"/>
    </row>
    <row r="844">
      <c r="A844" s="41"/>
      <c r="C844" s="7"/>
      <c r="D844" s="7"/>
      <c r="E844" s="18"/>
      <c r="F844" s="38"/>
      <c r="G844" s="38"/>
      <c r="H844" s="38"/>
      <c r="I844" s="38"/>
      <c r="J844" s="38"/>
      <c r="K844" s="38"/>
      <c r="L844" s="38"/>
      <c r="M844" s="38"/>
      <c r="N844" s="38"/>
      <c r="O844" s="38"/>
      <c r="P844" s="38"/>
    </row>
    <row r="845">
      <c r="A845" s="41"/>
      <c r="C845" s="7"/>
      <c r="D845" s="7"/>
      <c r="E845" s="18"/>
      <c r="F845" s="38"/>
      <c r="G845" s="38"/>
      <c r="H845" s="38"/>
      <c r="I845" s="38"/>
      <c r="J845" s="38"/>
      <c r="K845" s="38"/>
      <c r="L845" s="38"/>
      <c r="M845" s="38"/>
      <c r="N845" s="38"/>
      <c r="O845" s="38"/>
      <c r="P845" s="38"/>
    </row>
    <row r="846">
      <c r="A846" s="41"/>
      <c r="C846" s="7"/>
      <c r="D846" s="7"/>
      <c r="E846" s="18"/>
      <c r="F846" s="38"/>
      <c r="G846" s="38"/>
      <c r="H846" s="38"/>
      <c r="I846" s="38"/>
      <c r="J846" s="38"/>
      <c r="K846" s="38"/>
      <c r="L846" s="38"/>
      <c r="M846" s="38"/>
      <c r="N846" s="38"/>
      <c r="O846" s="38"/>
      <c r="P846" s="38"/>
    </row>
    <row r="847">
      <c r="A847" s="41"/>
      <c r="C847" s="7"/>
      <c r="D847" s="7"/>
      <c r="E847" s="18"/>
      <c r="F847" s="38"/>
      <c r="G847" s="38"/>
      <c r="H847" s="38"/>
      <c r="I847" s="38"/>
      <c r="J847" s="38"/>
      <c r="K847" s="38"/>
      <c r="L847" s="38"/>
      <c r="M847" s="38"/>
      <c r="N847" s="38"/>
      <c r="O847" s="38"/>
      <c r="P847" s="38"/>
    </row>
    <row r="848">
      <c r="A848" s="41"/>
      <c r="C848" s="7"/>
      <c r="D848" s="7"/>
      <c r="E848" s="18"/>
      <c r="F848" s="38"/>
      <c r="G848" s="38"/>
      <c r="H848" s="38"/>
      <c r="I848" s="38"/>
      <c r="J848" s="38"/>
      <c r="K848" s="38"/>
      <c r="L848" s="38"/>
      <c r="M848" s="38"/>
      <c r="N848" s="38"/>
      <c r="O848" s="38"/>
      <c r="P848" s="38"/>
    </row>
    <row r="849">
      <c r="A849" s="41"/>
      <c r="C849" s="7"/>
      <c r="D849" s="7"/>
      <c r="E849" s="18"/>
      <c r="F849" s="38"/>
      <c r="G849" s="38"/>
      <c r="H849" s="38"/>
      <c r="I849" s="38"/>
      <c r="J849" s="38"/>
      <c r="K849" s="38"/>
      <c r="L849" s="38"/>
      <c r="M849" s="38"/>
      <c r="N849" s="38"/>
      <c r="O849" s="38"/>
      <c r="P849" s="38"/>
    </row>
    <row r="850">
      <c r="A850" s="41"/>
      <c r="C850" s="7"/>
      <c r="D850" s="7"/>
      <c r="E850" s="18"/>
      <c r="F850" s="38"/>
      <c r="G850" s="38"/>
      <c r="H850" s="38"/>
      <c r="I850" s="38"/>
      <c r="J850" s="38"/>
      <c r="K850" s="38"/>
      <c r="L850" s="38"/>
      <c r="M850" s="38"/>
      <c r="N850" s="38"/>
      <c r="O850" s="38"/>
      <c r="P850" s="38"/>
    </row>
    <row r="851">
      <c r="A851" s="41"/>
      <c r="C851" s="7"/>
      <c r="D851" s="7"/>
      <c r="E851" s="18"/>
      <c r="F851" s="38"/>
      <c r="G851" s="38"/>
      <c r="H851" s="38"/>
      <c r="I851" s="38"/>
      <c r="J851" s="38"/>
      <c r="K851" s="38"/>
      <c r="L851" s="38"/>
      <c r="M851" s="38"/>
      <c r="N851" s="38"/>
      <c r="O851" s="38"/>
      <c r="P851" s="38"/>
    </row>
    <row r="852">
      <c r="A852" s="41"/>
      <c r="C852" s="7"/>
      <c r="D852" s="7"/>
      <c r="E852" s="18"/>
      <c r="F852" s="38"/>
      <c r="G852" s="38"/>
      <c r="H852" s="38"/>
      <c r="I852" s="38"/>
      <c r="J852" s="38"/>
      <c r="K852" s="38"/>
      <c r="L852" s="38"/>
      <c r="M852" s="38"/>
      <c r="N852" s="38"/>
      <c r="O852" s="38"/>
      <c r="P852" s="38"/>
    </row>
    <row r="853">
      <c r="A853" s="41"/>
      <c r="C853" s="7"/>
      <c r="D853" s="7"/>
      <c r="E853" s="18"/>
      <c r="F853" s="38"/>
      <c r="G853" s="38"/>
      <c r="H853" s="38"/>
      <c r="I853" s="38"/>
      <c r="J853" s="38"/>
      <c r="K853" s="38"/>
      <c r="L853" s="38"/>
      <c r="M853" s="38"/>
      <c r="N853" s="38"/>
      <c r="O853" s="38"/>
      <c r="P853" s="38"/>
    </row>
    <row r="854">
      <c r="A854" s="41"/>
      <c r="C854" s="7"/>
      <c r="D854" s="7"/>
      <c r="E854" s="18"/>
      <c r="F854" s="38"/>
      <c r="G854" s="38"/>
      <c r="H854" s="38"/>
      <c r="I854" s="38"/>
      <c r="J854" s="38"/>
      <c r="K854" s="38"/>
      <c r="L854" s="38"/>
      <c r="M854" s="38"/>
      <c r="N854" s="38"/>
      <c r="O854" s="38"/>
      <c r="P854" s="38"/>
    </row>
    <row r="855">
      <c r="A855" s="41"/>
      <c r="C855" s="7"/>
      <c r="D855" s="7"/>
      <c r="E855" s="18"/>
      <c r="F855" s="38"/>
      <c r="G855" s="38"/>
      <c r="H855" s="38"/>
      <c r="I855" s="38"/>
      <c r="J855" s="38"/>
      <c r="K855" s="38"/>
      <c r="L855" s="38"/>
      <c r="M855" s="38"/>
      <c r="N855" s="38"/>
      <c r="O855" s="38"/>
      <c r="P855" s="38"/>
    </row>
    <row r="856">
      <c r="A856" s="41"/>
      <c r="C856" s="7"/>
      <c r="D856" s="7"/>
      <c r="E856" s="18"/>
      <c r="F856" s="38"/>
      <c r="G856" s="38"/>
      <c r="H856" s="38"/>
      <c r="I856" s="38"/>
      <c r="J856" s="38"/>
      <c r="K856" s="38"/>
      <c r="L856" s="38"/>
      <c r="M856" s="38"/>
      <c r="N856" s="38"/>
      <c r="O856" s="38"/>
      <c r="P856" s="38"/>
    </row>
    <row r="857">
      <c r="A857" s="41"/>
      <c r="C857" s="7"/>
      <c r="D857" s="7"/>
      <c r="E857" s="18"/>
      <c r="F857" s="38"/>
      <c r="G857" s="38"/>
      <c r="H857" s="38"/>
      <c r="I857" s="38"/>
      <c r="J857" s="38"/>
      <c r="K857" s="38"/>
      <c r="L857" s="38"/>
      <c r="M857" s="38"/>
      <c r="N857" s="38"/>
      <c r="O857" s="38"/>
      <c r="P857" s="38"/>
    </row>
    <row r="858">
      <c r="A858" s="41"/>
      <c r="C858" s="7"/>
      <c r="D858" s="7"/>
      <c r="E858" s="18"/>
      <c r="F858" s="38"/>
      <c r="G858" s="38"/>
      <c r="H858" s="38"/>
      <c r="I858" s="38"/>
      <c r="J858" s="38"/>
      <c r="K858" s="38"/>
      <c r="L858" s="38"/>
      <c r="M858" s="38"/>
      <c r="N858" s="38"/>
      <c r="O858" s="38"/>
      <c r="P858" s="38"/>
    </row>
    <row r="859">
      <c r="A859" s="41"/>
      <c r="C859" s="7"/>
      <c r="D859" s="7"/>
      <c r="E859" s="18"/>
      <c r="F859" s="38"/>
      <c r="G859" s="38"/>
      <c r="H859" s="38"/>
      <c r="I859" s="38"/>
      <c r="J859" s="38"/>
      <c r="K859" s="38"/>
      <c r="L859" s="38"/>
      <c r="M859" s="38"/>
      <c r="N859" s="38"/>
      <c r="O859" s="38"/>
      <c r="P859" s="38"/>
    </row>
    <row r="860">
      <c r="A860" s="41"/>
      <c r="C860" s="7"/>
      <c r="D860" s="7"/>
      <c r="E860" s="18"/>
      <c r="F860" s="38"/>
      <c r="G860" s="38"/>
      <c r="H860" s="38"/>
      <c r="I860" s="38"/>
      <c r="J860" s="38"/>
      <c r="K860" s="38"/>
      <c r="L860" s="38"/>
      <c r="M860" s="38"/>
      <c r="N860" s="38"/>
      <c r="O860" s="38"/>
      <c r="P860" s="38"/>
    </row>
    <row r="861">
      <c r="A861" s="41"/>
      <c r="C861" s="7"/>
      <c r="D861" s="7"/>
      <c r="E861" s="18"/>
      <c r="F861" s="38"/>
      <c r="G861" s="38"/>
      <c r="H861" s="38"/>
      <c r="I861" s="38"/>
      <c r="J861" s="38"/>
      <c r="K861" s="38"/>
      <c r="L861" s="38"/>
      <c r="M861" s="38"/>
      <c r="N861" s="38"/>
      <c r="O861" s="38"/>
      <c r="P861" s="38"/>
    </row>
    <row r="862">
      <c r="A862" s="41"/>
      <c r="C862" s="7"/>
      <c r="D862" s="7"/>
      <c r="E862" s="18"/>
      <c r="F862" s="38"/>
      <c r="G862" s="38"/>
      <c r="H862" s="38"/>
      <c r="I862" s="38"/>
      <c r="J862" s="38"/>
      <c r="K862" s="38"/>
      <c r="L862" s="38"/>
      <c r="M862" s="38"/>
      <c r="N862" s="38"/>
      <c r="O862" s="38"/>
      <c r="P862" s="38"/>
    </row>
    <row r="863">
      <c r="A863" s="19"/>
      <c r="B863" s="19"/>
      <c r="C863" s="42"/>
      <c r="D863" s="42"/>
      <c r="E863" s="19"/>
      <c r="F863" s="39"/>
      <c r="G863" s="39"/>
      <c r="H863" s="39"/>
      <c r="I863" s="39"/>
      <c r="J863" s="39"/>
      <c r="K863" s="19"/>
      <c r="L863" s="19"/>
      <c r="M863" s="38"/>
      <c r="N863" s="38"/>
      <c r="O863" s="38"/>
      <c r="P863" s="38"/>
    </row>
    <row r="864">
      <c r="A864" s="41"/>
      <c r="C864" s="7"/>
      <c r="D864" s="7"/>
      <c r="E864" s="18"/>
      <c r="F864" s="38"/>
      <c r="G864" s="38"/>
      <c r="H864" s="38"/>
      <c r="I864" s="38"/>
      <c r="J864" s="38"/>
      <c r="K864" s="38"/>
      <c r="L864" s="38"/>
      <c r="M864" s="38"/>
      <c r="N864" s="38"/>
      <c r="O864" s="38"/>
      <c r="P864" s="38"/>
    </row>
    <row r="865">
      <c r="A865" s="41"/>
      <c r="C865" s="7"/>
      <c r="D865" s="7"/>
      <c r="E865" s="18"/>
      <c r="F865" s="38"/>
      <c r="G865" s="38"/>
      <c r="H865" s="38"/>
      <c r="I865" s="38"/>
      <c r="J865" s="38"/>
      <c r="K865" s="38"/>
      <c r="L865" s="38"/>
      <c r="M865" s="38"/>
      <c r="N865" s="38"/>
      <c r="O865" s="38"/>
      <c r="P865" s="38"/>
    </row>
    <row r="866">
      <c r="A866" s="41"/>
      <c r="C866" s="7"/>
      <c r="D866" s="7"/>
      <c r="E866" s="18"/>
      <c r="F866" s="38"/>
      <c r="G866" s="38"/>
      <c r="H866" s="38"/>
      <c r="I866" s="38"/>
      <c r="J866" s="38"/>
      <c r="K866" s="38"/>
      <c r="L866" s="38"/>
      <c r="M866" s="38"/>
      <c r="N866" s="38"/>
      <c r="O866" s="38"/>
      <c r="P866" s="38"/>
    </row>
    <row r="867">
      <c r="A867" s="41"/>
      <c r="C867" s="7"/>
      <c r="D867" s="7"/>
      <c r="E867" s="18"/>
      <c r="F867" s="38"/>
      <c r="G867" s="38"/>
      <c r="H867" s="38"/>
      <c r="I867" s="38"/>
      <c r="J867" s="38"/>
      <c r="K867" s="38"/>
      <c r="L867" s="38"/>
      <c r="M867" s="38"/>
      <c r="N867" s="38"/>
      <c r="O867" s="38"/>
      <c r="P867" s="38"/>
    </row>
    <row r="868">
      <c r="A868" s="41"/>
      <c r="C868" s="7"/>
      <c r="D868" s="7"/>
      <c r="E868" s="18"/>
      <c r="F868" s="38"/>
      <c r="G868" s="38"/>
      <c r="H868" s="38"/>
      <c r="I868" s="38"/>
      <c r="J868" s="38"/>
      <c r="K868" s="38"/>
      <c r="L868" s="38"/>
      <c r="M868" s="38"/>
      <c r="N868" s="38"/>
      <c r="O868" s="38"/>
      <c r="P868" s="38"/>
    </row>
    <row r="869">
      <c r="A869" s="41"/>
      <c r="C869" s="7"/>
      <c r="D869" s="7"/>
      <c r="E869" s="18"/>
      <c r="F869" s="38"/>
      <c r="G869" s="38"/>
      <c r="H869" s="38"/>
      <c r="I869" s="38"/>
      <c r="J869" s="38"/>
      <c r="K869" s="38"/>
      <c r="L869" s="38"/>
      <c r="M869" s="38"/>
      <c r="N869" s="38"/>
      <c r="O869" s="38"/>
      <c r="P869" s="38"/>
    </row>
    <row r="870">
      <c r="A870" s="41"/>
      <c r="C870" s="7"/>
      <c r="D870" s="7"/>
      <c r="E870" s="18"/>
      <c r="F870" s="38"/>
      <c r="G870" s="38"/>
      <c r="H870" s="38"/>
      <c r="I870" s="38"/>
      <c r="J870" s="38"/>
      <c r="K870" s="38"/>
      <c r="L870" s="38"/>
      <c r="M870" s="38"/>
      <c r="N870" s="38"/>
      <c r="O870" s="38"/>
      <c r="P870" s="38"/>
    </row>
    <row r="871">
      <c r="A871" s="41"/>
      <c r="C871" s="7"/>
      <c r="D871" s="7"/>
      <c r="E871" s="18"/>
      <c r="F871" s="38"/>
      <c r="G871" s="38"/>
      <c r="H871" s="38"/>
      <c r="I871" s="38"/>
      <c r="J871" s="38"/>
      <c r="K871" s="38"/>
      <c r="L871" s="38"/>
      <c r="M871" s="38"/>
      <c r="N871" s="38"/>
      <c r="O871" s="38"/>
      <c r="P871" s="38"/>
    </row>
    <row r="872">
      <c r="A872" s="41"/>
      <c r="C872" s="7"/>
      <c r="D872" s="7"/>
      <c r="E872" s="18"/>
      <c r="F872" s="38"/>
      <c r="G872" s="38"/>
      <c r="H872" s="38"/>
      <c r="I872" s="38"/>
      <c r="J872" s="38"/>
      <c r="K872" s="38"/>
      <c r="L872" s="38"/>
      <c r="M872" s="38"/>
      <c r="N872" s="38"/>
      <c r="O872" s="38"/>
      <c r="P872" s="38"/>
    </row>
    <row r="873">
      <c r="A873" s="41"/>
      <c r="C873" s="7"/>
      <c r="D873" s="7"/>
      <c r="E873" s="18"/>
      <c r="F873" s="38"/>
      <c r="G873" s="38"/>
      <c r="H873" s="38"/>
      <c r="I873" s="38"/>
      <c r="J873" s="38"/>
      <c r="K873" s="38"/>
      <c r="L873" s="38"/>
      <c r="M873" s="38"/>
      <c r="N873" s="38"/>
      <c r="O873" s="38"/>
      <c r="P873" s="38"/>
    </row>
    <row r="874">
      <c r="A874" s="41"/>
      <c r="C874" s="7"/>
      <c r="D874" s="7"/>
      <c r="E874" s="18"/>
      <c r="F874" s="38"/>
      <c r="G874" s="38"/>
      <c r="H874" s="38"/>
      <c r="I874" s="38"/>
      <c r="J874" s="38"/>
      <c r="K874" s="38"/>
      <c r="L874" s="38"/>
      <c r="M874" s="38"/>
      <c r="N874" s="38"/>
      <c r="O874" s="38"/>
      <c r="P874" s="38"/>
    </row>
    <row r="875">
      <c r="A875" s="41"/>
      <c r="C875" s="7"/>
      <c r="D875" s="7"/>
      <c r="E875" s="18"/>
      <c r="F875" s="38"/>
      <c r="G875" s="38"/>
      <c r="H875" s="38"/>
      <c r="I875" s="38"/>
      <c r="J875" s="38"/>
      <c r="K875" s="38"/>
      <c r="L875" s="38"/>
      <c r="M875" s="38"/>
      <c r="N875" s="38"/>
      <c r="O875" s="38"/>
      <c r="P875" s="38"/>
    </row>
    <row r="876">
      <c r="A876" s="41"/>
      <c r="C876" s="7"/>
      <c r="D876" s="7"/>
      <c r="E876" s="18"/>
      <c r="F876" s="38"/>
      <c r="G876" s="38"/>
      <c r="H876" s="38"/>
      <c r="I876" s="38"/>
      <c r="J876" s="38"/>
      <c r="K876" s="38"/>
      <c r="L876" s="38"/>
      <c r="M876" s="38"/>
      <c r="N876" s="38"/>
      <c r="O876" s="38"/>
      <c r="P876" s="38"/>
    </row>
    <row r="877">
      <c r="A877" s="41"/>
      <c r="C877" s="7"/>
      <c r="D877" s="7"/>
      <c r="E877" s="18"/>
      <c r="F877" s="38"/>
      <c r="G877" s="38"/>
      <c r="H877" s="38"/>
      <c r="I877" s="38"/>
      <c r="J877" s="38"/>
      <c r="K877" s="38"/>
      <c r="L877" s="38"/>
      <c r="M877" s="38"/>
      <c r="N877" s="38"/>
      <c r="O877" s="38"/>
      <c r="P877" s="38"/>
    </row>
    <row r="878">
      <c r="A878" s="41"/>
      <c r="C878" s="7"/>
      <c r="D878" s="7"/>
      <c r="E878" s="18"/>
      <c r="F878" s="38"/>
      <c r="G878" s="38"/>
      <c r="H878" s="38"/>
      <c r="I878" s="38"/>
      <c r="J878" s="38"/>
      <c r="K878" s="38"/>
      <c r="L878" s="38"/>
      <c r="M878" s="38"/>
      <c r="N878" s="38"/>
      <c r="O878" s="38"/>
      <c r="P878" s="38"/>
    </row>
    <row r="879">
      <c r="A879" s="41"/>
      <c r="C879" s="7"/>
      <c r="D879" s="7"/>
      <c r="E879" s="18"/>
      <c r="F879" s="38"/>
      <c r="G879" s="38"/>
      <c r="H879" s="38"/>
      <c r="I879" s="38"/>
      <c r="J879" s="38"/>
      <c r="K879" s="38"/>
      <c r="L879" s="38"/>
      <c r="M879" s="38"/>
      <c r="N879" s="38"/>
      <c r="O879" s="38"/>
      <c r="P879" s="38"/>
    </row>
    <row r="880">
      <c r="A880" s="41"/>
      <c r="C880" s="7"/>
      <c r="D880" s="7"/>
      <c r="E880" s="18"/>
      <c r="F880" s="38"/>
      <c r="G880" s="38"/>
      <c r="H880" s="38"/>
      <c r="I880" s="38"/>
      <c r="J880" s="38"/>
      <c r="K880" s="38"/>
      <c r="L880" s="38"/>
      <c r="M880" s="38"/>
      <c r="N880" s="38"/>
      <c r="O880" s="38"/>
      <c r="P880" s="38"/>
    </row>
    <row r="881">
      <c r="A881" s="41"/>
      <c r="C881" s="7"/>
      <c r="D881" s="7"/>
      <c r="E881" s="18"/>
      <c r="F881" s="38"/>
      <c r="G881" s="38"/>
      <c r="H881" s="38"/>
      <c r="I881" s="38"/>
      <c r="J881" s="38"/>
      <c r="K881" s="38"/>
      <c r="L881" s="38"/>
      <c r="M881" s="38"/>
      <c r="N881" s="38"/>
      <c r="O881" s="38"/>
      <c r="P881" s="38"/>
    </row>
    <row r="882">
      <c r="A882" s="41"/>
      <c r="C882" s="7"/>
      <c r="D882" s="7"/>
      <c r="E882" s="18"/>
      <c r="F882" s="38"/>
      <c r="G882" s="38"/>
      <c r="H882" s="38"/>
      <c r="I882" s="38"/>
      <c r="J882" s="38"/>
      <c r="K882" s="38"/>
      <c r="L882" s="38"/>
      <c r="M882" s="38"/>
      <c r="N882" s="38"/>
      <c r="O882" s="38"/>
      <c r="P882" s="38"/>
    </row>
    <row r="883">
      <c r="A883" s="41"/>
      <c r="C883" s="7"/>
      <c r="D883" s="7"/>
      <c r="E883" s="18"/>
      <c r="F883" s="38"/>
      <c r="G883" s="38"/>
      <c r="H883" s="38"/>
      <c r="I883" s="38"/>
      <c r="J883" s="38"/>
      <c r="K883" s="38"/>
      <c r="L883" s="38"/>
      <c r="M883" s="38"/>
      <c r="N883" s="38"/>
      <c r="O883" s="38"/>
      <c r="P883" s="38"/>
    </row>
    <row r="884">
      <c r="A884" s="41"/>
      <c r="C884" s="7"/>
      <c r="D884" s="7"/>
      <c r="E884" s="18"/>
      <c r="F884" s="38"/>
      <c r="G884" s="38"/>
      <c r="H884" s="38"/>
      <c r="I884" s="38"/>
      <c r="J884" s="38"/>
      <c r="K884" s="38"/>
      <c r="L884" s="38"/>
      <c r="M884" s="38"/>
      <c r="N884" s="38"/>
      <c r="O884" s="38"/>
      <c r="P884" s="38"/>
    </row>
    <row r="885">
      <c r="A885" s="41"/>
      <c r="C885" s="7"/>
      <c r="D885" s="7"/>
      <c r="E885" s="18"/>
      <c r="F885" s="38"/>
      <c r="G885" s="38"/>
      <c r="H885" s="38"/>
      <c r="I885" s="38"/>
      <c r="J885" s="38"/>
      <c r="K885" s="38"/>
      <c r="L885" s="38"/>
      <c r="M885" s="38"/>
      <c r="N885" s="38"/>
      <c r="O885" s="38"/>
      <c r="P885" s="38"/>
    </row>
    <row r="886">
      <c r="A886" s="41"/>
      <c r="C886" s="7"/>
      <c r="D886" s="7"/>
      <c r="E886" s="18"/>
      <c r="F886" s="38"/>
      <c r="G886" s="38"/>
      <c r="H886" s="38"/>
      <c r="I886" s="38"/>
      <c r="J886" s="38"/>
      <c r="K886" s="38"/>
      <c r="L886" s="38"/>
      <c r="M886" s="38"/>
      <c r="N886" s="38"/>
      <c r="O886" s="38"/>
      <c r="P886" s="38"/>
    </row>
    <row r="887">
      <c r="A887" s="41"/>
      <c r="C887" s="7"/>
      <c r="D887" s="7"/>
      <c r="E887" s="18"/>
      <c r="F887" s="38"/>
      <c r="G887" s="38"/>
      <c r="H887" s="38"/>
      <c r="I887" s="38"/>
      <c r="J887" s="38"/>
      <c r="K887" s="38"/>
      <c r="L887" s="38"/>
      <c r="M887" s="38"/>
      <c r="N887" s="38"/>
      <c r="O887" s="38"/>
      <c r="P887" s="38"/>
    </row>
    <row r="888">
      <c r="A888" s="41"/>
      <c r="C888" s="7"/>
      <c r="D888" s="7"/>
      <c r="E888" s="18"/>
      <c r="F888" s="38"/>
      <c r="G888" s="38"/>
      <c r="H888" s="38"/>
      <c r="I888" s="38"/>
      <c r="J888" s="38"/>
      <c r="K888" s="38"/>
      <c r="L888" s="38"/>
      <c r="M888" s="38"/>
      <c r="N888" s="38"/>
      <c r="O888" s="38"/>
      <c r="P888" s="38"/>
    </row>
    <row r="889">
      <c r="A889" s="41"/>
      <c r="C889" s="7"/>
      <c r="D889" s="7"/>
      <c r="E889" s="18"/>
      <c r="F889" s="38"/>
      <c r="G889" s="38"/>
      <c r="H889" s="38"/>
      <c r="I889" s="38"/>
      <c r="J889" s="38"/>
      <c r="K889" s="38"/>
      <c r="L889" s="38"/>
      <c r="M889" s="38"/>
      <c r="N889" s="38"/>
      <c r="O889" s="38"/>
      <c r="P889" s="38"/>
    </row>
    <row r="890">
      <c r="A890" s="41"/>
      <c r="C890" s="7"/>
      <c r="D890" s="7"/>
      <c r="E890" s="18"/>
      <c r="F890" s="38"/>
      <c r="G890" s="38"/>
      <c r="H890" s="38"/>
      <c r="I890" s="38"/>
      <c r="J890" s="38"/>
      <c r="K890" s="38"/>
      <c r="L890" s="38"/>
      <c r="M890" s="38"/>
      <c r="N890" s="38"/>
      <c r="O890" s="38"/>
      <c r="P890" s="38"/>
    </row>
    <row r="891">
      <c r="A891" s="41"/>
      <c r="C891" s="7"/>
      <c r="D891" s="7"/>
      <c r="E891" s="18"/>
      <c r="F891" s="38"/>
      <c r="G891" s="38"/>
      <c r="H891" s="38"/>
      <c r="I891" s="38"/>
      <c r="J891" s="38"/>
      <c r="K891" s="38"/>
      <c r="L891" s="38"/>
      <c r="M891" s="38"/>
      <c r="N891" s="38"/>
      <c r="O891" s="38"/>
      <c r="P891" s="38"/>
    </row>
    <row r="892">
      <c r="A892" s="41"/>
      <c r="C892" s="7"/>
      <c r="D892" s="7"/>
      <c r="E892" s="18"/>
      <c r="F892" s="38"/>
      <c r="G892" s="38"/>
      <c r="H892" s="38"/>
      <c r="I892" s="38"/>
      <c r="J892" s="38"/>
      <c r="K892" s="38"/>
      <c r="L892" s="38"/>
      <c r="M892" s="38"/>
      <c r="N892" s="38"/>
      <c r="O892" s="38"/>
      <c r="P892" s="38"/>
    </row>
    <row r="893">
      <c r="A893" s="41"/>
      <c r="C893" s="7"/>
      <c r="D893" s="7"/>
      <c r="E893" s="18"/>
      <c r="F893" s="38"/>
      <c r="G893" s="38"/>
      <c r="H893" s="38"/>
      <c r="I893" s="38"/>
      <c r="J893" s="38"/>
      <c r="K893" s="38"/>
      <c r="L893" s="38"/>
      <c r="M893" s="38"/>
      <c r="N893" s="38"/>
      <c r="O893" s="38"/>
      <c r="P893" s="38"/>
    </row>
    <row r="894">
      <c r="A894" s="41"/>
      <c r="C894" s="7"/>
      <c r="D894" s="7"/>
      <c r="E894" s="18"/>
      <c r="F894" s="38"/>
      <c r="G894" s="38"/>
      <c r="H894" s="38"/>
      <c r="I894" s="38"/>
      <c r="J894" s="38"/>
      <c r="K894" s="38"/>
      <c r="L894" s="38"/>
      <c r="M894" s="38"/>
      <c r="N894" s="38"/>
      <c r="O894" s="38"/>
      <c r="P894" s="38"/>
    </row>
    <row r="895">
      <c r="A895" s="41"/>
      <c r="C895" s="7"/>
      <c r="D895" s="7"/>
      <c r="E895" s="18"/>
      <c r="F895" s="38"/>
      <c r="G895" s="38"/>
      <c r="H895" s="38"/>
      <c r="I895" s="38"/>
      <c r="J895" s="38"/>
      <c r="K895" s="38"/>
      <c r="L895" s="38"/>
      <c r="M895" s="38"/>
      <c r="N895" s="38"/>
      <c r="O895" s="38"/>
      <c r="P895" s="38"/>
    </row>
    <row r="896">
      <c r="A896" s="41"/>
      <c r="C896" s="7"/>
      <c r="D896" s="7"/>
      <c r="E896" s="18"/>
      <c r="F896" s="38"/>
      <c r="G896" s="38"/>
      <c r="H896" s="38"/>
      <c r="I896" s="38"/>
      <c r="J896" s="38"/>
      <c r="K896" s="38"/>
      <c r="L896" s="38"/>
      <c r="M896" s="38"/>
      <c r="N896" s="38"/>
      <c r="O896" s="38"/>
      <c r="P896" s="38"/>
    </row>
    <row r="897">
      <c r="A897" s="41"/>
      <c r="C897" s="7"/>
      <c r="D897" s="7"/>
      <c r="E897" s="18"/>
      <c r="F897" s="38"/>
      <c r="G897" s="38"/>
      <c r="H897" s="38"/>
      <c r="I897" s="38"/>
      <c r="J897" s="38"/>
      <c r="K897" s="38"/>
      <c r="L897" s="38"/>
      <c r="M897" s="38"/>
      <c r="N897" s="38"/>
      <c r="O897" s="38"/>
      <c r="P897" s="38"/>
    </row>
    <row r="898">
      <c r="A898" s="41"/>
      <c r="C898" s="7"/>
      <c r="D898" s="7"/>
      <c r="E898" s="18"/>
      <c r="F898" s="38"/>
      <c r="G898" s="38"/>
      <c r="H898" s="38"/>
      <c r="I898" s="38"/>
      <c r="J898" s="38"/>
      <c r="K898" s="38"/>
      <c r="L898" s="38"/>
      <c r="M898" s="38"/>
      <c r="N898" s="38"/>
      <c r="O898" s="38"/>
      <c r="P898" s="38"/>
    </row>
    <row r="899">
      <c r="A899" s="41"/>
      <c r="C899" s="7"/>
      <c r="D899" s="7"/>
      <c r="E899" s="18"/>
      <c r="F899" s="38"/>
      <c r="G899" s="38"/>
      <c r="H899" s="38"/>
      <c r="I899" s="38"/>
      <c r="J899" s="38"/>
      <c r="K899" s="38"/>
      <c r="L899" s="38"/>
      <c r="M899" s="38"/>
      <c r="N899" s="38"/>
      <c r="O899" s="38"/>
      <c r="P899" s="38"/>
    </row>
    <row r="900">
      <c r="A900" s="41"/>
      <c r="C900" s="7"/>
      <c r="D900" s="7"/>
      <c r="E900" s="18"/>
      <c r="F900" s="38"/>
      <c r="G900" s="38"/>
      <c r="H900" s="38"/>
      <c r="I900" s="38"/>
      <c r="J900" s="38"/>
      <c r="K900" s="38"/>
      <c r="L900" s="38"/>
      <c r="M900" s="38"/>
      <c r="N900" s="38"/>
      <c r="O900" s="38"/>
      <c r="P900" s="38"/>
    </row>
    <row r="901">
      <c r="A901" s="41"/>
      <c r="C901" s="7"/>
      <c r="D901" s="7"/>
      <c r="E901" s="18"/>
      <c r="F901" s="38"/>
      <c r="G901" s="38"/>
      <c r="H901" s="38"/>
      <c r="I901" s="38"/>
      <c r="J901" s="38"/>
      <c r="K901" s="38"/>
      <c r="L901" s="38"/>
      <c r="M901" s="38"/>
      <c r="N901" s="38"/>
      <c r="O901" s="38"/>
      <c r="P901" s="38"/>
    </row>
    <row r="902">
      <c r="A902" s="41"/>
      <c r="C902" s="7"/>
      <c r="D902" s="7"/>
      <c r="E902" s="18"/>
      <c r="F902" s="38"/>
      <c r="G902" s="38"/>
      <c r="H902" s="38"/>
      <c r="I902" s="38"/>
      <c r="J902" s="38"/>
      <c r="K902" s="38"/>
      <c r="L902" s="38"/>
      <c r="M902" s="38"/>
      <c r="N902" s="38"/>
      <c r="O902" s="38"/>
      <c r="P902" s="38"/>
    </row>
    <row r="903">
      <c r="A903" s="41"/>
      <c r="C903" s="7"/>
      <c r="D903" s="7"/>
      <c r="E903" s="18"/>
      <c r="F903" s="38"/>
      <c r="G903" s="38"/>
      <c r="H903" s="38"/>
      <c r="I903" s="38"/>
      <c r="J903" s="38"/>
      <c r="K903" s="38"/>
      <c r="L903" s="38"/>
      <c r="M903" s="38"/>
      <c r="N903" s="38"/>
      <c r="O903" s="38"/>
      <c r="P903" s="38"/>
    </row>
    <row r="904">
      <c r="A904" s="19"/>
      <c r="B904" s="19"/>
      <c r="C904" s="42"/>
      <c r="D904" s="42"/>
      <c r="E904" s="19"/>
      <c r="F904" s="39"/>
      <c r="G904" s="39"/>
      <c r="H904" s="39"/>
      <c r="I904" s="39"/>
      <c r="J904" s="39"/>
      <c r="K904" s="19"/>
      <c r="L904" s="19"/>
      <c r="M904" s="38"/>
      <c r="N904" s="38"/>
      <c r="O904" s="38"/>
      <c r="P904" s="38"/>
    </row>
    <row r="905">
      <c r="A905" s="41"/>
      <c r="C905" s="7"/>
      <c r="D905" s="7"/>
      <c r="E905" s="18"/>
      <c r="F905" s="38"/>
      <c r="G905" s="38"/>
      <c r="H905" s="38"/>
      <c r="I905" s="38"/>
      <c r="J905" s="38"/>
      <c r="K905" s="38"/>
      <c r="L905" s="38"/>
      <c r="M905" s="38"/>
      <c r="N905" s="38"/>
      <c r="O905" s="38"/>
      <c r="P905" s="38"/>
    </row>
    <row r="906">
      <c r="A906" s="41"/>
      <c r="C906" s="7"/>
      <c r="D906" s="7"/>
      <c r="E906" s="18"/>
      <c r="F906" s="38"/>
      <c r="G906" s="38"/>
      <c r="H906" s="38"/>
      <c r="I906" s="38"/>
      <c r="J906" s="38"/>
      <c r="K906" s="38"/>
      <c r="L906" s="38"/>
      <c r="M906" s="38"/>
      <c r="N906" s="38"/>
      <c r="O906" s="38"/>
      <c r="P906" s="38"/>
    </row>
    <row r="907">
      <c r="A907" s="41"/>
      <c r="C907" s="7"/>
      <c r="D907" s="7"/>
      <c r="E907" s="18"/>
      <c r="F907" s="38"/>
      <c r="G907" s="38"/>
      <c r="H907" s="38"/>
      <c r="I907" s="38"/>
      <c r="J907" s="38"/>
      <c r="K907" s="38"/>
      <c r="L907" s="38"/>
      <c r="M907" s="38"/>
      <c r="N907" s="38"/>
      <c r="O907" s="38"/>
      <c r="P907" s="38"/>
    </row>
    <row r="908">
      <c r="A908" s="41"/>
      <c r="C908" s="7"/>
      <c r="D908" s="7"/>
      <c r="E908" s="18"/>
      <c r="F908" s="38"/>
      <c r="G908" s="38"/>
      <c r="H908" s="38"/>
      <c r="I908" s="38"/>
      <c r="J908" s="38"/>
      <c r="K908" s="38"/>
      <c r="L908" s="38"/>
      <c r="M908" s="38"/>
      <c r="N908" s="38"/>
      <c r="O908" s="38"/>
      <c r="P908" s="38"/>
    </row>
    <row r="909">
      <c r="A909" s="41"/>
      <c r="C909" s="7"/>
      <c r="D909" s="7"/>
      <c r="E909" s="18"/>
      <c r="F909" s="38"/>
      <c r="G909" s="38"/>
      <c r="H909" s="38"/>
      <c r="I909" s="38"/>
      <c r="J909" s="38"/>
      <c r="K909" s="38"/>
      <c r="L909" s="38"/>
      <c r="M909" s="38"/>
      <c r="N909" s="38"/>
      <c r="O909" s="38"/>
      <c r="P909" s="38"/>
    </row>
    <row r="910">
      <c r="A910" s="41"/>
      <c r="C910" s="7"/>
      <c r="D910" s="7"/>
      <c r="E910" s="18"/>
      <c r="F910" s="38"/>
      <c r="G910" s="38"/>
      <c r="H910" s="38"/>
      <c r="I910" s="38"/>
      <c r="J910" s="38"/>
      <c r="K910" s="38"/>
      <c r="L910" s="38"/>
      <c r="M910" s="38"/>
      <c r="N910" s="38"/>
      <c r="O910" s="38"/>
      <c r="P910" s="38"/>
    </row>
    <row r="911">
      <c r="A911" s="41"/>
      <c r="C911" s="7"/>
      <c r="D911" s="7"/>
      <c r="E911" s="18"/>
      <c r="F911" s="38"/>
      <c r="G911" s="38"/>
      <c r="H911" s="38"/>
      <c r="I911" s="38"/>
      <c r="J911" s="38"/>
      <c r="K911" s="38"/>
      <c r="L911" s="38"/>
      <c r="M911" s="38"/>
      <c r="N911" s="38"/>
      <c r="O911" s="38"/>
      <c r="P911" s="38"/>
    </row>
    <row r="912">
      <c r="A912" s="41"/>
      <c r="C912" s="7"/>
      <c r="D912" s="7"/>
      <c r="E912" s="18"/>
      <c r="F912" s="38"/>
      <c r="G912" s="38"/>
      <c r="H912" s="38"/>
      <c r="I912" s="38"/>
      <c r="J912" s="38"/>
      <c r="K912" s="38"/>
      <c r="L912" s="38"/>
      <c r="M912" s="38"/>
      <c r="N912" s="38"/>
      <c r="O912" s="38"/>
      <c r="P912" s="38"/>
    </row>
    <row r="913">
      <c r="A913" s="41"/>
      <c r="C913" s="7"/>
      <c r="D913" s="7"/>
      <c r="E913" s="18"/>
      <c r="F913" s="38"/>
      <c r="G913" s="38"/>
      <c r="H913" s="38"/>
      <c r="I913" s="38"/>
      <c r="J913" s="38"/>
      <c r="K913" s="38"/>
      <c r="L913" s="38"/>
      <c r="M913" s="38"/>
      <c r="N913" s="38"/>
      <c r="O913" s="38"/>
      <c r="P913" s="38"/>
    </row>
    <row r="914">
      <c r="A914" s="41"/>
      <c r="C914" s="7"/>
      <c r="D914" s="7"/>
      <c r="E914" s="18"/>
      <c r="F914" s="38"/>
      <c r="G914" s="38"/>
      <c r="H914" s="38"/>
      <c r="I914" s="38"/>
      <c r="J914" s="38"/>
      <c r="K914" s="38"/>
      <c r="L914" s="38"/>
      <c r="M914" s="38"/>
      <c r="N914" s="38"/>
      <c r="O914" s="38"/>
      <c r="P914" s="38"/>
    </row>
    <row r="915">
      <c r="A915" s="41"/>
      <c r="C915" s="7"/>
      <c r="D915" s="7"/>
      <c r="E915" s="18"/>
      <c r="F915" s="38"/>
      <c r="G915" s="38"/>
      <c r="H915" s="38"/>
      <c r="I915" s="38"/>
      <c r="J915" s="38"/>
      <c r="K915" s="38"/>
      <c r="L915" s="38"/>
      <c r="M915" s="38"/>
      <c r="N915" s="38"/>
      <c r="O915" s="38"/>
      <c r="P915" s="38"/>
    </row>
    <row r="916">
      <c r="A916" s="41"/>
      <c r="C916" s="7"/>
      <c r="D916" s="7"/>
      <c r="E916" s="18"/>
      <c r="F916" s="38"/>
      <c r="G916" s="38"/>
      <c r="H916" s="38"/>
      <c r="I916" s="38"/>
      <c r="J916" s="38"/>
      <c r="K916" s="38"/>
      <c r="L916" s="38"/>
      <c r="M916" s="38"/>
      <c r="N916" s="38"/>
      <c r="O916" s="38"/>
      <c r="P916" s="38"/>
    </row>
    <row r="917">
      <c r="A917" s="41"/>
      <c r="C917" s="7"/>
      <c r="D917" s="7"/>
      <c r="E917" s="18"/>
      <c r="F917" s="38"/>
      <c r="G917" s="38"/>
      <c r="H917" s="38"/>
      <c r="I917" s="38"/>
      <c r="J917" s="38"/>
      <c r="K917" s="38"/>
      <c r="L917" s="38"/>
      <c r="M917" s="38"/>
      <c r="N917" s="38"/>
      <c r="O917" s="38"/>
      <c r="P917" s="38"/>
    </row>
    <row r="918">
      <c r="A918" s="41"/>
      <c r="C918" s="7"/>
      <c r="D918" s="7"/>
      <c r="E918" s="18"/>
      <c r="F918" s="38"/>
      <c r="G918" s="38"/>
      <c r="H918" s="38"/>
      <c r="I918" s="38"/>
      <c r="J918" s="38"/>
      <c r="K918" s="38"/>
      <c r="L918" s="38"/>
      <c r="M918" s="38"/>
      <c r="N918" s="38"/>
      <c r="O918" s="38"/>
      <c r="P918" s="38"/>
    </row>
    <row r="919">
      <c r="A919" s="41"/>
      <c r="C919" s="7"/>
      <c r="D919" s="7"/>
      <c r="E919" s="18"/>
      <c r="F919" s="38"/>
      <c r="G919" s="38"/>
      <c r="H919" s="38"/>
      <c r="I919" s="38"/>
      <c r="J919" s="38"/>
      <c r="K919" s="38"/>
      <c r="L919" s="38"/>
      <c r="M919" s="38"/>
      <c r="N919" s="38"/>
      <c r="O919" s="38"/>
      <c r="P919" s="38"/>
    </row>
    <row r="920">
      <c r="A920" s="41"/>
      <c r="C920" s="7"/>
      <c r="D920" s="7"/>
      <c r="E920" s="18"/>
      <c r="F920" s="38"/>
      <c r="G920" s="38"/>
      <c r="H920" s="38"/>
      <c r="I920" s="38"/>
      <c r="J920" s="38"/>
      <c r="K920" s="38"/>
      <c r="L920" s="38"/>
      <c r="M920" s="38"/>
      <c r="N920" s="38"/>
      <c r="O920" s="38"/>
      <c r="P920" s="38"/>
    </row>
    <row r="921">
      <c r="A921" s="41"/>
      <c r="C921" s="7"/>
      <c r="D921" s="7"/>
      <c r="E921" s="18"/>
      <c r="F921" s="38"/>
      <c r="G921" s="38"/>
      <c r="H921" s="38"/>
      <c r="I921" s="38"/>
      <c r="J921" s="38"/>
      <c r="K921" s="38"/>
      <c r="L921" s="38"/>
      <c r="M921" s="38"/>
      <c r="N921" s="38"/>
      <c r="O921" s="38"/>
      <c r="P921" s="38"/>
    </row>
    <row r="922">
      <c r="A922" s="41"/>
      <c r="C922" s="7"/>
      <c r="D922" s="7"/>
      <c r="E922" s="18"/>
      <c r="F922" s="38"/>
      <c r="G922" s="38"/>
      <c r="H922" s="38"/>
      <c r="I922" s="38"/>
      <c r="J922" s="38"/>
      <c r="K922" s="38"/>
      <c r="L922" s="38"/>
      <c r="M922" s="38"/>
      <c r="N922" s="38"/>
      <c r="O922" s="38"/>
      <c r="P922" s="38"/>
    </row>
    <row r="923">
      <c r="A923" s="41"/>
      <c r="C923" s="7"/>
      <c r="D923" s="7"/>
      <c r="E923" s="18"/>
      <c r="F923" s="38"/>
      <c r="G923" s="38"/>
      <c r="H923" s="38"/>
      <c r="I923" s="38"/>
      <c r="J923" s="38"/>
      <c r="K923" s="38"/>
      <c r="L923" s="38"/>
      <c r="M923" s="38"/>
      <c r="N923" s="38"/>
      <c r="O923" s="38"/>
      <c r="P923" s="38"/>
    </row>
    <row r="924">
      <c r="A924" s="41"/>
      <c r="C924" s="7"/>
      <c r="D924" s="7"/>
      <c r="E924" s="18"/>
      <c r="F924" s="38"/>
      <c r="G924" s="38"/>
      <c r="H924" s="38"/>
      <c r="I924" s="38"/>
      <c r="J924" s="38"/>
      <c r="K924" s="38"/>
      <c r="L924" s="38"/>
      <c r="M924" s="38"/>
      <c r="N924" s="38"/>
      <c r="O924" s="38"/>
      <c r="P924" s="38"/>
    </row>
    <row r="925">
      <c r="A925" s="41"/>
      <c r="C925" s="7"/>
      <c r="D925" s="7"/>
      <c r="E925" s="18"/>
      <c r="F925" s="38"/>
      <c r="G925" s="38"/>
      <c r="H925" s="38"/>
      <c r="I925" s="38"/>
      <c r="J925" s="38"/>
      <c r="K925" s="38"/>
      <c r="L925" s="38"/>
      <c r="M925" s="38"/>
      <c r="N925" s="38"/>
      <c r="O925" s="38"/>
      <c r="P925" s="38"/>
    </row>
    <row r="926">
      <c r="A926" s="41"/>
      <c r="C926" s="7"/>
      <c r="D926" s="7"/>
      <c r="E926" s="18"/>
      <c r="F926" s="38"/>
      <c r="G926" s="38"/>
      <c r="H926" s="38"/>
      <c r="I926" s="38"/>
      <c r="J926" s="38"/>
      <c r="K926" s="38"/>
      <c r="L926" s="38"/>
      <c r="M926" s="38"/>
      <c r="N926" s="38"/>
      <c r="O926" s="38"/>
      <c r="P926" s="38"/>
    </row>
    <row r="927">
      <c r="A927" s="41"/>
      <c r="C927" s="7"/>
      <c r="D927" s="7"/>
      <c r="E927" s="18"/>
      <c r="F927" s="38"/>
      <c r="G927" s="38"/>
      <c r="H927" s="38"/>
      <c r="I927" s="38"/>
      <c r="J927" s="38"/>
      <c r="K927" s="38"/>
      <c r="L927" s="38"/>
      <c r="M927" s="38"/>
      <c r="N927" s="38"/>
      <c r="O927" s="38"/>
      <c r="P927" s="38"/>
    </row>
    <row r="928">
      <c r="A928" s="41"/>
      <c r="C928" s="7"/>
      <c r="D928" s="7"/>
      <c r="E928" s="18"/>
      <c r="F928" s="38"/>
      <c r="G928" s="38"/>
      <c r="H928" s="38"/>
      <c r="I928" s="38"/>
      <c r="J928" s="38"/>
      <c r="K928" s="38"/>
      <c r="L928" s="38"/>
      <c r="M928" s="38"/>
      <c r="N928" s="38"/>
      <c r="O928" s="38"/>
      <c r="P928" s="38"/>
    </row>
    <row r="929">
      <c r="A929" s="41"/>
      <c r="C929" s="7"/>
      <c r="D929" s="7"/>
      <c r="E929" s="18"/>
      <c r="F929" s="38"/>
      <c r="G929" s="38"/>
      <c r="H929" s="38"/>
      <c r="I929" s="38"/>
      <c r="J929" s="38"/>
      <c r="K929" s="38"/>
      <c r="L929" s="38"/>
      <c r="M929" s="38"/>
      <c r="N929" s="38"/>
      <c r="O929" s="38"/>
      <c r="P929" s="38"/>
    </row>
    <row r="930">
      <c r="A930" s="41"/>
      <c r="C930" s="7"/>
      <c r="D930" s="7"/>
      <c r="E930" s="18"/>
      <c r="F930" s="38"/>
      <c r="G930" s="38"/>
      <c r="H930" s="38"/>
      <c r="I930" s="38"/>
      <c r="J930" s="38"/>
      <c r="K930" s="38"/>
      <c r="L930" s="38"/>
      <c r="M930" s="38"/>
      <c r="N930" s="38"/>
      <c r="O930" s="38"/>
      <c r="P930" s="38"/>
    </row>
    <row r="931">
      <c r="A931" s="41"/>
      <c r="C931" s="7"/>
      <c r="D931" s="7"/>
      <c r="E931" s="18"/>
      <c r="F931" s="38"/>
      <c r="G931" s="38"/>
      <c r="H931" s="38"/>
      <c r="I931" s="38"/>
      <c r="J931" s="38"/>
      <c r="K931" s="38"/>
      <c r="L931" s="38"/>
      <c r="M931" s="38"/>
      <c r="N931" s="38"/>
      <c r="O931" s="38"/>
      <c r="P931" s="38"/>
    </row>
    <row r="932">
      <c r="A932" s="41"/>
      <c r="C932" s="7"/>
      <c r="D932" s="7"/>
      <c r="E932" s="18"/>
      <c r="F932" s="38"/>
      <c r="G932" s="38"/>
      <c r="H932" s="38"/>
      <c r="I932" s="38"/>
      <c r="J932" s="38"/>
      <c r="K932" s="38"/>
      <c r="L932" s="38"/>
      <c r="M932" s="38"/>
      <c r="N932" s="38"/>
      <c r="O932" s="38"/>
      <c r="P932" s="38"/>
    </row>
    <row r="933">
      <c r="A933" s="41"/>
      <c r="C933" s="7"/>
      <c r="D933" s="7"/>
      <c r="E933" s="18"/>
      <c r="F933" s="38"/>
      <c r="G933" s="38"/>
      <c r="H933" s="38"/>
      <c r="I933" s="38"/>
      <c r="J933" s="38"/>
      <c r="K933" s="38"/>
      <c r="L933" s="38"/>
      <c r="M933" s="38"/>
      <c r="N933" s="38"/>
      <c r="O933" s="38"/>
      <c r="P933" s="38"/>
    </row>
    <row r="934">
      <c r="A934" s="41"/>
      <c r="C934" s="7"/>
      <c r="D934" s="7"/>
      <c r="E934" s="18"/>
      <c r="F934" s="38"/>
      <c r="G934" s="38"/>
      <c r="H934" s="38"/>
      <c r="I934" s="38"/>
      <c r="J934" s="38"/>
      <c r="K934" s="38"/>
      <c r="L934" s="38"/>
      <c r="M934" s="38"/>
      <c r="N934" s="38"/>
      <c r="O934" s="38"/>
      <c r="P934" s="38"/>
    </row>
    <row r="935">
      <c r="A935" s="41"/>
      <c r="C935" s="7"/>
      <c r="D935" s="7"/>
      <c r="E935" s="18"/>
      <c r="F935" s="38"/>
      <c r="G935" s="38"/>
      <c r="H935" s="38"/>
      <c r="I935" s="38"/>
      <c r="J935" s="38"/>
      <c r="K935" s="38"/>
      <c r="L935" s="38"/>
      <c r="M935" s="38"/>
      <c r="N935" s="38"/>
      <c r="O935" s="38"/>
      <c r="P935" s="38"/>
    </row>
    <row r="936">
      <c r="A936" s="41"/>
      <c r="C936" s="7"/>
      <c r="D936" s="7"/>
      <c r="E936" s="18"/>
      <c r="F936" s="38"/>
      <c r="G936" s="38"/>
      <c r="H936" s="38"/>
      <c r="I936" s="38"/>
      <c r="J936" s="38"/>
      <c r="K936" s="38"/>
      <c r="L936" s="38"/>
      <c r="M936" s="38"/>
      <c r="N936" s="38"/>
      <c r="O936" s="38"/>
      <c r="P936" s="38"/>
    </row>
    <row r="937">
      <c r="A937" s="41"/>
      <c r="C937" s="7"/>
      <c r="D937" s="7"/>
      <c r="E937" s="18"/>
      <c r="F937" s="38"/>
      <c r="G937" s="38"/>
      <c r="H937" s="38"/>
      <c r="I937" s="38"/>
      <c r="J937" s="38"/>
      <c r="K937" s="38"/>
      <c r="L937" s="38"/>
      <c r="M937" s="38"/>
      <c r="N937" s="38"/>
      <c r="O937" s="38"/>
      <c r="P937" s="38"/>
    </row>
    <row r="938">
      <c r="A938" s="41"/>
      <c r="C938" s="7"/>
      <c r="D938" s="7"/>
      <c r="E938" s="18"/>
      <c r="F938" s="38"/>
      <c r="G938" s="38"/>
      <c r="H938" s="38"/>
      <c r="I938" s="38"/>
      <c r="J938" s="38"/>
      <c r="K938" s="38"/>
      <c r="L938" s="38"/>
      <c r="M938" s="38"/>
      <c r="N938" s="38"/>
      <c r="O938" s="38"/>
      <c r="P938" s="38"/>
    </row>
    <row r="939">
      <c r="A939" s="41"/>
      <c r="C939" s="7"/>
      <c r="D939" s="7"/>
      <c r="E939" s="18"/>
      <c r="F939" s="38"/>
      <c r="G939" s="38"/>
      <c r="H939" s="38"/>
      <c r="I939" s="38"/>
      <c r="J939" s="38"/>
      <c r="K939" s="38"/>
      <c r="L939" s="38"/>
      <c r="M939" s="38"/>
      <c r="N939" s="38"/>
      <c r="O939" s="38"/>
      <c r="P939" s="38"/>
    </row>
    <row r="940">
      <c r="A940" s="41"/>
      <c r="C940" s="7"/>
      <c r="D940" s="7"/>
      <c r="E940" s="18"/>
      <c r="F940" s="38"/>
      <c r="G940" s="38"/>
      <c r="H940" s="38"/>
      <c r="I940" s="38"/>
      <c r="J940" s="38"/>
      <c r="K940" s="38"/>
      <c r="L940" s="38"/>
      <c r="M940" s="38"/>
      <c r="N940" s="38"/>
      <c r="O940" s="38"/>
      <c r="P940" s="38"/>
    </row>
    <row r="941">
      <c r="A941" s="41"/>
      <c r="C941" s="7"/>
      <c r="D941" s="7"/>
      <c r="E941" s="18"/>
      <c r="F941" s="38"/>
      <c r="G941" s="38"/>
      <c r="H941" s="38"/>
      <c r="I941" s="38"/>
      <c r="J941" s="38"/>
      <c r="K941" s="38"/>
      <c r="L941" s="38"/>
      <c r="M941" s="38"/>
      <c r="N941" s="38"/>
      <c r="O941" s="38"/>
      <c r="P941" s="38"/>
    </row>
    <row r="942">
      <c r="A942" s="41"/>
      <c r="C942" s="7"/>
      <c r="D942" s="7"/>
      <c r="E942" s="18"/>
      <c r="F942" s="38"/>
      <c r="G942" s="38"/>
      <c r="H942" s="38"/>
      <c r="I942" s="38"/>
      <c r="J942" s="38"/>
      <c r="K942" s="38"/>
      <c r="L942" s="38"/>
      <c r="M942" s="38"/>
      <c r="N942" s="38"/>
      <c r="O942" s="38"/>
      <c r="P942" s="38"/>
    </row>
    <row r="943">
      <c r="A943" s="41"/>
      <c r="C943" s="7"/>
      <c r="D943" s="7"/>
      <c r="E943" s="18"/>
      <c r="F943" s="38"/>
      <c r="G943" s="38"/>
      <c r="H943" s="38"/>
      <c r="I943" s="38"/>
      <c r="J943" s="38"/>
      <c r="K943" s="38"/>
      <c r="L943" s="38"/>
      <c r="M943" s="38"/>
      <c r="N943" s="38"/>
      <c r="O943" s="38"/>
      <c r="P943" s="38"/>
    </row>
    <row r="944">
      <c r="A944" s="41"/>
      <c r="C944" s="7"/>
      <c r="D944" s="7"/>
      <c r="E944" s="18"/>
      <c r="F944" s="38"/>
      <c r="G944" s="38"/>
      <c r="H944" s="38"/>
      <c r="I944" s="38"/>
      <c r="J944" s="38"/>
      <c r="K944" s="38"/>
      <c r="L944" s="38"/>
      <c r="M944" s="38"/>
      <c r="N944" s="38"/>
      <c r="O944" s="38"/>
      <c r="P944" s="38"/>
    </row>
    <row r="945">
      <c r="C945" s="30"/>
      <c r="D945" s="30"/>
      <c r="F945" s="38"/>
      <c r="G945" s="38"/>
      <c r="H945" s="38"/>
      <c r="I945" s="38"/>
      <c r="J945" s="38"/>
      <c r="K945" s="38"/>
      <c r="L945" s="38"/>
      <c r="M945" s="38"/>
      <c r="N945" s="38"/>
      <c r="O945" s="38"/>
      <c r="P945" s="38"/>
    </row>
    <row r="946">
      <c r="C946" s="30"/>
      <c r="D946" s="30"/>
      <c r="F946" s="38"/>
      <c r="G946" s="38"/>
      <c r="H946" s="38"/>
      <c r="I946" s="38"/>
      <c r="J946" s="38"/>
      <c r="K946" s="38"/>
      <c r="L946" s="38"/>
      <c r="M946" s="38"/>
      <c r="N946" s="38"/>
      <c r="O946" s="38"/>
      <c r="P946" s="38"/>
    </row>
    <row r="947">
      <c r="C947" s="30"/>
      <c r="D947" s="30"/>
      <c r="F947" s="38"/>
      <c r="G947" s="38"/>
      <c r="H947" s="38"/>
      <c r="I947" s="38"/>
      <c r="J947" s="38"/>
      <c r="K947" s="38"/>
      <c r="L947" s="38"/>
      <c r="M947" s="38"/>
      <c r="N947" s="38"/>
      <c r="O947" s="38"/>
      <c r="P947" s="38"/>
    </row>
    <row r="948">
      <c r="C948" s="30"/>
      <c r="D948" s="30"/>
      <c r="F948" s="38"/>
      <c r="G948" s="38"/>
      <c r="H948" s="38"/>
      <c r="I948" s="38"/>
      <c r="J948" s="38"/>
      <c r="K948" s="38"/>
      <c r="L948" s="38"/>
      <c r="M948" s="38"/>
      <c r="N948" s="38"/>
      <c r="O948" s="38"/>
      <c r="P948" s="38"/>
    </row>
    <row r="949">
      <c r="C949" s="30"/>
      <c r="D949" s="30"/>
      <c r="F949" s="38"/>
      <c r="G949" s="38"/>
      <c r="H949" s="38"/>
      <c r="I949" s="38"/>
      <c r="J949" s="38"/>
      <c r="K949" s="38"/>
      <c r="L949" s="38"/>
      <c r="M949" s="38"/>
      <c r="N949" s="38"/>
      <c r="O949" s="38"/>
      <c r="P949" s="38"/>
    </row>
    <row r="950">
      <c r="C950" s="30"/>
      <c r="D950" s="30"/>
      <c r="F950" s="38"/>
      <c r="G950" s="38"/>
      <c r="H950" s="38"/>
      <c r="I950" s="38"/>
      <c r="J950" s="38"/>
      <c r="K950" s="38"/>
      <c r="L950" s="38"/>
      <c r="M950" s="38"/>
      <c r="N950" s="38"/>
      <c r="O950" s="38"/>
      <c r="P950" s="38"/>
    </row>
    <row r="951">
      <c r="C951" s="30"/>
      <c r="D951" s="30"/>
      <c r="F951" s="38"/>
      <c r="G951" s="38"/>
      <c r="H951" s="38"/>
      <c r="I951" s="38"/>
      <c r="J951" s="38"/>
      <c r="K951" s="38"/>
      <c r="L951" s="38"/>
      <c r="M951" s="38"/>
      <c r="N951" s="38"/>
      <c r="O951" s="38"/>
      <c r="P951" s="38"/>
    </row>
    <row r="952">
      <c r="C952" s="30"/>
      <c r="D952" s="30"/>
      <c r="F952" s="38"/>
      <c r="G952" s="38"/>
      <c r="H952" s="38"/>
      <c r="I952" s="38"/>
      <c r="J952" s="38"/>
      <c r="K952" s="38"/>
      <c r="L952" s="38"/>
      <c r="M952" s="38"/>
      <c r="N952" s="38"/>
      <c r="O952" s="38"/>
      <c r="P952" s="38"/>
    </row>
    <row r="953">
      <c r="C953" s="30"/>
      <c r="D953" s="30"/>
      <c r="F953" s="38"/>
      <c r="G953" s="38"/>
      <c r="H953" s="38"/>
      <c r="I953" s="38"/>
      <c r="J953" s="38"/>
      <c r="K953" s="38"/>
      <c r="L953" s="38"/>
      <c r="M953" s="38"/>
      <c r="N953" s="38"/>
      <c r="O953" s="38"/>
      <c r="P953" s="38"/>
    </row>
    <row r="954">
      <c r="C954" s="30"/>
      <c r="D954" s="30"/>
      <c r="F954" s="38"/>
      <c r="G954" s="38"/>
      <c r="H954" s="38"/>
      <c r="I954" s="38"/>
      <c r="J954" s="38"/>
      <c r="K954" s="38"/>
      <c r="L954" s="38"/>
      <c r="M954" s="38"/>
      <c r="N954" s="38"/>
      <c r="O954" s="38"/>
      <c r="P954" s="38"/>
    </row>
    <row r="955">
      <c r="C955" s="30"/>
      <c r="D955" s="30"/>
      <c r="F955" s="38"/>
      <c r="G955" s="38"/>
      <c r="H955" s="38"/>
      <c r="I955" s="38"/>
      <c r="J955" s="38"/>
      <c r="K955" s="38"/>
      <c r="L955" s="38"/>
      <c r="M955" s="38"/>
      <c r="N955" s="38"/>
      <c r="O955" s="38"/>
      <c r="P955" s="38"/>
    </row>
    <row r="956">
      <c r="C956" s="30"/>
      <c r="D956" s="30"/>
      <c r="F956" s="38"/>
      <c r="G956" s="38"/>
      <c r="H956" s="38"/>
      <c r="I956" s="38"/>
      <c r="J956" s="38"/>
      <c r="K956" s="38"/>
      <c r="L956" s="38"/>
      <c r="M956" s="38"/>
      <c r="N956" s="38"/>
      <c r="O956" s="38"/>
      <c r="P956" s="38"/>
    </row>
    <row r="957">
      <c r="C957" s="30"/>
      <c r="D957" s="30"/>
      <c r="F957" s="38"/>
      <c r="G957" s="38"/>
      <c r="H957" s="38"/>
      <c r="I957" s="38"/>
      <c r="J957" s="38"/>
      <c r="K957" s="38"/>
      <c r="L957" s="38"/>
      <c r="M957" s="38"/>
      <c r="N957" s="38"/>
      <c r="O957" s="38"/>
      <c r="P957" s="38"/>
    </row>
    <row r="958">
      <c r="C958" s="30"/>
      <c r="D958" s="30"/>
      <c r="F958" s="38"/>
      <c r="G958" s="38"/>
      <c r="H958" s="38"/>
      <c r="I958" s="38"/>
      <c r="J958" s="38"/>
      <c r="K958" s="38"/>
      <c r="L958" s="38"/>
      <c r="M958" s="38"/>
      <c r="N958" s="38"/>
      <c r="O958" s="38"/>
      <c r="P958" s="38"/>
    </row>
    <row r="959">
      <c r="C959" s="30"/>
      <c r="D959" s="30"/>
      <c r="F959" s="38"/>
      <c r="G959" s="38"/>
      <c r="H959" s="38"/>
      <c r="I959" s="38"/>
      <c r="J959" s="38"/>
      <c r="K959" s="38"/>
      <c r="L959" s="38"/>
      <c r="M959" s="38"/>
      <c r="N959" s="38"/>
      <c r="O959" s="38"/>
      <c r="P959" s="38"/>
    </row>
    <row r="960">
      <c r="C960" s="30"/>
      <c r="D960" s="30"/>
      <c r="F960" s="38"/>
      <c r="G960" s="38"/>
      <c r="H960" s="38"/>
      <c r="I960" s="38"/>
      <c r="J960" s="38"/>
      <c r="K960" s="38"/>
      <c r="L960" s="38"/>
      <c r="M960" s="38"/>
      <c r="N960" s="38"/>
      <c r="O960" s="38"/>
      <c r="P960" s="38"/>
    </row>
    <row r="961">
      <c r="F961" s="38"/>
      <c r="G961" s="38"/>
      <c r="H961" s="38"/>
      <c r="I961" s="38"/>
      <c r="J961" s="38"/>
      <c r="K961" s="38"/>
      <c r="L961" s="38"/>
      <c r="M961" s="38"/>
      <c r="N961" s="38"/>
      <c r="O961" s="38"/>
      <c r="P961" s="38"/>
    </row>
    <row r="962">
      <c r="F962" s="38"/>
      <c r="G962" s="38"/>
      <c r="H962" s="38"/>
      <c r="I962" s="38"/>
      <c r="J962" s="38"/>
      <c r="K962" s="38"/>
      <c r="L962" s="38"/>
      <c r="M962" s="38"/>
      <c r="N962" s="38"/>
      <c r="O962" s="38"/>
      <c r="P962" s="38"/>
    </row>
    <row r="963">
      <c r="F963" s="38"/>
      <c r="G963" s="38"/>
      <c r="H963" s="38"/>
      <c r="I963" s="38"/>
      <c r="J963" s="38"/>
      <c r="K963" s="38"/>
      <c r="L963" s="38"/>
      <c r="M963" s="38"/>
      <c r="N963" s="38"/>
      <c r="O963" s="38"/>
      <c r="P963" s="38"/>
    </row>
    <row r="964">
      <c r="F964" s="38"/>
      <c r="G964" s="38"/>
      <c r="H964" s="38"/>
      <c r="I964" s="38"/>
      <c r="J964" s="38"/>
      <c r="K964" s="38"/>
      <c r="L964" s="38"/>
      <c r="M964" s="38"/>
      <c r="N964" s="38"/>
      <c r="O964" s="38"/>
      <c r="P964" s="38"/>
    </row>
    <row r="965">
      <c r="F965" s="38"/>
      <c r="G965" s="38"/>
      <c r="H965" s="38"/>
      <c r="I965" s="38"/>
      <c r="J965" s="38"/>
      <c r="K965" s="38"/>
      <c r="L965" s="38"/>
      <c r="M965" s="38"/>
      <c r="N965" s="38"/>
      <c r="O965" s="38"/>
      <c r="P965" s="38"/>
    </row>
    <row r="966">
      <c r="F966" s="38"/>
      <c r="G966" s="38"/>
      <c r="H966" s="38"/>
      <c r="I966" s="38"/>
      <c r="J966" s="38"/>
      <c r="K966" s="38"/>
      <c r="L966" s="38"/>
      <c r="M966" s="38"/>
      <c r="N966" s="38"/>
      <c r="O966" s="38"/>
      <c r="P966" s="38"/>
    </row>
    <row r="967">
      <c r="F967" s="38"/>
      <c r="G967" s="38"/>
      <c r="H967" s="38"/>
      <c r="I967" s="38"/>
      <c r="J967" s="38"/>
      <c r="K967" s="38"/>
      <c r="L967" s="38"/>
      <c r="M967" s="38"/>
      <c r="N967" s="38"/>
      <c r="O967" s="38"/>
      <c r="P967" s="38"/>
    </row>
    <row r="968">
      <c r="F968" s="38"/>
      <c r="G968" s="38"/>
      <c r="H968" s="38"/>
      <c r="I968" s="38"/>
      <c r="J968" s="38"/>
      <c r="K968" s="38"/>
      <c r="L968" s="38"/>
      <c r="M968" s="38"/>
      <c r="N968" s="38"/>
      <c r="O968" s="38"/>
      <c r="P968" s="38"/>
    </row>
    <row r="969">
      <c r="F969" s="38"/>
      <c r="G969" s="38"/>
      <c r="H969" s="38"/>
      <c r="I969" s="38"/>
      <c r="J969" s="38"/>
      <c r="K969" s="38"/>
      <c r="L969" s="38"/>
      <c r="M969" s="38"/>
      <c r="N969" s="38"/>
      <c r="O969" s="38"/>
      <c r="P969" s="38"/>
    </row>
    <row r="970">
      <c r="F970" s="38"/>
      <c r="G970" s="38"/>
      <c r="H970" s="38"/>
      <c r="I970" s="38"/>
      <c r="J970" s="38"/>
      <c r="K970" s="38"/>
      <c r="L970" s="38"/>
      <c r="M970" s="38"/>
      <c r="N970" s="38"/>
      <c r="O970" s="38"/>
      <c r="P970" s="38"/>
    </row>
    <row r="971">
      <c r="F971" s="38"/>
      <c r="G971" s="38"/>
      <c r="H971" s="38"/>
      <c r="I971" s="38"/>
      <c r="J971" s="38"/>
      <c r="K971" s="38"/>
      <c r="L971" s="38"/>
      <c r="M971" s="38"/>
      <c r="N971" s="38"/>
      <c r="O971" s="38"/>
      <c r="P971" s="38"/>
    </row>
    <row r="972">
      <c r="F972" s="38"/>
      <c r="G972" s="38"/>
      <c r="H972" s="38"/>
      <c r="I972" s="38"/>
      <c r="J972" s="38"/>
      <c r="K972" s="38"/>
      <c r="L972" s="38"/>
      <c r="M972" s="38"/>
      <c r="N972" s="38"/>
      <c r="O972" s="38"/>
      <c r="P972" s="38"/>
    </row>
    <row r="973">
      <c r="F973" s="38"/>
      <c r="G973" s="38"/>
      <c r="H973" s="38"/>
      <c r="I973" s="38"/>
      <c r="J973" s="38"/>
      <c r="K973" s="38"/>
      <c r="L973" s="38"/>
      <c r="M973" s="38"/>
      <c r="N973" s="38"/>
      <c r="O973" s="38"/>
      <c r="P973" s="38"/>
    </row>
    <row r="974">
      <c r="F974" s="38"/>
      <c r="G974" s="38"/>
      <c r="H974" s="38"/>
      <c r="I974" s="38"/>
      <c r="J974" s="38"/>
      <c r="K974" s="38"/>
      <c r="L974" s="38"/>
      <c r="M974" s="38"/>
      <c r="N974" s="38"/>
      <c r="O974" s="38"/>
      <c r="P974" s="38"/>
    </row>
    <row r="975">
      <c r="F975" s="38"/>
      <c r="G975" s="38"/>
      <c r="H975" s="38"/>
      <c r="I975" s="38"/>
      <c r="J975" s="38"/>
      <c r="K975" s="38"/>
      <c r="L975" s="38"/>
      <c r="M975" s="38"/>
      <c r="N975" s="38"/>
      <c r="O975" s="38"/>
      <c r="P975" s="38"/>
    </row>
    <row r="976">
      <c r="F976" s="38"/>
      <c r="G976" s="38"/>
      <c r="H976" s="38"/>
      <c r="I976" s="38"/>
      <c r="J976" s="38"/>
      <c r="K976" s="38"/>
      <c r="L976" s="38"/>
      <c r="M976" s="38"/>
      <c r="N976" s="38"/>
      <c r="O976" s="38"/>
      <c r="P976" s="38"/>
    </row>
    <row r="977">
      <c r="F977" s="38"/>
      <c r="G977" s="38"/>
      <c r="H977" s="38"/>
      <c r="I977" s="38"/>
      <c r="J977" s="38"/>
      <c r="K977" s="38"/>
      <c r="L977" s="38"/>
      <c r="M977" s="38"/>
      <c r="N977" s="38"/>
      <c r="O977" s="38"/>
      <c r="P977" s="38"/>
    </row>
    <row r="978">
      <c r="F978" s="38"/>
      <c r="G978" s="38"/>
      <c r="H978" s="38"/>
      <c r="I978" s="38"/>
      <c r="J978" s="38"/>
      <c r="K978" s="38"/>
      <c r="L978" s="38"/>
      <c r="M978" s="38"/>
      <c r="N978" s="38"/>
      <c r="O978" s="38"/>
      <c r="P978" s="38"/>
    </row>
    <row r="979">
      <c r="F979" s="38"/>
      <c r="G979" s="38"/>
      <c r="H979" s="38"/>
      <c r="I979" s="38"/>
      <c r="J979" s="38"/>
      <c r="K979" s="38"/>
      <c r="L979" s="38"/>
      <c r="M979" s="38"/>
      <c r="N979" s="38"/>
      <c r="O979" s="38"/>
      <c r="P979" s="38"/>
    </row>
    <row r="980">
      <c r="F980" s="38"/>
      <c r="G980" s="38"/>
      <c r="H980" s="38"/>
      <c r="I980" s="38"/>
      <c r="J980" s="38"/>
      <c r="K980" s="38"/>
      <c r="L980" s="38"/>
      <c r="M980" s="38"/>
      <c r="N980" s="38"/>
      <c r="O980" s="38"/>
      <c r="P980" s="38"/>
    </row>
    <row r="981">
      <c r="F981" s="38"/>
      <c r="G981" s="38"/>
      <c r="H981" s="38"/>
      <c r="I981" s="38"/>
      <c r="J981" s="38"/>
      <c r="K981" s="38"/>
      <c r="L981" s="38"/>
      <c r="M981" s="38"/>
      <c r="N981" s="38"/>
      <c r="O981" s="38"/>
      <c r="P981" s="38"/>
    </row>
    <row r="982">
      <c r="F982" s="38"/>
      <c r="G982" s="38"/>
      <c r="H982" s="38"/>
      <c r="I982" s="38"/>
      <c r="J982" s="38"/>
      <c r="K982" s="38"/>
      <c r="L982" s="38"/>
      <c r="M982" s="38"/>
      <c r="N982" s="38"/>
      <c r="O982" s="38"/>
      <c r="P982" s="38"/>
    </row>
    <row r="983">
      <c r="F983" s="38"/>
      <c r="G983" s="38"/>
      <c r="H983" s="38"/>
      <c r="I983" s="38"/>
      <c r="J983" s="38"/>
      <c r="K983" s="38"/>
      <c r="L983" s="38"/>
      <c r="M983" s="38"/>
      <c r="N983" s="38"/>
      <c r="O983" s="38"/>
      <c r="P983" s="38"/>
    </row>
    <row r="984">
      <c r="F984" s="38"/>
      <c r="G984" s="38"/>
      <c r="H984" s="38"/>
      <c r="I984" s="38"/>
      <c r="J984" s="38"/>
      <c r="K984" s="38"/>
      <c r="L984" s="38"/>
      <c r="M984" s="38"/>
      <c r="N984" s="38"/>
      <c r="O984" s="38"/>
      <c r="P984" s="38"/>
    </row>
    <row r="985">
      <c r="F985" s="38"/>
      <c r="G985" s="38"/>
      <c r="H985" s="38"/>
      <c r="I985" s="38"/>
      <c r="J985" s="38"/>
      <c r="K985" s="38"/>
      <c r="L985" s="38"/>
      <c r="M985" s="38"/>
      <c r="N985" s="38"/>
      <c r="O985" s="38"/>
      <c r="P985" s="38"/>
    </row>
    <row r="986">
      <c r="F986" s="38"/>
      <c r="G986" s="38"/>
      <c r="H986" s="38"/>
      <c r="I986" s="38"/>
      <c r="J986" s="38"/>
      <c r="K986" s="38"/>
      <c r="L986" s="38"/>
      <c r="M986" s="38"/>
      <c r="N986" s="38"/>
      <c r="O986" s="38"/>
      <c r="P986" s="38"/>
    </row>
    <row r="987">
      <c r="F987" s="38"/>
      <c r="G987" s="38"/>
      <c r="H987" s="38"/>
      <c r="I987" s="38"/>
      <c r="J987" s="38"/>
      <c r="K987" s="38"/>
      <c r="L987" s="38"/>
      <c r="M987" s="38"/>
      <c r="N987" s="38"/>
      <c r="O987" s="38"/>
      <c r="P987" s="38"/>
    </row>
    <row r="988">
      <c r="F988" s="38"/>
      <c r="G988" s="38"/>
      <c r="H988" s="38"/>
      <c r="I988" s="38"/>
      <c r="J988" s="38"/>
      <c r="K988" s="38"/>
      <c r="L988" s="38"/>
      <c r="M988" s="38"/>
      <c r="N988" s="38"/>
      <c r="O988" s="38"/>
      <c r="P988" s="38"/>
    </row>
    <row r="989">
      <c r="F989" s="38"/>
      <c r="G989" s="38"/>
      <c r="H989" s="38"/>
      <c r="I989" s="38"/>
      <c r="J989" s="38"/>
      <c r="K989" s="38"/>
      <c r="L989" s="38"/>
      <c r="M989" s="38"/>
      <c r="N989" s="38"/>
      <c r="O989" s="38"/>
      <c r="P989" s="38"/>
    </row>
    <row r="990">
      <c r="F990" s="38"/>
      <c r="G990" s="38"/>
      <c r="H990" s="38"/>
      <c r="I990" s="38"/>
      <c r="J990" s="38"/>
      <c r="K990" s="38"/>
      <c r="L990" s="38"/>
      <c r="M990" s="38"/>
      <c r="N990" s="38"/>
      <c r="O990" s="38"/>
      <c r="P990" s="38"/>
    </row>
    <row r="991">
      <c r="F991" s="38"/>
      <c r="G991" s="38"/>
      <c r="H991" s="38"/>
      <c r="I991" s="38"/>
      <c r="J991" s="38"/>
      <c r="K991" s="38"/>
      <c r="L991" s="38"/>
      <c r="M991" s="38"/>
      <c r="N991" s="38"/>
      <c r="O991" s="38"/>
      <c r="P991" s="38"/>
    </row>
    <row r="992">
      <c r="F992" s="38"/>
      <c r="G992" s="38"/>
      <c r="H992" s="38"/>
      <c r="I992" s="38"/>
      <c r="J992" s="38"/>
      <c r="K992" s="38"/>
      <c r="L992" s="38"/>
      <c r="M992" s="38"/>
      <c r="N992" s="38"/>
      <c r="O992" s="38"/>
      <c r="P992" s="38"/>
    </row>
    <row r="993">
      <c r="F993" s="38"/>
      <c r="G993" s="38"/>
      <c r="H993" s="38"/>
      <c r="I993" s="38"/>
      <c r="J993" s="38"/>
      <c r="K993" s="38"/>
      <c r="L993" s="38"/>
      <c r="M993" s="38"/>
      <c r="N993" s="38"/>
      <c r="O993" s="38"/>
      <c r="P993" s="38"/>
    </row>
    <row r="994">
      <c r="F994" s="38"/>
      <c r="G994" s="38"/>
      <c r="H994" s="38"/>
      <c r="I994" s="38"/>
      <c r="J994" s="38"/>
      <c r="K994" s="38"/>
      <c r="L994" s="38"/>
      <c r="M994" s="38"/>
      <c r="N994" s="38"/>
      <c r="O994" s="38"/>
      <c r="P994" s="38"/>
    </row>
    <row r="995">
      <c r="F995" s="38"/>
      <c r="G995" s="38"/>
      <c r="H995" s="38"/>
      <c r="I995" s="38"/>
      <c r="J995" s="38"/>
      <c r="K995" s="38"/>
      <c r="L995" s="38"/>
      <c r="M995" s="38"/>
      <c r="N995" s="38"/>
      <c r="O995" s="38"/>
      <c r="P995" s="38"/>
    </row>
    <row r="996">
      <c r="F996" s="38"/>
      <c r="G996" s="38"/>
      <c r="H996" s="38"/>
      <c r="I996" s="38"/>
      <c r="J996" s="38"/>
      <c r="K996" s="38"/>
      <c r="L996" s="38"/>
      <c r="M996" s="38"/>
      <c r="N996" s="38"/>
      <c r="O996" s="38"/>
      <c r="P996" s="38"/>
    </row>
    <row r="997">
      <c r="F997" s="38"/>
      <c r="G997" s="38"/>
      <c r="H997" s="38"/>
      <c r="I997" s="38"/>
      <c r="J997" s="38"/>
      <c r="K997" s="38"/>
      <c r="L997" s="38"/>
      <c r="M997" s="38"/>
      <c r="N997" s="38"/>
      <c r="O997" s="38"/>
      <c r="P997" s="38"/>
    </row>
    <row r="998">
      <c r="F998" s="38"/>
      <c r="G998" s="38"/>
      <c r="H998" s="38"/>
      <c r="I998" s="38"/>
      <c r="J998" s="38"/>
      <c r="K998" s="38"/>
      <c r="L998" s="38"/>
      <c r="M998" s="38"/>
      <c r="N998" s="38"/>
      <c r="O998" s="38"/>
      <c r="P998" s="38"/>
    </row>
    <row r="999">
      <c r="F999" s="38"/>
      <c r="G999" s="38"/>
      <c r="H999" s="38"/>
      <c r="I999" s="38"/>
      <c r="J999" s="38"/>
      <c r="K999" s="38"/>
      <c r="L999" s="38"/>
      <c r="M999" s="38"/>
      <c r="N999" s="38"/>
      <c r="O999" s="38"/>
      <c r="P999" s="38"/>
    </row>
    <row r="1000">
      <c r="F1000" s="38"/>
      <c r="G1000" s="38"/>
      <c r="H1000" s="38"/>
      <c r="I1000" s="38"/>
      <c r="J1000" s="38"/>
      <c r="K1000" s="38"/>
      <c r="L1000" s="38"/>
      <c r="M1000" s="38"/>
      <c r="N1000" s="38"/>
      <c r="O1000" s="38"/>
      <c r="P1000" s="3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 t="s">
        <v>0</v>
      </c>
      <c r="B1" s="17" t="s">
        <v>1</v>
      </c>
      <c r="C1" s="17" t="s">
        <v>2</v>
      </c>
      <c r="D1" s="17" t="s">
        <v>3</v>
      </c>
      <c r="E1" s="17" t="s">
        <v>4</v>
      </c>
      <c r="F1" s="17" t="s">
        <v>5</v>
      </c>
      <c r="G1" s="17" t="s">
        <v>6</v>
      </c>
      <c r="H1" s="17" t="s">
        <v>7</v>
      </c>
      <c r="I1" s="17" t="s">
        <v>8</v>
      </c>
      <c r="J1" s="17" t="s">
        <v>9</v>
      </c>
      <c r="K1" s="17" t="s">
        <v>12</v>
      </c>
      <c r="L1" s="17" t="s">
        <v>15</v>
      </c>
      <c r="M1" s="17" t="s">
        <v>16</v>
      </c>
      <c r="N1" s="17" t="s">
        <v>17</v>
      </c>
      <c r="O1" s="17" t="s">
        <v>18</v>
      </c>
      <c r="P1" s="17" t="s">
        <v>19</v>
      </c>
      <c r="Q1" s="17" t="s">
        <v>717</v>
      </c>
    </row>
    <row r="2">
      <c r="A2" s="17" t="s">
        <v>20</v>
      </c>
      <c r="B2" s="17" t="s">
        <v>21</v>
      </c>
      <c r="C2" s="17" t="s">
        <v>22</v>
      </c>
      <c r="D2" s="17" t="s">
        <v>23</v>
      </c>
      <c r="E2" s="18">
        <v>44635.0</v>
      </c>
      <c r="F2" s="17">
        <v>0.0</v>
      </c>
      <c r="G2" s="17">
        <v>0.0</v>
      </c>
      <c r="H2" s="17">
        <v>0.142857142857142</v>
      </c>
      <c r="I2" s="17">
        <v>0.0</v>
      </c>
      <c r="J2" s="17">
        <v>0.5</v>
      </c>
      <c r="K2" s="17">
        <v>0.341165230636645</v>
      </c>
      <c r="L2" s="17">
        <v>0.291158536548789</v>
      </c>
      <c r="M2" s="17">
        <v>0.769230769</v>
      </c>
      <c r="N2" s="17">
        <v>0.8335</v>
      </c>
      <c r="O2" s="17">
        <v>0.916691684178925</v>
      </c>
      <c r="P2" s="17">
        <v>0.16186920026536</v>
      </c>
      <c r="Q2" s="17">
        <v>0.359679323953351</v>
      </c>
    </row>
    <row r="3">
      <c r="A3" s="17" t="s">
        <v>20</v>
      </c>
      <c r="B3" s="17" t="s">
        <v>21</v>
      </c>
      <c r="C3" s="17" t="s">
        <v>24</v>
      </c>
      <c r="D3" s="17" t="s">
        <v>25</v>
      </c>
      <c r="E3" s="18">
        <v>44635.0</v>
      </c>
      <c r="F3" s="17">
        <v>0.0</v>
      </c>
      <c r="G3" s="17">
        <v>0.0</v>
      </c>
      <c r="H3" s="17">
        <v>0.142857142857142</v>
      </c>
      <c r="I3" s="17">
        <v>0.0</v>
      </c>
      <c r="J3" s="17">
        <v>0.0</v>
      </c>
      <c r="K3" s="17">
        <v>0.343423269870635</v>
      </c>
      <c r="L3" s="17">
        <v>0.173007246334316</v>
      </c>
      <c r="M3" s="17">
        <v>0.298507462699999</v>
      </c>
      <c r="N3" s="17">
        <v>0.9717</v>
      </c>
      <c r="O3" s="17">
        <v>0.985840088061643</v>
      </c>
      <c r="P3" s="17">
        <v>0.576365712812029</v>
      </c>
      <c r="Q3" s="17">
        <v>0.317427356603251</v>
      </c>
    </row>
    <row r="4">
      <c r="A4" s="17" t="s">
        <v>20</v>
      </c>
      <c r="B4" s="17" t="s">
        <v>21</v>
      </c>
      <c r="C4" s="17" t="s">
        <v>26</v>
      </c>
      <c r="D4" s="17" t="s">
        <v>27</v>
      </c>
      <c r="E4" s="18">
        <v>44635.0</v>
      </c>
      <c r="F4" s="17">
        <v>0.0</v>
      </c>
      <c r="G4" s="17">
        <v>0.0</v>
      </c>
      <c r="H4" s="17">
        <v>0.142857142857142</v>
      </c>
      <c r="I4" s="17">
        <v>0.25</v>
      </c>
      <c r="J4" s="17">
        <v>0.0</v>
      </c>
      <c r="K4" s="17">
        <v>0.358926348092678</v>
      </c>
      <c r="L4" s="17">
        <v>0.555232558161397</v>
      </c>
      <c r="M4" s="17">
        <v>0.4761904762</v>
      </c>
      <c r="N4" s="17">
        <v>0.8555</v>
      </c>
      <c r="O4" s="17">
        <v>0.9276993895727</v>
      </c>
      <c r="P4" s="17">
        <v>0.347293439710921</v>
      </c>
      <c r="Q4" s="17">
        <v>0.355790850417712</v>
      </c>
    </row>
    <row r="5">
      <c r="A5" s="17" t="s">
        <v>20</v>
      </c>
      <c r="B5" s="17" t="s">
        <v>21</v>
      </c>
      <c r="C5" s="17" t="s">
        <v>28</v>
      </c>
      <c r="D5" s="17" t="s">
        <v>29</v>
      </c>
      <c r="E5" s="18">
        <v>44635.0</v>
      </c>
      <c r="F5" s="17">
        <v>0.0</v>
      </c>
      <c r="G5" s="17">
        <v>0.0</v>
      </c>
      <c r="H5" s="17">
        <v>0.571428571428571</v>
      </c>
      <c r="I5" s="17">
        <v>0.25</v>
      </c>
      <c r="J5" s="17">
        <v>0.375</v>
      </c>
      <c r="K5" s="17">
        <v>0.511250667303323</v>
      </c>
      <c r="L5" s="17">
        <v>0.568452380949183</v>
      </c>
      <c r="M5" s="17">
        <v>1.0</v>
      </c>
      <c r="N5" s="17">
        <v>0.836</v>
      </c>
      <c r="O5" s="17">
        <v>0.917942559791854</v>
      </c>
      <c r="P5" s="17">
        <v>0.28244867933727</v>
      </c>
      <c r="Q5" s="17">
        <v>0.4829566235282</v>
      </c>
    </row>
    <row r="6">
      <c r="A6" s="17" t="s">
        <v>20</v>
      </c>
      <c r="B6" s="17" t="s">
        <v>21</v>
      </c>
      <c r="C6" s="17" t="s">
        <v>30</v>
      </c>
      <c r="D6" s="17" t="s">
        <v>31</v>
      </c>
      <c r="E6" s="18">
        <v>44635.0</v>
      </c>
      <c r="F6" s="17">
        <v>0.0</v>
      </c>
      <c r="G6" s="17">
        <v>0.0</v>
      </c>
      <c r="H6" s="17">
        <v>0.142857142857142</v>
      </c>
      <c r="I6" s="17">
        <v>0.25</v>
      </c>
      <c r="J6" s="17">
        <v>0.0</v>
      </c>
      <c r="K6" s="17">
        <v>0.40848277384994</v>
      </c>
      <c r="L6" s="17">
        <v>0.530555555488904</v>
      </c>
      <c r="M6" s="17">
        <v>0.568181818</v>
      </c>
      <c r="N6" s="17">
        <v>0.6705</v>
      </c>
      <c r="O6" s="17">
        <v>0.835134594215951</v>
      </c>
      <c r="P6" s="17">
        <v>0.290081695917393</v>
      </c>
      <c r="Q6" s="17">
        <v>0.335981234575393</v>
      </c>
    </row>
    <row r="7">
      <c r="A7" s="17" t="s">
        <v>20</v>
      </c>
      <c r="B7" s="17" t="s">
        <v>21</v>
      </c>
      <c r="C7" s="17" t="s">
        <v>32</v>
      </c>
      <c r="D7" s="17" t="s">
        <v>33</v>
      </c>
      <c r="E7" s="18">
        <v>44635.0</v>
      </c>
      <c r="F7" s="17">
        <v>0.0</v>
      </c>
      <c r="G7" s="17">
        <v>0.0</v>
      </c>
      <c r="H7" s="17">
        <v>0.142857142857142</v>
      </c>
      <c r="I7" s="17">
        <v>0.25</v>
      </c>
      <c r="J7" s="17">
        <v>0.0</v>
      </c>
      <c r="K7" s="17">
        <v>0.270085970609141</v>
      </c>
      <c r="L7" s="17">
        <v>0.248697916620502</v>
      </c>
      <c r="M7" s="17">
        <v>0.652173912999999</v>
      </c>
      <c r="N7" s="17">
        <v>0.6369</v>
      </c>
      <c r="O7" s="17">
        <v>0.818322825978184</v>
      </c>
      <c r="P7" s="17">
        <v>0.44980662700837</v>
      </c>
      <c r="Q7" s="17">
        <v>0.315349490552121</v>
      </c>
    </row>
    <row r="8">
      <c r="A8" s="17" t="s">
        <v>20</v>
      </c>
      <c r="B8" s="17" t="s">
        <v>21</v>
      </c>
      <c r="C8" s="17" t="s">
        <v>34</v>
      </c>
      <c r="D8" s="17" t="s">
        <v>35</v>
      </c>
      <c r="E8" s="18">
        <v>44635.0</v>
      </c>
      <c r="F8" s="17">
        <v>0.0</v>
      </c>
      <c r="G8" s="17">
        <v>0.0</v>
      </c>
      <c r="H8" s="17">
        <v>0.142857142857142</v>
      </c>
      <c r="I8" s="17">
        <v>0.25</v>
      </c>
      <c r="J8" s="17">
        <v>0.0</v>
      </c>
      <c r="K8" s="17">
        <v>0.347044011349178</v>
      </c>
      <c r="L8" s="17">
        <v>0.298437499992352</v>
      </c>
      <c r="M8" s="17">
        <v>0.641025640999999</v>
      </c>
      <c r="N8" s="17">
        <v>0.6369</v>
      </c>
      <c r="O8" s="17">
        <v>0.818322825978184</v>
      </c>
      <c r="P8" s="17">
        <v>0.216187599346331</v>
      </c>
      <c r="Q8" s="17">
        <v>0.304615883683926</v>
      </c>
    </row>
    <row r="9">
      <c r="A9" s="17" t="s">
        <v>20</v>
      </c>
      <c r="B9" s="17" t="s">
        <v>21</v>
      </c>
      <c r="C9" s="17" t="s">
        <v>36</v>
      </c>
      <c r="D9" s="17" t="s">
        <v>37</v>
      </c>
      <c r="E9" s="18">
        <v>44635.0</v>
      </c>
      <c r="F9" s="17">
        <v>0.0</v>
      </c>
      <c r="G9" s="17">
        <v>0.0</v>
      </c>
      <c r="H9" s="17">
        <v>0.142857142857142</v>
      </c>
      <c r="I9" s="17">
        <v>0.25</v>
      </c>
      <c r="J9" s="17">
        <v>0.0</v>
      </c>
      <c r="K9" s="17">
        <v>0.373496245070824</v>
      </c>
      <c r="L9" s="17">
        <v>0.507978723398858</v>
      </c>
      <c r="M9" s="17">
        <v>0.434782608699999</v>
      </c>
      <c r="N9" s="17">
        <v>0.7717</v>
      </c>
      <c r="O9" s="17">
        <v>0.885770039027319</v>
      </c>
      <c r="P9" s="17">
        <v>0.282438312791344</v>
      </c>
      <c r="Q9" s="17">
        <v>0.331729370167771</v>
      </c>
    </row>
    <row r="10">
      <c r="A10" s="17" t="s">
        <v>20</v>
      </c>
      <c r="B10" s="17" t="s">
        <v>21</v>
      </c>
      <c r="C10" s="17" t="s">
        <v>38</v>
      </c>
      <c r="D10" s="17" t="s">
        <v>39</v>
      </c>
      <c r="E10" s="18">
        <v>44635.0</v>
      </c>
      <c r="F10" s="17">
        <v>0.0</v>
      </c>
      <c r="G10" s="17">
        <v>0.0</v>
      </c>
      <c r="H10" s="17">
        <v>0.142857142857142</v>
      </c>
      <c r="I10" s="17">
        <v>0.25</v>
      </c>
      <c r="J10" s="17">
        <v>0.0</v>
      </c>
      <c r="K10" s="17">
        <v>0.0920980356360867</v>
      </c>
      <c r="L10" s="17">
        <v>0.225235849071103</v>
      </c>
      <c r="M10" s="17">
        <v>0.673076923</v>
      </c>
      <c r="N10" s="17">
        <v>0.7351</v>
      </c>
      <c r="O10" s="17">
        <v>0.867457220054037</v>
      </c>
      <c r="P10" s="17">
        <v>0.462193808362003</v>
      </c>
      <c r="Q10" s="17">
        <v>0.313456270816397</v>
      </c>
    </row>
    <row r="11">
      <c r="A11" s="17" t="s">
        <v>20</v>
      </c>
      <c r="B11" s="17" t="s">
        <v>21</v>
      </c>
      <c r="C11" s="17" t="s">
        <v>40</v>
      </c>
      <c r="D11" s="17" t="s">
        <v>41</v>
      </c>
      <c r="E11" s="18">
        <v>44635.0</v>
      </c>
      <c r="F11" s="17">
        <v>0.0</v>
      </c>
      <c r="G11" s="17">
        <v>0.0</v>
      </c>
      <c r="H11" s="17">
        <v>0.142857142857142</v>
      </c>
      <c r="I11" s="17">
        <v>0.0</v>
      </c>
      <c r="J11" s="17">
        <v>0.0</v>
      </c>
      <c r="K11" s="17">
        <v>0.242217499496104</v>
      </c>
      <c r="L11" s="17">
        <v>0.36174242419698</v>
      </c>
      <c r="M11" s="17">
        <v>0.7936507935</v>
      </c>
      <c r="N11" s="17">
        <v>0.4184</v>
      </c>
      <c r="O11" s="17">
        <v>0.708996297408185</v>
      </c>
      <c r="P11" s="17">
        <v>0.28563771514135</v>
      </c>
      <c r="Q11" s="17">
        <v>0.268500170236342</v>
      </c>
    </row>
    <row r="12">
      <c r="A12" s="17" t="s">
        <v>42</v>
      </c>
      <c r="B12" s="17" t="s">
        <v>21</v>
      </c>
      <c r="C12" s="17" t="s">
        <v>43</v>
      </c>
      <c r="D12" s="17" t="s">
        <v>44</v>
      </c>
      <c r="E12" s="18">
        <v>44635.0</v>
      </c>
      <c r="F12" s="17">
        <v>0.0</v>
      </c>
      <c r="G12" s="17">
        <v>0.0</v>
      </c>
      <c r="H12" s="17">
        <v>0.142857142857142</v>
      </c>
      <c r="I12" s="17">
        <v>0.0</v>
      </c>
      <c r="J12" s="17">
        <v>0.0</v>
      </c>
      <c r="K12" s="17">
        <v>0.406827752579652</v>
      </c>
      <c r="L12" s="17">
        <v>0.243622449029382</v>
      </c>
      <c r="M12" s="17">
        <v>0.21276595745</v>
      </c>
      <c r="N12" s="17">
        <v>0.9652</v>
      </c>
      <c r="O12" s="17">
        <v>0.982587811468027</v>
      </c>
      <c r="P12" s="17">
        <v>0.401816065476278</v>
      </c>
      <c r="Q12" s="17">
        <v>0.305061561714589</v>
      </c>
    </row>
    <row r="13">
      <c r="A13" s="17" t="s">
        <v>42</v>
      </c>
      <c r="B13" s="17" t="s">
        <v>21</v>
      </c>
      <c r="C13" s="17" t="s">
        <v>45</v>
      </c>
      <c r="D13" s="17" t="s">
        <v>46</v>
      </c>
      <c r="E13" s="18">
        <v>44635.0</v>
      </c>
      <c r="F13" s="17">
        <v>0.5</v>
      </c>
      <c r="G13" s="17">
        <v>0.0</v>
      </c>
      <c r="H13" s="17">
        <v>0.142857142857142</v>
      </c>
      <c r="I13" s="17">
        <v>0.25</v>
      </c>
      <c r="J13" s="17">
        <v>0.0</v>
      </c>
      <c r="K13" s="17">
        <v>0.275766213049668</v>
      </c>
      <c r="L13" s="17">
        <v>0.225235849071103</v>
      </c>
      <c r="M13" s="17">
        <v>0.5</v>
      </c>
      <c r="N13" s="17">
        <v>0.6239</v>
      </c>
      <c r="O13" s="17">
        <v>0.811818272790953</v>
      </c>
      <c r="P13" s="17">
        <v>0.616631397398189</v>
      </c>
      <c r="Q13" s="17">
        <v>0.358746261378823</v>
      </c>
    </row>
    <row r="14">
      <c r="A14" s="17" t="s">
        <v>42</v>
      </c>
      <c r="B14" s="17" t="s">
        <v>21</v>
      </c>
      <c r="C14" s="17" t="s">
        <v>47</v>
      </c>
      <c r="D14" s="17" t="s">
        <v>48</v>
      </c>
      <c r="E14" s="18">
        <v>44635.0</v>
      </c>
      <c r="F14" s="17">
        <v>0.0</v>
      </c>
      <c r="G14" s="17">
        <v>0.0</v>
      </c>
      <c r="H14" s="17">
        <v>0.142857142857142</v>
      </c>
      <c r="I14" s="17">
        <v>0.0</v>
      </c>
      <c r="J14" s="17">
        <v>0.0</v>
      </c>
      <c r="K14" s="17">
        <v>0.358595000815006</v>
      </c>
      <c r="L14" s="17">
        <v>0.291158536548789</v>
      </c>
      <c r="M14" s="17">
        <v>0.5</v>
      </c>
      <c r="N14" s="17">
        <v>0.6705</v>
      </c>
      <c r="O14" s="17">
        <v>0.835134594215951</v>
      </c>
      <c r="P14" s="17">
        <v>0.411417743047791</v>
      </c>
      <c r="Q14" s="17">
        <v>0.291787547044061</v>
      </c>
    </row>
    <row r="15">
      <c r="A15" s="17" t="s">
        <v>42</v>
      </c>
      <c r="B15" s="17" t="s">
        <v>21</v>
      </c>
      <c r="C15" s="17" t="s">
        <v>49</v>
      </c>
      <c r="D15" s="17" t="s">
        <v>50</v>
      </c>
      <c r="E15" s="18">
        <v>44635.0</v>
      </c>
      <c r="F15" s="17">
        <v>0.0</v>
      </c>
      <c r="G15" s="17">
        <v>0.0</v>
      </c>
      <c r="H15" s="17">
        <v>0.142857142857142</v>
      </c>
      <c r="I15" s="17">
        <v>0.0</v>
      </c>
      <c r="J15" s="17">
        <v>0.0</v>
      </c>
      <c r="K15" s="17">
        <v>0.65533344758998</v>
      </c>
      <c r="L15" s="17">
        <v>0.524725274759054</v>
      </c>
      <c r="M15" s="17">
        <v>0.44943820225</v>
      </c>
      <c r="N15" s="17">
        <v>0.9514</v>
      </c>
      <c r="O15" s="17">
        <v>0.975682978084659</v>
      </c>
      <c r="P15" s="17">
        <v>0.305092878514193</v>
      </c>
      <c r="Q15" s="17">
        <v>0.364048174914093</v>
      </c>
    </row>
    <row r="16">
      <c r="A16" s="17" t="s">
        <v>42</v>
      </c>
      <c r="B16" s="17" t="s">
        <v>21</v>
      </c>
      <c r="C16" s="17" t="s">
        <v>51</v>
      </c>
      <c r="D16" s="17" t="s">
        <v>52</v>
      </c>
      <c r="E16" s="18">
        <v>44635.0</v>
      </c>
      <c r="F16" s="17">
        <v>0.0</v>
      </c>
      <c r="G16" s="17">
        <v>0.0</v>
      </c>
      <c r="H16" s="17">
        <v>0.142857142857142</v>
      </c>
      <c r="I16" s="17">
        <v>0.25</v>
      </c>
      <c r="J16" s="17">
        <v>0.0</v>
      </c>
      <c r="K16" s="17">
        <v>0.686908860930583</v>
      </c>
      <c r="L16" s="17">
        <v>0.0795833333352731</v>
      </c>
      <c r="M16" s="17">
        <v>0.20408163265</v>
      </c>
      <c r="N16" s="17">
        <v>0.9611</v>
      </c>
      <c r="O16" s="17">
        <v>0.980536375462823</v>
      </c>
      <c r="P16" s="17">
        <v>0.301450018309379</v>
      </c>
      <c r="Q16" s="17">
        <v>0.327865214867745</v>
      </c>
    </row>
    <row r="17">
      <c r="A17" s="17" t="s">
        <v>42</v>
      </c>
      <c r="B17" s="17" t="s">
        <v>21</v>
      </c>
      <c r="C17" s="17" t="s">
        <v>53</v>
      </c>
      <c r="D17" s="17" t="s">
        <v>54</v>
      </c>
      <c r="E17" s="18">
        <v>44635.0</v>
      </c>
      <c r="F17" s="17">
        <v>0.0</v>
      </c>
      <c r="G17" s="17">
        <v>0.0</v>
      </c>
      <c r="H17" s="17">
        <v>0.142857142857142</v>
      </c>
      <c r="I17" s="17">
        <v>0.25</v>
      </c>
      <c r="J17" s="17">
        <v>0.0</v>
      </c>
      <c r="K17" s="17">
        <v>0.357241206354365</v>
      </c>
      <c r="L17" s="17">
        <v>0.0</v>
      </c>
      <c r="M17" s="17">
        <v>0.4411764706</v>
      </c>
      <c r="N17" s="17">
        <v>0.9531</v>
      </c>
      <c r="O17" s="17">
        <v>0.976533573501451</v>
      </c>
      <c r="P17" s="17">
        <v>0.509033986148367</v>
      </c>
      <c r="Q17" s="17">
        <v>0.329994761769211</v>
      </c>
    </row>
    <row r="18">
      <c r="A18" s="17" t="s">
        <v>42</v>
      </c>
      <c r="B18" s="17" t="s">
        <v>21</v>
      </c>
      <c r="C18" s="17" t="s">
        <v>55</v>
      </c>
      <c r="D18" s="17" t="s">
        <v>56</v>
      </c>
      <c r="E18" s="18">
        <v>44635.0</v>
      </c>
      <c r="F18" s="17">
        <v>0.0</v>
      </c>
      <c r="G18" s="17">
        <v>0.0</v>
      </c>
      <c r="H18" s="17">
        <v>0.142857142857142</v>
      </c>
      <c r="I18" s="17">
        <v>0.0</v>
      </c>
      <c r="J18" s="17">
        <v>0.0</v>
      </c>
      <c r="K18" s="17">
        <v>0.373897283283456</v>
      </c>
      <c r="L18" s="17">
        <v>0.32016283522117</v>
      </c>
      <c r="M18" s="17">
        <v>0.17441860465</v>
      </c>
      <c r="N18" s="17">
        <v>0.8779</v>
      </c>
      <c r="O18" s="17">
        <v>0.938907235064545</v>
      </c>
      <c r="P18" s="17">
        <v>0.596716714777137</v>
      </c>
      <c r="Q18" s="17">
        <v>0.311350892350313</v>
      </c>
    </row>
    <row r="19">
      <c r="A19" s="17" t="s">
        <v>42</v>
      </c>
      <c r="B19" s="17" t="s">
        <v>21</v>
      </c>
      <c r="C19" s="17" t="s">
        <v>57</v>
      </c>
      <c r="D19" s="17" t="s">
        <v>58</v>
      </c>
      <c r="E19" s="18">
        <v>44635.0</v>
      </c>
      <c r="F19" s="17">
        <v>0.0</v>
      </c>
      <c r="G19" s="17">
        <v>0.0</v>
      </c>
      <c r="H19" s="17">
        <v>0.142857142857142</v>
      </c>
      <c r="I19" s="17">
        <v>0.25</v>
      </c>
      <c r="J19" s="17">
        <v>0.0</v>
      </c>
      <c r="K19" s="17">
        <v>0.256666206386905</v>
      </c>
      <c r="L19" s="17">
        <v>0.31141304344952</v>
      </c>
      <c r="M19" s="17">
        <v>0.17699115045</v>
      </c>
      <c r="N19" s="17">
        <v>0.9864</v>
      </c>
      <c r="O19" s="17">
        <v>0.993195236665665</v>
      </c>
      <c r="P19" s="17">
        <v>0.408954807458943</v>
      </c>
      <c r="Q19" s="17">
        <v>0.320588871569834</v>
      </c>
    </row>
    <row r="20">
      <c r="A20" s="17" t="s">
        <v>42</v>
      </c>
      <c r="B20" s="17" t="s">
        <v>21</v>
      </c>
      <c r="C20" s="17" t="s">
        <v>59</v>
      </c>
      <c r="D20" s="17" t="s">
        <v>60</v>
      </c>
      <c r="E20" s="18">
        <v>44635.0</v>
      </c>
      <c r="F20" s="17">
        <v>0.0</v>
      </c>
      <c r="G20" s="17">
        <v>0.375</v>
      </c>
      <c r="H20" s="17">
        <v>0.142857142857142</v>
      </c>
      <c r="I20" s="17">
        <v>0.0</v>
      </c>
      <c r="J20" s="17">
        <v>0.0</v>
      </c>
      <c r="K20" s="17">
        <v>0.37891224171626</v>
      </c>
      <c r="L20" s="17">
        <v>0.170535714332505</v>
      </c>
      <c r="M20" s="17">
        <v>0.4411764706</v>
      </c>
      <c r="N20" s="17">
        <v>0.872</v>
      </c>
      <c r="O20" s="17">
        <v>0.935955168618032</v>
      </c>
      <c r="P20" s="17">
        <v>0.367223884454286</v>
      </c>
      <c r="Q20" s="17">
        <v>0.334878238416202</v>
      </c>
    </row>
    <row r="21">
      <c r="A21" s="17" t="s">
        <v>42</v>
      </c>
      <c r="B21" s="17" t="s">
        <v>21</v>
      </c>
      <c r="C21" s="17" t="s">
        <v>61</v>
      </c>
      <c r="D21" s="17" t="s">
        <v>62</v>
      </c>
      <c r="E21" s="18">
        <v>44635.0</v>
      </c>
      <c r="F21" s="17">
        <v>0.0</v>
      </c>
      <c r="G21" s="17">
        <v>0.0</v>
      </c>
      <c r="H21" s="17">
        <v>0.142857142857142</v>
      </c>
      <c r="I21" s="17">
        <v>0.25</v>
      </c>
      <c r="J21" s="17">
        <v>0.0</v>
      </c>
      <c r="K21" s="17">
        <v>0.597216058761876</v>
      </c>
      <c r="L21" s="17">
        <v>0.20581896550785</v>
      </c>
      <c r="M21" s="17">
        <v>0.462962962949999</v>
      </c>
      <c r="N21" s="17">
        <v>0.9601</v>
      </c>
      <c r="O21" s="17">
        <v>0.980036025217652</v>
      </c>
      <c r="P21" s="17">
        <v>0.266639430780657</v>
      </c>
      <c r="Q21" s="17">
        <v>0.35142096237047</v>
      </c>
    </row>
    <row r="22">
      <c r="A22" s="17" t="s">
        <v>63</v>
      </c>
      <c r="B22" s="17" t="s">
        <v>21</v>
      </c>
      <c r="C22" s="17" t="s">
        <v>64</v>
      </c>
      <c r="D22" s="17" t="s">
        <v>65</v>
      </c>
      <c r="E22" s="18">
        <v>44635.0</v>
      </c>
      <c r="F22" s="17">
        <v>0.0</v>
      </c>
      <c r="G22" s="17">
        <v>0.0</v>
      </c>
      <c r="H22" s="17">
        <v>0.142857142857142</v>
      </c>
      <c r="I22" s="17">
        <v>0.0</v>
      </c>
      <c r="J22" s="17">
        <v>0.0</v>
      </c>
      <c r="K22" s="17">
        <v>0.205435095911877</v>
      </c>
      <c r="L22" s="17">
        <v>0.663194444480505</v>
      </c>
      <c r="M22" s="17">
        <v>0.507246377</v>
      </c>
      <c r="N22" s="17">
        <v>0.743</v>
      </c>
      <c r="O22" s="17">
        <v>0.127889522665866</v>
      </c>
      <c r="P22" s="17">
        <v>0.448101378803044</v>
      </c>
      <c r="Q22" s="17">
        <v>0.257974905610767</v>
      </c>
    </row>
    <row r="23">
      <c r="A23" s="17" t="s">
        <v>63</v>
      </c>
      <c r="B23" s="17" t="s">
        <v>21</v>
      </c>
      <c r="C23" s="17" t="s">
        <v>66</v>
      </c>
      <c r="D23" s="17" t="s">
        <v>67</v>
      </c>
      <c r="E23" s="18">
        <v>44635.0</v>
      </c>
      <c r="F23" s="17">
        <v>0.0</v>
      </c>
      <c r="G23" s="17">
        <v>0.0</v>
      </c>
      <c r="H23" s="17">
        <v>0.142857142857142</v>
      </c>
      <c r="I23" s="17">
        <v>0.0</v>
      </c>
      <c r="J23" s="17">
        <v>0.0</v>
      </c>
      <c r="K23" s="17">
        <v>0.187260480407468</v>
      </c>
      <c r="L23" s="17">
        <v>0.687050359640519</v>
      </c>
      <c r="M23" s="17">
        <v>0.257352941199999</v>
      </c>
      <c r="N23" s="17">
        <v>0.9081</v>
      </c>
      <c r="O23" s="17">
        <v>0.0452816971880316</v>
      </c>
      <c r="P23" s="17">
        <v>0.41261626390887</v>
      </c>
      <c r="Q23" s="17">
        <v>0.240047171382002</v>
      </c>
    </row>
    <row r="24">
      <c r="A24" s="17" t="s">
        <v>63</v>
      </c>
      <c r="B24" s="17" t="s">
        <v>21</v>
      </c>
      <c r="C24" s="17" t="s">
        <v>68</v>
      </c>
      <c r="D24" s="17" t="s">
        <v>69</v>
      </c>
      <c r="E24" s="18">
        <v>44635.0</v>
      </c>
      <c r="F24" s="17">
        <v>0.0</v>
      </c>
      <c r="G24" s="17">
        <v>0.0</v>
      </c>
      <c r="H24" s="17">
        <v>0.142857142857142</v>
      </c>
      <c r="I24" s="17">
        <v>0.0</v>
      </c>
      <c r="J24" s="17">
        <v>0.0</v>
      </c>
      <c r="K24" s="17">
        <v>0.262447499417739</v>
      </c>
      <c r="L24" s="17">
        <v>0.0</v>
      </c>
      <c r="M24" s="17">
        <v>0.416666666649999</v>
      </c>
      <c r="N24" s="17">
        <v>0.962</v>
      </c>
      <c r="O24" s="17">
        <v>0.980986690683478</v>
      </c>
      <c r="P24" s="17">
        <v>0.605610008470369</v>
      </c>
      <c r="Q24" s="17">
        <v>0.306415273461702</v>
      </c>
    </row>
    <row r="25">
      <c r="A25" s="17" t="s">
        <v>63</v>
      </c>
      <c r="B25" s="17" t="s">
        <v>21</v>
      </c>
      <c r="C25" s="17" t="s">
        <v>70</v>
      </c>
      <c r="D25" s="17" t="s">
        <v>71</v>
      </c>
      <c r="E25" s="18">
        <v>44635.0</v>
      </c>
      <c r="F25" s="17">
        <v>0.0</v>
      </c>
      <c r="G25" s="17">
        <v>0.0</v>
      </c>
      <c r="H25" s="17">
        <v>0.142857142857142</v>
      </c>
      <c r="I25" s="17">
        <v>0.25</v>
      </c>
      <c r="J25" s="17">
        <v>0.0</v>
      </c>
      <c r="K25" s="17">
        <v>0.569609255026549</v>
      </c>
      <c r="L25" s="17">
        <v>0.0</v>
      </c>
      <c r="M25" s="17">
        <v>0.44444444445</v>
      </c>
      <c r="N25" s="17">
        <v>0.9819</v>
      </c>
      <c r="O25" s="17">
        <v>0.990943660562393</v>
      </c>
      <c r="P25" s="17">
        <v>0.596788035426258</v>
      </c>
      <c r="Q25" s="17">
        <v>0.361503867120213</v>
      </c>
    </row>
    <row r="26">
      <c r="A26" s="17" t="s">
        <v>63</v>
      </c>
      <c r="B26" s="17" t="s">
        <v>21</v>
      </c>
      <c r="C26" s="17" t="s">
        <v>72</v>
      </c>
      <c r="D26" s="17" t="s">
        <v>73</v>
      </c>
      <c r="E26" s="18">
        <v>44635.0</v>
      </c>
      <c r="F26" s="17">
        <v>0.0</v>
      </c>
      <c r="G26" s="17">
        <v>0.0</v>
      </c>
      <c r="H26" s="17">
        <v>0.142857142857142</v>
      </c>
      <c r="I26" s="17">
        <v>0.0</v>
      </c>
      <c r="J26" s="17">
        <v>0.0</v>
      </c>
      <c r="K26" s="17">
        <v>0.373811746461166</v>
      </c>
      <c r="L26" s="17">
        <v>0.406960227251446</v>
      </c>
      <c r="M26" s="17">
        <v>0.4705882353</v>
      </c>
      <c r="N26" s="17">
        <v>0.9501</v>
      </c>
      <c r="O26" s="17">
        <v>0.975032522765936</v>
      </c>
      <c r="P26" s="17">
        <v>0.560957816458375</v>
      </c>
      <c r="Q26" s="17">
        <v>0.352755244644915</v>
      </c>
    </row>
    <row r="27">
      <c r="A27" s="17" t="s">
        <v>63</v>
      </c>
      <c r="B27" s="17" t="s">
        <v>21</v>
      </c>
      <c r="C27" s="17" t="s">
        <v>74</v>
      </c>
      <c r="D27" s="17" t="s">
        <v>75</v>
      </c>
      <c r="E27" s="18">
        <v>44635.0</v>
      </c>
      <c r="F27" s="17">
        <v>0.0</v>
      </c>
      <c r="G27" s="17">
        <v>0.375</v>
      </c>
      <c r="H27" s="17">
        <v>0.142857142857142</v>
      </c>
      <c r="I27" s="17">
        <v>0.0</v>
      </c>
      <c r="J27" s="17">
        <v>0.5</v>
      </c>
      <c r="K27" s="17">
        <v>0.848797615691905</v>
      </c>
      <c r="L27" s="17">
        <v>0.468137254836129</v>
      </c>
      <c r="M27" s="17">
        <v>0.39603960395</v>
      </c>
      <c r="N27" s="17">
        <v>0.9822</v>
      </c>
      <c r="O27" s="17">
        <v>0.991093765635945</v>
      </c>
      <c r="P27" s="17">
        <v>0.606589168738251</v>
      </c>
      <c r="Q27" s="17">
        <v>0.482792231973579</v>
      </c>
    </row>
    <row r="28">
      <c r="A28" s="17" t="s">
        <v>63</v>
      </c>
      <c r="B28" s="17" t="s">
        <v>21</v>
      </c>
      <c r="C28" s="17" t="s">
        <v>76</v>
      </c>
      <c r="D28" s="17" t="s">
        <v>77</v>
      </c>
      <c r="E28" s="18">
        <v>44635.0</v>
      </c>
      <c r="F28" s="17">
        <v>0.0</v>
      </c>
      <c r="G28" s="17">
        <v>0.0</v>
      </c>
      <c r="H28" s="17">
        <v>0.142857142857142</v>
      </c>
      <c r="I28" s="17">
        <v>0.25</v>
      </c>
      <c r="J28" s="17">
        <v>0.0</v>
      </c>
      <c r="K28" s="17">
        <v>0.773714524391746</v>
      </c>
      <c r="L28" s="17">
        <v>0.27978515624283</v>
      </c>
      <c r="M28" s="17">
        <v>0.1568627451</v>
      </c>
      <c r="N28" s="17">
        <v>0.9981</v>
      </c>
      <c r="O28" s="17">
        <v>0.999049334534173</v>
      </c>
      <c r="P28" s="17">
        <v>0.512387304387303</v>
      </c>
      <c r="Q28" s="17">
        <v>0.373886927955745</v>
      </c>
    </row>
    <row r="29">
      <c r="A29" s="17" t="s">
        <v>63</v>
      </c>
      <c r="B29" s="17" t="s">
        <v>21</v>
      </c>
      <c r="C29" s="17" t="s">
        <v>78</v>
      </c>
      <c r="D29" s="17" t="s">
        <v>79</v>
      </c>
      <c r="E29" s="18">
        <v>44635.0</v>
      </c>
      <c r="F29" s="17">
        <v>0.0</v>
      </c>
      <c r="G29" s="17">
        <v>0.0</v>
      </c>
      <c r="H29" s="17">
        <v>0.142857142857142</v>
      </c>
      <c r="I29" s="17">
        <v>0.25</v>
      </c>
      <c r="J29" s="17">
        <v>0.0</v>
      </c>
      <c r="K29" s="17">
        <v>0.295496381427173</v>
      </c>
      <c r="L29" s="17">
        <v>0.390681818204363</v>
      </c>
      <c r="M29" s="17">
        <v>0.1291512915</v>
      </c>
      <c r="N29" s="17">
        <v>0.9989</v>
      </c>
      <c r="O29" s="17">
        <v>0.999449614730311</v>
      </c>
      <c r="P29" s="17">
        <v>0.552978233213012</v>
      </c>
      <c r="Q29" s="17">
        <v>0.341774043812</v>
      </c>
    </row>
    <row r="30">
      <c r="A30" s="17" t="s">
        <v>63</v>
      </c>
      <c r="B30" s="17" t="s">
        <v>21</v>
      </c>
      <c r="C30" s="17" t="s">
        <v>80</v>
      </c>
      <c r="D30" s="17" t="s">
        <v>81</v>
      </c>
      <c r="E30" s="18">
        <v>44635.0</v>
      </c>
      <c r="F30" s="17">
        <v>0.0</v>
      </c>
      <c r="G30" s="17">
        <v>0.0</v>
      </c>
      <c r="H30" s="17">
        <v>0.142857142857142</v>
      </c>
      <c r="I30" s="17">
        <v>0.25</v>
      </c>
      <c r="J30" s="17">
        <v>0.0</v>
      </c>
      <c r="K30" s="17">
        <v>0.224303544481436</v>
      </c>
      <c r="L30" s="17">
        <v>0.394628099167387</v>
      </c>
      <c r="M30" s="17">
        <v>0.504201680499999</v>
      </c>
      <c r="N30" s="17">
        <v>0.946</v>
      </c>
      <c r="O30" s="17">
        <v>0.972981086760732</v>
      </c>
      <c r="P30" s="17">
        <v>0.485481550370863</v>
      </c>
      <c r="Q30" s="17">
        <v>0.356404827648869</v>
      </c>
    </row>
    <row r="31">
      <c r="A31" s="17" t="s">
        <v>63</v>
      </c>
      <c r="B31" s="17" t="s">
        <v>21</v>
      </c>
      <c r="C31" s="17" t="s">
        <v>82</v>
      </c>
      <c r="D31" s="17" t="s">
        <v>83</v>
      </c>
      <c r="E31" s="18">
        <v>44635.0</v>
      </c>
      <c r="F31" s="17">
        <v>0.0</v>
      </c>
      <c r="G31" s="17">
        <v>0.0</v>
      </c>
      <c r="H31" s="17">
        <v>0.142857142857142</v>
      </c>
      <c r="I31" s="17">
        <v>0.25</v>
      </c>
      <c r="J31" s="17">
        <v>0.0</v>
      </c>
      <c r="K31" s="17">
        <v>0.329995759702851</v>
      </c>
      <c r="L31" s="17">
        <v>0.599874371827128</v>
      </c>
      <c r="M31" s="17">
        <v>0.17857142855</v>
      </c>
      <c r="N31" s="17">
        <v>0.9894</v>
      </c>
      <c r="O31" s="17">
        <v>0.99469628740118</v>
      </c>
      <c r="P31" s="17">
        <v>0.465986777829796</v>
      </c>
      <c r="Q31" s="17">
        <v>0.359216524378918</v>
      </c>
    </row>
    <row r="32">
      <c r="A32" s="17" t="s">
        <v>84</v>
      </c>
      <c r="B32" s="17" t="s">
        <v>21</v>
      </c>
      <c r="C32" s="17" t="s">
        <v>85</v>
      </c>
      <c r="D32" s="17" t="s">
        <v>86</v>
      </c>
      <c r="E32" s="18">
        <v>44635.0</v>
      </c>
      <c r="F32" s="17">
        <v>0.0</v>
      </c>
      <c r="G32" s="17">
        <v>0.0</v>
      </c>
      <c r="H32" s="17">
        <v>0.142857142857142</v>
      </c>
      <c r="I32" s="17">
        <v>0.0</v>
      </c>
      <c r="J32" s="17">
        <v>0.0</v>
      </c>
      <c r="K32" s="17">
        <v>0.577161680359918</v>
      </c>
      <c r="L32" s="17">
        <v>0.252645502591025</v>
      </c>
      <c r="M32" s="17">
        <v>0.1092896175</v>
      </c>
      <c r="N32" s="17">
        <v>0.9957</v>
      </c>
      <c r="O32" s="17">
        <v>0.997848493945761</v>
      </c>
      <c r="P32" s="17">
        <v>0.574295456703427</v>
      </c>
      <c r="Q32" s="17">
        <v>0.33179980854157</v>
      </c>
    </row>
    <row r="33">
      <c r="A33" s="17" t="s">
        <v>84</v>
      </c>
      <c r="B33" s="17" t="s">
        <v>21</v>
      </c>
      <c r="C33" s="17" t="s">
        <v>87</v>
      </c>
      <c r="D33" s="17" t="s">
        <v>88</v>
      </c>
      <c r="E33" s="18">
        <v>44635.0</v>
      </c>
      <c r="F33" s="17">
        <v>0.0</v>
      </c>
      <c r="G33" s="17">
        <v>0.0</v>
      </c>
      <c r="H33" s="17">
        <v>0.142857142857142</v>
      </c>
      <c r="I33" s="17">
        <v>0.0</v>
      </c>
      <c r="J33" s="17">
        <v>0.0</v>
      </c>
      <c r="K33" s="17">
        <v>0.419055550735899</v>
      </c>
      <c r="L33" s="17">
        <v>0.209429824566508</v>
      </c>
      <c r="M33" s="17">
        <v>0.438596491249999</v>
      </c>
      <c r="N33" s="17">
        <v>0.8759</v>
      </c>
      <c r="O33" s="17">
        <v>0.937906534574201</v>
      </c>
      <c r="P33" s="17">
        <v>0.374326948718857</v>
      </c>
      <c r="Q33" s="17">
        <v>0.308915681154782</v>
      </c>
    </row>
    <row r="34">
      <c r="A34" s="17" t="s">
        <v>84</v>
      </c>
      <c r="B34" s="17" t="s">
        <v>21</v>
      </c>
      <c r="C34" s="17" t="s">
        <v>89</v>
      </c>
      <c r="D34" s="17" t="s">
        <v>90</v>
      </c>
      <c r="E34" s="18">
        <v>44635.0</v>
      </c>
      <c r="F34" s="17">
        <v>0.0</v>
      </c>
      <c r="G34" s="17">
        <v>0.0</v>
      </c>
      <c r="H34" s="17">
        <v>0.142857142857142</v>
      </c>
      <c r="I34" s="17">
        <v>0.25</v>
      </c>
      <c r="J34" s="17">
        <v>0.0</v>
      </c>
      <c r="K34" s="17">
        <v>0.340454456174611</v>
      </c>
      <c r="L34" s="17">
        <v>0.172175480728088</v>
      </c>
      <c r="M34" s="17">
        <v>0.17156862745</v>
      </c>
      <c r="N34" s="17">
        <v>0.946</v>
      </c>
      <c r="O34" s="17">
        <v>0.972981086760732</v>
      </c>
      <c r="P34" s="17">
        <v>0.541811335611806</v>
      </c>
      <c r="Q34" s="17">
        <v>0.321622557234761</v>
      </c>
    </row>
    <row r="35">
      <c r="A35" s="17" t="s">
        <v>84</v>
      </c>
      <c r="B35" s="17" t="s">
        <v>21</v>
      </c>
      <c r="C35" s="17" t="s">
        <v>91</v>
      </c>
      <c r="D35" s="17" t="s">
        <v>92</v>
      </c>
      <c r="E35" s="18">
        <v>44635.0</v>
      </c>
      <c r="F35" s="17">
        <v>0.0</v>
      </c>
      <c r="G35" s="17">
        <v>0.0</v>
      </c>
      <c r="H35" s="17">
        <v>0.142857142857142</v>
      </c>
      <c r="I35" s="17">
        <v>0.25</v>
      </c>
      <c r="J35" s="17">
        <v>0.0</v>
      </c>
      <c r="K35" s="17">
        <v>0.61317995137052</v>
      </c>
      <c r="L35" s="17">
        <v>0.232247081726548</v>
      </c>
      <c r="M35" s="17">
        <v>0.1377952756</v>
      </c>
      <c r="N35" s="17">
        <v>0.9971</v>
      </c>
      <c r="O35" s="17">
        <v>0.998548984289002</v>
      </c>
      <c r="P35" s="17">
        <v>0.510256023066649</v>
      </c>
      <c r="Q35" s="17">
        <v>0.352907678082714</v>
      </c>
    </row>
    <row r="36">
      <c r="A36" s="17" t="s">
        <v>84</v>
      </c>
      <c r="B36" s="17" t="s">
        <v>21</v>
      </c>
      <c r="C36" s="17" t="s">
        <v>93</v>
      </c>
      <c r="D36" s="17" t="s">
        <v>94</v>
      </c>
      <c r="E36" s="18">
        <v>44635.0</v>
      </c>
      <c r="F36" s="17">
        <v>0.0</v>
      </c>
      <c r="G36" s="17">
        <v>0.0</v>
      </c>
      <c r="H36" s="17">
        <v>0.142857142857142</v>
      </c>
      <c r="I36" s="17">
        <v>0.25</v>
      </c>
      <c r="J36" s="17">
        <v>0.0</v>
      </c>
      <c r="K36" s="17">
        <v>0.26298701210554</v>
      </c>
      <c r="L36" s="17">
        <v>0.508811475400711</v>
      </c>
      <c r="M36" s="17">
        <v>0.546357616</v>
      </c>
      <c r="N36" s="17">
        <v>0.9948</v>
      </c>
      <c r="O36" s="17">
        <v>0.997398178725107</v>
      </c>
      <c r="P36" s="17">
        <v>0.51913354235978</v>
      </c>
      <c r="Q36" s="17">
        <v>0.383849542495298</v>
      </c>
    </row>
    <row r="37">
      <c r="A37" s="17" t="s">
        <v>84</v>
      </c>
      <c r="B37" s="17" t="s">
        <v>21</v>
      </c>
      <c r="C37" s="17" t="s">
        <v>95</v>
      </c>
      <c r="D37" s="17" t="s">
        <v>96</v>
      </c>
      <c r="E37" s="18">
        <v>44635.0</v>
      </c>
      <c r="F37" s="17">
        <v>0.0</v>
      </c>
      <c r="G37" s="17">
        <v>0.0</v>
      </c>
      <c r="H37" s="17">
        <v>0.142857142857142</v>
      </c>
      <c r="I37" s="17">
        <v>0.0</v>
      </c>
      <c r="J37" s="17">
        <v>0.0</v>
      </c>
      <c r="K37" s="17">
        <v>0.097660031304216</v>
      </c>
      <c r="L37" s="17">
        <v>0.173007246334316</v>
      </c>
      <c r="M37" s="17">
        <v>0.362318840599999</v>
      </c>
      <c r="N37" s="17">
        <v>0.8126</v>
      </c>
      <c r="O37" s="17">
        <v>0.906234364054838</v>
      </c>
      <c r="P37" s="17">
        <v>0.576365712812029</v>
      </c>
      <c r="Q37" s="17">
        <v>0.279185757996594</v>
      </c>
    </row>
    <row r="38">
      <c r="A38" s="17" t="s">
        <v>84</v>
      </c>
      <c r="B38" s="17" t="s">
        <v>21</v>
      </c>
      <c r="C38" s="17" t="s">
        <v>97</v>
      </c>
      <c r="D38" s="17" t="s">
        <v>98</v>
      </c>
      <c r="E38" s="18">
        <v>44635.0</v>
      </c>
      <c r="F38" s="17">
        <v>0.0</v>
      </c>
      <c r="G38" s="17">
        <v>0.0</v>
      </c>
      <c r="H38" s="17">
        <v>0.142857142857142</v>
      </c>
      <c r="I38" s="17">
        <v>0.25</v>
      </c>
      <c r="J38" s="17">
        <v>0.0</v>
      </c>
      <c r="K38" s="17">
        <v>0.907033361865177</v>
      </c>
      <c r="L38" s="17">
        <v>0.281710914459031</v>
      </c>
      <c r="M38" s="17">
        <v>0.421686747</v>
      </c>
      <c r="N38" s="17">
        <v>0.9654</v>
      </c>
      <c r="O38" s="17">
        <v>0.982687881517061</v>
      </c>
      <c r="P38" s="17">
        <v>0.581325958215959</v>
      </c>
      <c r="Q38" s="17">
        <v>0.412063818719488</v>
      </c>
    </row>
    <row r="39">
      <c r="A39" s="17" t="s">
        <v>84</v>
      </c>
      <c r="B39" s="17" t="s">
        <v>21</v>
      </c>
      <c r="C39" s="17" t="s">
        <v>99</v>
      </c>
      <c r="D39" s="17" t="s">
        <v>100</v>
      </c>
      <c r="E39" s="18">
        <v>44635.0</v>
      </c>
      <c r="F39" s="17">
        <v>0.0</v>
      </c>
      <c r="G39" s="17">
        <v>0.0</v>
      </c>
      <c r="H39" s="17">
        <v>0.142857142857142</v>
      </c>
      <c r="I39" s="17">
        <v>0.25</v>
      </c>
      <c r="J39" s="17">
        <v>0.0</v>
      </c>
      <c r="K39" s="17">
        <v>0.340894035762546</v>
      </c>
      <c r="L39" s="17">
        <v>0.498995176874088</v>
      </c>
      <c r="M39" s="17">
        <v>0.13245033115</v>
      </c>
      <c r="N39" s="17">
        <v>0.9982</v>
      </c>
      <c r="O39" s="17">
        <v>0.99909936955869</v>
      </c>
      <c r="P39" s="17">
        <v>0.621604330361611</v>
      </c>
      <c r="Q39" s="17">
        <v>0.362190944233098</v>
      </c>
    </row>
    <row r="40">
      <c r="A40" s="17" t="s">
        <v>84</v>
      </c>
      <c r="B40" s="17" t="s">
        <v>21</v>
      </c>
      <c r="C40" s="17" t="s">
        <v>101</v>
      </c>
      <c r="D40" s="17" t="s">
        <v>102</v>
      </c>
      <c r="E40" s="18">
        <v>44635.0</v>
      </c>
      <c r="F40" s="17">
        <v>0.0</v>
      </c>
      <c r="G40" s="17">
        <v>0.0</v>
      </c>
      <c r="H40" s="17">
        <v>0.142857142857142</v>
      </c>
      <c r="I40" s="17">
        <v>0.25</v>
      </c>
      <c r="J40" s="17">
        <v>0.0</v>
      </c>
      <c r="K40" s="17">
        <v>0.555614828302867</v>
      </c>
      <c r="L40" s="17">
        <v>0.583265472256928</v>
      </c>
      <c r="M40" s="17">
        <v>0.13289036545</v>
      </c>
      <c r="N40" s="17">
        <v>0.9588</v>
      </c>
      <c r="O40" s="17">
        <v>0.0199139397578305</v>
      </c>
      <c r="P40" s="17">
        <v>0.588334702976039</v>
      </c>
      <c r="Q40" s="17">
        <v>0.293788768327346</v>
      </c>
    </row>
    <row r="41">
      <c r="A41" s="17" t="s">
        <v>84</v>
      </c>
      <c r="B41" s="17" t="s">
        <v>21</v>
      </c>
      <c r="C41" s="17" t="s">
        <v>103</v>
      </c>
      <c r="D41" s="17" t="s">
        <v>104</v>
      </c>
      <c r="E41" s="18">
        <v>44635.0</v>
      </c>
      <c r="F41" s="17">
        <v>0.0</v>
      </c>
      <c r="G41" s="17">
        <v>0.0</v>
      </c>
      <c r="H41" s="17">
        <v>0.142857142857142</v>
      </c>
      <c r="I41" s="17">
        <v>0.25</v>
      </c>
      <c r="J41" s="17">
        <v>0.0</v>
      </c>
      <c r="K41" s="17">
        <v>0.555366035679837</v>
      </c>
      <c r="L41" s="17">
        <v>0.170535714332505</v>
      </c>
      <c r="M41" s="17">
        <v>0.5278592375</v>
      </c>
      <c r="N41" s="17">
        <v>0.9955</v>
      </c>
      <c r="O41" s="17">
        <v>0.997748423896727</v>
      </c>
      <c r="P41" s="17">
        <v>0.465828465981078</v>
      </c>
      <c r="Q41" s="17">
        <v>0.373245001840662</v>
      </c>
    </row>
    <row r="42">
      <c r="A42" s="17" t="s">
        <v>20</v>
      </c>
      <c r="B42" s="17" t="s">
        <v>105</v>
      </c>
      <c r="C42" s="17" t="s">
        <v>22</v>
      </c>
      <c r="D42" s="17" t="s">
        <v>106</v>
      </c>
      <c r="E42" s="18">
        <v>44999.0</v>
      </c>
      <c r="F42" s="17">
        <v>0.375</v>
      </c>
      <c r="G42" s="17">
        <v>0.375</v>
      </c>
      <c r="H42" s="17">
        <v>0.571428571428571</v>
      </c>
      <c r="I42" s="17">
        <v>0.125</v>
      </c>
      <c r="J42" s="17">
        <v>0.25</v>
      </c>
      <c r="K42" s="17">
        <v>0.625104746691204</v>
      </c>
      <c r="L42" s="17">
        <v>0.44212962965367</v>
      </c>
      <c r="M42" s="17">
        <v>0.625</v>
      </c>
      <c r="N42" s="17">
        <v>0.8574</v>
      </c>
      <c r="O42" s="17">
        <v>0.928650055038526</v>
      </c>
      <c r="P42" s="17">
        <v>0.0</v>
      </c>
      <c r="Q42" s="17">
        <v>0.470428454801088</v>
      </c>
    </row>
    <row r="43">
      <c r="A43" s="17" t="s">
        <v>20</v>
      </c>
      <c r="B43" s="17" t="s">
        <v>105</v>
      </c>
      <c r="C43" s="17" t="s">
        <v>24</v>
      </c>
      <c r="D43" s="17" t="s">
        <v>107</v>
      </c>
      <c r="E43" s="18">
        <v>44999.0</v>
      </c>
      <c r="F43" s="17">
        <v>0.5</v>
      </c>
      <c r="G43" s="17">
        <v>0.0</v>
      </c>
      <c r="H43" s="17">
        <v>0.0</v>
      </c>
      <c r="I43" s="17">
        <v>0.375</v>
      </c>
      <c r="J43" s="17">
        <v>0.0</v>
      </c>
      <c r="K43" s="17">
        <v>0.533505635308459</v>
      </c>
      <c r="L43" s="17">
        <v>0.651136363673939</v>
      </c>
      <c r="M43" s="17">
        <v>0.283018867899999</v>
      </c>
      <c r="N43" s="17">
        <v>0.9766</v>
      </c>
      <c r="O43" s="17">
        <v>0.988291804262984</v>
      </c>
      <c r="P43" s="17">
        <v>0.267345050621845</v>
      </c>
      <c r="Q43" s="17">
        <v>0.415899792887929</v>
      </c>
    </row>
    <row r="44">
      <c r="A44" s="17" t="s">
        <v>20</v>
      </c>
      <c r="B44" s="17" t="s">
        <v>105</v>
      </c>
      <c r="C44" s="17" t="s">
        <v>26</v>
      </c>
      <c r="D44" s="17" t="s">
        <v>108</v>
      </c>
      <c r="E44" s="18">
        <v>44999.0</v>
      </c>
      <c r="F44" s="17">
        <v>0.25</v>
      </c>
      <c r="G44" s="17">
        <v>0.375</v>
      </c>
      <c r="H44" s="17">
        <v>0.571428571428571</v>
      </c>
      <c r="I44" s="17">
        <v>0.5</v>
      </c>
      <c r="J44" s="17">
        <v>0.5</v>
      </c>
      <c r="K44" s="17">
        <v>0.518004399500549</v>
      </c>
      <c r="L44" s="17">
        <v>0.225235849071103</v>
      </c>
      <c r="M44" s="17">
        <v>0.6</v>
      </c>
      <c r="N44" s="17">
        <v>0.8934</v>
      </c>
      <c r="O44" s="17">
        <v>0.946662663864705</v>
      </c>
      <c r="P44" s="17">
        <v>0.42358441123085</v>
      </c>
      <c r="Q44" s="17">
        <v>0.527574172281434</v>
      </c>
    </row>
    <row r="45">
      <c r="A45" s="17" t="s">
        <v>20</v>
      </c>
      <c r="B45" s="17" t="s">
        <v>105</v>
      </c>
      <c r="C45" s="17" t="s">
        <v>28</v>
      </c>
      <c r="D45" s="17" t="s">
        <v>109</v>
      </c>
      <c r="E45" s="18">
        <v>44999.0</v>
      </c>
      <c r="F45" s="17">
        <v>0.5</v>
      </c>
      <c r="G45" s="17">
        <v>0.125</v>
      </c>
      <c r="H45" s="17">
        <v>0.571428571428571</v>
      </c>
      <c r="I45" s="17">
        <v>0.25</v>
      </c>
      <c r="J45" s="17">
        <v>0.0</v>
      </c>
      <c r="K45" s="17">
        <v>0.494734484027507</v>
      </c>
      <c r="L45" s="17">
        <v>0.265277777744452</v>
      </c>
      <c r="M45" s="17">
        <v>0.36585365855</v>
      </c>
      <c r="N45" s="17">
        <v>0.8718</v>
      </c>
      <c r="O45" s="17">
        <v>0.935855098568998</v>
      </c>
      <c r="P45" s="17">
        <v>0.213345519004122</v>
      </c>
      <c r="Q45" s="17">
        <v>0.417572282665786</v>
      </c>
    </row>
    <row r="46">
      <c r="A46" s="17" t="s">
        <v>20</v>
      </c>
      <c r="B46" s="17" t="s">
        <v>105</v>
      </c>
      <c r="C46" s="17" t="s">
        <v>30</v>
      </c>
      <c r="D46" s="17" t="s">
        <v>110</v>
      </c>
      <c r="E46" s="18">
        <v>44999.0</v>
      </c>
      <c r="F46" s="17">
        <v>0.5</v>
      </c>
      <c r="G46" s="17">
        <v>0.125</v>
      </c>
      <c r="H46" s="17">
        <v>0.0</v>
      </c>
      <c r="I46" s="17">
        <v>0.0</v>
      </c>
      <c r="J46" s="17">
        <v>0.25</v>
      </c>
      <c r="K46" s="17">
        <v>0.500290058945056</v>
      </c>
      <c r="L46" s="17">
        <v>0.0</v>
      </c>
      <c r="M46" s="17">
        <v>0.116279069749999</v>
      </c>
      <c r="N46" s="17">
        <v>0.9583</v>
      </c>
      <c r="O46" s="17">
        <v>0.979135394776343</v>
      </c>
      <c r="P46" s="17">
        <v>0.240061076778762</v>
      </c>
      <c r="Q46" s="17">
        <v>0.33355141820456</v>
      </c>
    </row>
    <row r="47">
      <c r="A47" s="17" t="s">
        <v>20</v>
      </c>
      <c r="B47" s="17" t="s">
        <v>105</v>
      </c>
      <c r="C47" s="17" t="s">
        <v>32</v>
      </c>
      <c r="D47" s="17" t="s">
        <v>111</v>
      </c>
      <c r="E47" s="18">
        <v>44999.0</v>
      </c>
      <c r="F47" s="17">
        <v>0.125</v>
      </c>
      <c r="G47" s="17">
        <v>0.0</v>
      </c>
      <c r="H47" s="17">
        <v>0.0</v>
      </c>
      <c r="I47" s="17">
        <v>0.375</v>
      </c>
      <c r="J47" s="17">
        <v>0.125</v>
      </c>
      <c r="K47" s="17">
        <v>0.375684836823021</v>
      </c>
      <c r="L47" s="17">
        <v>0.490582191756803</v>
      </c>
      <c r="M47" s="17">
        <v>0.362318840599999</v>
      </c>
      <c r="N47" s="17">
        <v>0.6748</v>
      </c>
      <c r="O47" s="17">
        <v>0.837286100270189</v>
      </c>
      <c r="P47" s="17">
        <v>0.417009795252762</v>
      </c>
      <c r="Q47" s="17">
        <v>0.343880160427525</v>
      </c>
    </row>
    <row r="48">
      <c r="A48" s="17" t="s">
        <v>20</v>
      </c>
      <c r="B48" s="17" t="s">
        <v>105</v>
      </c>
      <c r="C48" s="17" t="s">
        <v>34</v>
      </c>
      <c r="D48" s="17" t="s">
        <v>112</v>
      </c>
      <c r="E48" s="18">
        <v>44999.0</v>
      </c>
      <c r="F48" s="17">
        <v>0.25</v>
      </c>
      <c r="G48" s="17">
        <v>0.125</v>
      </c>
      <c r="H48" s="17">
        <v>0.0</v>
      </c>
      <c r="I48" s="17">
        <v>0.5</v>
      </c>
      <c r="J48" s="17">
        <v>0.375</v>
      </c>
      <c r="K48" s="17">
        <v>0.66107545795497</v>
      </c>
      <c r="L48" s="17">
        <v>0.0</v>
      </c>
      <c r="M48" s="17">
        <v>1.0</v>
      </c>
      <c r="N48" s="17">
        <v>0.9493</v>
      </c>
      <c r="O48" s="17">
        <v>0.974632242569798</v>
      </c>
      <c r="P48" s="17">
        <v>0.321912998819585</v>
      </c>
      <c r="Q48" s="17">
        <v>0.468810972667668</v>
      </c>
    </row>
    <row r="49">
      <c r="A49" s="17" t="s">
        <v>20</v>
      </c>
      <c r="B49" s="17" t="s">
        <v>105</v>
      </c>
      <c r="C49" s="17" t="s">
        <v>36</v>
      </c>
      <c r="D49" s="17" t="s">
        <v>113</v>
      </c>
      <c r="E49" s="18">
        <v>44999.0</v>
      </c>
      <c r="F49" s="17">
        <v>0.25</v>
      </c>
      <c r="G49" s="17">
        <v>0.5</v>
      </c>
      <c r="H49" s="17">
        <v>0.0</v>
      </c>
      <c r="I49" s="17">
        <v>0.375</v>
      </c>
      <c r="J49" s="17">
        <v>0.25</v>
      </c>
      <c r="K49" s="17">
        <v>0.372183437463059</v>
      </c>
      <c r="L49" s="17">
        <v>0.234068627477752</v>
      </c>
      <c r="M49" s="17">
        <v>0.31914893615</v>
      </c>
      <c r="N49" s="17">
        <v>0.8625</v>
      </c>
      <c r="O49" s="17">
        <v>0.931201841288902</v>
      </c>
      <c r="P49" s="17">
        <v>0.432653834401503</v>
      </c>
      <c r="Q49" s="17">
        <v>0.411523334252837</v>
      </c>
    </row>
    <row r="50">
      <c r="A50" s="17" t="s">
        <v>20</v>
      </c>
      <c r="B50" s="17" t="s">
        <v>105</v>
      </c>
      <c r="C50" s="17" t="s">
        <v>38</v>
      </c>
      <c r="D50" s="17" t="s">
        <v>114</v>
      </c>
      <c r="E50" s="18">
        <v>44999.0</v>
      </c>
      <c r="F50" s="17">
        <v>0.25</v>
      </c>
      <c r="G50" s="17">
        <v>0.125</v>
      </c>
      <c r="H50" s="17">
        <v>0.428571428571428</v>
      </c>
      <c r="I50" s="17">
        <v>0.5</v>
      </c>
      <c r="J50" s="17">
        <v>0.0</v>
      </c>
      <c r="K50" s="17">
        <v>0.428112942739362</v>
      </c>
      <c r="L50" s="17">
        <v>0.175551470548626</v>
      </c>
      <c r="M50" s="17">
        <v>0.46875</v>
      </c>
      <c r="N50" s="17">
        <v>0.8721</v>
      </c>
      <c r="O50" s="17">
        <v>0.936005203642549</v>
      </c>
      <c r="P50" s="17">
        <v>0.277777158403146</v>
      </c>
      <c r="Q50" s="17">
        <v>0.405624382173192</v>
      </c>
    </row>
    <row r="51">
      <c r="A51" s="17" t="s">
        <v>20</v>
      </c>
      <c r="B51" s="17" t="s">
        <v>105</v>
      </c>
      <c r="C51" s="17" t="s">
        <v>40</v>
      </c>
      <c r="D51" s="17" t="s">
        <v>115</v>
      </c>
      <c r="E51" s="18">
        <v>44999.0</v>
      </c>
      <c r="F51" s="17">
        <v>0.5</v>
      </c>
      <c r="G51" s="17">
        <v>0.375</v>
      </c>
      <c r="H51" s="17">
        <v>0.285714285714285</v>
      </c>
      <c r="I51" s="17">
        <v>0.5</v>
      </c>
      <c r="J51" s="17">
        <v>0.375</v>
      </c>
      <c r="K51" s="17">
        <v>0.556747366785011</v>
      </c>
      <c r="L51" s="17">
        <v>0.852678571423775</v>
      </c>
      <c r="M51" s="17">
        <v>0.5555555555</v>
      </c>
      <c r="N51" s="17">
        <v>0.1779</v>
      </c>
      <c r="O51" s="17">
        <v>0.588662063444411</v>
      </c>
      <c r="P51" s="17">
        <v>0.157234727045876</v>
      </c>
      <c r="Q51" s="17">
        <v>0.447681142719396</v>
      </c>
    </row>
    <row r="52">
      <c r="A52" s="17" t="s">
        <v>42</v>
      </c>
      <c r="B52" s="17" t="s">
        <v>105</v>
      </c>
      <c r="C52" s="17" t="s">
        <v>43</v>
      </c>
      <c r="D52" s="17" t="s">
        <v>116</v>
      </c>
      <c r="E52" s="18">
        <v>44999.0</v>
      </c>
      <c r="F52" s="17">
        <v>0.375</v>
      </c>
      <c r="G52" s="17">
        <v>0.375</v>
      </c>
      <c r="H52" s="17">
        <v>0.285714285714285</v>
      </c>
      <c r="I52" s="17">
        <v>0.25</v>
      </c>
      <c r="J52" s="17">
        <v>0.0</v>
      </c>
      <c r="K52" s="17">
        <v>0.381751820676968</v>
      </c>
      <c r="L52" s="17">
        <v>0.672535211262141</v>
      </c>
      <c r="M52" s="17">
        <v>0.234375</v>
      </c>
      <c r="N52" s="17">
        <v>0.9539</v>
      </c>
      <c r="O52" s="17">
        <v>0.976933853697588</v>
      </c>
      <c r="P52" s="17">
        <v>0.307286291070995</v>
      </c>
      <c r="Q52" s="17">
        <v>0.437499678401998</v>
      </c>
    </row>
    <row r="53">
      <c r="A53" s="17" t="s">
        <v>42</v>
      </c>
      <c r="B53" s="17" t="s">
        <v>105</v>
      </c>
      <c r="C53" s="17" t="s">
        <v>45</v>
      </c>
      <c r="D53" s="17" t="s">
        <v>117</v>
      </c>
      <c r="E53" s="18">
        <v>44999.0</v>
      </c>
      <c r="F53" s="17">
        <v>0.25</v>
      </c>
      <c r="G53" s="17">
        <v>0.375</v>
      </c>
      <c r="H53" s="17">
        <v>0.0</v>
      </c>
      <c r="I53" s="17">
        <v>0.5</v>
      </c>
      <c r="J53" s="17">
        <v>0.0</v>
      </c>
      <c r="K53" s="17">
        <v>0.403403026531731</v>
      </c>
      <c r="L53" s="17">
        <v>0.654109589048863</v>
      </c>
      <c r="M53" s="17">
        <v>0.28985507245</v>
      </c>
      <c r="N53" s="17">
        <v>0.9409</v>
      </c>
      <c r="O53" s="17">
        <v>0.970429300510357</v>
      </c>
      <c r="P53" s="17">
        <v>0.180400742968873</v>
      </c>
      <c r="Q53" s="17">
        <v>0.414917975591802</v>
      </c>
    </row>
    <row r="54">
      <c r="A54" s="17" t="s">
        <v>42</v>
      </c>
      <c r="B54" s="17" t="s">
        <v>105</v>
      </c>
      <c r="C54" s="17" t="s">
        <v>47</v>
      </c>
      <c r="D54" s="17" t="s">
        <v>118</v>
      </c>
      <c r="E54" s="18">
        <v>44999.0</v>
      </c>
      <c r="F54" s="17">
        <v>0.5</v>
      </c>
      <c r="G54" s="17">
        <v>0.375</v>
      </c>
      <c r="H54" s="17">
        <v>0.285714285714285</v>
      </c>
      <c r="I54" s="17">
        <v>0.375</v>
      </c>
      <c r="J54" s="17">
        <v>0.125</v>
      </c>
      <c r="K54" s="17">
        <v>0.435325732664216</v>
      </c>
      <c r="L54" s="17">
        <v>0.4712171052448</v>
      </c>
      <c r="M54" s="17">
        <v>0.35714285715</v>
      </c>
      <c r="N54" s="17">
        <v>0.8313</v>
      </c>
      <c r="O54" s="17">
        <v>0.915590913639547</v>
      </c>
      <c r="P54" s="17">
        <v>0.275602042820367</v>
      </c>
      <c r="Q54" s="17">
        <v>0.449717539748474</v>
      </c>
    </row>
    <row r="55">
      <c r="A55" s="17" t="s">
        <v>42</v>
      </c>
      <c r="B55" s="17" t="s">
        <v>105</v>
      </c>
      <c r="C55" s="17" t="s">
        <v>49</v>
      </c>
      <c r="D55" s="17" t="s">
        <v>119</v>
      </c>
      <c r="E55" s="18">
        <v>44999.0</v>
      </c>
      <c r="F55" s="17">
        <v>0.125</v>
      </c>
      <c r="G55" s="17">
        <v>0.5</v>
      </c>
      <c r="H55" s="17">
        <v>0.285714285714285</v>
      </c>
      <c r="I55" s="17">
        <v>0.5</v>
      </c>
      <c r="J55" s="17">
        <v>0.375</v>
      </c>
      <c r="K55" s="17">
        <v>0.551970268202167</v>
      </c>
      <c r="L55" s="17">
        <v>0.582317073097578</v>
      </c>
      <c r="M55" s="17">
        <v>0.576923077</v>
      </c>
      <c r="N55" s="17">
        <v>0.9209</v>
      </c>
      <c r="O55" s="17">
        <v>0.960422295606924</v>
      </c>
      <c r="P55" s="17">
        <v>0.267711055072272</v>
      </c>
      <c r="Q55" s="17">
        <v>0.51326891406302</v>
      </c>
    </row>
    <row r="56">
      <c r="A56" s="17" t="s">
        <v>42</v>
      </c>
      <c r="B56" s="17" t="s">
        <v>105</v>
      </c>
      <c r="C56" s="17" t="s">
        <v>51</v>
      </c>
      <c r="D56" s="17" t="s">
        <v>120</v>
      </c>
      <c r="E56" s="18">
        <v>44999.0</v>
      </c>
      <c r="F56" s="17">
        <v>0.375</v>
      </c>
      <c r="G56" s="17">
        <v>0.25</v>
      </c>
      <c r="H56" s="17">
        <v>0.0</v>
      </c>
      <c r="I56" s="17">
        <v>0.25</v>
      </c>
      <c r="J56" s="17">
        <v>0.375</v>
      </c>
      <c r="K56" s="17">
        <v>0.806906196318424</v>
      </c>
      <c r="L56" s="17">
        <v>0.585171568575005</v>
      </c>
      <c r="M56" s="17">
        <v>0.416666666649999</v>
      </c>
      <c r="N56" s="17">
        <v>0.8165</v>
      </c>
      <c r="O56" s="17">
        <v>0.908185730011007</v>
      </c>
      <c r="P56" s="17">
        <v>0.211974632830886</v>
      </c>
      <c r="Q56" s="17">
        <v>0.454127708580483</v>
      </c>
    </row>
    <row r="57">
      <c r="A57" s="17" t="s">
        <v>42</v>
      </c>
      <c r="B57" s="17" t="s">
        <v>105</v>
      </c>
      <c r="C57" s="17" t="s">
        <v>53</v>
      </c>
      <c r="D57" s="17" t="s">
        <v>121</v>
      </c>
      <c r="E57" s="18">
        <v>44999.0</v>
      </c>
      <c r="F57" s="17">
        <v>0.125</v>
      </c>
      <c r="G57" s="17">
        <v>0.0</v>
      </c>
      <c r="H57" s="17">
        <v>0.285714285714285</v>
      </c>
      <c r="I57" s="17">
        <v>0.25</v>
      </c>
      <c r="J57" s="17">
        <v>0.125</v>
      </c>
      <c r="K57" s="17">
        <v>0.530853418497481</v>
      </c>
      <c r="L57" s="17">
        <v>0.4263392856522</v>
      </c>
      <c r="M57" s="17">
        <v>0.609756097499999</v>
      </c>
      <c r="N57" s="17">
        <v>0.8883</v>
      </c>
      <c r="O57" s="17">
        <v>0.94411087761433</v>
      </c>
      <c r="P57" s="17">
        <v>0.424227901370613</v>
      </c>
      <c r="Q57" s="17">
        <v>0.419027442395355</v>
      </c>
    </row>
    <row r="58">
      <c r="A58" s="17" t="s">
        <v>42</v>
      </c>
      <c r="B58" s="17" t="s">
        <v>105</v>
      </c>
      <c r="C58" s="17" t="s">
        <v>55</v>
      </c>
      <c r="D58" s="17" t="s">
        <v>122</v>
      </c>
      <c r="E58" s="18">
        <v>44999.0</v>
      </c>
      <c r="F58" s="17">
        <v>0.375</v>
      </c>
      <c r="G58" s="17">
        <v>0.375</v>
      </c>
      <c r="H58" s="17">
        <v>0.571428571428571</v>
      </c>
      <c r="I58" s="17">
        <v>0.375</v>
      </c>
      <c r="J58" s="17">
        <v>0.25</v>
      </c>
      <c r="K58" s="17">
        <v>0.288370799169013</v>
      </c>
      <c r="L58" s="17">
        <v>0.485264227581315</v>
      </c>
      <c r="M58" s="17">
        <v>0.474137931049999</v>
      </c>
      <c r="N58" s="17">
        <v>0.8675</v>
      </c>
      <c r="O58" s="17">
        <v>0.93370359251476</v>
      </c>
      <c r="P58" s="17">
        <v>0.408137962110341</v>
      </c>
      <c r="Q58" s="17">
        <v>0.491231189441272</v>
      </c>
    </row>
    <row r="59">
      <c r="A59" s="17" t="s">
        <v>42</v>
      </c>
      <c r="B59" s="17" t="s">
        <v>105</v>
      </c>
      <c r="C59" s="17" t="s">
        <v>57</v>
      </c>
      <c r="D59" s="17" t="s">
        <v>123</v>
      </c>
      <c r="E59" s="18">
        <v>44999.0</v>
      </c>
      <c r="F59" s="17">
        <v>0.5</v>
      </c>
      <c r="G59" s="17">
        <v>0.125</v>
      </c>
      <c r="H59" s="17">
        <v>0.142857142857142</v>
      </c>
      <c r="I59" s="17">
        <v>0.125</v>
      </c>
      <c r="J59" s="17">
        <v>0.0</v>
      </c>
      <c r="K59" s="17">
        <v>0.468137128186868</v>
      </c>
      <c r="L59" s="17">
        <v>0.736882716009867</v>
      </c>
      <c r="M59" s="17">
        <v>0.6666666665</v>
      </c>
      <c r="N59" s="17">
        <v>0.9325</v>
      </c>
      <c r="O59" s="17">
        <v>0.966226358450915</v>
      </c>
      <c r="P59" s="17">
        <v>0.28970275170124</v>
      </c>
      <c r="Q59" s="17">
        <v>0.450270251246003</v>
      </c>
    </row>
    <row r="60">
      <c r="A60" s="17" t="s">
        <v>42</v>
      </c>
      <c r="B60" s="17" t="s">
        <v>105</v>
      </c>
      <c r="C60" s="17" t="s">
        <v>59</v>
      </c>
      <c r="D60" s="17" t="s">
        <v>124</v>
      </c>
      <c r="E60" s="18">
        <v>44999.0</v>
      </c>
      <c r="F60" s="17">
        <v>0.0</v>
      </c>
      <c r="G60" s="17">
        <v>0.375</v>
      </c>
      <c r="H60" s="17">
        <v>0.142857142857142</v>
      </c>
      <c r="I60" s="17">
        <v>0.125</v>
      </c>
      <c r="J60" s="17">
        <v>0.5</v>
      </c>
      <c r="K60" s="17">
        <v>0.5605740771445</v>
      </c>
      <c r="L60" s="17">
        <v>0.832848837182408</v>
      </c>
      <c r="M60" s="17">
        <v>0.411764705899999</v>
      </c>
      <c r="N60" s="17">
        <v>0.8875</v>
      </c>
      <c r="O60" s="17">
        <v>0.943710597418192</v>
      </c>
      <c r="P60" s="17">
        <v>0.334571493716057</v>
      </c>
      <c r="Q60" s="17">
        <v>0.464893350383482</v>
      </c>
    </row>
    <row r="61">
      <c r="A61" s="17" t="s">
        <v>42</v>
      </c>
      <c r="B61" s="17" t="s">
        <v>105</v>
      </c>
      <c r="C61" s="17" t="s">
        <v>61</v>
      </c>
      <c r="D61" s="17" t="s">
        <v>125</v>
      </c>
      <c r="E61" s="18">
        <v>44999.0</v>
      </c>
      <c r="F61" s="17">
        <v>0.375</v>
      </c>
      <c r="G61" s="17">
        <v>0.125</v>
      </c>
      <c r="H61" s="17">
        <v>0.0</v>
      </c>
      <c r="I61" s="17">
        <v>0.5</v>
      </c>
      <c r="J61" s="17">
        <v>0.0</v>
      </c>
      <c r="K61" s="17">
        <v>0.770254255829763</v>
      </c>
      <c r="L61" s="17">
        <v>0.51160714287814</v>
      </c>
      <c r="M61" s="17">
        <v>0.588235294</v>
      </c>
      <c r="N61" s="17">
        <v>0.9862</v>
      </c>
      <c r="O61" s="17">
        <v>0.993095166616631</v>
      </c>
      <c r="P61" s="17">
        <v>0.308758225488288</v>
      </c>
      <c r="Q61" s="17">
        <v>0.468922734982984</v>
      </c>
    </row>
    <row r="62">
      <c r="A62" s="17" t="s">
        <v>63</v>
      </c>
      <c r="B62" s="17" t="s">
        <v>105</v>
      </c>
      <c r="C62" s="17" t="s">
        <v>64</v>
      </c>
      <c r="D62" s="17" t="s">
        <v>126</v>
      </c>
      <c r="E62" s="18">
        <v>44999.0</v>
      </c>
      <c r="F62" s="17">
        <v>0.125</v>
      </c>
      <c r="G62" s="17">
        <v>0.125</v>
      </c>
      <c r="H62" s="17">
        <v>0.428571428571428</v>
      </c>
      <c r="I62" s="17">
        <v>0.0</v>
      </c>
      <c r="J62" s="17">
        <v>0.0</v>
      </c>
      <c r="K62" s="17">
        <v>0.439730516468603</v>
      </c>
      <c r="L62" s="17">
        <v>0.44212962965367</v>
      </c>
      <c r="M62" s="17">
        <v>0.3846153846</v>
      </c>
      <c r="N62" s="17">
        <v>0.5941</v>
      </c>
      <c r="O62" s="17">
        <v>0.20239167417192</v>
      </c>
      <c r="P62" s="17">
        <v>0.453090809021353</v>
      </c>
      <c r="Q62" s="17">
        <v>0.290420858407907</v>
      </c>
    </row>
    <row r="63">
      <c r="A63" s="17" t="s">
        <v>63</v>
      </c>
      <c r="B63" s="17" t="s">
        <v>105</v>
      </c>
      <c r="C63" s="17" t="s">
        <v>66</v>
      </c>
      <c r="D63" s="17" t="s">
        <v>127</v>
      </c>
      <c r="E63" s="18">
        <v>44999.0</v>
      </c>
      <c r="F63" s="17">
        <v>0.5</v>
      </c>
      <c r="G63" s="17">
        <v>0.375</v>
      </c>
      <c r="H63" s="17">
        <v>0.0</v>
      </c>
      <c r="I63" s="17">
        <v>0.5</v>
      </c>
      <c r="J63" s="17">
        <v>0.25</v>
      </c>
      <c r="K63" s="17">
        <v>0.803605891577851</v>
      </c>
      <c r="L63" s="17">
        <v>0.835624999978587</v>
      </c>
      <c r="M63" s="17">
        <v>0.612244897999999</v>
      </c>
      <c r="N63" s="17">
        <v>0.932</v>
      </c>
      <c r="O63" s="17">
        <v>0.0333233263284298</v>
      </c>
      <c r="P63" s="17">
        <v>0.465153862391024</v>
      </c>
      <c r="Q63" s="17">
        <v>0.482450270752353</v>
      </c>
    </row>
    <row r="64">
      <c r="A64" s="17" t="s">
        <v>63</v>
      </c>
      <c r="B64" s="17" t="s">
        <v>105</v>
      </c>
      <c r="C64" s="17" t="s">
        <v>68</v>
      </c>
      <c r="D64" s="17" t="s">
        <v>128</v>
      </c>
      <c r="E64" s="18">
        <v>44999.0</v>
      </c>
      <c r="F64" s="17">
        <v>0.375</v>
      </c>
      <c r="G64" s="17">
        <v>0.5</v>
      </c>
      <c r="H64" s="17">
        <v>0.428571428571428</v>
      </c>
      <c r="I64" s="17">
        <v>0.375</v>
      </c>
      <c r="J64" s="17">
        <v>0.0</v>
      </c>
      <c r="K64" s="17">
        <v>0.579464800713617</v>
      </c>
      <c r="L64" s="17">
        <v>0.692028985456641</v>
      </c>
      <c r="M64" s="17">
        <v>0.606060605999999</v>
      </c>
      <c r="N64" s="17">
        <v>0.6199</v>
      </c>
      <c r="O64" s="17">
        <v>0.809816871810267</v>
      </c>
      <c r="P64" s="17">
        <v>0.518016561871864</v>
      </c>
      <c r="Q64" s="17">
        <v>0.500350841311256</v>
      </c>
    </row>
    <row r="65">
      <c r="A65" s="17" t="s">
        <v>63</v>
      </c>
      <c r="B65" s="17" t="s">
        <v>105</v>
      </c>
      <c r="C65" s="17" t="s">
        <v>70</v>
      </c>
      <c r="D65" s="17" t="s">
        <v>129</v>
      </c>
      <c r="E65" s="18">
        <v>44999.0</v>
      </c>
      <c r="F65" s="17">
        <v>0.0</v>
      </c>
      <c r="G65" s="17">
        <v>0.125</v>
      </c>
      <c r="H65" s="17">
        <v>0.142857142857142</v>
      </c>
      <c r="I65" s="17">
        <v>0.375</v>
      </c>
      <c r="J65" s="17">
        <v>0.125</v>
      </c>
      <c r="K65" s="17">
        <v>0.797684707581944</v>
      </c>
      <c r="L65" s="17">
        <v>0.351102941216628</v>
      </c>
      <c r="M65" s="17">
        <v>0.5384615385</v>
      </c>
      <c r="N65" s="17">
        <v>0.9743</v>
      </c>
      <c r="O65" s="17">
        <v>0.987140998699089</v>
      </c>
      <c r="P65" s="17">
        <v>0.54861072412986</v>
      </c>
      <c r="Q65" s="17">
        <v>0.451378004816787</v>
      </c>
    </row>
    <row r="66">
      <c r="A66" s="17" t="s">
        <v>63</v>
      </c>
      <c r="B66" s="17" t="s">
        <v>105</v>
      </c>
      <c r="C66" s="17" t="s">
        <v>72</v>
      </c>
      <c r="D66" s="17" t="s">
        <v>130</v>
      </c>
      <c r="E66" s="18">
        <v>44999.0</v>
      </c>
      <c r="F66" s="17">
        <v>0.0</v>
      </c>
      <c r="G66" s="17">
        <v>0.125</v>
      </c>
      <c r="H66" s="17">
        <v>0.0</v>
      </c>
      <c r="I66" s="17">
        <v>0.375</v>
      </c>
      <c r="J66" s="17">
        <v>0.125</v>
      </c>
      <c r="K66" s="17">
        <v>0.825749902281444</v>
      </c>
      <c r="L66" s="17">
        <v>0.453322784747133</v>
      </c>
      <c r="M66" s="17">
        <v>0.399999999999999</v>
      </c>
      <c r="N66" s="17">
        <v>0.9595</v>
      </c>
      <c r="O66" s="17">
        <v>0.979735815070549</v>
      </c>
      <c r="P66" s="17">
        <v>0.539839424075961</v>
      </c>
      <c r="Q66" s="17">
        <v>0.43483162965228</v>
      </c>
    </row>
    <row r="67">
      <c r="A67" s="17" t="s">
        <v>63</v>
      </c>
      <c r="B67" s="17" t="s">
        <v>105</v>
      </c>
      <c r="C67" s="17" t="s">
        <v>74</v>
      </c>
      <c r="D67" s="17" t="s">
        <v>131</v>
      </c>
      <c r="E67" s="18">
        <v>44999.0</v>
      </c>
      <c r="F67" s="17">
        <v>0.25</v>
      </c>
      <c r="G67" s="17">
        <v>0.375</v>
      </c>
      <c r="H67" s="17">
        <v>0.571428571428571</v>
      </c>
      <c r="I67" s="17">
        <v>0.375</v>
      </c>
      <c r="J67" s="17">
        <v>0.375</v>
      </c>
      <c r="K67" s="17">
        <v>1.0</v>
      </c>
      <c r="L67" s="17">
        <v>0.436737804823183</v>
      </c>
      <c r="M67" s="17">
        <v>0.5555555555</v>
      </c>
      <c r="N67" s="17">
        <v>0.9863</v>
      </c>
      <c r="O67" s="17">
        <v>0.993145201641148</v>
      </c>
      <c r="P67" s="17">
        <v>0.326654421295132</v>
      </c>
      <c r="Q67" s="17">
        <v>0.567711050426185</v>
      </c>
    </row>
    <row r="68">
      <c r="A68" s="17" t="s">
        <v>63</v>
      </c>
      <c r="B68" s="17" t="s">
        <v>105</v>
      </c>
      <c r="C68" s="17" t="s">
        <v>76</v>
      </c>
      <c r="D68" s="17" t="s">
        <v>132</v>
      </c>
      <c r="E68" s="18">
        <v>44999.0</v>
      </c>
      <c r="F68" s="17">
        <v>0.25</v>
      </c>
      <c r="G68" s="17">
        <v>0.125</v>
      </c>
      <c r="H68" s="17">
        <v>0.285714285714285</v>
      </c>
      <c r="I68" s="17">
        <v>0.375</v>
      </c>
      <c r="J68" s="17">
        <v>0.5</v>
      </c>
      <c r="K68" s="17">
        <v>0.759922868671635</v>
      </c>
      <c r="L68" s="17">
        <v>0.537725225270595</v>
      </c>
      <c r="M68" s="17">
        <v>0.33333333335</v>
      </c>
      <c r="N68" s="17">
        <v>0.9725</v>
      </c>
      <c r="O68" s="17">
        <v>0.98624036825778</v>
      </c>
      <c r="P68" s="17">
        <v>0.39733896536628</v>
      </c>
      <c r="Q68" s="17">
        <v>0.502070458784597</v>
      </c>
    </row>
    <row r="69">
      <c r="A69" s="17" t="s">
        <v>63</v>
      </c>
      <c r="B69" s="17" t="s">
        <v>105</v>
      </c>
      <c r="C69" s="17" t="s">
        <v>78</v>
      </c>
      <c r="D69" s="17" t="s">
        <v>133</v>
      </c>
      <c r="E69" s="18">
        <v>44999.0</v>
      </c>
      <c r="F69" s="17">
        <v>0.125</v>
      </c>
      <c r="G69" s="17">
        <v>0.125</v>
      </c>
      <c r="H69" s="17">
        <v>0.428571428571428</v>
      </c>
      <c r="I69" s="17">
        <v>0.25</v>
      </c>
      <c r="J69" s="17">
        <v>0.0</v>
      </c>
      <c r="K69" s="17">
        <v>0.773609268768761</v>
      </c>
      <c r="L69" s="17">
        <v>0.200630252106733</v>
      </c>
      <c r="M69" s="17">
        <v>0.301724137949999</v>
      </c>
      <c r="N69" s="17">
        <v>0.9839</v>
      </c>
      <c r="O69" s="17">
        <v>0.991944361052736</v>
      </c>
      <c r="P69" s="17">
        <v>0.346674924638871</v>
      </c>
      <c r="Q69" s="17">
        <v>0.411550397553503</v>
      </c>
    </row>
    <row r="70">
      <c r="A70" s="17" t="s">
        <v>63</v>
      </c>
      <c r="B70" s="17" t="s">
        <v>105</v>
      </c>
      <c r="C70" s="17" t="s">
        <v>80</v>
      </c>
      <c r="D70" s="17" t="s">
        <v>134</v>
      </c>
      <c r="E70" s="18">
        <v>44999.0</v>
      </c>
      <c r="F70" s="17">
        <v>0.375</v>
      </c>
      <c r="G70" s="17">
        <v>0.375</v>
      </c>
      <c r="H70" s="17">
        <v>0.285714285714285</v>
      </c>
      <c r="I70" s="17">
        <v>0.125</v>
      </c>
      <c r="J70" s="17">
        <v>0.0</v>
      </c>
      <c r="K70" s="17">
        <v>0.723961950516537</v>
      </c>
      <c r="L70" s="17">
        <v>0.4263392856522</v>
      </c>
      <c r="M70" s="17">
        <v>0.625</v>
      </c>
      <c r="N70" s="17">
        <v>0.2406</v>
      </c>
      <c r="O70" s="17">
        <v>0.620034023816671</v>
      </c>
      <c r="P70" s="17">
        <v>0.399867210092149</v>
      </c>
      <c r="Q70" s="17">
        <v>0.381501523253804</v>
      </c>
    </row>
    <row r="71">
      <c r="A71" s="17" t="s">
        <v>63</v>
      </c>
      <c r="B71" s="17" t="s">
        <v>105</v>
      </c>
      <c r="C71" s="17" t="s">
        <v>82</v>
      </c>
      <c r="D71" s="17" t="s">
        <v>134</v>
      </c>
      <c r="E71" s="18">
        <v>44999.0</v>
      </c>
      <c r="F71" s="17">
        <v>0.375</v>
      </c>
      <c r="G71" s="17">
        <v>0.375</v>
      </c>
      <c r="H71" s="17">
        <v>0.285714285714285</v>
      </c>
      <c r="I71" s="17">
        <v>0.375</v>
      </c>
      <c r="J71" s="17">
        <v>0.25</v>
      </c>
      <c r="K71" s="17">
        <v>0.734765837174729</v>
      </c>
      <c r="L71" s="17">
        <v>0.60699152544257</v>
      </c>
      <c r="M71" s="17">
        <v>0.442477876099999</v>
      </c>
      <c r="N71" s="17">
        <v>0.9474</v>
      </c>
      <c r="O71" s="17">
        <v>0.973681577103972</v>
      </c>
      <c r="P71" s="17">
        <v>0.214858083692367</v>
      </c>
      <c r="Q71" s="17">
        <v>0.507353562293447</v>
      </c>
    </row>
    <row r="72">
      <c r="A72" s="17" t="s">
        <v>84</v>
      </c>
      <c r="B72" s="17" t="s">
        <v>105</v>
      </c>
      <c r="C72" s="17" t="s">
        <v>85</v>
      </c>
      <c r="D72" s="17" t="s">
        <v>135</v>
      </c>
      <c r="E72" s="18">
        <v>44999.0</v>
      </c>
      <c r="F72" s="17">
        <v>0.25</v>
      </c>
      <c r="G72" s="17">
        <v>0.0</v>
      </c>
      <c r="H72" s="17">
        <v>0.0</v>
      </c>
      <c r="I72" s="17">
        <v>0.0</v>
      </c>
      <c r="J72" s="17">
        <v>0.125</v>
      </c>
      <c r="K72" s="17">
        <v>0.699417929256652</v>
      </c>
      <c r="L72" s="17">
        <v>0.436737804823183</v>
      </c>
      <c r="M72" s="17">
        <v>0.374999999999999</v>
      </c>
      <c r="N72" s="17">
        <v>0.9931</v>
      </c>
      <c r="O72" s="17">
        <v>0.996547583308315</v>
      </c>
      <c r="P72" s="17">
        <v>0.517259598366277</v>
      </c>
      <c r="Q72" s="17">
        <v>0.399369355977675</v>
      </c>
    </row>
    <row r="73">
      <c r="A73" s="17" t="s">
        <v>84</v>
      </c>
      <c r="B73" s="17" t="s">
        <v>105</v>
      </c>
      <c r="C73" s="17" t="s">
        <v>87</v>
      </c>
      <c r="D73" s="17" t="s">
        <v>136</v>
      </c>
      <c r="E73" s="18">
        <v>44999.0</v>
      </c>
      <c r="F73" s="17">
        <v>0.375</v>
      </c>
      <c r="G73" s="17">
        <v>0.5</v>
      </c>
      <c r="H73" s="17">
        <v>0.285714285714285</v>
      </c>
      <c r="I73" s="17">
        <v>0.0</v>
      </c>
      <c r="J73" s="17">
        <v>0.5</v>
      </c>
      <c r="K73" s="17">
        <v>0.684305797332186</v>
      </c>
      <c r="L73" s="17">
        <v>0.655906593448817</v>
      </c>
      <c r="M73" s="17">
        <v>0.804597700999999</v>
      </c>
      <c r="N73" s="17">
        <v>0.8882</v>
      </c>
      <c r="O73" s="17">
        <v>0.0552386670669468</v>
      </c>
      <c r="P73" s="17">
        <v>0.372553253890023</v>
      </c>
      <c r="Q73" s="17">
        <v>0.465592390768387</v>
      </c>
    </row>
    <row r="74">
      <c r="A74" s="17" t="s">
        <v>84</v>
      </c>
      <c r="B74" s="17" t="s">
        <v>105</v>
      </c>
      <c r="C74" s="17" t="s">
        <v>89</v>
      </c>
      <c r="D74" s="17" t="s">
        <v>137</v>
      </c>
      <c r="E74" s="18">
        <v>44999.0</v>
      </c>
      <c r="F74" s="17">
        <v>0.375</v>
      </c>
      <c r="G74" s="17">
        <v>0.5</v>
      </c>
      <c r="H74" s="17">
        <v>0.571428571428571</v>
      </c>
      <c r="I74" s="17">
        <v>0.0</v>
      </c>
      <c r="J74" s="17">
        <v>0.375</v>
      </c>
      <c r="K74" s="17">
        <v>0.421507220771377</v>
      </c>
      <c r="L74" s="17">
        <v>0.298437499992352</v>
      </c>
      <c r="M74" s="17">
        <v>0.3846153846</v>
      </c>
      <c r="N74" s="17">
        <v>0.69</v>
      </c>
      <c r="O74" s="17">
        <v>0.844891423996797</v>
      </c>
      <c r="P74" s="17">
        <v>0.500964078283884</v>
      </c>
      <c r="Q74" s="17">
        <v>0.451076743552089</v>
      </c>
    </row>
    <row r="75">
      <c r="A75" s="17" t="s">
        <v>84</v>
      </c>
      <c r="B75" s="17" t="s">
        <v>105</v>
      </c>
      <c r="C75" s="17" t="s">
        <v>91</v>
      </c>
      <c r="D75" s="17" t="s">
        <v>138</v>
      </c>
      <c r="E75" s="18">
        <v>44999.0</v>
      </c>
      <c r="F75" s="17">
        <v>0.0</v>
      </c>
      <c r="G75" s="17">
        <v>0.125</v>
      </c>
      <c r="H75" s="17">
        <v>0.285714285714285</v>
      </c>
      <c r="I75" s="17">
        <v>0.0</v>
      </c>
      <c r="J75" s="17">
        <v>0.125</v>
      </c>
      <c r="K75" s="17">
        <v>0.48575113726106</v>
      </c>
      <c r="L75" s="17">
        <v>0.41521739134561</v>
      </c>
      <c r="M75" s="17">
        <v>0.5</v>
      </c>
      <c r="N75" s="17">
        <v>0.9224</v>
      </c>
      <c r="O75" s="17">
        <v>0.961172820974682</v>
      </c>
      <c r="P75" s="17">
        <v>0.55130597593644</v>
      </c>
      <c r="Q75" s="17">
        <v>0.397414691930189</v>
      </c>
    </row>
    <row r="76">
      <c r="A76" s="17" t="s">
        <v>84</v>
      </c>
      <c r="B76" s="17" t="s">
        <v>105</v>
      </c>
      <c r="C76" s="17" t="s">
        <v>93</v>
      </c>
      <c r="D76" s="17" t="s">
        <v>139</v>
      </c>
      <c r="E76" s="18">
        <v>44999.0</v>
      </c>
      <c r="F76" s="17">
        <v>0.25</v>
      </c>
      <c r="G76" s="17">
        <v>0.5</v>
      </c>
      <c r="H76" s="17">
        <v>0.0</v>
      </c>
      <c r="I76" s="17">
        <v>0.25</v>
      </c>
      <c r="J76" s="17">
        <v>0.375</v>
      </c>
      <c r="K76" s="17">
        <v>0.622240093168018</v>
      </c>
      <c r="L76" s="17">
        <v>0.316924778796253</v>
      </c>
      <c r="M76" s="17">
        <v>0.5092592595</v>
      </c>
      <c r="N76" s="17">
        <v>0.9398</v>
      </c>
      <c r="O76" s="17">
        <v>0.969878915240668</v>
      </c>
      <c r="P76" s="17">
        <v>0.520234894246332</v>
      </c>
      <c r="Q76" s="17">
        <v>0.477576176450115</v>
      </c>
    </row>
    <row r="77">
      <c r="A77" s="17" t="s">
        <v>84</v>
      </c>
      <c r="B77" s="17" t="s">
        <v>105</v>
      </c>
      <c r="C77" s="17" t="s">
        <v>95</v>
      </c>
      <c r="D77" s="17" t="s">
        <v>140</v>
      </c>
      <c r="E77" s="18">
        <v>44999.0</v>
      </c>
      <c r="F77" s="17">
        <v>0.5</v>
      </c>
      <c r="G77" s="17">
        <v>0.125</v>
      </c>
      <c r="H77" s="17">
        <v>0.571428571428571</v>
      </c>
      <c r="I77" s="17">
        <v>0.0</v>
      </c>
      <c r="J77" s="17">
        <v>0.25</v>
      </c>
      <c r="K77" s="17">
        <v>0.421507209706674</v>
      </c>
      <c r="L77" s="17">
        <v>0.298437499992352</v>
      </c>
      <c r="M77" s="17">
        <v>0.3846153846</v>
      </c>
      <c r="N77" s="17">
        <v>0.69</v>
      </c>
      <c r="O77" s="17">
        <v>0.844891423996797</v>
      </c>
      <c r="P77" s="17">
        <v>0.500964078283884</v>
      </c>
      <c r="Q77" s="17">
        <v>0.416985833455298</v>
      </c>
    </row>
    <row r="78">
      <c r="A78" s="17" t="s">
        <v>84</v>
      </c>
      <c r="B78" s="17" t="s">
        <v>105</v>
      </c>
      <c r="C78" s="17" t="s">
        <v>97</v>
      </c>
      <c r="D78" s="17" t="s">
        <v>141</v>
      </c>
      <c r="E78" s="18">
        <v>44999.0</v>
      </c>
      <c r="F78" s="17">
        <v>0.25</v>
      </c>
      <c r="G78" s="17">
        <v>0.0</v>
      </c>
      <c r="H78" s="17">
        <v>0.142857142857142</v>
      </c>
      <c r="I78" s="17">
        <v>0.375</v>
      </c>
      <c r="J78" s="17">
        <v>0.25</v>
      </c>
      <c r="K78" s="17">
        <v>0.758922585811489</v>
      </c>
      <c r="L78" s="17">
        <v>0.221064814826835</v>
      </c>
      <c r="M78" s="17">
        <v>0.38834951455</v>
      </c>
      <c r="N78" s="17">
        <v>0.9447</v>
      </c>
      <c r="O78" s="17">
        <v>0.972330631442009</v>
      </c>
      <c r="P78" s="17">
        <v>0.47652218478301</v>
      </c>
      <c r="Q78" s="17">
        <v>0.434522443115498</v>
      </c>
    </row>
    <row r="79">
      <c r="A79" s="17" t="s">
        <v>84</v>
      </c>
      <c r="B79" s="17" t="s">
        <v>105</v>
      </c>
      <c r="C79" s="17" t="s">
        <v>99</v>
      </c>
      <c r="D79" s="17" t="s">
        <v>142</v>
      </c>
      <c r="E79" s="18">
        <v>44999.0</v>
      </c>
      <c r="F79" s="17">
        <v>0.5</v>
      </c>
      <c r="G79" s="17">
        <v>0.375</v>
      </c>
      <c r="H79" s="17">
        <v>0.285714285714285</v>
      </c>
      <c r="I79" s="17">
        <v>0.5</v>
      </c>
      <c r="J79" s="17">
        <v>0.0</v>
      </c>
      <c r="K79" s="17">
        <v>0.53830105292539</v>
      </c>
      <c r="L79" s="17">
        <v>0.44212962965367</v>
      </c>
      <c r="M79" s="17">
        <v>0.26315789475</v>
      </c>
      <c r="N79" s="17">
        <v>0.992</v>
      </c>
      <c r="O79" s="17">
        <v>0.995997198038627</v>
      </c>
      <c r="P79" s="17">
        <v>0.555816234260057</v>
      </c>
      <c r="Q79" s="17">
        <v>0.495283299576548</v>
      </c>
    </row>
    <row r="80">
      <c r="A80" s="17" t="s">
        <v>84</v>
      </c>
      <c r="B80" s="17" t="s">
        <v>105</v>
      </c>
      <c r="C80" s="17" t="s">
        <v>101</v>
      </c>
      <c r="D80" s="17" t="s">
        <v>143</v>
      </c>
      <c r="E80" s="18">
        <v>44999.0</v>
      </c>
      <c r="F80" s="17">
        <v>0.0</v>
      </c>
      <c r="G80" s="17">
        <v>0.375</v>
      </c>
      <c r="H80" s="17">
        <v>0.0</v>
      </c>
      <c r="I80" s="17">
        <v>0.0</v>
      </c>
      <c r="J80" s="17">
        <v>0.5</v>
      </c>
      <c r="K80" s="17">
        <v>0.7671209080999</v>
      </c>
      <c r="L80" s="17">
        <v>0.795833333352731</v>
      </c>
      <c r="M80" s="17">
        <v>0.3418803419</v>
      </c>
      <c r="N80" s="17">
        <v>0.5719</v>
      </c>
      <c r="O80" s="17">
        <v>0.21349944961473</v>
      </c>
      <c r="P80" s="17">
        <v>0.506079823411435</v>
      </c>
      <c r="Q80" s="17">
        <v>0.370119441488981</v>
      </c>
    </row>
    <row r="81">
      <c r="A81" s="17" t="s">
        <v>84</v>
      </c>
      <c r="B81" s="17" t="s">
        <v>105</v>
      </c>
      <c r="C81" s="17" t="s">
        <v>103</v>
      </c>
      <c r="D81" s="17" t="s">
        <v>144</v>
      </c>
      <c r="E81" s="18">
        <v>44999.0</v>
      </c>
      <c r="F81" s="17">
        <v>0.125</v>
      </c>
      <c r="G81" s="17">
        <v>0.375</v>
      </c>
      <c r="H81" s="17">
        <v>0.142857142857142</v>
      </c>
      <c r="I81" s="17">
        <v>0.25</v>
      </c>
      <c r="J81" s="17">
        <v>0.375</v>
      </c>
      <c r="K81" s="17">
        <v>0.758658494966796</v>
      </c>
      <c r="L81" s="17">
        <v>0.261405109494551</v>
      </c>
      <c r="M81" s="17">
        <v>0.45454545455</v>
      </c>
      <c r="N81" s="17">
        <v>0.9903</v>
      </c>
      <c r="O81" s="17">
        <v>0.995146602621835</v>
      </c>
      <c r="P81" s="17">
        <v>0.406197433624556</v>
      </c>
      <c r="Q81" s="17">
        <v>0.46673729437408</v>
      </c>
    </row>
    <row r="82">
      <c r="A82" s="17" t="s">
        <v>20</v>
      </c>
      <c r="B82" s="17" t="s">
        <v>186</v>
      </c>
      <c r="C82" s="17" t="s">
        <v>22</v>
      </c>
      <c r="D82" s="17" t="s">
        <v>187</v>
      </c>
      <c r="E82" s="56">
        <v>45236.0</v>
      </c>
      <c r="F82" s="17">
        <v>0.625</v>
      </c>
      <c r="G82" s="17">
        <v>0.125</v>
      </c>
      <c r="H82" s="17">
        <v>0.142857142857142</v>
      </c>
      <c r="I82" s="17">
        <v>0.125</v>
      </c>
      <c r="J82" s="17">
        <v>0.0</v>
      </c>
      <c r="K82" s="17">
        <v>0.223741126076306</v>
      </c>
      <c r="L82" s="17">
        <v>0.341071428545635</v>
      </c>
      <c r="M82" s="17">
        <v>0.7352941175</v>
      </c>
      <c r="N82" s="17">
        <v>0.6369</v>
      </c>
      <c r="O82" s="17">
        <v>0.818322825978184</v>
      </c>
      <c r="P82" s="17">
        <v>0.189390839349281</v>
      </c>
      <c r="Q82" s="17">
        <v>0.360234316391504</v>
      </c>
    </row>
    <row r="83">
      <c r="A83" s="17" t="s">
        <v>20</v>
      </c>
      <c r="B83" s="17" t="s">
        <v>186</v>
      </c>
      <c r="C83" s="17" t="s">
        <v>24</v>
      </c>
      <c r="D83" s="17" t="s">
        <v>188</v>
      </c>
      <c r="E83" s="56">
        <v>45236.0</v>
      </c>
      <c r="F83" s="17">
        <v>0.0</v>
      </c>
      <c r="G83" s="17">
        <v>0.125</v>
      </c>
      <c r="H83" s="17">
        <v>0.857142857142857</v>
      </c>
      <c r="I83" s="17">
        <v>0.125</v>
      </c>
      <c r="J83" s="17">
        <v>0.0</v>
      </c>
      <c r="K83" s="17">
        <v>0.598397529162542</v>
      </c>
      <c r="L83" s="17">
        <v>0.0</v>
      </c>
      <c r="M83" s="17">
        <v>0.1886792453</v>
      </c>
      <c r="N83" s="17">
        <v>0.9393</v>
      </c>
      <c r="O83" s="17">
        <v>0.969628740118082</v>
      </c>
      <c r="P83" s="17">
        <v>0.343891755682827</v>
      </c>
      <c r="Q83" s="17">
        <v>0.377003647946028</v>
      </c>
    </row>
    <row r="84">
      <c r="A84" s="17" t="s">
        <v>20</v>
      </c>
      <c r="B84" s="17" t="s">
        <v>186</v>
      </c>
      <c r="C84" s="17" t="s">
        <v>26</v>
      </c>
      <c r="D84" s="17" t="s">
        <v>189</v>
      </c>
      <c r="E84" s="56">
        <v>45236.0</v>
      </c>
      <c r="F84" s="17">
        <v>0.625</v>
      </c>
      <c r="G84" s="17">
        <v>0.125</v>
      </c>
      <c r="H84" s="17">
        <v>0.142857142857142</v>
      </c>
      <c r="I84" s="17">
        <v>0.125</v>
      </c>
      <c r="J84" s="17">
        <v>0.0</v>
      </c>
      <c r="K84" s="17">
        <v>0.413002393319901</v>
      </c>
      <c r="L84" s="17">
        <v>0.271306818207422</v>
      </c>
      <c r="M84" s="17">
        <v>0.568181818</v>
      </c>
      <c r="N84" s="17">
        <v>0.8442</v>
      </c>
      <c r="O84" s="17">
        <v>0.922045431802261</v>
      </c>
      <c r="P84" s="17">
        <v>0.387642572331603</v>
      </c>
      <c r="Q84" s="17">
        <v>0.402203288774393</v>
      </c>
    </row>
    <row r="85">
      <c r="A85" s="17" t="s">
        <v>20</v>
      </c>
      <c r="B85" s="17" t="s">
        <v>186</v>
      </c>
      <c r="C85" s="17" t="s">
        <v>28</v>
      </c>
      <c r="D85" s="17" t="s">
        <v>190</v>
      </c>
      <c r="E85" s="56">
        <v>45236.0</v>
      </c>
      <c r="F85" s="17">
        <v>0.0</v>
      </c>
      <c r="G85" s="17">
        <v>0.625</v>
      </c>
      <c r="H85" s="17">
        <v>0.142857142857142</v>
      </c>
      <c r="I85" s="17">
        <v>0.125</v>
      </c>
      <c r="J85" s="17">
        <v>0.0</v>
      </c>
      <c r="K85" s="17">
        <v>0.267094483658514</v>
      </c>
      <c r="L85" s="17">
        <v>0.568452380949183</v>
      </c>
      <c r="M85" s="17">
        <v>0.8536585365</v>
      </c>
      <c r="N85" s="17">
        <v>0.7003</v>
      </c>
      <c r="O85" s="17">
        <v>0.850045031522065</v>
      </c>
      <c r="P85" s="17">
        <v>0.35406911112299</v>
      </c>
      <c r="Q85" s="17">
        <v>0.407861516964536</v>
      </c>
    </row>
    <row r="86">
      <c r="A86" s="17" t="s">
        <v>20</v>
      </c>
      <c r="B86" s="17" t="s">
        <v>186</v>
      </c>
      <c r="C86" s="17" t="s">
        <v>30</v>
      </c>
      <c r="D86" s="17" t="s">
        <v>191</v>
      </c>
      <c r="E86" s="56">
        <v>45236.0</v>
      </c>
      <c r="F86" s="17">
        <v>0.625</v>
      </c>
      <c r="G86" s="17">
        <v>0.625</v>
      </c>
      <c r="H86" s="17">
        <v>0.142857142857142</v>
      </c>
      <c r="I86" s="17">
        <v>0.125</v>
      </c>
      <c r="J86" s="17">
        <v>0.0</v>
      </c>
      <c r="K86" s="17">
        <v>0.414061367909163</v>
      </c>
      <c r="L86" s="17">
        <v>0.277616279021011</v>
      </c>
      <c r="M86" s="17">
        <v>0.5</v>
      </c>
      <c r="N86" s="17">
        <v>0.9509</v>
      </c>
      <c r="O86" s="17">
        <v>0.975432802962073</v>
      </c>
      <c r="P86" s="17">
        <v>0.398768146478393</v>
      </c>
      <c r="Q86" s="17">
        <v>0.457694158111616</v>
      </c>
    </row>
    <row r="87">
      <c r="A87" s="17" t="s">
        <v>20</v>
      </c>
      <c r="B87" s="17" t="s">
        <v>186</v>
      </c>
      <c r="C87" s="17" t="s">
        <v>32</v>
      </c>
      <c r="D87" s="17" t="s">
        <v>192</v>
      </c>
      <c r="E87" s="56">
        <v>45236.0</v>
      </c>
      <c r="F87" s="17">
        <v>0.0</v>
      </c>
      <c r="G87" s="17">
        <v>0.125</v>
      </c>
      <c r="H87" s="17">
        <v>0.142857142857142</v>
      </c>
      <c r="I87" s="17">
        <v>0.125</v>
      </c>
      <c r="J87" s="17">
        <v>0.0</v>
      </c>
      <c r="K87" s="17">
        <v>0.276419988771248</v>
      </c>
      <c r="L87" s="17">
        <v>0.248697916620502</v>
      </c>
      <c r="M87" s="17">
        <v>0.543478261</v>
      </c>
      <c r="N87" s="17">
        <v>0.6369</v>
      </c>
      <c r="O87" s="17">
        <v>0.818322825978184</v>
      </c>
      <c r="P87" s="17">
        <v>0.44980662700837</v>
      </c>
      <c r="Q87" s="17">
        <v>0.306043887475949</v>
      </c>
    </row>
    <row r="88">
      <c r="A88" s="17" t="s">
        <v>20</v>
      </c>
      <c r="B88" s="17" t="s">
        <v>186</v>
      </c>
      <c r="C88" s="17" t="s">
        <v>34</v>
      </c>
      <c r="D88" s="17" t="s">
        <v>193</v>
      </c>
      <c r="E88" s="56">
        <v>45236.0</v>
      </c>
      <c r="F88" s="17">
        <v>0.0</v>
      </c>
      <c r="G88" s="17">
        <v>0.625</v>
      </c>
      <c r="H88" s="17">
        <v>0.142857142857142</v>
      </c>
      <c r="I88" s="17">
        <v>0.125</v>
      </c>
      <c r="J88" s="17">
        <v>0.0</v>
      </c>
      <c r="K88" s="17">
        <v>0.502617874884018</v>
      </c>
      <c r="L88" s="17">
        <v>0.411637931015701</v>
      </c>
      <c r="M88" s="17">
        <v>0.909090909</v>
      </c>
      <c r="N88" s="17">
        <v>0.8977</v>
      </c>
      <c r="O88" s="17">
        <v>0.948814169918943</v>
      </c>
      <c r="P88" s="17">
        <v>0.308859028688154</v>
      </c>
      <c r="Q88" s="17">
        <v>0.442870641487632</v>
      </c>
    </row>
    <row r="89">
      <c r="A89" s="17" t="s">
        <v>20</v>
      </c>
      <c r="B89" s="17" t="s">
        <v>186</v>
      </c>
      <c r="C89" s="17" t="s">
        <v>36</v>
      </c>
      <c r="D89" s="17" t="s">
        <v>194</v>
      </c>
      <c r="E89" s="56">
        <v>45236.0</v>
      </c>
      <c r="F89" s="17">
        <v>0.625</v>
      </c>
      <c r="G89" s="17">
        <v>0.125</v>
      </c>
      <c r="H89" s="17">
        <v>0.142857142857142</v>
      </c>
      <c r="I89" s="17">
        <v>0.125</v>
      </c>
      <c r="J89" s="17">
        <v>0.0</v>
      </c>
      <c r="K89" s="17">
        <v>0.312080620690709</v>
      </c>
      <c r="L89" s="17">
        <v>0.195696721271235</v>
      </c>
      <c r="M89" s="17">
        <v>0.508474576499999</v>
      </c>
      <c r="N89" s="17">
        <v>0.6369</v>
      </c>
      <c r="O89" s="17">
        <v>0.818322825978184</v>
      </c>
      <c r="P89" s="17">
        <v>0.435745316527022</v>
      </c>
      <c r="Q89" s="17">
        <v>0.356825200347663</v>
      </c>
    </row>
    <row r="90">
      <c r="A90" s="17" t="s">
        <v>20</v>
      </c>
      <c r="B90" s="17" t="s">
        <v>186</v>
      </c>
      <c r="C90" s="17" t="s">
        <v>38</v>
      </c>
      <c r="D90" s="17" t="s">
        <v>195</v>
      </c>
      <c r="E90" s="56">
        <v>45236.0</v>
      </c>
      <c r="F90" s="17">
        <v>0.625</v>
      </c>
      <c r="G90" s="17">
        <v>0.125</v>
      </c>
      <c r="H90" s="17">
        <v>0.142857142857142</v>
      </c>
      <c r="I90" s="17">
        <v>0.125</v>
      </c>
      <c r="J90" s="17">
        <v>0.0</v>
      </c>
      <c r="K90" s="17">
        <v>0.0</v>
      </c>
      <c r="L90" s="17">
        <v>0.225235849071103</v>
      </c>
      <c r="M90" s="17">
        <v>0.6603773585</v>
      </c>
      <c r="N90" s="17">
        <v>0.8126</v>
      </c>
      <c r="O90" s="17">
        <v>0.906234364054838</v>
      </c>
      <c r="P90" s="17">
        <v>0.732459588791649</v>
      </c>
      <c r="Q90" s="17">
        <v>0.395887663934066</v>
      </c>
    </row>
    <row r="91">
      <c r="A91" s="17" t="s">
        <v>20</v>
      </c>
      <c r="B91" s="17" t="s">
        <v>186</v>
      </c>
      <c r="C91" s="17" t="s">
        <v>40</v>
      </c>
      <c r="D91" s="17" t="s">
        <v>196</v>
      </c>
      <c r="E91" s="56">
        <v>45236.0</v>
      </c>
      <c r="F91" s="17">
        <v>0.625</v>
      </c>
      <c r="G91" s="17">
        <v>0.625</v>
      </c>
      <c r="H91" s="17">
        <v>0.857142857142857</v>
      </c>
      <c r="I91" s="17">
        <v>0.125</v>
      </c>
      <c r="J91" s="17">
        <v>0.0</v>
      </c>
      <c r="K91" s="17">
        <v>0.216934010771657</v>
      </c>
      <c r="L91" s="17">
        <v>0.346014492788008</v>
      </c>
      <c r="M91" s="17">
        <v>0.7971014495</v>
      </c>
      <c r="N91" s="17">
        <v>0.9049</v>
      </c>
      <c r="O91" s="17">
        <v>0.952416691684179</v>
      </c>
      <c r="P91" s="17">
        <v>0.399390587884829</v>
      </c>
      <c r="Q91" s="17">
        <v>0.53171818997923</v>
      </c>
    </row>
    <row r="92">
      <c r="A92" s="17" t="s">
        <v>42</v>
      </c>
      <c r="B92" s="17" t="s">
        <v>186</v>
      </c>
      <c r="C92" s="17" t="s">
        <v>43</v>
      </c>
      <c r="D92" s="17" t="s">
        <v>197</v>
      </c>
      <c r="E92" s="56">
        <v>45236.0</v>
      </c>
      <c r="F92" s="17">
        <v>0.0</v>
      </c>
      <c r="G92" s="17">
        <v>0.625</v>
      </c>
      <c r="H92" s="17">
        <v>0.142857142857142</v>
      </c>
      <c r="I92" s="17">
        <v>0.125</v>
      </c>
      <c r="J92" s="17">
        <v>0.0</v>
      </c>
      <c r="K92" s="17">
        <v>0.441039027852716</v>
      </c>
      <c r="L92" s="17">
        <v>0.497395833360379</v>
      </c>
      <c r="M92" s="17">
        <v>0.326086956499999</v>
      </c>
      <c r="N92" s="17">
        <v>0.9744</v>
      </c>
      <c r="O92" s="17">
        <v>0.987191033723606</v>
      </c>
      <c r="P92" s="17">
        <v>0.48561684290123</v>
      </c>
      <c r="Q92" s="17">
        <v>0.41859880338137</v>
      </c>
    </row>
    <row r="93">
      <c r="A93" s="17" t="s">
        <v>42</v>
      </c>
      <c r="B93" s="17" t="s">
        <v>186</v>
      </c>
      <c r="C93" s="17" t="s">
        <v>45</v>
      </c>
      <c r="D93" s="17" t="s">
        <v>198</v>
      </c>
      <c r="E93" s="56">
        <v>45236.0</v>
      </c>
      <c r="F93" s="17">
        <v>0.0</v>
      </c>
      <c r="G93" s="17">
        <v>0.125</v>
      </c>
      <c r="H93" s="17">
        <v>0.142857142857142</v>
      </c>
      <c r="I93" s="17">
        <v>0.125</v>
      </c>
      <c r="J93" s="17">
        <v>0.0</v>
      </c>
      <c r="K93" s="17">
        <v>0.181730773918844</v>
      </c>
      <c r="L93" s="17">
        <v>0.582317073097578</v>
      </c>
      <c r="M93" s="17">
        <v>0.512820513</v>
      </c>
      <c r="N93" s="17">
        <v>0.3182</v>
      </c>
      <c r="O93" s="17">
        <v>0.658861202841989</v>
      </c>
      <c r="P93" s="17">
        <v>0.551248109697004</v>
      </c>
      <c r="Q93" s="17">
        <v>0.290730437764778</v>
      </c>
    </row>
    <row r="94">
      <c r="A94" s="17" t="s">
        <v>42</v>
      </c>
      <c r="B94" s="17" t="s">
        <v>186</v>
      </c>
      <c r="C94" s="17" t="s">
        <v>47</v>
      </c>
      <c r="D94" s="17" t="s">
        <v>199</v>
      </c>
      <c r="E94" s="56">
        <v>45236.0</v>
      </c>
      <c r="F94" s="17">
        <v>0.0</v>
      </c>
      <c r="G94" s="17">
        <v>0.625</v>
      </c>
      <c r="H94" s="17">
        <v>0.857142857142857</v>
      </c>
      <c r="I94" s="17">
        <v>0.125</v>
      </c>
      <c r="J94" s="17">
        <v>0.0</v>
      </c>
      <c r="K94" s="17">
        <v>0.322234195250642</v>
      </c>
      <c r="L94" s="17">
        <v>0.54261363629547</v>
      </c>
      <c r="M94" s="17">
        <v>0.465116279049999</v>
      </c>
      <c r="N94" s="17">
        <v>0.7906</v>
      </c>
      <c r="O94" s="17">
        <v>0.895226658661062</v>
      </c>
      <c r="P94" s="17">
        <v>0.434149346264941</v>
      </c>
      <c r="Q94" s="17">
        <v>0.459734815696815</v>
      </c>
    </row>
    <row r="95">
      <c r="A95" s="17" t="s">
        <v>42</v>
      </c>
      <c r="B95" s="17" t="s">
        <v>186</v>
      </c>
      <c r="C95" s="17" t="s">
        <v>49</v>
      </c>
      <c r="D95" s="17" t="s">
        <v>200</v>
      </c>
      <c r="E95" s="56">
        <v>45236.0</v>
      </c>
      <c r="F95" s="17">
        <v>0.625</v>
      </c>
      <c r="G95" s="17">
        <v>0.625</v>
      </c>
      <c r="H95" s="17">
        <v>0.142857142857142</v>
      </c>
      <c r="I95" s="17">
        <v>0.125</v>
      </c>
      <c r="J95" s="17">
        <v>0.0</v>
      </c>
      <c r="K95" s="17">
        <v>0.465738238135964</v>
      </c>
      <c r="L95" s="17">
        <v>0.4263392856522</v>
      </c>
      <c r="M95" s="17">
        <v>0.636363636499999</v>
      </c>
      <c r="N95" s="17">
        <v>0.8234</v>
      </c>
      <c r="O95" s="17">
        <v>0.911638146702691</v>
      </c>
      <c r="P95" s="17">
        <v>0.339939910099629</v>
      </c>
      <c r="Q95" s="17">
        <v>0.465570578177057</v>
      </c>
    </row>
    <row r="96">
      <c r="A96" s="17" t="s">
        <v>42</v>
      </c>
      <c r="B96" s="17" t="s">
        <v>186</v>
      </c>
      <c r="C96" s="17" t="s">
        <v>51</v>
      </c>
      <c r="D96" s="17" t="s">
        <v>201</v>
      </c>
      <c r="E96" s="56">
        <v>45236.0</v>
      </c>
      <c r="F96" s="17">
        <v>0.625</v>
      </c>
      <c r="G96" s="17">
        <v>0.625</v>
      </c>
      <c r="H96" s="17">
        <v>0.857142857142857</v>
      </c>
      <c r="I96" s="17">
        <v>0.125</v>
      </c>
      <c r="J96" s="17">
        <v>0.0</v>
      </c>
      <c r="K96" s="17">
        <v>0.266878793537488</v>
      </c>
      <c r="L96" s="17">
        <v>0.142964071802586</v>
      </c>
      <c r="M96" s="17">
        <v>0.0903614458</v>
      </c>
      <c r="N96" s="17">
        <v>0.9845</v>
      </c>
      <c r="O96" s="17">
        <v>0.992244571199839</v>
      </c>
      <c r="P96" s="17">
        <v>0.445948885556793</v>
      </c>
      <c r="Q96" s="17">
        <v>0.468640056821778</v>
      </c>
    </row>
    <row r="97">
      <c r="A97" s="17" t="s">
        <v>42</v>
      </c>
      <c r="B97" s="17" t="s">
        <v>186</v>
      </c>
      <c r="C97" s="17" t="s">
        <v>53</v>
      </c>
      <c r="D97" s="17" t="s">
        <v>202</v>
      </c>
      <c r="E97" s="56">
        <v>45236.0</v>
      </c>
      <c r="F97" s="17">
        <v>0.0</v>
      </c>
      <c r="G97" s="17">
        <v>0.625</v>
      </c>
      <c r="H97" s="17">
        <v>0.857142857142857</v>
      </c>
      <c r="I97" s="17">
        <v>0.125</v>
      </c>
      <c r="J97" s="17">
        <v>0.0</v>
      </c>
      <c r="K97" s="17">
        <v>0.520447338802214</v>
      </c>
      <c r="L97" s="17">
        <v>0.0</v>
      </c>
      <c r="M97" s="17">
        <v>0.592105263</v>
      </c>
      <c r="N97" s="17">
        <v>0.9732</v>
      </c>
      <c r="O97" s="17">
        <v>0.9865906134294</v>
      </c>
      <c r="P97" s="17">
        <v>0.485354496748024</v>
      </c>
      <c r="Q97" s="17">
        <v>0.469530960829317</v>
      </c>
    </row>
    <row r="98">
      <c r="A98" s="17" t="s">
        <v>42</v>
      </c>
      <c r="B98" s="17" t="s">
        <v>186</v>
      </c>
      <c r="C98" s="17" t="s">
        <v>55</v>
      </c>
      <c r="D98" s="17" t="s">
        <v>203</v>
      </c>
      <c r="E98" s="56">
        <v>45236.0</v>
      </c>
      <c r="F98" s="17">
        <v>0.625</v>
      </c>
      <c r="G98" s="17">
        <v>0.125</v>
      </c>
      <c r="H98" s="17">
        <v>0.142857142857142</v>
      </c>
      <c r="I98" s="17">
        <v>0.125</v>
      </c>
      <c r="J98" s="17">
        <v>0.0</v>
      </c>
      <c r="K98" s="17">
        <v>0.274955527513212</v>
      </c>
      <c r="L98" s="17">
        <v>0.0858812949580492</v>
      </c>
      <c r="M98" s="17">
        <v>0.14598540145</v>
      </c>
      <c r="N98" s="17">
        <v>0.7579</v>
      </c>
      <c r="O98" s="17">
        <v>0.87886520564395</v>
      </c>
      <c r="P98" s="17">
        <v>0.86148793529143</v>
      </c>
      <c r="Q98" s="17">
        <v>0.365721137064889</v>
      </c>
    </row>
    <row r="99">
      <c r="A99" s="17" t="s">
        <v>42</v>
      </c>
      <c r="B99" s="17" t="s">
        <v>186</v>
      </c>
      <c r="C99" s="17" t="s">
        <v>57</v>
      </c>
      <c r="D99" s="17" t="s">
        <v>204</v>
      </c>
      <c r="E99" s="56">
        <v>45236.0</v>
      </c>
      <c r="F99" s="17">
        <v>0.0</v>
      </c>
      <c r="G99" s="17">
        <v>0.125</v>
      </c>
      <c r="H99" s="17">
        <v>0.857142857142857</v>
      </c>
      <c r="I99" s="17">
        <v>0.125</v>
      </c>
      <c r="J99" s="17">
        <v>0.0</v>
      </c>
      <c r="K99" s="17">
        <v>0.367920273539275</v>
      </c>
      <c r="L99" s="17">
        <v>0.50338855421835</v>
      </c>
      <c r="M99" s="17">
        <v>0.1219512195</v>
      </c>
      <c r="N99" s="17">
        <v>0.9935</v>
      </c>
      <c r="O99" s="17">
        <v>0.996747723406384</v>
      </c>
      <c r="P99" s="17">
        <v>0.486911187807441</v>
      </c>
      <c r="Q99" s="17">
        <v>0.416141983237664</v>
      </c>
    </row>
    <row r="100">
      <c r="A100" s="17" t="s">
        <v>42</v>
      </c>
      <c r="B100" s="17" t="s">
        <v>186</v>
      </c>
      <c r="C100" s="17" t="s">
        <v>59</v>
      </c>
      <c r="D100" s="17" t="s">
        <v>205</v>
      </c>
      <c r="E100" s="56">
        <v>45236.0</v>
      </c>
      <c r="F100" s="17">
        <v>0.625</v>
      </c>
      <c r="G100" s="17">
        <v>0.625</v>
      </c>
      <c r="H100" s="17">
        <v>0.142857142857142</v>
      </c>
      <c r="I100" s="17">
        <v>0.125</v>
      </c>
      <c r="J100" s="17">
        <v>0.0</v>
      </c>
      <c r="K100" s="17">
        <v>0.295873341004555</v>
      </c>
      <c r="L100" s="17">
        <v>0.385080645197632</v>
      </c>
      <c r="M100" s="17">
        <v>0.5555555555</v>
      </c>
      <c r="N100" s="17">
        <v>0.9186</v>
      </c>
      <c r="O100" s="17">
        <v>0.95927149004303</v>
      </c>
      <c r="P100" s="17">
        <v>0.596788035426258</v>
      </c>
      <c r="Q100" s="17">
        <v>0.47536601909351</v>
      </c>
    </row>
    <row r="101">
      <c r="A101" s="17" t="s">
        <v>42</v>
      </c>
      <c r="B101" s="17" t="s">
        <v>186</v>
      </c>
      <c r="C101" s="17" t="s">
        <v>61</v>
      </c>
      <c r="D101" s="17" t="s">
        <v>206</v>
      </c>
      <c r="E101" s="56">
        <v>45236.0</v>
      </c>
      <c r="F101" s="17">
        <v>0.0</v>
      </c>
      <c r="G101" s="17">
        <v>0.625</v>
      </c>
      <c r="H101" s="17">
        <v>0.142857142857142</v>
      </c>
      <c r="I101" s="17">
        <v>0.125</v>
      </c>
      <c r="J101" s="17">
        <v>0.0</v>
      </c>
      <c r="K101" s="17">
        <v>0.476158014222532</v>
      </c>
      <c r="L101" s="17">
        <v>0.0</v>
      </c>
      <c r="M101" s="17">
        <v>0.37735849055</v>
      </c>
      <c r="N101" s="17">
        <v>0.9519</v>
      </c>
      <c r="O101" s="17">
        <v>0.975933153207244</v>
      </c>
      <c r="P101" s="17">
        <v>0.338426983216629</v>
      </c>
      <c r="Q101" s="17">
        <v>0.364784889459413</v>
      </c>
    </row>
    <row r="102">
      <c r="A102" s="17" t="s">
        <v>63</v>
      </c>
      <c r="B102" s="17" t="s">
        <v>186</v>
      </c>
      <c r="C102" s="17" t="s">
        <v>64</v>
      </c>
      <c r="D102" s="17" t="s">
        <v>207</v>
      </c>
      <c r="E102" s="56">
        <v>45236.0</v>
      </c>
      <c r="F102" s="17">
        <v>0.0</v>
      </c>
      <c r="G102" s="17">
        <v>0.625</v>
      </c>
      <c r="H102" s="17">
        <v>0.857142857142857</v>
      </c>
      <c r="I102" s="17">
        <v>0.75</v>
      </c>
      <c r="J102" s="17">
        <v>0.0</v>
      </c>
      <c r="K102" s="17">
        <v>0.300406062063031</v>
      </c>
      <c r="L102" s="17">
        <v>0.763999999980422</v>
      </c>
      <c r="M102" s="17">
        <v>0.2244897959</v>
      </c>
      <c r="N102" s="17">
        <v>0.9984</v>
      </c>
      <c r="O102" s="17">
        <v>1.00070049034368E-4</v>
      </c>
      <c r="P102" s="17">
        <v>0.487783511365654</v>
      </c>
      <c r="Q102" s="17">
        <v>0.455211117863727</v>
      </c>
    </row>
    <row r="103">
      <c r="A103" s="17" t="s">
        <v>63</v>
      </c>
      <c r="B103" s="17" t="s">
        <v>186</v>
      </c>
      <c r="C103" s="17" t="s">
        <v>66</v>
      </c>
      <c r="D103" s="17" t="s">
        <v>208</v>
      </c>
      <c r="E103" s="56">
        <v>45236.0</v>
      </c>
      <c r="F103" s="17">
        <v>0.0</v>
      </c>
      <c r="G103" s="17">
        <v>0.625</v>
      </c>
      <c r="H103" s="17">
        <v>0.857142857142857</v>
      </c>
      <c r="I103" s="17">
        <v>0.75</v>
      </c>
      <c r="J103" s="17">
        <v>0.0</v>
      </c>
      <c r="K103" s="17">
        <v>0.404967404210892</v>
      </c>
      <c r="L103" s="17">
        <v>0.503691983145217</v>
      </c>
      <c r="M103" s="17">
        <v>0.2401746725</v>
      </c>
      <c r="N103" s="17">
        <v>0.9187</v>
      </c>
      <c r="O103" s="17">
        <v>0.959321525067547</v>
      </c>
      <c r="P103" s="17">
        <v>0.572295265328517</v>
      </c>
      <c r="Q103" s="17">
        <v>0.530117609763184</v>
      </c>
    </row>
    <row r="104">
      <c r="A104" s="17" t="s">
        <v>63</v>
      </c>
      <c r="B104" s="17" t="s">
        <v>186</v>
      </c>
      <c r="C104" s="17" t="s">
        <v>68</v>
      </c>
      <c r="D104" s="17" t="s">
        <v>209</v>
      </c>
      <c r="E104" s="56">
        <v>45236.0</v>
      </c>
      <c r="F104" s="17">
        <v>0.625</v>
      </c>
      <c r="G104" s="17">
        <v>0.125</v>
      </c>
      <c r="H104" s="17">
        <v>0.857142857142857</v>
      </c>
      <c r="I104" s="17">
        <v>0.125</v>
      </c>
      <c r="J104" s="17">
        <v>0.0</v>
      </c>
      <c r="K104" s="17">
        <v>0.0945692419863467</v>
      </c>
      <c r="L104" s="17">
        <v>0.190239043818875</v>
      </c>
      <c r="M104" s="17">
        <v>0.36437246965</v>
      </c>
      <c r="N104" s="17">
        <v>0.9818</v>
      </c>
      <c r="O104" s="17">
        <v>0.990893625537876</v>
      </c>
      <c r="P104" s="17">
        <v>0.478837327518272</v>
      </c>
      <c r="Q104" s="17">
        <v>0.439350415059475</v>
      </c>
    </row>
    <row r="105">
      <c r="A105" s="17" t="s">
        <v>63</v>
      </c>
      <c r="B105" s="17" t="s">
        <v>186</v>
      </c>
      <c r="C105" s="17" t="s">
        <v>70</v>
      </c>
      <c r="D105" s="17" t="s">
        <v>210</v>
      </c>
      <c r="E105" s="56">
        <v>45236.0</v>
      </c>
      <c r="F105" s="17">
        <v>0.625</v>
      </c>
      <c r="G105" s="17">
        <v>0.125</v>
      </c>
      <c r="H105" s="17">
        <v>0.857142857142857</v>
      </c>
      <c r="I105" s="17">
        <v>0.125</v>
      </c>
      <c r="J105" s="17">
        <v>0.0</v>
      </c>
      <c r="K105" s="17">
        <v>0.33932738410128</v>
      </c>
      <c r="L105" s="17">
        <v>0.125657894739905</v>
      </c>
      <c r="M105" s="17">
        <v>0.5319148935</v>
      </c>
      <c r="N105" s="17">
        <v>0.9873</v>
      </c>
      <c r="O105" s="17">
        <v>0.99364555188632</v>
      </c>
      <c r="P105" s="17">
        <v>0.716863908270024</v>
      </c>
      <c r="Q105" s="17">
        <v>0.493350226330944</v>
      </c>
    </row>
    <row r="106">
      <c r="A106" s="17" t="s">
        <v>63</v>
      </c>
      <c r="B106" s="17" t="s">
        <v>186</v>
      </c>
      <c r="C106" s="17" t="s">
        <v>72</v>
      </c>
      <c r="D106" s="17" t="s">
        <v>211</v>
      </c>
      <c r="E106" s="56">
        <v>45236.0</v>
      </c>
      <c r="F106" s="17">
        <v>0.625</v>
      </c>
      <c r="G106" s="17">
        <v>0.625</v>
      </c>
      <c r="H106" s="17">
        <v>0.142857142857142</v>
      </c>
      <c r="I106" s="17">
        <v>0.125</v>
      </c>
      <c r="J106" s="17">
        <v>0.0</v>
      </c>
      <c r="K106" s="17">
        <v>0.519028971255004</v>
      </c>
      <c r="L106" s="17">
        <v>0.363578680171308</v>
      </c>
      <c r="M106" s="17">
        <v>0.40609137055</v>
      </c>
      <c r="N106" s="17">
        <v>0.9878</v>
      </c>
      <c r="O106" s="17">
        <v>0.993895727008906</v>
      </c>
      <c r="P106" s="17">
        <v>0.69244281999301</v>
      </c>
      <c r="Q106" s="17">
        <v>0.498244973803215</v>
      </c>
    </row>
    <row r="107">
      <c r="A107" s="17" t="s">
        <v>63</v>
      </c>
      <c r="B107" s="17" t="s">
        <v>186</v>
      </c>
      <c r="C107" s="17" t="s">
        <v>74</v>
      </c>
      <c r="D107" s="17" t="s">
        <v>212</v>
      </c>
      <c r="E107" s="56">
        <v>45236.0</v>
      </c>
      <c r="F107" s="17">
        <v>0.625</v>
      </c>
      <c r="G107" s="17">
        <v>0.625</v>
      </c>
      <c r="H107" s="17">
        <v>0.857142857142857</v>
      </c>
      <c r="I107" s="17">
        <v>0.125</v>
      </c>
      <c r="J107" s="17">
        <v>0.0</v>
      </c>
      <c r="K107" s="17">
        <v>0.587021154313571</v>
      </c>
      <c r="L107" s="17">
        <v>0.749439461884545</v>
      </c>
      <c r="M107" s="17">
        <v>0.20547945205</v>
      </c>
      <c r="N107" s="17">
        <v>0.9983</v>
      </c>
      <c r="O107" s="17">
        <v>0.999149404583208</v>
      </c>
      <c r="P107" s="17">
        <v>0.485461552923159</v>
      </c>
      <c r="Q107" s="17">
        <v>0.56881762571794</v>
      </c>
    </row>
    <row r="108">
      <c r="A108" s="17" t="s">
        <v>63</v>
      </c>
      <c r="B108" s="17" t="s">
        <v>186</v>
      </c>
      <c r="C108" s="17" t="s">
        <v>76</v>
      </c>
      <c r="D108" s="17" t="s">
        <v>213</v>
      </c>
      <c r="E108" s="56">
        <v>45236.0</v>
      </c>
      <c r="F108" s="17">
        <v>0.625</v>
      </c>
      <c r="G108" s="17">
        <v>0.625</v>
      </c>
      <c r="H108" s="17">
        <v>0.857142857142857</v>
      </c>
      <c r="I108" s="17">
        <v>0.75</v>
      </c>
      <c r="J108" s="17">
        <v>0.0</v>
      </c>
      <c r="K108" s="17">
        <v>0.834148002459889</v>
      </c>
      <c r="L108" s="17">
        <v>0.24116161613132</v>
      </c>
      <c r="M108" s="17">
        <v>0.13698630135</v>
      </c>
      <c r="N108" s="17">
        <v>0.9989</v>
      </c>
      <c r="O108" s="17">
        <v>0.999449614730311</v>
      </c>
      <c r="P108" s="17">
        <v>0.498168429467601</v>
      </c>
      <c r="Q108" s="17">
        <v>0.596905165571089</v>
      </c>
    </row>
    <row r="109">
      <c r="A109" s="17" t="s">
        <v>63</v>
      </c>
      <c r="B109" s="17" t="s">
        <v>186</v>
      </c>
      <c r="C109" s="17" t="s">
        <v>78</v>
      </c>
      <c r="D109" s="17" t="s">
        <v>214</v>
      </c>
      <c r="E109" s="56">
        <v>45236.0</v>
      </c>
      <c r="F109" s="17">
        <v>0.0</v>
      </c>
      <c r="G109" s="17">
        <v>0.625</v>
      </c>
      <c r="H109" s="17">
        <v>0.857142857142857</v>
      </c>
      <c r="I109" s="17">
        <v>0.75</v>
      </c>
      <c r="J109" s="17">
        <v>0.0</v>
      </c>
      <c r="K109" s="17">
        <v>0.539434598354909</v>
      </c>
      <c r="L109" s="17">
        <v>0.262775157269516</v>
      </c>
      <c r="M109" s="17">
        <v>0.3025477707</v>
      </c>
      <c r="N109" s="17">
        <v>0.9982</v>
      </c>
      <c r="O109" s="17">
        <v>0.99909936955869</v>
      </c>
      <c r="P109" s="17">
        <v>0.475063607576245</v>
      </c>
      <c r="Q109" s="17">
        <v>0.528114850963838</v>
      </c>
    </row>
    <row r="110">
      <c r="A110" s="17" t="s">
        <v>63</v>
      </c>
      <c r="B110" s="17" t="s">
        <v>186</v>
      </c>
      <c r="C110" s="17" t="s">
        <v>80</v>
      </c>
      <c r="D110" s="17" t="s">
        <v>215</v>
      </c>
      <c r="E110" s="56">
        <v>45236.0</v>
      </c>
      <c r="F110" s="17">
        <v>0.625</v>
      </c>
      <c r="G110" s="17">
        <v>0.125</v>
      </c>
      <c r="H110" s="17">
        <v>0.857142857142857</v>
      </c>
      <c r="I110" s="17">
        <v>0.125</v>
      </c>
      <c r="J110" s="17">
        <v>0.0</v>
      </c>
      <c r="K110" s="17">
        <v>0.213586256871868</v>
      </c>
      <c r="L110" s="17">
        <v>0.179062499995411</v>
      </c>
      <c r="M110" s="17">
        <v>0.2512562814</v>
      </c>
      <c r="N110" s="17">
        <v>0.9875</v>
      </c>
      <c r="O110" s="17">
        <v>0.993745621935354</v>
      </c>
      <c r="P110" s="17">
        <v>0.753097231071999</v>
      </c>
      <c r="Q110" s="17">
        <v>0.464580977128862</v>
      </c>
    </row>
    <row r="111">
      <c r="A111" s="17" t="s">
        <v>63</v>
      </c>
      <c r="B111" s="17" t="s">
        <v>186</v>
      </c>
      <c r="C111" s="17" t="s">
        <v>82</v>
      </c>
      <c r="D111" s="17" t="s">
        <v>216</v>
      </c>
      <c r="E111" s="56">
        <v>45236.0</v>
      </c>
      <c r="F111" s="17">
        <v>0.625</v>
      </c>
      <c r="G111" s="17">
        <v>0.625</v>
      </c>
      <c r="H111" s="17">
        <v>0.857142857142857</v>
      </c>
      <c r="I111" s="17">
        <v>0.125</v>
      </c>
      <c r="J111" s="17">
        <v>0.0</v>
      </c>
      <c r="K111" s="17">
        <v>0.120405610599388</v>
      </c>
      <c r="L111" s="17">
        <v>0.577620967677073</v>
      </c>
      <c r="M111" s="17">
        <v>0.1836734694</v>
      </c>
      <c r="N111" s="17">
        <v>0.989</v>
      </c>
      <c r="O111" s="17">
        <v>0.994496147303112</v>
      </c>
      <c r="P111" s="17">
        <v>0.576248043512051</v>
      </c>
      <c r="Q111" s="17">
        <v>0.51578064505768</v>
      </c>
    </row>
    <row r="112">
      <c r="A112" s="17" t="s">
        <v>84</v>
      </c>
      <c r="B112" s="17" t="s">
        <v>186</v>
      </c>
      <c r="C112" s="17" t="s">
        <v>85</v>
      </c>
      <c r="D112" s="17" t="s">
        <v>217</v>
      </c>
      <c r="E112" s="56">
        <v>45236.0</v>
      </c>
      <c r="F112" s="17">
        <v>0.625</v>
      </c>
      <c r="G112" s="17">
        <v>0.625</v>
      </c>
      <c r="H112" s="17">
        <v>0.857142857142857</v>
      </c>
      <c r="I112" s="17">
        <v>0.75</v>
      </c>
      <c r="J112" s="17">
        <v>0.0</v>
      </c>
      <c r="K112" s="17">
        <v>0.941481705869366</v>
      </c>
      <c r="L112" s="17">
        <v>0.286499999992658</v>
      </c>
      <c r="M112" s="17">
        <v>0.5465587045</v>
      </c>
      <c r="N112" s="17">
        <v>0.9983</v>
      </c>
      <c r="O112" s="17">
        <v>0.999149404583208</v>
      </c>
      <c r="P112" s="17">
        <v>0.51199135134175</v>
      </c>
      <c r="Q112" s="17">
        <v>0.649193093039076</v>
      </c>
    </row>
    <row r="113">
      <c r="A113" s="17" t="s">
        <v>84</v>
      </c>
      <c r="B113" s="17" t="s">
        <v>186</v>
      </c>
      <c r="C113" s="17" t="s">
        <v>87</v>
      </c>
      <c r="D113" s="17" t="s">
        <v>218</v>
      </c>
      <c r="E113" s="56">
        <v>45236.0</v>
      </c>
      <c r="F113" s="17">
        <v>0.625</v>
      </c>
      <c r="G113" s="17">
        <v>0.625</v>
      </c>
      <c r="H113" s="17">
        <v>0.857142857142857</v>
      </c>
      <c r="I113" s="17">
        <v>0.75</v>
      </c>
      <c r="J113" s="17">
        <v>0.0</v>
      </c>
      <c r="K113" s="17">
        <v>0.708655905737195</v>
      </c>
      <c r="L113" s="17">
        <v>0.422566371688546</v>
      </c>
      <c r="M113" s="17">
        <v>0.4867256637</v>
      </c>
      <c r="N113" s="17">
        <v>0.9877</v>
      </c>
      <c r="O113" s="17">
        <v>0.993845691984389</v>
      </c>
      <c r="P113" s="17">
        <v>0.610779055569553</v>
      </c>
      <c r="Q113" s="17">
        <v>0.642492322347504</v>
      </c>
    </row>
    <row r="114">
      <c r="A114" s="17" t="s">
        <v>84</v>
      </c>
      <c r="B114" s="17" t="s">
        <v>186</v>
      </c>
      <c r="C114" s="17" t="s">
        <v>89</v>
      </c>
      <c r="D114" s="17" t="s">
        <v>219</v>
      </c>
      <c r="E114" s="56">
        <v>45236.0</v>
      </c>
      <c r="F114" s="17">
        <v>0.625</v>
      </c>
      <c r="G114" s="17">
        <v>0.625</v>
      </c>
      <c r="H114" s="17">
        <v>0.857142857142857</v>
      </c>
      <c r="I114" s="17">
        <v>0.75</v>
      </c>
      <c r="J114" s="17">
        <v>0.0</v>
      </c>
      <c r="K114" s="17">
        <v>0.731300898862545</v>
      </c>
      <c r="L114" s="17">
        <v>0.0698099415142111</v>
      </c>
      <c r="M114" s="17">
        <v>0.269461077849999</v>
      </c>
      <c r="N114" s="17">
        <v>0.9633</v>
      </c>
      <c r="O114" s="17">
        <v>0.981637146002201</v>
      </c>
      <c r="P114" s="17">
        <v>0.507521805141007</v>
      </c>
      <c r="Q114" s="17">
        <v>0.580015793319347</v>
      </c>
    </row>
    <row r="115">
      <c r="A115" s="17" t="s">
        <v>84</v>
      </c>
      <c r="B115" s="17" t="s">
        <v>186</v>
      </c>
      <c r="C115" s="17" t="s">
        <v>91</v>
      </c>
      <c r="D115" s="17" t="s">
        <v>220</v>
      </c>
      <c r="E115" s="56">
        <v>45236.0</v>
      </c>
      <c r="F115" s="17">
        <v>0.0</v>
      </c>
      <c r="G115" s="17">
        <v>0.625</v>
      </c>
      <c r="H115" s="17">
        <v>0.142857142857142</v>
      </c>
      <c r="I115" s="17">
        <v>0.125</v>
      </c>
      <c r="J115" s="17">
        <v>0.0</v>
      </c>
      <c r="K115" s="17">
        <v>0.655343130021914</v>
      </c>
      <c r="L115" s="17">
        <v>0.431475903564568</v>
      </c>
      <c r="M115" s="17">
        <v>0.18072289155</v>
      </c>
      <c r="N115" s="17">
        <v>0.9765</v>
      </c>
      <c r="O115" s="17">
        <v>0.988241769238466</v>
      </c>
      <c r="P115" s="17">
        <v>0.548546671419841</v>
      </c>
      <c r="Q115" s="17">
        <v>0.424880682604721</v>
      </c>
    </row>
    <row r="116">
      <c r="A116" s="17" t="s">
        <v>84</v>
      </c>
      <c r="B116" s="17" t="s">
        <v>186</v>
      </c>
      <c r="C116" s="17" t="s">
        <v>93</v>
      </c>
      <c r="D116" s="17" t="s">
        <v>221</v>
      </c>
      <c r="E116" s="56">
        <v>45236.0</v>
      </c>
      <c r="F116" s="17">
        <v>0.625</v>
      </c>
      <c r="G116" s="17">
        <v>0.125</v>
      </c>
      <c r="H116" s="17">
        <v>0.857142857142857</v>
      </c>
      <c r="I116" s="17">
        <v>0.125</v>
      </c>
      <c r="J116" s="17">
        <v>0.0</v>
      </c>
      <c r="K116" s="17">
        <v>0.668441129712123</v>
      </c>
      <c r="L116" s="17">
        <v>0.510149572695677</v>
      </c>
      <c r="M116" s="17">
        <v>0.301724137949999</v>
      </c>
      <c r="N116" s="17">
        <v>0.9217</v>
      </c>
      <c r="O116" s="17">
        <v>0.960822575803062</v>
      </c>
      <c r="P116" s="17">
        <v>0.731312526699233</v>
      </c>
      <c r="Q116" s="17">
        <v>0.52966298181845</v>
      </c>
    </row>
    <row r="117">
      <c r="A117" s="17" t="s">
        <v>84</v>
      </c>
      <c r="B117" s="17" t="s">
        <v>186</v>
      </c>
      <c r="C117" s="17" t="s">
        <v>95</v>
      </c>
      <c r="D117" s="17" t="s">
        <v>222</v>
      </c>
      <c r="E117" s="56">
        <v>45236.0</v>
      </c>
      <c r="F117" s="17">
        <v>0.625</v>
      </c>
      <c r="G117" s="17">
        <v>0.125</v>
      </c>
      <c r="H117" s="17">
        <v>0.142857142857142</v>
      </c>
      <c r="I117" s="17">
        <v>0.125</v>
      </c>
      <c r="J117" s="17">
        <v>0.0</v>
      </c>
      <c r="K117" s="17">
        <v>0.246834894344892</v>
      </c>
      <c r="L117" s="17">
        <v>0.44212962965367</v>
      </c>
      <c r="M117" s="17">
        <v>0.5555555555</v>
      </c>
      <c r="N117" s="17">
        <v>0.0</v>
      </c>
      <c r="O117" s="17">
        <v>0.499649754828379</v>
      </c>
      <c r="P117" s="17">
        <v>0.28970275170124</v>
      </c>
      <c r="Q117" s="17">
        <v>0.277429975353211</v>
      </c>
    </row>
    <row r="118">
      <c r="A118" s="17" t="s">
        <v>84</v>
      </c>
      <c r="B118" s="17" t="s">
        <v>186</v>
      </c>
      <c r="C118" s="17" t="s">
        <v>97</v>
      </c>
      <c r="D118" s="17" t="s">
        <v>223</v>
      </c>
      <c r="E118" s="56">
        <v>45236.0</v>
      </c>
      <c r="F118" s="17">
        <v>0.625</v>
      </c>
      <c r="G118" s="17">
        <v>0.625</v>
      </c>
      <c r="H118" s="17">
        <v>0.857142857142857</v>
      </c>
      <c r="I118" s="17">
        <v>0.75</v>
      </c>
      <c r="J118" s="17">
        <v>0.0</v>
      </c>
      <c r="K118" s="17">
        <v>0.813644417435836</v>
      </c>
      <c r="L118" s="17">
        <v>0.32154882158801</v>
      </c>
      <c r="M118" s="17">
        <v>0.3911564626</v>
      </c>
      <c r="N118" s="17">
        <v>0.997</v>
      </c>
      <c r="O118" s="17">
        <v>0.998498949264485</v>
      </c>
      <c r="P118" s="17">
        <v>0.48199964941287</v>
      </c>
      <c r="Q118" s="17">
        <v>0.62372646885855</v>
      </c>
    </row>
    <row r="119">
      <c r="A119" s="17" t="s">
        <v>84</v>
      </c>
      <c r="B119" s="17" t="s">
        <v>186</v>
      </c>
      <c r="C119" s="17" t="s">
        <v>99</v>
      </c>
      <c r="D119" s="17" t="s">
        <v>224</v>
      </c>
      <c r="E119" s="56">
        <v>45236.0</v>
      </c>
      <c r="F119" s="17">
        <v>0.625</v>
      </c>
      <c r="G119" s="17">
        <v>0.625</v>
      </c>
      <c r="H119" s="17">
        <v>0.857142857142857</v>
      </c>
      <c r="I119" s="17">
        <v>0.75</v>
      </c>
      <c r="J119" s="17">
        <v>0.0</v>
      </c>
      <c r="K119" s="17">
        <v>0.505168282957184</v>
      </c>
      <c r="L119" s="17">
        <v>0.0641801075249803</v>
      </c>
      <c r="M119" s="17">
        <v>0.303867403299999</v>
      </c>
      <c r="N119" s="17">
        <v>0.99</v>
      </c>
      <c r="O119" s="17">
        <v>0.994996497548283</v>
      </c>
      <c r="P119" s="17">
        <v>0.821385748896397</v>
      </c>
      <c r="Q119" s="17">
        <v>0.594249172488154</v>
      </c>
    </row>
    <row r="120">
      <c r="A120" s="17" t="s">
        <v>84</v>
      </c>
      <c r="B120" s="17" t="s">
        <v>186</v>
      </c>
      <c r="C120" s="17" t="s">
        <v>101</v>
      </c>
      <c r="D120" s="17" t="s">
        <v>225</v>
      </c>
      <c r="E120" s="56">
        <v>45236.0</v>
      </c>
      <c r="F120" s="17">
        <v>0.625</v>
      </c>
      <c r="G120" s="17">
        <v>0.625</v>
      </c>
      <c r="H120" s="17">
        <v>0.857142857142857</v>
      </c>
      <c r="I120" s="17">
        <v>0.75</v>
      </c>
      <c r="J120" s="17">
        <v>0.0</v>
      </c>
      <c r="K120" s="17">
        <v>0.817057613187023</v>
      </c>
      <c r="L120" s="17">
        <v>0.654637096788224</v>
      </c>
      <c r="M120" s="17">
        <v>0.19607843135</v>
      </c>
      <c r="N120" s="17">
        <v>0.9946</v>
      </c>
      <c r="O120" s="17">
        <v>0.00200140098068648</v>
      </c>
      <c r="P120" s="17">
        <v>0.595713931532979</v>
      </c>
      <c r="Q120" s="17">
        <v>0.556111939180161</v>
      </c>
    </row>
    <row r="121">
      <c r="A121" s="17" t="s">
        <v>84</v>
      </c>
      <c r="B121" s="17" t="s">
        <v>186</v>
      </c>
      <c r="C121" s="17" t="s">
        <v>103</v>
      </c>
      <c r="D121" s="17" t="s">
        <v>226</v>
      </c>
      <c r="E121" s="56">
        <v>45236.0</v>
      </c>
      <c r="F121" s="17">
        <v>0.625</v>
      </c>
      <c r="G121" s="17">
        <v>0.625</v>
      </c>
      <c r="H121" s="17">
        <v>0.857142857142857</v>
      </c>
      <c r="I121" s="17">
        <v>0.125</v>
      </c>
      <c r="J121" s="17">
        <v>0.0</v>
      </c>
      <c r="K121" s="17">
        <v>0.913642027192665</v>
      </c>
      <c r="L121" s="17">
        <v>0.30806451608648</v>
      </c>
      <c r="M121" s="17">
        <v>0.810810810999999</v>
      </c>
      <c r="N121" s="17">
        <v>0.9874</v>
      </c>
      <c r="O121" s="17">
        <v>0.993695586910837</v>
      </c>
      <c r="P121" s="17">
        <v>0.345299262405984</v>
      </c>
      <c r="Q121" s="17">
        <v>0.599186823703529</v>
      </c>
    </row>
    <row r="122">
      <c r="A122" s="17" t="s">
        <v>20</v>
      </c>
      <c r="B122" s="17" t="s">
        <v>432</v>
      </c>
      <c r="C122" s="17" t="s">
        <v>22</v>
      </c>
      <c r="D122" s="17" t="s">
        <v>106</v>
      </c>
      <c r="E122" s="18">
        <v>45425.0</v>
      </c>
      <c r="F122" s="17">
        <v>0.0</v>
      </c>
      <c r="G122" s="17">
        <v>0.0</v>
      </c>
      <c r="H122" s="17">
        <v>0.714285714285714</v>
      </c>
      <c r="I122" s="17">
        <v>0.0</v>
      </c>
      <c r="J122" s="17">
        <v>0.75</v>
      </c>
      <c r="K122" s="17">
        <v>0.58203034094879</v>
      </c>
      <c r="L122" s="17">
        <v>0.298437499992352</v>
      </c>
      <c r="M122" s="17">
        <v>0.2857142857</v>
      </c>
      <c r="N122" s="17">
        <v>0.8462</v>
      </c>
      <c r="O122" s="17">
        <v>0.923046132292604</v>
      </c>
      <c r="P122" s="17">
        <v>0.369659953172873</v>
      </c>
      <c r="Q122" s="17">
        <v>0.433579447853848</v>
      </c>
    </row>
    <row r="123">
      <c r="A123" s="17" t="s">
        <v>20</v>
      </c>
      <c r="B123" s="17" t="s">
        <v>432</v>
      </c>
      <c r="C123" s="17" t="s">
        <v>24</v>
      </c>
      <c r="D123" s="17" t="s">
        <v>107</v>
      </c>
      <c r="E123" s="18">
        <v>45425.0</v>
      </c>
      <c r="F123" s="17">
        <v>0.0</v>
      </c>
      <c r="G123" s="17">
        <v>0.5</v>
      </c>
      <c r="H123" s="17">
        <v>0.714285714285714</v>
      </c>
      <c r="I123" s="17">
        <v>0.0</v>
      </c>
      <c r="J123" s="17">
        <v>0.75</v>
      </c>
      <c r="K123" s="17">
        <v>0.612302872537027</v>
      </c>
      <c r="L123" s="17">
        <v>0.26825842693125</v>
      </c>
      <c r="M123" s="17">
        <v>0.2409638554</v>
      </c>
      <c r="N123" s="17">
        <v>0.9914</v>
      </c>
      <c r="O123" s="17">
        <v>0.995696987891523</v>
      </c>
      <c r="P123" s="17">
        <v>0.375082259838767</v>
      </c>
      <c r="Q123" s="17">
        <v>0.495271828807662</v>
      </c>
    </row>
    <row r="124">
      <c r="A124" s="17" t="s">
        <v>20</v>
      </c>
      <c r="B124" s="17" t="s">
        <v>432</v>
      </c>
      <c r="C124" s="17" t="s">
        <v>26</v>
      </c>
      <c r="D124" s="17" t="s">
        <v>108</v>
      </c>
      <c r="E124" s="18">
        <v>45425.0</v>
      </c>
      <c r="F124" s="17">
        <v>0.0</v>
      </c>
      <c r="G124" s="17">
        <v>0.0</v>
      </c>
      <c r="H124" s="17">
        <v>0.714285714285714</v>
      </c>
      <c r="I124" s="17">
        <v>0.0</v>
      </c>
      <c r="J124" s="17">
        <v>0.75</v>
      </c>
      <c r="K124" s="17">
        <v>0.585674253712386</v>
      </c>
      <c r="L124" s="17">
        <v>0.0</v>
      </c>
      <c r="M124" s="17">
        <v>0.4411764706</v>
      </c>
      <c r="N124" s="17">
        <v>0.892</v>
      </c>
      <c r="O124" s="17">
        <v>0.945962173521464</v>
      </c>
      <c r="P124" s="17">
        <v>0.362838959839996</v>
      </c>
      <c r="Q124" s="17">
        <v>0.426539779269051</v>
      </c>
    </row>
    <row r="125">
      <c r="A125" s="17" t="s">
        <v>20</v>
      </c>
      <c r="B125" s="17" t="s">
        <v>432</v>
      </c>
      <c r="C125" s="17" t="s">
        <v>28</v>
      </c>
      <c r="D125" s="17" t="s">
        <v>109</v>
      </c>
      <c r="E125" s="18">
        <v>45425.0</v>
      </c>
      <c r="F125" s="17">
        <v>0.0</v>
      </c>
      <c r="G125" s="17">
        <v>0.5</v>
      </c>
      <c r="H125" s="17">
        <v>0.714285714285714</v>
      </c>
      <c r="I125" s="17">
        <v>0.0</v>
      </c>
      <c r="J125" s="17">
        <v>0.75</v>
      </c>
      <c r="K125" s="17">
        <v>0.49308084042561</v>
      </c>
      <c r="L125" s="17">
        <v>0.468137254836129</v>
      </c>
      <c r="M125" s="17">
        <v>0.45454545455</v>
      </c>
      <c r="N125" s="17">
        <v>0.8883</v>
      </c>
      <c r="O125" s="17">
        <v>0.94411087761433</v>
      </c>
      <c r="P125" s="17">
        <v>0.232036378288694</v>
      </c>
      <c r="Q125" s="17">
        <v>0.494954229090952</v>
      </c>
    </row>
    <row r="126">
      <c r="A126" s="17" t="s">
        <v>20</v>
      </c>
      <c r="B126" s="17" t="s">
        <v>432</v>
      </c>
      <c r="C126" s="17" t="s">
        <v>30</v>
      </c>
      <c r="D126" s="17" t="s">
        <v>110</v>
      </c>
      <c r="E126" s="18">
        <v>45425.0</v>
      </c>
      <c r="F126" s="17">
        <v>0.0</v>
      </c>
      <c r="G126" s="17">
        <v>0.0</v>
      </c>
      <c r="H126" s="17">
        <v>0.714285714285714</v>
      </c>
      <c r="I126" s="17">
        <v>0.0</v>
      </c>
      <c r="J126" s="17">
        <v>0.75</v>
      </c>
      <c r="K126" s="17">
        <v>0.353864062242094</v>
      </c>
      <c r="L126" s="17">
        <v>0.238749999993882</v>
      </c>
      <c r="M126" s="17">
        <v>0.434782608699999</v>
      </c>
      <c r="N126" s="17">
        <v>0.9404</v>
      </c>
      <c r="O126" s="17">
        <v>0.970179125387771</v>
      </c>
      <c r="P126" s="17">
        <v>0.393533430605304</v>
      </c>
      <c r="Q126" s="17">
        <v>0.435981358292251</v>
      </c>
    </row>
    <row r="127">
      <c r="A127" s="17" t="s">
        <v>20</v>
      </c>
      <c r="B127" s="17" t="s">
        <v>432</v>
      </c>
      <c r="C127" s="17" t="s">
        <v>32</v>
      </c>
      <c r="D127" s="17" t="s">
        <v>111</v>
      </c>
      <c r="E127" s="18">
        <v>45425.0</v>
      </c>
      <c r="F127" s="17">
        <v>0.25</v>
      </c>
      <c r="G127" s="17">
        <v>0.0</v>
      </c>
      <c r="H127" s="17">
        <v>0.714285714285714</v>
      </c>
      <c r="I127" s="17">
        <v>0.0</v>
      </c>
      <c r="J127" s="17">
        <v>0.75</v>
      </c>
      <c r="K127" s="17">
        <v>0.492634801322018</v>
      </c>
      <c r="L127" s="17">
        <v>0.346014492788008</v>
      </c>
      <c r="M127" s="17">
        <v>0.322580645149999</v>
      </c>
      <c r="N127" s="17">
        <v>0.2942</v>
      </c>
      <c r="O127" s="17">
        <v>0.64685279695787</v>
      </c>
      <c r="P127" s="17">
        <v>0.635678699805546</v>
      </c>
      <c r="Q127" s="17">
        <v>0.404749740937196</v>
      </c>
    </row>
    <row r="128">
      <c r="A128" s="17" t="s">
        <v>20</v>
      </c>
      <c r="B128" s="17" t="s">
        <v>432</v>
      </c>
      <c r="C128" s="17" t="s">
        <v>34</v>
      </c>
      <c r="D128" s="17" t="s">
        <v>112</v>
      </c>
      <c r="E128" s="18">
        <v>45425.0</v>
      </c>
      <c r="F128" s="17">
        <v>0.0</v>
      </c>
      <c r="G128" s="17">
        <v>0.5</v>
      </c>
      <c r="H128" s="17">
        <v>0.714285714285714</v>
      </c>
      <c r="I128" s="17">
        <v>0.0</v>
      </c>
      <c r="J128" s="17">
        <v>0.75</v>
      </c>
      <c r="K128" s="17">
        <v>0.488850981082437</v>
      </c>
      <c r="L128" s="17">
        <v>0.331597222240252</v>
      </c>
      <c r="M128" s="17">
        <v>0.4411764706</v>
      </c>
      <c r="N128" s="17">
        <v>0.8968</v>
      </c>
      <c r="O128" s="17">
        <v>0.948363854698288</v>
      </c>
      <c r="P128" s="17">
        <v>0.353744301721777</v>
      </c>
      <c r="Q128" s="17">
        <v>0.493165322238951</v>
      </c>
    </row>
    <row r="129">
      <c r="A129" s="17" t="s">
        <v>20</v>
      </c>
      <c r="B129" s="17" t="s">
        <v>432</v>
      </c>
      <c r="C129" s="17" t="s">
        <v>36</v>
      </c>
      <c r="D129" s="17" t="s">
        <v>113</v>
      </c>
      <c r="E129" s="18">
        <v>45425.0</v>
      </c>
      <c r="F129" s="17">
        <v>0.0</v>
      </c>
      <c r="G129" s="17">
        <v>0.0</v>
      </c>
      <c r="H129" s="17">
        <v>0.714285714285714</v>
      </c>
      <c r="I129" s="17">
        <v>0.0</v>
      </c>
      <c r="J129" s="17">
        <v>0.75</v>
      </c>
      <c r="K129" s="17">
        <v>0.394312067145367</v>
      </c>
      <c r="L129" s="17">
        <v>0.331597222240252</v>
      </c>
      <c r="M129" s="17">
        <v>0.4411764706</v>
      </c>
      <c r="N129" s="17">
        <v>0.8968</v>
      </c>
      <c r="O129" s="17">
        <v>0.948363854698288</v>
      </c>
      <c r="P129" s="17">
        <v>0.353744301721777</v>
      </c>
      <c r="Q129" s="17">
        <v>0.439116330062854</v>
      </c>
    </row>
    <row r="130">
      <c r="A130" s="17" t="s">
        <v>20</v>
      </c>
      <c r="B130" s="17" t="s">
        <v>432</v>
      </c>
      <c r="C130" s="17" t="s">
        <v>38</v>
      </c>
      <c r="D130" s="17" t="s">
        <v>114</v>
      </c>
      <c r="E130" s="18">
        <v>45425.0</v>
      </c>
      <c r="F130" s="17">
        <v>0.0</v>
      </c>
      <c r="G130" s="17">
        <v>0.0</v>
      </c>
      <c r="H130" s="17">
        <v>0.714285714285714</v>
      </c>
      <c r="I130" s="17">
        <v>0.0</v>
      </c>
      <c r="J130" s="17">
        <v>0.75</v>
      </c>
      <c r="K130" s="17">
        <v>0.496673259584025</v>
      </c>
      <c r="L130" s="17">
        <v>0.0</v>
      </c>
      <c r="M130" s="17">
        <v>0.636363636499999</v>
      </c>
      <c r="N130" s="17">
        <v>0.9398</v>
      </c>
      <c r="O130" s="17">
        <v>0.969878915240668</v>
      </c>
      <c r="P130" s="17">
        <v>0.502784936701772</v>
      </c>
      <c r="Q130" s="17">
        <v>0.455435132937471</v>
      </c>
    </row>
    <row r="131">
      <c r="A131" s="17" t="s">
        <v>20</v>
      </c>
      <c r="B131" s="17" t="s">
        <v>432</v>
      </c>
      <c r="C131" s="17" t="s">
        <v>40</v>
      </c>
      <c r="D131" s="17" t="s">
        <v>115</v>
      </c>
      <c r="E131" s="18">
        <v>45425.0</v>
      </c>
      <c r="F131" s="17">
        <v>0.0</v>
      </c>
      <c r="G131" s="17">
        <v>0.0</v>
      </c>
      <c r="H131" s="17">
        <v>0.714285714285714</v>
      </c>
      <c r="I131" s="17">
        <v>0.125</v>
      </c>
      <c r="J131" s="17">
        <v>0.75</v>
      </c>
      <c r="K131" s="17">
        <v>0.522808138427581</v>
      </c>
      <c r="L131" s="17">
        <v>0.306089743569656</v>
      </c>
      <c r="M131" s="17">
        <v>0.4605263158</v>
      </c>
      <c r="N131" s="17">
        <v>0.7096</v>
      </c>
      <c r="O131" s="17">
        <v>0.854698288802161</v>
      </c>
      <c r="P131" s="17">
        <v>0.406650725987796</v>
      </c>
      <c r="Q131" s="17">
        <v>0.440878084261173</v>
      </c>
    </row>
    <row r="132">
      <c r="A132" s="17" t="s">
        <v>42</v>
      </c>
      <c r="B132" s="17" t="s">
        <v>432</v>
      </c>
      <c r="C132" s="17" t="s">
        <v>43</v>
      </c>
      <c r="D132" s="17" t="s">
        <v>116</v>
      </c>
      <c r="E132" s="18">
        <v>45425.0</v>
      </c>
      <c r="F132" s="17">
        <v>0.0</v>
      </c>
      <c r="G132" s="17">
        <v>0.0</v>
      </c>
      <c r="H132" s="17">
        <v>0.714285714285714</v>
      </c>
      <c r="I132" s="17">
        <v>0.0</v>
      </c>
      <c r="J132" s="17">
        <v>0.75</v>
      </c>
      <c r="K132" s="17">
        <v>0.498273932325569</v>
      </c>
      <c r="L132" s="17">
        <v>0.269556451590592</v>
      </c>
      <c r="M132" s="17">
        <v>0.322033898299999</v>
      </c>
      <c r="N132" s="17">
        <v>0.9985</v>
      </c>
      <c r="O132" s="17">
        <v>0.999249474632242</v>
      </c>
      <c r="P132" s="17">
        <v>0.265665858952752</v>
      </c>
      <c r="Q132" s="17">
        <v>0.437960484553351</v>
      </c>
    </row>
    <row r="133">
      <c r="A133" s="17" t="s">
        <v>42</v>
      </c>
      <c r="B133" s="17" t="s">
        <v>432</v>
      </c>
      <c r="C133" s="17" t="s">
        <v>45</v>
      </c>
      <c r="D133" s="17" t="s">
        <v>117</v>
      </c>
      <c r="E133" s="18">
        <v>45425.0</v>
      </c>
      <c r="F133" s="17">
        <v>0.25</v>
      </c>
      <c r="G133" s="17">
        <v>0.5</v>
      </c>
      <c r="H133" s="17">
        <v>0.714285714285714</v>
      </c>
      <c r="I133" s="17">
        <v>0.0</v>
      </c>
      <c r="J133" s="17">
        <v>0.75</v>
      </c>
      <c r="K133" s="17">
        <v>0.406047895800727</v>
      </c>
      <c r="L133" s="17">
        <v>0.391393442661845</v>
      </c>
      <c r="M133" s="17">
        <v>0.26315789475</v>
      </c>
      <c r="N133" s="17">
        <v>0.9694</v>
      </c>
      <c r="O133" s="17">
        <v>0.984689282497748</v>
      </c>
      <c r="P133" s="17">
        <v>0.335107707703645</v>
      </c>
      <c r="Q133" s="17">
        <v>0.505825630699971</v>
      </c>
    </row>
    <row r="134">
      <c r="A134" s="17" t="s">
        <v>42</v>
      </c>
      <c r="B134" s="17" t="s">
        <v>432</v>
      </c>
      <c r="C134" s="17" t="s">
        <v>47</v>
      </c>
      <c r="D134" s="17" t="s">
        <v>118</v>
      </c>
      <c r="E134" s="18">
        <v>45425.0</v>
      </c>
      <c r="F134" s="17">
        <v>0.0</v>
      </c>
      <c r="G134" s="17">
        <v>0.5</v>
      </c>
      <c r="H134" s="17">
        <v>0.714285714285714</v>
      </c>
      <c r="I134" s="17">
        <v>0.0</v>
      </c>
      <c r="J134" s="17">
        <v>0.75</v>
      </c>
      <c r="K134" s="17">
        <v>0.528302097504637</v>
      </c>
      <c r="L134" s="17">
        <v>0.48232323226264</v>
      </c>
      <c r="M134" s="17">
        <v>0.4891304348</v>
      </c>
      <c r="N134" s="17">
        <v>0.7345</v>
      </c>
      <c r="O134" s="17">
        <v>0.867157009906934</v>
      </c>
      <c r="P134" s="17">
        <v>0.488923991028814</v>
      </c>
      <c r="Q134" s="17">
        <v>0.504965679980794</v>
      </c>
    </row>
    <row r="135">
      <c r="A135" s="17" t="s">
        <v>42</v>
      </c>
      <c r="B135" s="17" t="s">
        <v>432</v>
      </c>
      <c r="C135" s="17" t="s">
        <v>49</v>
      </c>
      <c r="D135" s="17" t="s">
        <v>119</v>
      </c>
      <c r="E135" s="18">
        <v>45425.0</v>
      </c>
      <c r="F135" s="17">
        <v>0.25</v>
      </c>
      <c r="G135" s="17">
        <v>0.0</v>
      </c>
      <c r="H135" s="17">
        <v>0.714285714285714</v>
      </c>
      <c r="I135" s="17">
        <v>0.125</v>
      </c>
      <c r="J135" s="17">
        <v>0.75</v>
      </c>
      <c r="K135" s="17">
        <v>0.696501245341673</v>
      </c>
      <c r="L135" s="17">
        <v>0.777538314193825</v>
      </c>
      <c r="M135" s="17">
        <v>0.4780876494</v>
      </c>
      <c r="N135" s="17">
        <v>0.9878</v>
      </c>
      <c r="O135" s="17">
        <v>0.993895727008906</v>
      </c>
      <c r="P135" s="17">
        <v>0.481781164635239</v>
      </c>
      <c r="Q135" s="17">
        <v>0.568626346805941</v>
      </c>
    </row>
    <row r="136">
      <c r="A136" s="17" t="s">
        <v>42</v>
      </c>
      <c r="B136" s="17" t="s">
        <v>432</v>
      </c>
      <c r="C136" s="17" t="s">
        <v>51</v>
      </c>
      <c r="D136" s="17" t="s">
        <v>120</v>
      </c>
      <c r="E136" s="18">
        <v>45425.0</v>
      </c>
      <c r="F136" s="17">
        <v>0.0</v>
      </c>
      <c r="G136" s="17">
        <v>0.0</v>
      </c>
      <c r="H136" s="17">
        <v>0.714285714285714</v>
      </c>
      <c r="I136" s="17">
        <v>0.125</v>
      </c>
      <c r="J136" s="17">
        <v>0.75</v>
      </c>
      <c r="K136" s="17">
        <v>0.700451984115017</v>
      </c>
      <c r="L136" s="17">
        <v>0.362658227893206</v>
      </c>
      <c r="M136" s="17">
        <v>0.32085561495</v>
      </c>
      <c r="N136" s="17">
        <v>0.991</v>
      </c>
      <c r="O136" s="17">
        <v>0.995496847793455</v>
      </c>
      <c r="P136" s="17">
        <v>0.456293681381279</v>
      </c>
      <c r="Q136" s="17">
        <v>0.492367460947152</v>
      </c>
    </row>
    <row r="137">
      <c r="A137" s="17" t="s">
        <v>42</v>
      </c>
      <c r="B137" s="17" t="s">
        <v>432</v>
      </c>
      <c r="C137" s="17" t="s">
        <v>53</v>
      </c>
      <c r="D137" s="17" t="s">
        <v>121</v>
      </c>
      <c r="E137" s="18">
        <v>45425.0</v>
      </c>
      <c r="F137" s="17">
        <v>0.0</v>
      </c>
      <c r="G137" s="17">
        <v>0.0</v>
      </c>
      <c r="H137" s="17">
        <v>0.714285714285714</v>
      </c>
      <c r="I137" s="17">
        <v>0.125</v>
      </c>
      <c r="J137" s="17">
        <v>0.75</v>
      </c>
      <c r="K137" s="17">
        <v>0.679113922660941</v>
      </c>
      <c r="L137" s="17">
        <v>0.265277777744452</v>
      </c>
      <c r="M137" s="17">
        <v>0.2608695652</v>
      </c>
      <c r="N137" s="17">
        <v>0.9944</v>
      </c>
      <c r="O137" s="17">
        <v>0.997198038627038</v>
      </c>
      <c r="P137" s="17">
        <v>0.572665712292013</v>
      </c>
      <c r="Q137" s="17">
        <v>0.487164611891832</v>
      </c>
    </row>
    <row r="138">
      <c r="A138" s="17" t="s">
        <v>42</v>
      </c>
      <c r="B138" s="17" t="s">
        <v>432</v>
      </c>
      <c r="C138" s="17" t="s">
        <v>55</v>
      </c>
      <c r="D138" s="17" t="s">
        <v>122</v>
      </c>
      <c r="E138" s="18">
        <v>45425.0</v>
      </c>
      <c r="F138" s="17">
        <v>0.875</v>
      </c>
      <c r="G138" s="17">
        <v>0.0</v>
      </c>
      <c r="H138" s="17">
        <v>0.714285714285714</v>
      </c>
      <c r="I138" s="17">
        <v>0.0</v>
      </c>
      <c r="J138" s="17">
        <v>0.75</v>
      </c>
      <c r="K138" s="17">
        <v>0.335030625051152</v>
      </c>
      <c r="L138" s="17">
        <v>0.492832568797996</v>
      </c>
      <c r="M138" s="17">
        <v>0.2028639618</v>
      </c>
      <c r="N138" s="17">
        <v>0.9865</v>
      </c>
      <c r="O138" s="17">
        <v>0.993245271690183</v>
      </c>
      <c r="P138" s="17">
        <v>0.512487802688759</v>
      </c>
      <c r="Q138" s="17">
        <v>0.532931449483073</v>
      </c>
    </row>
    <row r="139">
      <c r="A139" s="17" t="s">
        <v>42</v>
      </c>
      <c r="B139" s="17" t="s">
        <v>432</v>
      </c>
      <c r="C139" s="17" t="s">
        <v>57</v>
      </c>
      <c r="D139" s="17" t="s">
        <v>123</v>
      </c>
      <c r="E139" s="18">
        <v>45425.0</v>
      </c>
      <c r="F139" s="17">
        <v>0.0</v>
      </c>
      <c r="G139" s="17">
        <v>0.0</v>
      </c>
      <c r="H139" s="17">
        <v>0.714285714285714</v>
      </c>
      <c r="I139" s="17">
        <v>0.0</v>
      </c>
      <c r="J139" s="17">
        <v>0.75</v>
      </c>
      <c r="K139" s="17">
        <v>0.468033784113846</v>
      </c>
      <c r="L139" s="17">
        <v>0.378968254005913</v>
      </c>
      <c r="M139" s="17">
        <v>0.26748971195</v>
      </c>
      <c r="N139" s="17">
        <v>0.937</v>
      </c>
      <c r="O139" s="17">
        <v>0.968477934554187</v>
      </c>
      <c r="P139" s="17">
        <v>0.688817487354153</v>
      </c>
      <c r="Q139" s="17">
        <v>0.47027935329671</v>
      </c>
    </row>
    <row r="140">
      <c r="A140" s="17" t="s">
        <v>42</v>
      </c>
      <c r="B140" s="17" t="s">
        <v>432</v>
      </c>
      <c r="C140" s="17" t="s">
        <v>59</v>
      </c>
      <c r="D140" s="17" t="s">
        <v>124</v>
      </c>
      <c r="E140" s="18">
        <v>45425.0</v>
      </c>
      <c r="F140" s="17">
        <v>0.0</v>
      </c>
      <c r="G140" s="17">
        <v>0.0</v>
      </c>
      <c r="H140" s="17">
        <v>0.714285714285714</v>
      </c>
      <c r="I140" s="17">
        <v>0.125</v>
      </c>
      <c r="J140" s="17">
        <v>0.75</v>
      </c>
      <c r="K140" s="17">
        <v>0.638603375244592</v>
      </c>
      <c r="L140" s="17">
        <v>0.378968254005913</v>
      </c>
      <c r="M140" s="17">
        <v>0.26748971195</v>
      </c>
      <c r="N140" s="17">
        <v>0.937</v>
      </c>
      <c r="O140" s="17">
        <v>0.968477934554187</v>
      </c>
      <c r="P140" s="17">
        <v>0.688817487354153</v>
      </c>
      <c r="Q140" s="17">
        <v>0.497149316126778</v>
      </c>
    </row>
    <row r="141">
      <c r="A141" s="17" t="s">
        <v>42</v>
      </c>
      <c r="B141" s="17" t="s">
        <v>432</v>
      </c>
      <c r="C141" s="17" t="s">
        <v>61</v>
      </c>
      <c r="D141" s="17" t="s">
        <v>125</v>
      </c>
      <c r="E141" s="18">
        <v>45425.0</v>
      </c>
      <c r="F141" s="17">
        <v>0.0</v>
      </c>
      <c r="G141" s="17">
        <v>0.0</v>
      </c>
      <c r="H141" s="17">
        <v>0.714285714285714</v>
      </c>
      <c r="I141" s="17">
        <v>0.25</v>
      </c>
      <c r="J141" s="17">
        <v>0.75</v>
      </c>
      <c r="K141" s="17">
        <v>0.638603375244592</v>
      </c>
      <c r="L141" s="17">
        <v>0.0457375478972654</v>
      </c>
      <c r="M141" s="17">
        <v>0.48979591835</v>
      </c>
      <c r="N141" s="17">
        <v>0.9939</v>
      </c>
      <c r="O141" s="17">
        <v>0.996947863504453</v>
      </c>
      <c r="P141" s="17">
        <v>0.560287121297598</v>
      </c>
      <c r="Q141" s="17">
        <v>0.494505230961783</v>
      </c>
    </row>
    <row r="142">
      <c r="A142" s="17" t="s">
        <v>63</v>
      </c>
      <c r="B142" s="17" t="s">
        <v>432</v>
      </c>
      <c r="C142" s="17" t="s">
        <v>64</v>
      </c>
      <c r="D142" s="17" t="s">
        <v>126</v>
      </c>
      <c r="E142" s="18">
        <v>45425.0</v>
      </c>
      <c r="F142" s="17">
        <v>0.875</v>
      </c>
      <c r="G142" s="17">
        <v>0.0</v>
      </c>
      <c r="H142" s="17">
        <v>0.714285714285714</v>
      </c>
      <c r="I142" s="17">
        <v>0.375</v>
      </c>
      <c r="J142" s="17">
        <v>0.75</v>
      </c>
      <c r="K142" s="17">
        <v>0.755437906584057</v>
      </c>
      <c r="L142" s="17">
        <v>0.668911637930359</v>
      </c>
      <c r="M142" s="17">
        <v>0.309050772649999</v>
      </c>
      <c r="N142" s="17">
        <v>0.9986</v>
      </c>
      <c r="O142" s="17">
        <v>0.0</v>
      </c>
      <c r="P142" s="17">
        <v>0.326328469548032</v>
      </c>
      <c r="Q142" s="17">
        <v>0.524783136454378</v>
      </c>
    </row>
    <row r="143">
      <c r="A143" s="17" t="s">
        <v>63</v>
      </c>
      <c r="B143" s="17" t="s">
        <v>432</v>
      </c>
      <c r="C143" s="17" t="s">
        <v>66</v>
      </c>
      <c r="D143" s="17" t="s">
        <v>127</v>
      </c>
      <c r="E143" s="18">
        <v>45425.0</v>
      </c>
      <c r="F143" s="17">
        <v>0.875</v>
      </c>
      <c r="G143" s="17">
        <v>0.0</v>
      </c>
      <c r="H143" s="17">
        <v>0.714285714285714</v>
      </c>
      <c r="I143" s="17">
        <v>0.375</v>
      </c>
      <c r="J143" s="17">
        <v>0.75</v>
      </c>
      <c r="K143" s="17">
        <v>0.490666151507167</v>
      </c>
      <c r="L143" s="17">
        <v>0.596874999984705</v>
      </c>
      <c r="M143" s="17">
        <v>0.3003533569</v>
      </c>
      <c r="N143" s="17">
        <v>0.983</v>
      </c>
      <c r="O143" s="17">
        <v>0.991494045832082</v>
      </c>
      <c r="P143" s="17">
        <v>0.478795849568352</v>
      </c>
      <c r="Q143" s="17">
        <v>0.595951828916183</v>
      </c>
    </row>
    <row r="144">
      <c r="A144" s="17" t="s">
        <v>63</v>
      </c>
      <c r="B144" s="17" t="s">
        <v>432</v>
      </c>
      <c r="C144" s="17" t="s">
        <v>68</v>
      </c>
      <c r="D144" s="17" t="s">
        <v>128</v>
      </c>
      <c r="E144" s="18">
        <v>45425.0</v>
      </c>
      <c r="F144" s="17">
        <v>0.0</v>
      </c>
      <c r="G144" s="17">
        <v>0.0</v>
      </c>
      <c r="H144" s="17">
        <v>0.714285714285714</v>
      </c>
      <c r="I144" s="17">
        <v>0.375</v>
      </c>
      <c r="J144" s="17">
        <v>0.75</v>
      </c>
      <c r="K144" s="17">
        <v>0.691458689356487</v>
      </c>
      <c r="L144" s="17">
        <v>0.540380658399277</v>
      </c>
      <c r="M144" s="17">
        <v>0.495689655149999</v>
      </c>
      <c r="N144" s="17">
        <v>0.9506</v>
      </c>
      <c r="O144" s="17">
        <v>0.975282697888522</v>
      </c>
      <c r="P144" s="17">
        <v>0.415425500655786</v>
      </c>
      <c r="Q144" s="17">
        <v>0.537102083248708</v>
      </c>
    </row>
    <row r="145">
      <c r="A145" s="17" t="s">
        <v>63</v>
      </c>
      <c r="B145" s="17" t="s">
        <v>432</v>
      </c>
      <c r="C145" s="17" t="s">
        <v>70</v>
      </c>
      <c r="D145" s="17" t="s">
        <v>129</v>
      </c>
      <c r="E145" s="18">
        <v>45425.0</v>
      </c>
      <c r="F145" s="17">
        <v>0.0</v>
      </c>
      <c r="G145" s="17">
        <v>0.0</v>
      </c>
      <c r="H145" s="17">
        <v>0.714285714285714</v>
      </c>
      <c r="I145" s="17">
        <v>0.25</v>
      </c>
      <c r="J145" s="17">
        <v>0.75</v>
      </c>
      <c r="K145" s="17">
        <v>0.550299356785737</v>
      </c>
      <c r="L145" s="17">
        <v>0.445127118594218</v>
      </c>
      <c r="M145" s="17">
        <v>0.157342657349999</v>
      </c>
      <c r="N145" s="17">
        <v>0.9968</v>
      </c>
      <c r="O145" s="17">
        <v>0.99839887921545</v>
      </c>
      <c r="P145" s="17">
        <v>0.478420116505416</v>
      </c>
      <c r="Q145" s="17">
        <v>0.485515803885139</v>
      </c>
    </row>
    <row r="146">
      <c r="A146" s="17" t="s">
        <v>63</v>
      </c>
      <c r="B146" s="17" t="s">
        <v>432</v>
      </c>
      <c r="C146" s="17" t="s">
        <v>72</v>
      </c>
      <c r="D146" s="17" t="s">
        <v>130</v>
      </c>
      <c r="E146" s="18">
        <v>45425.0</v>
      </c>
      <c r="F146" s="17">
        <v>0.625</v>
      </c>
      <c r="G146" s="17">
        <v>0.0</v>
      </c>
      <c r="H146" s="17">
        <v>0.714285714285714</v>
      </c>
      <c r="I146" s="17">
        <v>0.375</v>
      </c>
      <c r="J146" s="17">
        <v>0.75</v>
      </c>
      <c r="K146" s="17">
        <v>0.871132507521768</v>
      </c>
      <c r="L146" s="17">
        <v>0.577620967677073</v>
      </c>
      <c r="M146" s="17">
        <v>0.39915966385</v>
      </c>
      <c r="N146" s="17">
        <v>0.971</v>
      </c>
      <c r="O146" s="17">
        <v>0.985489842890023</v>
      </c>
      <c r="P146" s="17">
        <v>0.383705332200744</v>
      </c>
      <c r="Q146" s="17">
        <v>0.604763093493211</v>
      </c>
    </row>
    <row r="147">
      <c r="A147" s="17" t="s">
        <v>63</v>
      </c>
      <c r="B147" s="17" t="s">
        <v>432</v>
      </c>
      <c r="C147" s="17" t="s">
        <v>74</v>
      </c>
      <c r="D147" s="17" t="s">
        <v>131</v>
      </c>
      <c r="E147" s="18">
        <v>45425.0</v>
      </c>
      <c r="F147" s="17">
        <v>0.875</v>
      </c>
      <c r="G147" s="17">
        <v>0.0</v>
      </c>
      <c r="H147" s="17">
        <v>0.714285714285714</v>
      </c>
      <c r="I147" s="17">
        <v>0.5</v>
      </c>
      <c r="J147" s="17">
        <v>0.75</v>
      </c>
      <c r="K147" s="17">
        <v>0.664310099698605</v>
      </c>
      <c r="L147" s="17">
        <v>0.532527881056979</v>
      </c>
      <c r="M147" s="17">
        <v>0.23166023165</v>
      </c>
      <c r="N147" s="17">
        <v>0.997</v>
      </c>
      <c r="O147" s="17">
        <v>0.998498949264485</v>
      </c>
      <c r="P147" s="17">
        <v>0.507497995951608</v>
      </c>
      <c r="Q147" s="17">
        <v>0.615525533809763</v>
      </c>
    </row>
    <row r="148">
      <c r="A148" s="17" t="s">
        <v>63</v>
      </c>
      <c r="B148" s="17" t="s">
        <v>432</v>
      </c>
      <c r="C148" s="17" t="s">
        <v>76</v>
      </c>
      <c r="D148" s="17" t="s">
        <v>132</v>
      </c>
      <c r="E148" s="18">
        <v>45425.0</v>
      </c>
      <c r="F148" s="17">
        <v>0.875</v>
      </c>
      <c r="G148" s="17">
        <v>0.0</v>
      </c>
      <c r="H148" s="17">
        <v>0.714285714285714</v>
      </c>
      <c r="I148" s="17">
        <v>0.25</v>
      </c>
      <c r="J148" s="17">
        <v>0.75</v>
      </c>
      <c r="K148" s="17">
        <v>0.655304511089727</v>
      </c>
      <c r="L148" s="17">
        <v>0.174270073036159</v>
      </c>
      <c r="M148" s="17">
        <v>0.1953125</v>
      </c>
      <c r="N148" s="17">
        <v>0.9908</v>
      </c>
      <c r="O148" s="17">
        <v>0.995396777744421</v>
      </c>
      <c r="P148" s="17">
        <v>0.529421471561428</v>
      </c>
      <c r="Q148" s="17">
        <v>0.557253731610677</v>
      </c>
    </row>
    <row r="149">
      <c r="A149" s="17" t="s">
        <v>63</v>
      </c>
      <c r="B149" s="17" t="s">
        <v>432</v>
      </c>
      <c r="C149" s="17" t="s">
        <v>78</v>
      </c>
      <c r="D149" s="17" t="s">
        <v>133</v>
      </c>
      <c r="E149" s="18">
        <v>45425.0</v>
      </c>
      <c r="F149" s="17">
        <v>0.0</v>
      </c>
      <c r="G149" s="17">
        <v>0.0</v>
      </c>
      <c r="H149" s="17">
        <v>0.714285714285714</v>
      </c>
      <c r="I149" s="17">
        <v>0.5</v>
      </c>
      <c r="J149" s="17">
        <v>0.75</v>
      </c>
      <c r="K149" s="17">
        <v>0.491247801877944</v>
      </c>
      <c r="L149" s="17">
        <v>0.402387640456563</v>
      </c>
      <c r="M149" s="17">
        <v>0.2793761357</v>
      </c>
      <c r="N149" s="17">
        <v>1.0</v>
      </c>
      <c r="O149" s="17">
        <v>1.0</v>
      </c>
      <c r="P149" s="17">
        <v>0.463787263212205</v>
      </c>
      <c r="Q149" s="17">
        <v>0.509189505048402</v>
      </c>
    </row>
    <row r="150">
      <c r="A150" s="17" t="s">
        <v>63</v>
      </c>
      <c r="B150" s="17" t="s">
        <v>432</v>
      </c>
      <c r="C150" s="17" t="s">
        <v>80</v>
      </c>
      <c r="D150" s="17" t="s">
        <v>134</v>
      </c>
      <c r="E150" s="18">
        <v>45425.0</v>
      </c>
      <c r="F150" s="17">
        <v>0.875</v>
      </c>
      <c r="G150" s="17">
        <v>0.0</v>
      </c>
      <c r="H150" s="17">
        <v>0.714285714285714</v>
      </c>
      <c r="I150" s="17">
        <v>0.5</v>
      </c>
      <c r="J150" s="17">
        <v>0.75</v>
      </c>
      <c r="K150" s="17">
        <v>0.928796628714462</v>
      </c>
      <c r="L150" s="17">
        <v>0.54261363629547</v>
      </c>
      <c r="M150" s="17">
        <v>0.2415458937</v>
      </c>
      <c r="N150" s="17">
        <v>0.7876</v>
      </c>
      <c r="O150" s="17">
        <v>0.893725607925547</v>
      </c>
      <c r="P150" s="17">
        <v>0.278861013929787</v>
      </c>
      <c r="Q150" s="17">
        <v>0.592038954077362</v>
      </c>
    </row>
    <row r="151">
      <c r="A151" s="17" t="s">
        <v>63</v>
      </c>
      <c r="B151" s="17" t="s">
        <v>432</v>
      </c>
      <c r="C151" s="17" t="s">
        <v>82</v>
      </c>
      <c r="D151" s="17" t="s">
        <v>134</v>
      </c>
      <c r="E151" s="18">
        <v>45425.0</v>
      </c>
      <c r="F151" s="17">
        <v>0.875</v>
      </c>
      <c r="G151" s="17">
        <v>0.0</v>
      </c>
      <c r="H151" s="17">
        <v>0.714285714285714</v>
      </c>
      <c r="I151" s="17">
        <v>0.5</v>
      </c>
      <c r="J151" s="17">
        <v>0.75</v>
      </c>
      <c r="K151" s="17">
        <v>0.830693819781565</v>
      </c>
      <c r="L151" s="17">
        <v>0.455946180490816</v>
      </c>
      <c r="M151" s="17">
        <v>0.199999999999999</v>
      </c>
      <c r="N151" s="17">
        <v>0.9859</v>
      </c>
      <c r="O151" s="17">
        <v>0.99294506154308</v>
      </c>
      <c r="P151" s="17">
        <v>0.304681014989718</v>
      </c>
      <c r="Q151" s="17">
        <v>0.600859253735536</v>
      </c>
    </row>
    <row r="152">
      <c r="A152" s="17" t="s">
        <v>84</v>
      </c>
      <c r="B152" s="17" t="s">
        <v>432</v>
      </c>
      <c r="C152" s="17" t="s">
        <v>85</v>
      </c>
      <c r="D152" s="17" t="s">
        <v>135</v>
      </c>
      <c r="E152" s="18">
        <v>45425.0</v>
      </c>
      <c r="F152" s="17">
        <v>0.625</v>
      </c>
      <c r="G152" s="17">
        <v>0.0</v>
      </c>
      <c r="H152" s="17">
        <v>0.714285714285714</v>
      </c>
      <c r="I152" s="17">
        <v>0.625</v>
      </c>
      <c r="J152" s="17">
        <v>0.75</v>
      </c>
      <c r="K152" s="17">
        <v>0.944076005480433</v>
      </c>
      <c r="L152" s="17">
        <v>0.235608552682087</v>
      </c>
      <c r="M152" s="17">
        <v>0.06872852235</v>
      </c>
      <c r="N152" s="17">
        <v>0.999</v>
      </c>
      <c r="O152" s="17">
        <v>0.999499649754828</v>
      </c>
      <c r="P152" s="17">
        <v>0.500566056942576</v>
      </c>
      <c r="Q152" s="17">
        <v>0.587433136499603</v>
      </c>
    </row>
    <row r="153">
      <c r="A153" s="17" t="s">
        <v>84</v>
      </c>
      <c r="B153" s="17" t="s">
        <v>432</v>
      </c>
      <c r="C153" s="17" t="s">
        <v>87</v>
      </c>
      <c r="D153" s="17" t="s">
        <v>136</v>
      </c>
      <c r="E153" s="18">
        <v>45425.0</v>
      </c>
      <c r="F153" s="17">
        <v>0.875</v>
      </c>
      <c r="G153" s="17">
        <v>0.0</v>
      </c>
      <c r="H153" s="17">
        <v>0.714285714285714</v>
      </c>
      <c r="I153" s="17">
        <v>0.625</v>
      </c>
      <c r="J153" s="17">
        <v>0.75</v>
      </c>
      <c r="K153" s="17">
        <v>0.782579082296888</v>
      </c>
      <c r="L153" s="17">
        <v>0.612179487139312</v>
      </c>
      <c r="M153" s="17">
        <v>0.5</v>
      </c>
      <c r="N153" s="17">
        <v>0.128</v>
      </c>
      <c r="O153" s="17">
        <v>0.563694586210347</v>
      </c>
      <c r="P153" s="17">
        <v>0.678843346192415</v>
      </c>
      <c r="Q153" s="17">
        <v>0.566325656011334</v>
      </c>
    </row>
    <row r="154">
      <c r="A154" s="17" t="s">
        <v>84</v>
      </c>
      <c r="B154" s="17" t="s">
        <v>432</v>
      </c>
      <c r="C154" s="17" t="s">
        <v>89</v>
      </c>
      <c r="D154" s="17" t="s">
        <v>137</v>
      </c>
      <c r="E154" s="18">
        <v>45425.0</v>
      </c>
      <c r="F154" s="17">
        <v>0.625</v>
      </c>
      <c r="G154" s="17">
        <v>0.0</v>
      </c>
      <c r="H154" s="17">
        <v>0.714285714285714</v>
      </c>
      <c r="I154" s="17">
        <v>0.5</v>
      </c>
      <c r="J154" s="17">
        <v>0.75</v>
      </c>
      <c r="K154" s="17">
        <v>0.499051658979864</v>
      </c>
      <c r="L154" s="17">
        <v>0.169326241093161</v>
      </c>
      <c r="M154" s="17">
        <v>0.037313432835</v>
      </c>
      <c r="N154" s="17">
        <v>0.9803</v>
      </c>
      <c r="O154" s="17">
        <v>0.00915640948664069</v>
      </c>
      <c r="P154" s="17">
        <v>0.465367285138851</v>
      </c>
      <c r="Q154" s="17">
        <v>0.431800067438112</v>
      </c>
    </row>
    <row r="155">
      <c r="A155" s="17" t="s">
        <v>84</v>
      </c>
      <c r="B155" s="17" t="s">
        <v>432</v>
      </c>
      <c r="C155" s="17" t="s">
        <v>91</v>
      </c>
      <c r="D155" s="17" t="s">
        <v>138</v>
      </c>
      <c r="E155" s="18">
        <v>45425.0</v>
      </c>
      <c r="F155" s="17">
        <v>0.625</v>
      </c>
      <c r="G155" s="17">
        <v>0.0</v>
      </c>
      <c r="H155" s="17">
        <v>0.714285714285714</v>
      </c>
      <c r="I155" s="17">
        <v>0.375</v>
      </c>
      <c r="J155" s="17">
        <v>0.75</v>
      </c>
      <c r="K155" s="17">
        <v>0.468623086316332</v>
      </c>
      <c r="L155" s="17">
        <v>0.163527397292059</v>
      </c>
      <c r="M155" s="17">
        <v>0.0704225352</v>
      </c>
      <c r="N155" s="17">
        <v>0.8934</v>
      </c>
      <c r="O155" s="17">
        <v>0.946662663864705</v>
      </c>
      <c r="P155" s="17">
        <v>0.849839208165938</v>
      </c>
      <c r="Q155" s="17">
        <v>0.532432782284068</v>
      </c>
    </row>
    <row r="156">
      <c r="A156" s="17" t="s">
        <v>84</v>
      </c>
      <c r="B156" s="17" t="s">
        <v>432</v>
      </c>
      <c r="C156" s="17" t="s">
        <v>93</v>
      </c>
      <c r="D156" s="17" t="s">
        <v>139</v>
      </c>
      <c r="E156" s="18">
        <v>45425.0</v>
      </c>
      <c r="F156" s="17">
        <v>0.625</v>
      </c>
      <c r="G156" s="17">
        <v>0.0</v>
      </c>
      <c r="H156" s="17">
        <v>0.714285714285714</v>
      </c>
      <c r="I156" s="17">
        <v>0.375</v>
      </c>
      <c r="J156" s="17">
        <v>0.75</v>
      </c>
      <c r="K156" s="17">
        <v>0.501176015130815</v>
      </c>
      <c r="L156" s="17">
        <v>0.223130841174907</v>
      </c>
      <c r="M156" s="17">
        <v>0.0999999999999999</v>
      </c>
      <c r="N156" s="17">
        <v>0.9313</v>
      </c>
      <c r="O156" s="17">
        <v>0.965625938156709</v>
      </c>
      <c r="P156" s="17">
        <v>0.499493899078744</v>
      </c>
      <c r="Q156" s="17">
        <v>0.516819309802444</v>
      </c>
    </row>
    <row r="157">
      <c r="A157" s="17" t="s">
        <v>84</v>
      </c>
      <c r="B157" s="17" t="s">
        <v>432</v>
      </c>
      <c r="C157" s="17" t="s">
        <v>95</v>
      </c>
      <c r="D157" s="17" t="s">
        <v>140</v>
      </c>
      <c r="E157" s="18">
        <v>45425.0</v>
      </c>
      <c r="F157" s="17">
        <v>0.875</v>
      </c>
      <c r="G157" s="17">
        <v>0.0</v>
      </c>
      <c r="H157" s="17">
        <v>0.714285714285714</v>
      </c>
      <c r="I157" s="17">
        <v>0.375</v>
      </c>
      <c r="J157" s="17">
        <v>0.75</v>
      </c>
      <c r="K157" s="17">
        <v>0.639968799539738</v>
      </c>
      <c r="L157" s="17">
        <v>0.159166666622796</v>
      </c>
      <c r="M157" s="17">
        <v>0.21126760565</v>
      </c>
      <c r="N157" s="17">
        <v>0.8473</v>
      </c>
      <c r="O157" s="17">
        <v>0.923596517562293</v>
      </c>
      <c r="P157" s="17">
        <v>0.903402695155119</v>
      </c>
      <c r="Q157" s="17">
        <v>0.581726181710514</v>
      </c>
    </row>
    <row r="158">
      <c r="A158" s="17" t="s">
        <v>84</v>
      </c>
      <c r="B158" s="17" t="s">
        <v>432</v>
      </c>
      <c r="C158" s="17" t="s">
        <v>97</v>
      </c>
      <c r="D158" s="17" t="s">
        <v>141</v>
      </c>
      <c r="E158" s="18">
        <v>45425.0</v>
      </c>
      <c r="F158" s="17">
        <v>0.875</v>
      </c>
      <c r="G158" s="17">
        <v>0.0</v>
      </c>
      <c r="H158" s="17">
        <v>0.714285714285714</v>
      </c>
      <c r="I158" s="17">
        <v>0.75</v>
      </c>
      <c r="J158" s="17">
        <v>0.75</v>
      </c>
      <c r="K158" s="17">
        <v>0.330182679219908</v>
      </c>
      <c r="L158" s="17">
        <v>0.302215189911005</v>
      </c>
      <c r="M158" s="17">
        <v>0.0</v>
      </c>
      <c r="N158" s="17">
        <v>0.9761</v>
      </c>
      <c r="O158" s="17">
        <v>0.988041629140398</v>
      </c>
      <c r="P158" s="17">
        <v>0.819564914010936</v>
      </c>
      <c r="Q158" s="17">
        <v>0.591399102415269</v>
      </c>
    </row>
    <row r="159">
      <c r="A159" s="17" t="s">
        <v>84</v>
      </c>
      <c r="B159" s="17" t="s">
        <v>432</v>
      </c>
      <c r="C159" s="17" t="s">
        <v>99</v>
      </c>
      <c r="D159" s="17" t="s">
        <v>142</v>
      </c>
      <c r="E159" s="18">
        <v>45425.0</v>
      </c>
      <c r="F159" s="17">
        <v>0.625</v>
      </c>
      <c r="G159" s="17">
        <v>0.0</v>
      </c>
      <c r="H159" s="17">
        <v>0.714285714285714</v>
      </c>
      <c r="I159" s="17">
        <v>0.625</v>
      </c>
      <c r="J159" s="17">
        <v>0.75</v>
      </c>
      <c r="K159" s="17">
        <v>0.470222486520499</v>
      </c>
      <c r="L159" s="17">
        <v>0.175551470548626</v>
      </c>
      <c r="M159" s="17">
        <v>0.0806451612999999</v>
      </c>
      <c r="N159" s="17">
        <v>0.9337</v>
      </c>
      <c r="O159" s="17">
        <v>0.966826778745121</v>
      </c>
      <c r="P159" s="17">
        <v>1.0</v>
      </c>
      <c r="Q159" s="17">
        <v>0.57647560103636</v>
      </c>
    </row>
    <row r="160">
      <c r="A160" s="17" t="s">
        <v>84</v>
      </c>
      <c r="B160" s="17" t="s">
        <v>432</v>
      </c>
      <c r="C160" s="17" t="s">
        <v>101</v>
      </c>
      <c r="D160" s="17" t="s">
        <v>143</v>
      </c>
      <c r="E160" s="18">
        <v>45425.0</v>
      </c>
      <c r="F160" s="17">
        <v>0.875</v>
      </c>
      <c r="G160" s="17">
        <v>0.0</v>
      </c>
      <c r="H160" s="17">
        <v>0.714285714285714</v>
      </c>
      <c r="I160" s="17">
        <v>0.75</v>
      </c>
      <c r="J160" s="17">
        <v>0.75</v>
      </c>
      <c r="K160" s="17">
        <v>0.322262423461387</v>
      </c>
      <c r="L160" s="17">
        <v>0.341071428545635</v>
      </c>
      <c r="M160" s="17">
        <v>0.0</v>
      </c>
      <c r="N160" s="17">
        <v>0.6486</v>
      </c>
      <c r="O160" s="17">
        <v>0.175122585810067</v>
      </c>
      <c r="P160" s="17">
        <v>0.80571632388561</v>
      </c>
      <c r="Q160" s="17">
        <v>0.489278043271674</v>
      </c>
    </row>
    <row r="161">
      <c r="A161" s="17" t="s">
        <v>84</v>
      </c>
      <c r="B161" s="17" t="s">
        <v>432</v>
      </c>
      <c r="C161" s="17" t="s">
        <v>103</v>
      </c>
      <c r="D161" s="17" t="s">
        <v>144</v>
      </c>
      <c r="E161" s="18">
        <v>45425.0</v>
      </c>
      <c r="F161" s="17">
        <v>0.0</v>
      </c>
      <c r="G161" s="17">
        <v>0.0</v>
      </c>
      <c r="H161" s="17">
        <v>0.714285714285714</v>
      </c>
      <c r="I161" s="17">
        <v>0.625</v>
      </c>
      <c r="J161" s="17">
        <v>0.75</v>
      </c>
      <c r="K161" s="17">
        <v>0.64370600618043</v>
      </c>
      <c r="L161" s="17">
        <v>0.314144736790075</v>
      </c>
      <c r="M161" s="17">
        <v>0.14492753625</v>
      </c>
      <c r="N161" s="17">
        <v>0.9169</v>
      </c>
      <c r="O161" s="17">
        <v>0.958420894626238</v>
      </c>
      <c r="P161" s="17">
        <v>0.809075534951357</v>
      </c>
      <c r="Q161" s="17">
        <v>0.534223674825801</v>
      </c>
    </row>
    <row r="162">
      <c r="A162" s="17" t="s">
        <v>20</v>
      </c>
      <c r="B162" s="17" t="s">
        <v>638</v>
      </c>
      <c r="C162" s="17" t="s">
        <v>22</v>
      </c>
      <c r="D162" s="17" t="s">
        <v>639</v>
      </c>
      <c r="E162" s="56">
        <v>45616.0</v>
      </c>
      <c r="F162" s="17">
        <v>0.75</v>
      </c>
      <c r="G162" s="17">
        <v>0.375</v>
      </c>
      <c r="H162" s="17">
        <v>0.285714285714285</v>
      </c>
      <c r="I162" s="17">
        <v>0.25</v>
      </c>
      <c r="J162" s="17">
        <v>0.625</v>
      </c>
      <c r="K162" s="17">
        <v>0.498221166177071</v>
      </c>
      <c r="L162" s="17">
        <v>0.0</v>
      </c>
      <c r="M162" s="17">
        <v>0.6</v>
      </c>
      <c r="N162" s="17">
        <v>0.817</v>
      </c>
      <c r="O162" s="17">
        <v>0.908435905133593</v>
      </c>
      <c r="P162" s="17">
        <v>0.039328982444965</v>
      </c>
      <c r="Q162" s="17">
        <v>0.468063667224537</v>
      </c>
    </row>
    <row r="163">
      <c r="A163" s="17" t="s">
        <v>20</v>
      </c>
      <c r="B163" s="17" t="s">
        <v>638</v>
      </c>
      <c r="C163" s="17" t="s">
        <v>24</v>
      </c>
      <c r="D163" s="17" t="s">
        <v>640</v>
      </c>
      <c r="E163" s="56">
        <v>45616.0</v>
      </c>
      <c r="F163" s="17">
        <v>0.75</v>
      </c>
      <c r="G163" s="17">
        <v>0.375</v>
      </c>
      <c r="H163" s="17">
        <v>0.285714285714285</v>
      </c>
      <c r="I163" s="17">
        <v>0.25</v>
      </c>
      <c r="J163" s="17">
        <v>1.0</v>
      </c>
      <c r="K163" s="17">
        <v>0.57421416786563</v>
      </c>
      <c r="L163" s="17">
        <v>0.259510869501475</v>
      </c>
      <c r="M163" s="17">
        <v>0.581395348999999</v>
      </c>
      <c r="N163" s="17">
        <v>0.9713</v>
      </c>
      <c r="O163" s="17">
        <v>0.985639947963574</v>
      </c>
      <c r="P163" s="17">
        <v>0.374998122201804</v>
      </c>
      <c r="Q163" s="17">
        <v>0.582524794749706</v>
      </c>
    </row>
    <row r="164">
      <c r="A164" s="17" t="s">
        <v>20</v>
      </c>
      <c r="B164" s="17" t="s">
        <v>638</v>
      </c>
      <c r="C164" s="17" t="s">
        <v>26</v>
      </c>
      <c r="D164" s="17" t="s">
        <v>641</v>
      </c>
      <c r="E164" s="56">
        <v>45616.0</v>
      </c>
      <c r="F164" s="17">
        <v>0.75</v>
      </c>
      <c r="G164" s="17">
        <v>0.375</v>
      </c>
      <c r="H164" s="17">
        <v>0.285714285714285</v>
      </c>
      <c r="I164" s="17">
        <v>0.25</v>
      </c>
      <c r="J164" s="17">
        <v>1.0</v>
      </c>
      <c r="K164" s="17">
        <v>0.677065243899258</v>
      </c>
      <c r="L164" s="17">
        <v>0.967905405367697</v>
      </c>
      <c r="M164" s="17">
        <v>0.7352941175</v>
      </c>
      <c r="N164" s="17">
        <v>0.8482</v>
      </c>
      <c r="O164" s="17">
        <v>0.924046832782948</v>
      </c>
      <c r="P164" s="17">
        <v>0.391182952906872</v>
      </c>
      <c r="Q164" s="17">
        <v>0.654946258015551</v>
      </c>
    </row>
    <row r="165">
      <c r="A165" s="17" t="s">
        <v>20</v>
      </c>
      <c r="B165" s="17" t="s">
        <v>638</v>
      </c>
      <c r="C165" s="17" t="s">
        <v>28</v>
      </c>
      <c r="D165" s="17" t="s">
        <v>642</v>
      </c>
      <c r="E165" s="56">
        <v>45616.0</v>
      </c>
      <c r="F165" s="17">
        <v>0.5</v>
      </c>
      <c r="G165" s="17">
        <v>1.0</v>
      </c>
      <c r="H165" s="17">
        <v>0.285714285714285</v>
      </c>
      <c r="I165" s="17">
        <v>0.25</v>
      </c>
      <c r="J165" s="17">
        <v>0.625</v>
      </c>
      <c r="K165" s="17">
        <v>0.487530054128817</v>
      </c>
      <c r="L165" s="17">
        <v>0.0</v>
      </c>
      <c r="M165" s="17">
        <v>0.37037037035</v>
      </c>
      <c r="N165" s="17">
        <v>0.7712</v>
      </c>
      <c r="O165" s="17">
        <v>0.885519863904733</v>
      </c>
      <c r="P165" s="17">
        <v>0.196164682905615</v>
      </c>
      <c r="Q165" s="17">
        <v>0.488318114273041</v>
      </c>
    </row>
    <row r="166">
      <c r="A166" s="17" t="s">
        <v>20</v>
      </c>
      <c r="B166" s="17" t="s">
        <v>638</v>
      </c>
      <c r="C166" s="17" t="s">
        <v>30</v>
      </c>
      <c r="D166" s="17" t="s">
        <v>643</v>
      </c>
      <c r="E166" s="56">
        <v>45616.0</v>
      </c>
      <c r="F166" s="17">
        <v>0.75</v>
      </c>
      <c r="G166" s="17">
        <v>0.375</v>
      </c>
      <c r="H166" s="17">
        <v>1.0</v>
      </c>
      <c r="I166" s="17">
        <v>0.25</v>
      </c>
      <c r="J166" s="17">
        <v>1.0</v>
      </c>
      <c r="K166" s="17">
        <v>0.548355640454689</v>
      </c>
      <c r="L166" s="17">
        <v>0.265277777744452</v>
      </c>
      <c r="M166" s="17">
        <v>0.681818181999999</v>
      </c>
      <c r="N166" s="17">
        <v>0.9549</v>
      </c>
      <c r="O166" s="17">
        <v>0.977434203942759</v>
      </c>
      <c r="P166" s="17">
        <v>0.39523867881063</v>
      </c>
      <c r="Q166" s="17">
        <v>0.654365862086594</v>
      </c>
    </row>
    <row r="167">
      <c r="A167" s="17" t="s">
        <v>20</v>
      </c>
      <c r="B167" s="17" t="s">
        <v>638</v>
      </c>
      <c r="C167" s="17" t="s">
        <v>32</v>
      </c>
      <c r="D167" s="17" t="s">
        <v>644</v>
      </c>
      <c r="E167" s="56">
        <v>45616.0</v>
      </c>
      <c r="F167" s="17">
        <v>0.75</v>
      </c>
      <c r="G167" s="17">
        <v>0.375</v>
      </c>
      <c r="H167" s="17">
        <v>1.0</v>
      </c>
      <c r="I167" s="17">
        <v>0.25</v>
      </c>
      <c r="J167" s="17">
        <v>0.625</v>
      </c>
      <c r="K167" s="17">
        <v>0.464151441601255</v>
      </c>
      <c r="L167" s="17">
        <v>0.487244897939389</v>
      </c>
      <c r="M167" s="17">
        <v>0.760869564999999</v>
      </c>
      <c r="N167" s="17">
        <v>0.9797</v>
      </c>
      <c r="O167" s="17">
        <v>0.989842890023016</v>
      </c>
      <c r="P167" s="17">
        <v>0.0593186695632049</v>
      </c>
      <c r="Q167" s="17">
        <v>0.612829769466078</v>
      </c>
    </row>
    <row r="168">
      <c r="A168" s="17" t="s">
        <v>20</v>
      </c>
      <c r="B168" s="17" t="s">
        <v>638</v>
      </c>
      <c r="C168" s="17" t="s">
        <v>34</v>
      </c>
      <c r="D168" s="17" t="s">
        <v>645</v>
      </c>
      <c r="E168" s="56">
        <v>45616.0</v>
      </c>
      <c r="F168" s="17">
        <v>0.5</v>
      </c>
      <c r="G168" s="17">
        <v>0.375</v>
      </c>
      <c r="H168" s="17">
        <v>0.285714285714285</v>
      </c>
      <c r="I168" s="17">
        <v>0.25</v>
      </c>
      <c r="J168" s="17">
        <v>0.625</v>
      </c>
      <c r="K168" s="17">
        <v>0.716720998605783</v>
      </c>
      <c r="L168" s="17">
        <v>0.411637931015701</v>
      </c>
      <c r="M168" s="17">
        <v>0.37037037035</v>
      </c>
      <c r="N168" s="17">
        <v>0.9535</v>
      </c>
      <c r="O168" s="17">
        <v>0.976733713599519</v>
      </c>
      <c r="P168" s="17">
        <v>0.407469425794007</v>
      </c>
      <c r="Q168" s="17">
        <v>0.533831520461754</v>
      </c>
    </row>
    <row r="169">
      <c r="A169" s="17" t="s">
        <v>20</v>
      </c>
      <c r="B169" s="17" t="s">
        <v>638</v>
      </c>
      <c r="C169" s="17" t="s">
        <v>36</v>
      </c>
      <c r="D169" s="17" t="s">
        <v>646</v>
      </c>
      <c r="E169" s="56">
        <v>45616.0</v>
      </c>
      <c r="F169" s="17">
        <v>0.75</v>
      </c>
      <c r="G169" s="17">
        <v>0.375</v>
      </c>
      <c r="H169" s="17">
        <v>0.285714285714285</v>
      </c>
      <c r="I169" s="17">
        <v>0.25</v>
      </c>
      <c r="J169" s="17">
        <v>0.625</v>
      </c>
      <c r="K169" s="17">
        <v>0.662800181224922</v>
      </c>
      <c r="L169" s="17">
        <v>0.277616279021011</v>
      </c>
      <c r="M169" s="17">
        <v>0.731707317</v>
      </c>
      <c r="N169" s="17">
        <v>0.9615</v>
      </c>
      <c r="O169" s="17">
        <v>0.980736515560892</v>
      </c>
      <c r="P169" s="17">
        <v>0.394881766574018</v>
      </c>
      <c r="Q169" s="17">
        <v>0.572268758645011</v>
      </c>
    </row>
    <row r="170">
      <c r="A170" s="17" t="s">
        <v>20</v>
      </c>
      <c r="B170" s="17" t="s">
        <v>638</v>
      </c>
      <c r="C170" s="17" t="s">
        <v>38</v>
      </c>
      <c r="D170" s="17" t="s">
        <v>647</v>
      </c>
      <c r="E170" s="56">
        <v>45616.0</v>
      </c>
      <c r="F170" s="17">
        <v>0.5</v>
      </c>
      <c r="G170" s="17">
        <v>0.375</v>
      </c>
      <c r="H170" s="17">
        <v>0.285714285714285</v>
      </c>
      <c r="I170" s="17">
        <v>0.25</v>
      </c>
      <c r="J170" s="17">
        <v>1.0</v>
      </c>
      <c r="K170" s="17">
        <v>0.165224071043883</v>
      </c>
      <c r="L170" s="17">
        <v>0.234068627477752</v>
      </c>
      <c r="M170" s="17">
        <v>0.5102040815</v>
      </c>
      <c r="N170" s="17">
        <v>0.0</v>
      </c>
      <c r="O170" s="17">
        <v>0.499649754828379</v>
      </c>
      <c r="P170" s="17">
        <v>0.392530343485886</v>
      </c>
      <c r="Q170" s="17">
        <v>0.382944651277289</v>
      </c>
    </row>
    <row r="171">
      <c r="A171" s="17" t="s">
        <v>20</v>
      </c>
      <c r="B171" s="17" t="s">
        <v>638</v>
      </c>
      <c r="C171" s="17" t="s">
        <v>40</v>
      </c>
      <c r="D171" s="17" t="s">
        <v>648</v>
      </c>
      <c r="E171" s="56">
        <v>45616.0</v>
      </c>
      <c r="F171" s="17">
        <v>0.5</v>
      </c>
      <c r="G171" s="17">
        <v>0.375</v>
      </c>
      <c r="H171" s="17">
        <v>0.285714285714285</v>
      </c>
      <c r="I171" s="17">
        <v>0.75</v>
      </c>
      <c r="J171" s="17">
        <v>0.625</v>
      </c>
      <c r="K171" s="17">
        <v>0.516008143860781</v>
      </c>
      <c r="L171" s="17">
        <v>0.568452380949183</v>
      </c>
      <c r="M171" s="17">
        <v>0.512820513</v>
      </c>
      <c r="N171" s="17">
        <v>0.7754</v>
      </c>
      <c r="O171" s="17">
        <v>0.887621334934454</v>
      </c>
      <c r="P171" s="17">
        <v>0.0875631506442854</v>
      </c>
      <c r="Q171" s="17">
        <v>0.534870891736635</v>
      </c>
    </row>
    <row r="172">
      <c r="A172" s="17" t="s">
        <v>42</v>
      </c>
      <c r="B172" s="17" t="s">
        <v>638</v>
      </c>
      <c r="C172" s="17" t="s">
        <v>43</v>
      </c>
      <c r="D172" s="17" t="s">
        <v>649</v>
      </c>
      <c r="E172" s="56">
        <v>45616.0</v>
      </c>
      <c r="F172" s="17">
        <v>0.75</v>
      </c>
      <c r="G172" s="17">
        <v>0.375</v>
      </c>
      <c r="H172" s="17">
        <v>0.285714285714285</v>
      </c>
      <c r="I172" s="17">
        <v>0.25</v>
      </c>
      <c r="J172" s="17">
        <v>0.625</v>
      </c>
      <c r="K172" s="17">
        <v>0.571509920781675</v>
      </c>
      <c r="L172" s="17">
        <v>0.761968085038599</v>
      </c>
      <c r="M172" s="17">
        <v>0.3409090909</v>
      </c>
      <c r="N172" s="17">
        <v>0.9871</v>
      </c>
      <c r="O172" s="17">
        <v>0.993545481837286</v>
      </c>
      <c r="P172" s="17">
        <v>0.39919340404676</v>
      </c>
      <c r="Q172" s="17">
        <v>0.576358206210782</v>
      </c>
    </row>
    <row r="173">
      <c r="A173" s="17" t="s">
        <v>42</v>
      </c>
      <c r="B173" s="17" t="s">
        <v>638</v>
      </c>
      <c r="C173" s="17" t="s">
        <v>45</v>
      </c>
      <c r="D173" s="17" t="s">
        <v>650</v>
      </c>
      <c r="E173" s="56">
        <v>45616.0</v>
      </c>
      <c r="F173" s="17">
        <v>0.5</v>
      </c>
      <c r="G173" s="17">
        <v>0.375</v>
      </c>
      <c r="H173" s="17">
        <v>1.0</v>
      </c>
      <c r="I173" s="17">
        <v>0.25</v>
      </c>
      <c r="J173" s="17">
        <v>0.625</v>
      </c>
      <c r="K173" s="17">
        <v>0.483129616330335</v>
      </c>
      <c r="L173" s="17">
        <v>0.936274509791633</v>
      </c>
      <c r="M173" s="17">
        <v>0.6382978725</v>
      </c>
      <c r="N173" s="17">
        <v>0.8955</v>
      </c>
      <c r="O173" s="17">
        <v>0.947713399379565</v>
      </c>
      <c r="P173" s="17">
        <v>0.593147799087121</v>
      </c>
      <c r="Q173" s="17">
        <v>0.658551199735332</v>
      </c>
    </row>
    <row r="174">
      <c r="A174" s="17" t="s">
        <v>42</v>
      </c>
      <c r="B174" s="17" t="s">
        <v>638</v>
      </c>
      <c r="C174" s="17" t="s">
        <v>47</v>
      </c>
      <c r="D174" s="17" t="s">
        <v>651</v>
      </c>
      <c r="E174" s="56">
        <v>45616.0</v>
      </c>
      <c r="F174" s="17">
        <v>0.75</v>
      </c>
      <c r="G174" s="17">
        <v>0.375</v>
      </c>
      <c r="H174" s="17">
        <v>1.0</v>
      </c>
      <c r="I174" s="17">
        <v>0.25</v>
      </c>
      <c r="J174" s="17">
        <v>0.625</v>
      </c>
      <c r="K174" s="17">
        <v>0.403656173464391</v>
      </c>
      <c r="L174" s="17">
        <v>0.418859649133016</v>
      </c>
      <c r="M174" s="17">
        <v>0.471698113199999</v>
      </c>
      <c r="N174" s="17">
        <v>0.9796</v>
      </c>
      <c r="O174" s="17">
        <v>0.989792854998499</v>
      </c>
      <c r="P174" s="17">
        <v>0.374326948718857</v>
      </c>
      <c r="Q174" s="17">
        <v>0.603448521774069</v>
      </c>
    </row>
    <row r="175">
      <c r="A175" s="17" t="s">
        <v>42</v>
      </c>
      <c r="B175" s="17" t="s">
        <v>638</v>
      </c>
      <c r="C175" s="17" t="s">
        <v>49</v>
      </c>
      <c r="D175" s="17" t="s">
        <v>652</v>
      </c>
      <c r="E175" s="56">
        <v>45616.0</v>
      </c>
      <c r="F175" s="17">
        <v>0.75</v>
      </c>
      <c r="G175" s="17">
        <v>1.0</v>
      </c>
      <c r="H175" s="17">
        <v>0.571428571428571</v>
      </c>
      <c r="I175" s="17">
        <v>0.25</v>
      </c>
      <c r="J175" s="17">
        <v>0.625</v>
      </c>
      <c r="K175" s="17">
        <v>0.632760668255826</v>
      </c>
      <c r="L175" s="17">
        <v>0.351102941216628</v>
      </c>
      <c r="M175" s="17">
        <v>0.31746031745</v>
      </c>
      <c r="N175" s="17">
        <v>0.9801</v>
      </c>
      <c r="O175" s="17">
        <v>0.990043030121084</v>
      </c>
      <c r="P175" s="17">
        <v>0.272801845595091</v>
      </c>
      <c r="Q175" s="17">
        <v>0.612790670369745</v>
      </c>
    </row>
    <row r="176">
      <c r="A176" s="17" t="s">
        <v>42</v>
      </c>
      <c r="B176" s="17" t="s">
        <v>638</v>
      </c>
      <c r="C176" s="17" t="s">
        <v>51</v>
      </c>
      <c r="D176" s="17" t="s">
        <v>653</v>
      </c>
      <c r="E176" s="56">
        <v>45616.0</v>
      </c>
      <c r="F176" s="17">
        <v>0.5</v>
      </c>
      <c r="G176" s="17">
        <v>0.375</v>
      </c>
      <c r="H176" s="17">
        <v>1.0</v>
      </c>
      <c r="I176" s="17">
        <v>0.25</v>
      </c>
      <c r="J176" s="17">
        <v>0.625</v>
      </c>
      <c r="K176" s="17">
        <v>0.570988799041104</v>
      </c>
      <c r="L176" s="17">
        <v>0.397916666616678</v>
      </c>
      <c r="M176" s="17">
        <v>0.438596491249999</v>
      </c>
      <c r="N176" s="17">
        <v>0.5994</v>
      </c>
      <c r="O176" s="17">
        <v>0.799559691784248</v>
      </c>
      <c r="P176" s="17">
        <v>0.574289758274929</v>
      </c>
      <c r="Q176" s="17">
        <v>0.557341036996996</v>
      </c>
    </row>
    <row r="177">
      <c r="A177" s="17" t="s">
        <v>42</v>
      </c>
      <c r="B177" s="17" t="s">
        <v>638</v>
      </c>
      <c r="C177" s="17" t="s">
        <v>53</v>
      </c>
      <c r="D177" s="17" t="s">
        <v>654</v>
      </c>
      <c r="E177" s="56">
        <v>45616.0</v>
      </c>
      <c r="F177" s="17">
        <v>0.75</v>
      </c>
      <c r="G177" s="17">
        <v>0.375</v>
      </c>
      <c r="H177" s="17">
        <v>0.285714285714285</v>
      </c>
      <c r="I177" s="17">
        <v>0.25</v>
      </c>
      <c r="J177" s="17">
        <v>0.625</v>
      </c>
      <c r="K177" s="17">
        <v>0.54978771825304</v>
      </c>
      <c r="L177" s="17">
        <v>0.18652343749522</v>
      </c>
      <c r="M177" s="17">
        <v>0.573770492</v>
      </c>
      <c r="N177" s="17">
        <v>0.9366</v>
      </c>
      <c r="O177" s="17">
        <v>0.968277794456119</v>
      </c>
      <c r="P177" s="17">
        <v>0.417833219961173</v>
      </c>
      <c r="Q177" s="17">
        <v>0.538046086170894</v>
      </c>
    </row>
    <row r="178">
      <c r="A178" s="17" t="s">
        <v>42</v>
      </c>
      <c r="B178" s="17" t="s">
        <v>638</v>
      </c>
      <c r="C178" s="17" t="s">
        <v>55</v>
      </c>
      <c r="D178" s="17" t="s">
        <v>655</v>
      </c>
      <c r="E178" s="56">
        <v>45616.0</v>
      </c>
      <c r="F178" s="17">
        <v>0.75</v>
      </c>
      <c r="G178" s="17">
        <v>0.375</v>
      </c>
      <c r="H178" s="17">
        <v>0.285714285714285</v>
      </c>
      <c r="I178" s="17">
        <v>0.25</v>
      </c>
      <c r="J178" s="17">
        <v>0.625</v>
      </c>
      <c r="K178" s="17">
        <v>0.265436286580848</v>
      </c>
      <c r="L178" s="17">
        <v>0.119374999996941</v>
      </c>
      <c r="M178" s="17">
        <v>0.36458333335</v>
      </c>
      <c r="N178" s="17">
        <v>0.5378</v>
      </c>
      <c r="O178" s="17">
        <v>0.230561392975082</v>
      </c>
      <c r="P178" s="17">
        <v>0.552852350072659</v>
      </c>
      <c r="Q178" s="17">
        <v>0.396029331699074</v>
      </c>
    </row>
    <row r="179">
      <c r="A179" s="17" t="s">
        <v>42</v>
      </c>
      <c r="B179" s="17" t="s">
        <v>638</v>
      </c>
      <c r="C179" s="17" t="s">
        <v>57</v>
      </c>
      <c r="D179" s="17" t="s">
        <v>656</v>
      </c>
      <c r="E179" s="56">
        <v>45616.0</v>
      </c>
      <c r="F179" s="17">
        <v>1.0</v>
      </c>
      <c r="G179" s="17">
        <v>0.375</v>
      </c>
      <c r="H179" s="17">
        <v>0.285714285714285</v>
      </c>
      <c r="I179" s="17">
        <v>0.25</v>
      </c>
      <c r="J179" s="17">
        <v>0.625</v>
      </c>
      <c r="K179" s="17">
        <v>0.498584556574561</v>
      </c>
      <c r="L179" s="17">
        <v>0.534514925323803</v>
      </c>
      <c r="M179" s="17">
        <v>0.40983606555</v>
      </c>
      <c r="N179" s="17">
        <v>0.9465</v>
      </c>
      <c r="O179" s="17">
        <v>0.973231261883318</v>
      </c>
      <c r="P179" s="17">
        <v>0.375437436814632</v>
      </c>
      <c r="Q179" s="17">
        <v>0.570347139260054</v>
      </c>
    </row>
    <row r="180">
      <c r="A180" s="17" t="s">
        <v>42</v>
      </c>
      <c r="B180" s="17" t="s">
        <v>638</v>
      </c>
      <c r="C180" s="17" t="s">
        <v>59</v>
      </c>
      <c r="D180" s="17" t="s">
        <v>657</v>
      </c>
      <c r="E180" s="56">
        <v>45616.0</v>
      </c>
      <c r="F180" s="17">
        <v>1.0</v>
      </c>
      <c r="G180" s="17">
        <v>1.0</v>
      </c>
      <c r="H180" s="17">
        <v>0.285714285714285</v>
      </c>
      <c r="I180" s="17">
        <v>0.25</v>
      </c>
      <c r="J180" s="17">
        <v>0.625</v>
      </c>
      <c r="K180" s="17">
        <v>0.408971816506694</v>
      </c>
      <c r="L180" s="17">
        <v>0.26825842693125</v>
      </c>
      <c r="M180" s="17">
        <v>0.2906976744</v>
      </c>
      <c r="N180" s="17">
        <v>0.9688</v>
      </c>
      <c r="O180" s="17">
        <v>0.984389072350645</v>
      </c>
      <c r="P180" s="17">
        <v>0.42197467449863</v>
      </c>
      <c r="Q180" s="17">
        <v>0.591255086400137</v>
      </c>
    </row>
    <row r="181">
      <c r="A181" s="17" t="s">
        <v>42</v>
      </c>
      <c r="B181" s="17" t="s">
        <v>638</v>
      </c>
      <c r="C181" s="17" t="s">
        <v>61</v>
      </c>
      <c r="D181" s="17" t="s">
        <v>658</v>
      </c>
      <c r="E181" s="56">
        <v>45616.0</v>
      </c>
      <c r="F181" s="17">
        <v>0.75</v>
      </c>
      <c r="G181" s="17">
        <v>1.0</v>
      </c>
      <c r="H181" s="17">
        <v>0.285714285714285</v>
      </c>
      <c r="I181" s="17">
        <v>0.25</v>
      </c>
      <c r="J181" s="17">
        <v>0.625</v>
      </c>
      <c r="K181" s="17">
        <v>0.687036646070998</v>
      </c>
      <c r="L181" s="17">
        <v>0.0</v>
      </c>
      <c r="M181" s="17">
        <v>0.33333333335</v>
      </c>
      <c r="N181" s="17">
        <v>0.9665</v>
      </c>
      <c r="O181" s="17">
        <v>0.98323826678675</v>
      </c>
      <c r="P181" s="17">
        <v>0.0661257424420154</v>
      </c>
      <c r="Q181" s="17">
        <v>0.540631661305822</v>
      </c>
    </row>
    <row r="182">
      <c r="A182" s="17" t="s">
        <v>63</v>
      </c>
      <c r="B182" s="17" t="s">
        <v>638</v>
      </c>
      <c r="C182" s="17" t="s">
        <v>64</v>
      </c>
      <c r="D182" s="17" t="s">
        <v>659</v>
      </c>
      <c r="E182" s="56">
        <v>45616.0</v>
      </c>
      <c r="F182" s="17">
        <v>1.0</v>
      </c>
      <c r="G182" s="17">
        <v>0.75</v>
      </c>
      <c r="H182" s="17">
        <v>1.0</v>
      </c>
      <c r="I182" s="17">
        <v>0.75</v>
      </c>
      <c r="J182" s="17">
        <v>0.625</v>
      </c>
      <c r="K182" s="17">
        <v>0.713148171122795</v>
      </c>
      <c r="L182" s="17">
        <v>1.0</v>
      </c>
      <c r="M182" s="17">
        <v>0.140449438199999</v>
      </c>
      <c r="N182" s="17">
        <v>0.9291</v>
      </c>
      <c r="O182" s="17">
        <v>0.0347743420394276</v>
      </c>
      <c r="P182" s="17">
        <v>0.311862619242935</v>
      </c>
      <c r="Q182" s="17">
        <v>0.659484960964105</v>
      </c>
    </row>
    <row r="183">
      <c r="A183" s="17" t="s">
        <v>63</v>
      </c>
      <c r="B183" s="17" t="s">
        <v>638</v>
      </c>
      <c r="C183" s="17" t="s">
        <v>66</v>
      </c>
      <c r="D183" s="17" t="s">
        <v>660</v>
      </c>
      <c r="E183" s="56">
        <v>45616.0</v>
      </c>
      <c r="F183" s="17">
        <v>0.75</v>
      </c>
      <c r="G183" s="17">
        <v>0.75</v>
      </c>
      <c r="H183" s="17">
        <v>1.0</v>
      </c>
      <c r="I183" s="17">
        <v>0.25</v>
      </c>
      <c r="J183" s="17">
        <v>0.625</v>
      </c>
      <c r="K183" s="17">
        <v>0.760656692692137</v>
      </c>
      <c r="L183" s="17">
        <v>0.782786885204316</v>
      </c>
      <c r="M183" s="17">
        <v>0.208333333349999</v>
      </c>
      <c r="N183" s="17">
        <v>0.7734</v>
      </c>
      <c r="O183" s="17">
        <v>0.88662063444411</v>
      </c>
      <c r="P183" s="17">
        <v>0.49371577443412</v>
      </c>
      <c r="Q183" s="17">
        <v>0.661864847284062</v>
      </c>
    </row>
    <row r="184">
      <c r="A184" s="17" t="s">
        <v>63</v>
      </c>
      <c r="B184" s="17" t="s">
        <v>638</v>
      </c>
      <c r="C184" s="17" t="s">
        <v>68</v>
      </c>
      <c r="D184" s="17" t="s">
        <v>661</v>
      </c>
      <c r="E184" s="56">
        <v>45616.0</v>
      </c>
      <c r="F184" s="17">
        <v>0.75</v>
      </c>
      <c r="G184" s="17">
        <v>0.375</v>
      </c>
      <c r="H184" s="17">
        <v>1.0</v>
      </c>
      <c r="I184" s="17">
        <v>0.75</v>
      </c>
      <c r="J184" s="17">
        <v>0.625</v>
      </c>
      <c r="K184" s="17">
        <v>0.271962602002682</v>
      </c>
      <c r="L184" s="17">
        <v>0.639508928537987</v>
      </c>
      <c r="M184" s="17">
        <v>0.566037736</v>
      </c>
      <c r="N184" s="17">
        <v>0.9445</v>
      </c>
      <c r="O184" s="17">
        <v>0.972230561392975</v>
      </c>
      <c r="P184" s="17">
        <v>0.530927728535931</v>
      </c>
      <c r="Q184" s="17">
        <v>0.675015232406325</v>
      </c>
    </row>
    <row r="185">
      <c r="A185" s="17" t="s">
        <v>63</v>
      </c>
      <c r="B185" s="17" t="s">
        <v>638</v>
      </c>
      <c r="C185" s="17" t="s">
        <v>70</v>
      </c>
      <c r="D185" s="17" t="s">
        <v>662</v>
      </c>
      <c r="E185" s="56">
        <v>45616.0</v>
      </c>
      <c r="F185" s="17">
        <v>0.5</v>
      </c>
      <c r="G185" s="17">
        <v>1.0</v>
      </c>
      <c r="H185" s="17">
        <v>0.285714285714285</v>
      </c>
      <c r="I185" s="17">
        <v>0.75</v>
      </c>
      <c r="J185" s="17">
        <v>0.625</v>
      </c>
      <c r="K185" s="17">
        <v>0.624432502539771</v>
      </c>
      <c r="L185" s="17">
        <v>0.238749999993882</v>
      </c>
      <c r="M185" s="17">
        <v>0.412371134</v>
      </c>
      <c r="N185" s="17">
        <v>0.9929</v>
      </c>
      <c r="O185" s="17">
        <v>0.996447513259281</v>
      </c>
      <c r="P185" s="17">
        <v>0.58111075211938</v>
      </c>
      <c r="Q185" s="17">
        <v>0.636975107966054</v>
      </c>
    </row>
    <row r="186">
      <c r="A186" s="17" t="s">
        <v>63</v>
      </c>
      <c r="B186" s="17" t="s">
        <v>638</v>
      </c>
      <c r="C186" s="17" t="s">
        <v>72</v>
      </c>
      <c r="D186" s="17" t="s">
        <v>663</v>
      </c>
      <c r="E186" s="56">
        <v>45616.0</v>
      </c>
      <c r="F186" s="17">
        <v>0.75</v>
      </c>
      <c r="G186" s="17">
        <v>0.375</v>
      </c>
      <c r="H186" s="17">
        <v>1.0</v>
      </c>
      <c r="I186" s="17">
        <v>0.25</v>
      </c>
      <c r="J186" s="17">
        <v>0.625</v>
      </c>
      <c r="K186" s="17">
        <v>0.659190560559992</v>
      </c>
      <c r="L186" s="17">
        <v>0.568452380949183</v>
      </c>
      <c r="M186" s="17">
        <v>0.316455696199999</v>
      </c>
      <c r="N186" s="17">
        <v>0.8442</v>
      </c>
      <c r="O186" s="17">
        <v>0.922045431802261</v>
      </c>
      <c r="P186" s="17">
        <v>0.570392048018245</v>
      </c>
      <c r="Q186" s="17">
        <v>0.625521465229971</v>
      </c>
    </row>
    <row r="187">
      <c r="A187" s="17" t="s">
        <v>63</v>
      </c>
      <c r="B187" s="17" t="s">
        <v>638</v>
      </c>
      <c r="C187" s="17" t="s">
        <v>74</v>
      </c>
      <c r="D187" s="17" t="s">
        <v>664</v>
      </c>
      <c r="E187" s="56">
        <v>45616.0</v>
      </c>
      <c r="F187" s="17">
        <v>0.75</v>
      </c>
      <c r="G187" s="17">
        <v>0.375</v>
      </c>
      <c r="H187" s="17">
        <v>1.0</v>
      </c>
      <c r="I187" s="17">
        <v>0.25</v>
      </c>
      <c r="J187" s="17">
        <v>0.625</v>
      </c>
      <c r="K187" s="17">
        <v>0.499111523687794</v>
      </c>
      <c r="L187" s="17">
        <v>0.590965346578606</v>
      </c>
      <c r="M187" s="17">
        <v>0.4255319149</v>
      </c>
      <c r="N187" s="17">
        <v>0.9883</v>
      </c>
      <c r="O187" s="17">
        <v>0.994145902131491</v>
      </c>
      <c r="P187" s="17">
        <v>0.607432358127962</v>
      </c>
      <c r="Q187" s="17">
        <v>0.645953367765986</v>
      </c>
    </row>
    <row r="188">
      <c r="A188" s="17" t="s">
        <v>63</v>
      </c>
      <c r="B188" s="17" t="s">
        <v>638</v>
      </c>
      <c r="C188" s="17" t="s">
        <v>76</v>
      </c>
      <c r="D188" s="17" t="s">
        <v>665</v>
      </c>
      <c r="E188" s="56">
        <v>45616.0</v>
      </c>
      <c r="F188" s="17">
        <v>0.5</v>
      </c>
      <c r="G188" s="17">
        <v>0.375</v>
      </c>
      <c r="H188" s="17">
        <v>1.0</v>
      </c>
      <c r="I188" s="17">
        <v>0.75</v>
      </c>
      <c r="J188" s="17">
        <v>0.625</v>
      </c>
      <c r="K188" s="17">
        <v>0.587787334050315</v>
      </c>
      <c r="L188" s="17">
        <v>0.191767068290711</v>
      </c>
      <c r="M188" s="17">
        <v>0.14644351465</v>
      </c>
      <c r="N188" s="17">
        <v>0.9942</v>
      </c>
      <c r="O188" s="17">
        <v>0.997097968578004</v>
      </c>
      <c r="P188" s="17">
        <v>0.47059646219469</v>
      </c>
      <c r="Q188" s="17">
        <v>0.603444758887611</v>
      </c>
    </row>
    <row r="189">
      <c r="A189" s="17" t="s">
        <v>63</v>
      </c>
      <c r="B189" s="17" t="s">
        <v>638</v>
      </c>
      <c r="C189" s="17" t="s">
        <v>78</v>
      </c>
      <c r="D189" s="17" t="s">
        <v>666</v>
      </c>
      <c r="E189" s="56">
        <v>45616.0</v>
      </c>
      <c r="F189" s="17">
        <v>1.0</v>
      </c>
      <c r="G189" s="17">
        <v>0.375</v>
      </c>
      <c r="H189" s="17">
        <v>1.0</v>
      </c>
      <c r="I189" s="17">
        <v>0.75</v>
      </c>
      <c r="J189" s="17">
        <v>0.625</v>
      </c>
      <c r="K189" s="17">
        <v>0.422923779113414</v>
      </c>
      <c r="L189" s="17">
        <v>0.32016283522117</v>
      </c>
      <c r="M189" s="17">
        <v>0.413385826749999</v>
      </c>
      <c r="N189" s="17">
        <v>0.9978</v>
      </c>
      <c r="O189" s="17">
        <v>0.998899229460622</v>
      </c>
      <c r="P189" s="17">
        <v>0.41476599107173</v>
      </c>
      <c r="Q189" s="17">
        <v>0.665267060146994</v>
      </c>
    </row>
    <row r="190">
      <c r="A190" s="17" t="s">
        <v>63</v>
      </c>
      <c r="B190" s="17" t="s">
        <v>638</v>
      </c>
      <c r="C190" s="17" t="s">
        <v>80</v>
      </c>
      <c r="D190" s="17" t="s">
        <v>667</v>
      </c>
      <c r="E190" s="56">
        <v>45616.0</v>
      </c>
      <c r="F190" s="17">
        <v>0.5</v>
      </c>
      <c r="G190" s="17">
        <v>1.0</v>
      </c>
      <c r="H190" s="17">
        <v>1.0</v>
      </c>
      <c r="I190" s="17">
        <v>0.75</v>
      </c>
      <c r="J190" s="17">
        <v>0.625</v>
      </c>
      <c r="K190" s="17">
        <v>0.632958155395904</v>
      </c>
      <c r="L190" s="17">
        <v>0.574532085594652</v>
      </c>
      <c r="M190" s="17">
        <v>0.28901734105</v>
      </c>
      <c r="N190" s="17">
        <v>0.965</v>
      </c>
      <c r="O190" s="17">
        <v>0.982487741418993</v>
      </c>
      <c r="P190" s="17">
        <v>0.379995660364565</v>
      </c>
      <c r="Q190" s="17">
        <v>0.699908271256737</v>
      </c>
    </row>
    <row r="191">
      <c r="A191" s="17" t="s">
        <v>63</v>
      </c>
      <c r="B191" s="17" t="s">
        <v>638</v>
      </c>
      <c r="C191" s="17" t="s">
        <v>82</v>
      </c>
      <c r="D191" s="17" t="s">
        <v>668</v>
      </c>
      <c r="E191" s="56">
        <v>45616.0</v>
      </c>
      <c r="F191" s="17">
        <v>0.75</v>
      </c>
      <c r="G191" s="17">
        <v>0.75</v>
      </c>
      <c r="H191" s="17">
        <v>0.285714285714285</v>
      </c>
      <c r="I191" s="17">
        <v>0.25</v>
      </c>
      <c r="J191" s="17">
        <v>0.625</v>
      </c>
      <c r="K191" s="17">
        <v>0.529152530454166</v>
      </c>
      <c r="L191" s="17">
        <v>0.453322784747133</v>
      </c>
      <c r="M191" s="17">
        <v>0.3642384106</v>
      </c>
      <c r="N191" s="17">
        <v>0.9413</v>
      </c>
      <c r="O191" s="17">
        <v>0.970629440608425</v>
      </c>
      <c r="P191" s="17">
        <v>0.321366168126134</v>
      </c>
      <c r="Q191" s="17">
        <v>0.567338510931831</v>
      </c>
    </row>
    <row r="192">
      <c r="A192" s="17" t="s">
        <v>84</v>
      </c>
      <c r="B192" s="17" t="s">
        <v>638</v>
      </c>
      <c r="C192" s="17" t="s">
        <v>85</v>
      </c>
      <c r="D192" s="17" t="s">
        <v>669</v>
      </c>
      <c r="E192" s="56">
        <v>45616.0</v>
      </c>
      <c r="F192" s="17">
        <v>0.75</v>
      </c>
      <c r="G192" s="17">
        <v>0.375</v>
      </c>
      <c r="H192" s="17">
        <v>1.0</v>
      </c>
      <c r="I192" s="17">
        <v>0.25</v>
      </c>
      <c r="J192" s="17">
        <v>0.625</v>
      </c>
      <c r="K192" s="17">
        <v>0.693981527620715</v>
      </c>
      <c r="L192" s="17">
        <v>0.519021739122325</v>
      </c>
      <c r="M192" s="17">
        <v>0.16</v>
      </c>
      <c r="N192" s="17">
        <v>0.9967</v>
      </c>
      <c r="O192" s="17">
        <v>0.998348844190933</v>
      </c>
      <c r="P192" s="17">
        <v>0.603649687166686</v>
      </c>
      <c r="Q192" s="17">
        <v>0.633791072554605</v>
      </c>
    </row>
    <row r="193">
      <c r="A193" s="17" t="s">
        <v>84</v>
      </c>
      <c r="B193" s="17" t="s">
        <v>638</v>
      </c>
      <c r="C193" s="17" t="s">
        <v>87</v>
      </c>
      <c r="D193" s="17" t="s">
        <v>670</v>
      </c>
      <c r="E193" s="56">
        <v>45616.0</v>
      </c>
      <c r="F193" s="17">
        <v>1.0</v>
      </c>
      <c r="G193" s="17">
        <v>0.375</v>
      </c>
      <c r="H193" s="17">
        <v>1.0</v>
      </c>
      <c r="I193" s="17">
        <v>1.0</v>
      </c>
      <c r="J193" s="17">
        <v>0.625</v>
      </c>
      <c r="K193" s="17">
        <v>0.677141419255111</v>
      </c>
      <c r="L193" s="17">
        <v>0.459134615354484</v>
      </c>
      <c r="M193" s="17">
        <v>0.532786884999999</v>
      </c>
      <c r="N193" s="17">
        <v>0.9782</v>
      </c>
      <c r="O193" s="17">
        <v>0.989092364655258</v>
      </c>
      <c r="P193" s="17">
        <v>0.477221774183843</v>
      </c>
      <c r="Q193" s="17">
        <v>0.737597914404427</v>
      </c>
    </row>
    <row r="194">
      <c r="A194" s="17" t="s">
        <v>84</v>
      </c>
      <c r="B194" s="17" t="s">
        <v>638</v>
      </c>
      <c r="C194" s="17" t="s">
        <v>89</v>
      </c>
      <c r="D194" s="17" t="s">
        <v>671</v>
      </c>
      <c r="E194" s="56">
        <v>45616.0</v>
      </c>
      <c r="F194" s="17">
        <v>1.0</v>
      </c>
      <c r="G194" s="17">
        <v>1.0</v>
      </c>
      <c r="H194" s="17">
        <v>1.0</v>
      </c>
      <c r="I194" s="17">
        <v>0.25</v>
      </c>
      <c r="J194" s="17">
        <v>0.625</v>
      </c>
      <c r="K194" s="17">
        <v>0.557574578636046</v>
      </c>
      <c r="L194" s="17">
        <v>0.167348130851336</v>
      </c>
      <c r="M194" s="17">
        <v>0.10152284265</v>
      </c>
      <c r="N194" s="17">
        <v>0.9917</v>
      </c>
      <c r="O194" s="17">
        <v>0.995847092965075</v>
      </c>
      <c r="P194" s="17">
        <v>0.514666625652032</v>
      </c>
      <c r="Q194" s="17">
        <v>0.654878115523135</v>
      </c>
    </row>
    <row r="195">
      <c r="A195" s="17" t="s">
        <v>84</v>
      </c>
      <c r="B195" s="17" t="s">
        <v>638</v>
      </c>
      <c r="C195" s="17" t="s">
        <v>91</v>
      </c>
      <c r="D195" s="17" t="s">
        <v>672</v>
      </c>
      <c r="E195" s="56">
        <v>45616.0</v>
      </c>
      <c r="F195" s="17">
        <v>0.75</v>
      </c>
      <c r="G195" s="17">
        <v>0.375</v>
      </c>
      <c r="H195" s="17">
        <v>1.0</v>
      </c>
      <c r="I195" s="17">
        <v>0.25</v>
      </c>
      <c r="J195" s="17">
        <v>0.625</v>
      </c>
      <c r="K195" s="17">
        <v>0.708556802534606</v>
      </c>
      <c r="L195" s="17">
        <v>0.56308962261807</v>
      </c>
      <c r="M195" s="17">
        <v>0.35</v>
      </c>
      <c r="N195" s="17">
        <v>0.9776</v>
      </c>
      <c r="O195" s="17">
        <v>0.988792154508155</v>
      </c>
      <c r="P195" s="17">
        <v>0.631019832666995</v>
      </c>
      <c r="Q195" s="17">
        <v>0.656278037484348</v>
      </c>
    </row>
    <row r="196">
      <c r="A196" s="17" t="s">
        <v>84</v>
      </c>
      <c r="B196" s="17" t="s">
        <v>638</v>
      </c>
      <c r="C196" s="17" t="s">
        <v>93</v>
      </c>
      <c r="D196" s="17" t="s">
        <v>673</v>
      </c>
      <c r="E196" s="56">
        <v>45616.0</v>
      </c>
      <c r="F196" s="17">
        <v>1.0</v>
      </c>
      <c r="G196" s="17">
        <v>0.375</v>
      </c>
      <c r="H196" s="17">
        <v>1.0</v>
      </c>
      <c r="I196" s="17">
        <v>0.75</v>
      </c>
      <c r="J196" s="17">
        <v>0.625</v>
      </c>
      <c r="K196" s="17">
        <v>0.598014328632288</v>
      </c>
      <c r="L196" s="17">
        <v>0.239949748706976</v>
      </c>
      <c r="M196" s="17">
        <v>0.134408602149999</v>
      </c>
      <c r="N196" s="17">
        <v>0.9905</v>
      </c>
      <c r="O196" s="17">
        <v>0.995246672670869</v>
      </c>
      <c r="P196" s="17">
        <v>0.446959547560022</v>
      </c>
      <c r="Q196" s="17">
        <v>0.650461718156377</v>
      </c>
    </row>
    <row r="197">
      <c r="A197" s="17" t="s">
        <v>84</v>
      </c>
      <c r="B197" s="17" t="s">
        <v>638</v>
      </c>
      <c r="C197" s="17" t="s">
        <v>95</v>
      </c>
      <c r="D197" s="17" t="s">
        <v>674</v>
      </c>
      <c r="E197" s="56">
        <v>45616.0</v>
      </c>
      <c r="F197" s="17">
        <v>0.75</v>
      </c>
      <c r="G197" s="17">
        <v>1.0</v>
      </c>
      <c r="H197" s="17">
        <v>1.0</v>
      </c>
      <c r="I197" s="17">
        <v>0.25</v>
      </c>
      <c r="J197" s="17">
        <v>0.625</v>
      </c>
      <c r="K197" s="17">
        <v>0.556420429125632</v>
      </c>
      <c r="L197" s="17">
        <v>0.435221354115722</v>
      </c>
      <c r="M197" s="17">
        <v>0.3125</v>
      </c>
      <c r="N197" s="17">
        <v>0.9718</v>
      </c>
      <c r="O197" s="17">
        <v>0.98589012308616</v>
      </c>
      <c r="P197" s="17">
        <v>0.339087286252754</v>
      </c>
      <c r="Q197" s="17">
        <v>0.656901744780024</v>
      </c>
    </row>
    <row r="198">
      <c r="A198" s="17" t="s">
        <v>84</v>
      </c>
      <c r="B198" s="17" t="s">
        <v>638</v>
      </c>
      <c r="C198" s="17" t="s">
        <v>97</v>
      </c>
      <c r="D198" s="17" t="s">
        <v>675</v>
      </c>
      <c r="E198" s="56">
        <v>45616.0</v>
      </c>
      <c r="F198" s="17">
        <v>1.0</v>
      </c>
      <c r="G198" s="17">
        <v>0.375</v>
      </c>
      <c r="H198" s="17">
        <v>1.0</v>
      </c>
      <c r="I198" s="17">
        <v>0.25</v>
      </c>
      <c r="J198" s="17">
        <v>0.625</v>
      </c>
      <c r="K198" s="17">
        <v>0.684622250361242</v>
      </c>
      <c r="L198" s="17">
        <v>0.378968254005913</v>
      </c>
      <c r="M198" s="17">
        <v>0.408450704249999</v>
      </c>
      <c r="N198" s="17">
        <v>0.9947</v>
      </c>
      <c r="O198" s="17">
        <v>0.99734814370059</v>
      </c>
      <c r="P198" s="17">
        <v>0.452107358689607</v>
      </c>
      <c r="Q198" s="17">
        <v>0.651472428273395</v>
      </c>
    </row>
    <row r="199">
      <c r="A199" s="17" t="s">
        <v>84</v>
      </c>
      <c r="B199" s="17" t="s">
        <v>638</v>
      </c>
      <c r="C199" s="17" t="s">
        <v>99</v>
      </c>
      <c r="D199" s="17" t="s">
        <v>676</v>
      </c>
      <c r="E199" s="56">
        <v>45616.0</v>
      </c>
      <c r="F199" s="17">
        <v>1.0</v>
      </c>
      <c r="G199" s="17">
        <v>1.0</v>
      </c>
      <c r="H199" s="17">
        <v>1.0</v>
      </c>
      <c r="I199" s="17">
        <v>0.75</v>
      </c>
      <c r="J199" s="17">
        <v>0.625</v>
      </c>
      <c r="K199" s="17">
        <v>0.500128426997148</v>
      </c>
      <c r="L199" s="17">
        <v>0.369494047581156</v>
      </c>
      <c r="M199" s="17">
        <v>0.1597051597</v>
      </c>
      <c r="N199" s="17">
        <v>0.9981</v>
      </c>
      <c r="O199" s="17">
        <v>0.999049334534173</v>
      </c>
      <c r="P199" s="17">
        <v>0.554329708202936</v>
      </c>
      <c r="Q199" s="17">
        <v>0.723255152455947</v>
      </c>
    </row>
    <row r="200">
      <c r="A200" s="17" t="s">
        <v>84</v>
      </c>
      <c r="B200" s="17" t="s">
        <v>638</v>
      </c>
      <c r="C200" s="17" t="s">
        <v>101</v>
      </c>
      <c r="D200" s="17" t="s">
        <v>677</v>
      </c>
      <c r="E200" s="56">
        <v>45616.0</v>
      </c>
      <c r="F200" s="17">
        <v>0.75</v>
      </c>
      <c r="G200" s="17">
        <v>1.0</v>
      </c>
      <c r="H200" s="17">
        <v>1.0</v>
      </c>
      <c r="I200" s="17">
        <v>1.0</v>
      </c>
      <c r="J200" s="17">
        <v>0.625</v>
      </c>
      <c r="K200" s="17">
        <v>0.840452165677138</v>
      </c>
      <c r="L200" s="17">
        <v>0.493285123959234</v>
      </c>
      <c r="M200" s="17">
        <v>0.160256410249999</v>
      </c>
      <c r="N200" s="17">
        <v>0.998</v>
      </c>
      <c r="O200" s="17">
        <v>3.00210147102994E-4</v>
      </c>
      <c r="P200" s="17">
        <v>0.527496789096175</v>
      </c>
      <c r="Q200" s="17">
        <v>0.672253699920877</v>
      </c>
    </row>
    <row r="201">
      <c r="A201" s="17" t="s">
        <v>84</v>
      </c>
      <c r="B201" s="17" t="s">
        <v>638</v>
      </c>
      <c r="C201" s="17" t="s">
        <v>103</v>
      </c>
      <c r="D201" s="17" t="s">
        <v>678</v>
      </c>
      <c r="E201" s="56">
        <v>45616.0</v>
      </c>
      <c r="F201" s="17">
        <v>1.0</v>
      </c>
      <c r="G201" s="17">
        <v>0.375</v>
      </c>
      <c r="H201" s="17">
        <v>1.0</v>
      </c>
      <c r="I201" s="17">
        <v>1.0</v>
      </c>
      <c r="J201" s="17">
        <v>0.625</v>
      </c>
      <c r="K201" s="17">
        <v>0.62094688267892</v>
      </c>
      <c r="L201" s="17">
        <v>0.38047808763775</v>
      </c>
      <c r="M201" s="17">
        <v>0.408805031449999</v>
      </c>
      <c r="N201" s="17">
        <v>0.9968</v>
      </c>
      <c r="O201" s="17">
        <v>0.99839887921545</v>
      </c>
      <c r="P201" s="17">
        <v>0.433151673650166</v>
      </c>
      <c r="Q201" s="17">
        <v>0.712598232239298</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 t="s">
        <v>0</v>
      </c>
      <c r="B1" s="17" t="s">
        <v>1</v>
      </c>
      <c r="C1" s="17" t="s">
        <v>2</v>
      </c>
      <c r="D1" s="17" t="s">
        <v>3</v>
      </c>
      <c r="E1" s="17" t="s">
        <v>4</v>
      </c>
      <c r="F1" s="17" t="s">
        <v>5</v>
      </c>
      <c r="G1" s="17" t="s">
        <v>6</v>
      </c>
      <c r="H1" s="17" t="s">
        <v>7</v>
      </c>
      <c r="I1" s="17" t="s">
        <v>8</v>
      </c>
      <c r="J1" s="17" t="s">
        <v>9</v>
      </c>
      <c r="K1" s="17" t="s">
        <v>12</v>
      </c>
      <c r="L1" s="17" t="s">
        <v>15</v>
      </c>
      <c r="M1" s="17" t="s">
        <v>16</v>
      </c>
      <c r="N1" s="17" t="s">
        <v>17</v>
      </c>
      <c r="O1" s="17" t="s">
        <v>18</v>
      </c>
      <c r="P1" s="17" t="s">
        <v>19</v>
      </c>
      <c r="Q1" s="17" t="s">
        <v>717</v>
      </c>
    </row>
    <row r="2">
      <c r="A2" s="17" t="s">
        <v>20</v>
      </c>
      <c r="B2" s="17" t="s">
        <v>679</v>
      </c>
      <c r="C2" s="17" t="s">
        <v>22</v>
      </c>
      <c r="D2" s="17" t="s">
        <v>680</v>
      </c>
      <c r="E2" s="18">
        <v>45631.0</v>
      </c>
      <c r="F2" s="17">
        <v>1.0</v>
      </c>
      <c r="G2" s="17">
        <v>0.0</v>
      </c>
      <c r="H2" s="17">
        <v>0.0</v>
      </c>
      <c r="I2" s="17">
        <v>0.0</v>
      </c>
      <c r="J2" s="17">
        <v>1.0</v>
      </c>
      <c r="K2" s="17">
        <v>0.421672830155168</v>
      </c>
      <c r="L2" s="17">
        <v>0.423076923055769</v>
      </c>
      <c r="M2" s="17">
        <v>0.487272727206281</v>
      </c>
      <c r="N2" s="17">
        <v>0.867107832501627</v>
      </c>
      <c r="O2" s="17">
        <v>0.938109432627696</v>
      </c>
      <c r="P2" s="17">
        <v>0.159692320819805</v>
      </c>
      <c r="Q2" s="17">
        <v>0.481539278760577</v>
      </c>
    </row>
    <row r="3">
      <c r="A3" s="17" t="s">
        <v>20</v>
      </c>
      <c r="B3" s="17" t="s">
        <v>679</v>
      </c>
      <c r="C3" s="17" t="s">
        <v>24</v>
      </c>
      <c r="D3" s="17" t="s">
        <v>681</v>
      </c>
      <c r="E3" s="18">
        <v>45631.0</v>
      </c>
      <c r="F3" s="17">
        <v>0.5</v>
      </c>
      <c r="G3" s="17">
        <v>1.0</v>
      </c>
      <c r="H3" s="17">
        <v>0.0</v>
      </c>
      <c r="I3" s="17">
        <v>0.0</v>
      </c>
      <c r="J3" s="17">
        <v>0.0</v>
      </c>
      <c r="K3" s="17">
        <v>0.668246033099068</v>
      </c>
      <c r="L3" s="17">
        <v>0.687499999993124</v>
      </c>
      <c r="M3" s="17">
        <v>0.412942989160962</v>
      </c>
      <c r="N3" s="17">
        <v>0.938055977435452</v>
      </c>
      <c r="O3" s="17">
        <v>0.971151417167685</v>
      </c>
      <c r="P3" s="17">
        <v>0.244725194249299</v>
      </c>
      <c r="Q3" s="17">
        <v>0.492965601009599</v>
      </c>
    </row>
    <row r="4">
      <c r="A4" s="17" t="s">
        <v>20</v>
      </c>
      <c r="B4" s="17" t="s">
        <v>679</v>
      </c>
      <c r="C4" s="17" t="s">
        <v>26</v>
      </c>
      <c r="D4" s="17" t="s">
        <v>682</v>
      </c>
      <c r="E4" s="18">
        <v>45631.0</v>
      </c>
      <c r="F4" s="17">
        <v>0.0</v>
      </c>
      <c r="G4" s="17">
        <v>0.75</v>
      </c>
      <c r="H4" s="17">
        <v>0.0</v>
      </c>
      <c r="I4" s="17">
        <v>0.0</v>
      </c>
      <c r="J4" s="17">
        <v>0.0</v>
      </c>
      <c r="K4" s="17">
        <v>0.69673714643596</v>
      </c>
      <c r="L4" s="17">
        <v>0.67692307693323</v>
      </c>
      <c r="M4" s="17">
        <v>0.722650231046911</v>
      </c>
      <c r="N4" s="17">
        <v>0.929160338468214</v>
      </c>
      <c r="O4" s="17">
        <v>0.967008538372151</v>
      </c>
      <c r="P4" s="17">
        <v>0.136461690282474</v>
      </c>
      <c r="Q4" s="17">
        <v>0.443540092867176</v>
      </c>
    </row>
    <row r="5">
      <c r="A5" s="17" t="s">
        <v>20</v>
      </c>
      <c r="B5" s="17" t="s">
        <v>679</v>
      </c>
      <c r="C5" s="17" t="s">
        <v>28</v>
      </c>
      <c r="D5" s="17" t="s">
        <v>683</v>
      </c>
      <c r="E5" s="18">
        <v>45631.0</v>
      </c>
      <c r="F5" s="17">
        <v>0.0</v>
      </c>
      <c r="G5" s="17">
        <v>0.0</v>
      </c>
      <c r="H5" s="17">
        <v>0.0</v>
      </c>
      <c r="I5" s="17">
        <v>0.0</v>
      </c>
      <c r="J5" s="17">
        <v>0.0</v>
      </c>
      <c r="K5" s="17">
        <v>0.801034578112155</v>
      </c>
      <c r="L5" s="17">
        <v>0.0</v>
      </c>
      <c r="M5" s="17">
        <v>0.553719008194492</v>
      </c>
      <c r="N5" s="17">
        <v>0.941093512692558</v>
      </c>
      <c r="O5" s="17">
        <v>0.972566058707623</v>
      </c>
      <c r="P5" s="17">
        <v>0.106419477345113</v>
      </c>
      <c r="Q5" s="17">
        <v>0.306802966822904</v>
      </c>
    </row>
    <row r="6">
      <c r="A6" s="17" t="s">
        <v>20</v>
      </c>
      <c r="B6" s="17" t="s">
        <v>679</v>
      </c>
      <c r="C6" s="17" t="s">
        <v>30</v>
      </c>
      <c r="D6" s="17" t="s">
        <v>684</v>
      </c>
      <c r="E6" s="18">
        <v>45631.0</v>
      </c>
      <c r="F6" s="17">
        <v>1.0</v>
      </c>
      <c r="G6" s="17">
        <v>0.0</v>
      </c>
      <c r="H6" s="17">
        <v>0.0</v>
      </c>
      <c r="I6" s="17">
        <v>0.0</v>
      </c>
      <c r="J6" s="17">
        <v>0.0</v>
      </c>
      <c r="K6" s="17">
        <v>0.376877627159747</v>
      </c>
      <c r="L6" s="17">
        <v>0.282051282037179</v>
      </c>
      <c r="M6" s="17">
        <v>0.32923832916874</v>
      </c>
      <c r="N6" s="17">
        <v>0.934584508570188</v>
      </c>
      <c r="O6" s="17">
        <v>0.969534683979184</v>
      </c>
      <c r="P6" s="17">
        <v>0.247764169609309</v>
      </c>
      <c r="Q6" s="17">
        <v>0.376368236411304</v>
      </c>
    </row>
    <row r="7">
      <c r="A7" s="17" t="s">
        <v>20</v>
      </c>
      <c r="B7" s="17" t="s">
        <v>679</v>
      </c>
      <c r="C7" s="17" t="s">
        <v>32</v>
      </c>
      <c r="D7" s="17" t="s">
        <v>685</v>
      </c>
      <c r="E7" s="18">
        <v>45631.0</v>
      </c>
      <c r="F7" s="17">
        <v>1.0</v>
      </c>
      <c r="G7" s="17">
        <v>0.0</v>
      </c>
      <c r="H7" s="17">
        <v>0.0</v>
      </c>
      <c r="I7" s="17">
        <v>0.0</v>
      </c>
      <c r="J7" s="17">
        <v>0.0</v>
      </c>
      <c r="K7" s="17">
        <v>0.278288641914377</v>
      </c>
      <c r="L7" s="17">
        <v>0.349206349246507</v>
      </c>
      <c r="M7" s="17">
        <v>0.898658718168364</v>
      </c>
      <c r="N7" s="17">
        <v>0.749620308092861</v>
      </c>
      <c r="O7" s="17">
        <v>0.883393118779366</v>
      </c>
      <c r="P7" s="17">
        <v>0.29537478681171</v>
      </c>
      <c r="Q7" s="17">
        <v>0.404958356637562</v>
      </c>
    </row>
    <row r="8">
      <c r="A8" s="17" t="s">
        <v>20</v>
      </c>
      <c r="B8" s="17" t="s">
        <v>679</v>
      </c>
      <c r="C8" s="17" t="s">
        <v>34</v>
      </c>
      <c r="D8" s="17" t="s">
        <v>686</v>
      </c>
      <c r="E8" s="18">
        <v>45631.0</v>
      </c>
      <c r="F8" s="17">
        <v>0.0</v>
      </c>
      <c r="G8" s="17">
        <v>0.0</v>
      </c>
      <c r="H8" s="17">
        <v>0.0</v>
      </c>
      <c r="I8" s="17">
        <v>0.0</v>
      </c>
      <c r="J8" s="17">
        <v>0.0</v>
      </c>
      <c r="K8" s="17">
        <v>0.129328035136831</v>
      </c>
      <c r="L8" s="17">
        <v>0.44897959182551</v>
      </c>
      <c r="M8" s="17">
        <v>0.388781431256984</v>
      </c>
      <c r="N8" s="17">
        <v>0.95747450640052</v>
      </c>
      <c r="O8" s="17">
        <v>0.980195018440863</v>
      </c>
      <c r="P8" s="17">
        <v>0.194140205938552</v>
      </c>
      <c r="Q8" s="17">
        <v>0.281718071727205</v>
      </c>
    </row>
    <row r="9">
      <c r="A9" s="17" t="s">
        <v>20</v>
      </c>
      <c r="B9" s="17" t="s">
        <v>679</v>
      </c>
      <c r="C9" s="17" t="s">
        <v>36</v>
      </c>
      <c r="D9" s="17" t="s">
        <v>686</v>
      </c>
      <c r="E9" s="18">
        <v>45631.0</v>
      </c>
      <c r="F9" s="17">
        <v>0.0</v>
      </c>
      <c r="G9" s="17">
        <v>0.0</v>
      </c>
      <c r="H9" s="17">
        <v>0.0</v>
      </c>
      <c r="I9" s="17">
        <v>0.0</v>
      </c>
      <c r="J9" s="17">
        <v>0.0</v>
      </c>
      <c r="K9" s="17">
        <v>0.82978529594775</v>
      </c>
      <c r="L9" s="17">
        <v>0.56896551722431</v>
      </c>
      <c r="M9" s="17">
        <v>0.553719008194492</v>
      </c>
      <c r="N9" s="17">
        <v>0.384248210023866</v>
      </c>
      <c r="O9" s="17">
        <v>0.713231950689637</v>
      </c>
      <c r="P9" s="17">
        <v>0.426670756368013</v>
      </c>
      <c r="Q9" s="17">
        <v>0.316056430768006</v>
      </c>
    </row>
    <row r="10">
      <c r="A10" s="17" t="s">
        <v>20</v>
      </c>
      <c r="B10" s="17" t="s">
        <v>679</v>
      </c>
      <c r="C10" s="17" t="s">
        <v>38</v>
      </c>
      <c r="D10" s="17" t="s">
        <v>687</v>
      </c>
      <c r="E10" s="18">
        <v>45631.0</v>
      </c>
      <c r="F10" s="17">
        <v>1.0</v>
      </c>
      <c r="G10" s="17">
        <v>0.0</v>
      </c>
      <c r="H10" s="17">
        <v>0.0</v>
      </c>
      <c r="I10" s="17">
        <v>0.0</v>
      </c>
      <c r="J10" s="17">
        <v>0.0</v>
      </c>
      <c r="K10" s="17">
        <v>0.829785258966164</v>
      </c>
      <c r="L10" s="17">
        <v>0.183333333368166</v>
      </c>
      <c r="M10" s="17">
        <v>0.534290271086233</v>
      </c>
      <c r="N10" s="17">
        <v>0.889455413321761</v>
      </c>
      <c r="O10" s="17">
        <v>0.948517152528671</v>
      </c>
      <c r="P10" s="17">
        <v>0.183945683060444</v>
      </c>
      <c r="Q10" s="17">
        <v>0.415393373848312</v>
      </c>
    </row>
    <row r="11">
      <c r="A11" s="17" t="s">
        <v>20</v>
      </c>
      <c r="B11" s="17" t="s">
        <v>679</v>
      </c>
      <c r="C11" s="17" t="s">
        <v>40</v>
      </c>
      <c r="D11" s="17" t="s">
        <v>688</v>
      </c>
      <c r="E11" s="18">
        <v>45631.0</v>
      </c>
      <c r="F11" s="17">
        <v>0.5</v>
      </c>
      <c r="G11" s="17">
        <v>0.0</v>
      </c>
      <c r="H11" s="17">
        <v>0.0</v>
      </c>
      <c r="I11" s="17">
        <v>0.0</v>
      </c>
      <c r="J11" s="17">
        <v>0.0</v>
      </c>
      <c r="K11" s="17">
        <v>0.0</v>
      </c>
      <c r="L11" s="17">
        <v>0.392857142806071</v>
      </c>
      <c r="M11" s="17">
        <v>0.804459691153937</v>
      </c>
      <c r="N11" s="17">
        <v>0.352679540030375</v>
      </c>
      <c r="O11" s="17">
        <v>0.29202243217299</v>
      </c>
      <c r="P11" s="17">
        <v>0.0770388649597262</v>
      </c>
      <c r="Q11" s="17">
        <v>0.219914333738463</v>
      </c>
    </row>
    <row r="12">
      <c r="A12" s="17" t="s">
        <v>42</v>
      </c>
      <c r="B12" s="17" t="s">
        <v>679</v>
      </c>
      <c r="C12" s="17" t="s">
        <v>43</v>
      </c>
      <c r="D12" s="17" t="s">
        <v>689</v>
      </c>
      <c r="E12" s="18">
        <v>45631.0</v>
      </c>
      <c r="F12" s="17">
        <v>1.0</v>
      </c>
      <c r="G12" s="17">
        <v>1.0</v>
      </c>
      <c r="H12" s="17">
        <v>0.0</v>
      </c>
      <c r="I12" s="17">
        <v>0.0</v>
      </c>
      <c r="J12" s="17">
        <v>0.0</v>
      </c>
      <c r="K12" s="17">
        <v>0.440938360549225</v>
      </c>
      <c r="L12" s="17">
        <v>0.44897959182551</v>
      </c>
      <c r="M12" s="17">
        <v>0.259187620858292</v>
      </c>
      <c r="N12" s="17">
        <v>0.773920590149707</v>
      </c>
      <c r="O12" s="17">
        <v>0.894710251098873</v>
      </c>
      <c r="P12" s="17">
        <v>0.380316220885753</v>
      </c>
      <c r="Q12" s="17">
        <v>0.472550239578851</v>
      </c>
    </row>
    <row r="13">
      <c r="A13" s="17" t="s">
        <v>42</v>
      </c>
      <c r="B13" s="17" t="s">
        <v>679</v>
      </c>
      <c r="C13" s="17" t="s">
        <v>45</v>
      </c>
      <c r="D13" s="17" t="s">
        <v>690</v>
      </c>
      <c r="E13" s="18">
        <v>45631.0</v>
      </c>
      <c r="F13" s="17">
        <v>1.0</v>
      </c>
      <c r="G13" s="17">
        <v>0.0</v>
      </c>
      <c r="H13" s="17">
        <v>0.0</v>
      </c>
      <c r="I13" s="17">
        <v>0.0</v>
      </c>
      <c r="J13" s="17">
        <v>0.0</v>
      </c>
      <c r="K13" s="17">
        <v>0.607619429940575</v>
      </c>
      <c r="L13" s="17">
        <v>0.282051282037179</v>
      </c>
      <c r="M13" s="17">
        <v>0.338383838364765</v>
      </c>
      <c r="N13" s="17">
        <v>0.756454762421349</v>
      </c>
      <c r="O13" s="17">
        <v>0.886576062244227</v>
      </c>
      <c r="P13" s="17">
        <v>0.0</v>
      </c>
      <c r="Q13" s="17">
        <v>0.351916852273463</v>
      </c>
    </row>
    <row r="14">
      <c r="A14" s="17" t="s">
        <v>42</v>
      </c>
      <c r="B14" s="17" t="s">
        <v>679</v>
      </c>
      <c r="C14" s="17" t="s">
        <v>47</v>
      </c>
      <c r="D14" s="17" t="s">
        <v>691</v>
      </c>
      <c r="E14" s="18">
        <v>45631.0</v>
      </c>
      <c r="F14" s="17">
        <v>1.0</v>
      </c>
      <c r="G14" s="17">
        <v>1.0</v>
      </c>
      <c r="H14" s="17">
        <v>0.0</v>
      </c>
      <c r="I14" s="17">
        <v>0.0</v>
      </c>
      <c r="J14" s="17">
        <v>0.0</v>
      </c>
      <c r="K14" s="17">
        <v>0.494294747468101</v>
      </c>
      <c r="L14" s="17">
        <v>0.423076923055769</v>
      </c>
      <c r="M14" s="17">
        <v>0.132411067146489</v>
      </c>
      <c r="N14" s="17">
        <v>0.903449772184855</v>
      </c>
      <c r="O14" s="17">
        <v>0.955034608194816</v>
      </c>
      <c r="P14" s="17">
        <v>0.341154225991089</v>
      </c>
      <c r="Q14" s="17">
        <v>0.477220122185556</v>
      </c>
    </row>
    <row r="15">
      <c r="A15" s="17" t="s">
        <v>42</v>
      </c>
      <c r="B15" s="17" t="s">
        <v>679</v>
      </c>
      <c r="C15" s="17" t="s">
        <v>49</v>
      </c>
      <c r="D15" s="17" t="s">
        <v>692</v>
      </c>
      <c r="E15" s="18">
        <v>45631.0</v>
      </c>
      <c r="F15" s="17">
        <v>0.0</v>
      </c>
      <c r="G15" s="17">
        <v>0.0</v>
      </c>
      <c r="H15" s="17">
        <v>0.0</v>
      </c>
      <c r="I15" s="17">
        <v>0.0</v>
      </c>
      <c r="J15" s="17">
        <v>0.0</v>
      </c>
      <c r="K15" s="17">
        <v>0.454206028427547</v>
      </c>
      <c r="L15" s="17">
        <v>0.38596491229614</v>
      </c>
      <c r="M15" s="17">
        <v>0.45969125206186</v>
      </c>
      <c r="N15" s="17">
        <v>0.665654154914298</v>
      </c>
      <c r="O15" s="17">
        <v>0.844288384782498</v>
      </c>
      <c r="P15" s="17">
        <v>0.223132473146555</v>
      </c>
      <c r="Q15" s="17">
        <v>0.275721564148081</v>
      </c>
    </row>
    <row r="16">
      <c r="A16" s="17" t="s">
        <v>42</v>
      </c>
      <c r="B16" s="17" t="s">
        <v>679</v>
      </c>
      <c r="C16" s="17" t="s">
        <v>51</v>
      </c>
      <c r="D16" s="17" t="s">
        <v>693</v>
      </c>
      <c r="E16" s="18">
        <v>45631.0</v>
      </c>
      <c r="F16" s="17">
        <v>0.0</v>
      </c>
      <c r="G16" s="17">
        <v>1.0</v>
      </c>
      <c r="H16" s="17">
        <v>1.0</v>
      </c>
      <c r="I16" s="17">
        <v>1.0</v>
      </c>
      <c r="J16" s="17">
        <v>0.0</v>
      </c>
      <c r="K16" s="17">
        <v>0.619018413150772</v>
      </c>
      <c r="L16" s="17">
        <v>0.0</v>
      </c>
      <c r="M16" s="17">
        <v>0.190340909064953</v>
      </c>
      <c r="N16" s="17">
        <v>0.580603167715339</v>
      </c>
      <c r="O16" s="17">
        <v>0.804678421664224</v>
      </c>
      <c r="P16" s="17">
        <v>0.360314800069716</v>
      </c>
      <c r="Q16" s="17">
        <v>0.504995973787727</v>
      </c>
    </row>
    <row r="17">
      <c r="A17" s="17" t="s">
        <v>42</v>
      </c>
      <c r="B17" s="17" t="s">
        <v>679</v>
      </c>
      <c r="C17" s="17" t="s">
        <v>53</v>
      </c>
      <c r="D17" s="17" t="s">
        <v>694</v>
      </c>
      <c r="E17" s="18">
        <v>45631.0</v>
      </c>
      <c r="F17" s="17">
        <v>0.0</v>
      </c>
      <c r="G17" s="17">
        <v>0.0</v>
      </c>
      <c r="H17" s="17">
        <v>0.0</v>
      </c>
      <c r="I17" s="17">
        <v>0.0</v>
      </c>
      <c r="J17" s="17">
        <v>0.0</v>
      </c>
      <c r="K17" s="17">
        <v>0.47547485366036</v>
      </c>
      <c r="L17" s="17">
        <v>0.407407407435925</v>
      </c>
      <c r="M17" s="17">
        <v>0.468531468448836</v>
      </c>
      <c r="N17" s="17">
        <v>0.881644608374918</v>
      </c>
      <c r="O17" s="17">
        <v>0.944879502854544</v>
      </c>
      <c r="P17" s="17">
        <v>0.432128686559278</v>
      </c>
      <c r="Q17" s="17">
        <v>0.32818786612126</v>
      </c>
    </row>
    <row r="18">
      <c r="A18" s="17" t="s">
        <v>42</v>
      </c>
      <c r="B18" s="17" t="s">
        <v>679</v>
      </c>
      <c r="C18" s="17" t="s">
        <v>55</v>
      </c>
      <c r="D18" s="17" t="s">
        <v>695</v>
      </c>
      <c r="E18" s="18">
        <v>45631.0</v>
      </c>
      <c r="F18" s="17">
        <v>1.0</v>
      </c>
      <c r="G18" s="17">
        <v>0.0</v>
      </c>
      <c r="H18" s="17">
        <v>1.0</v>
      </c>
      <c r="I18" s="17">
        <v>1.0</v>
      </c>
      <c r="J18" s="17">
        <v>0.0</v>
      </c>
      <c r="K18" s="17">
        <v>0.545390579466487</v>
      </c>
      <c r="L18" s="17">
        <v>0.0</v>
      </c>
      <c r="M18" s="17">
        <v>0.380681818129907</v>
      </c>
      <c r="N18" s="17">
        <v>0.637882403992189</v>
      </c>
      <c r="O18" s="17">
        <v>0.159197696155206</v>
      </c>
      <c r="P18" s="17">
        <v>0.435108074256512</v>
      </c>
      <c r="Q18" s="17">
        <v>0.468932779272754</v>
      </c>
    </row>
    <row r="19">
      <c r="A19" s="17" t="s">
        <v>42</v>
      </c>
      <c r="B19" s="17" t="s">
        <v>679</v>
      </c>
      <c r="C19" s="17" t="s">
        <v>57</v>
      </c>
      <c r="D19" s="17" t="s">
        <v>696</v>
      </c>
      <c r="E19" s="18">
        <v>45631.0</v>
      </c>
      <c r="F19" s="17">
        <v>0.0</v>
      </c>
      <c r="G19" s="17">
        <v>1.0</v>
      </c>
      <c r="H19" s="17">
        <v>0.0</v>
      </c>
      <c r="I19" s="17">
        <v>1.0</v>
      </c>
      <c r="J19" s="17">
        <v>0.0</v>
      </c>
      <c r="K19" s="17">
        <v>0.552435212790632</v>
      </c>
      <c r="L19" s="17">
        <v>1.0</v>
      </c>
      <c r="M19" s="17">
        <v>0.203030302982314</v>
      </c>
      <c r="N19" s="17">
        <v>0.703731829030158</v>
      </c>
      <c r="O19" s="17">
        <v>0.862021926943869</v>
      </c>
      <c r="P19" s="17">
        <v>0.169786819616406</v>
      </c>
      <c r="Q19" s="17">
        <v>0.499182371942125</v>
      </c>
    </row>
    <row r="20">
      <c r="A20" s="17" t="s">
        <v>42</v>
      </c>
      <c r="B20" s="17" t="s">
        <v>679</v>
      </c>
      <c r="C20" s="17" t="s">
        <v>59</v>
      </c>
      <c r="D20" s="17" t="s">
        <v>696</v>
      </c>
      <c r="E20" s="18">
        <v>45631.0</v>
      </c>
      <c r="F20" s="17">
        <v>0.0</v>
      </c>
      <c r="G20" s="17">
        <v>1.0</v>
      </c>
      <c r="H20" s="17">
        <v>0.0</v>
      </c>
      <c r="I20" s="17">
        <v>1.0</v>
      </c>
      <c r="J20" s="17">
        <v>0.0</v>
      </c>
      <c r="K20" s="17">
        <v>0.5354582603212</v>
      </c>
      <c r="L20" s="17">
        <v>0.26190476190738</v>
      </c>
      <c r="M20" s="17">
        <v>0.320574162651739</v>
      </c>
      <c r="N20" s="17">
        <v>0.0</v>
      </c>
      <c r="O20" s="17">
        <v>0.534279795887434</v>
      </c>
      <c r="P20" s="17">
        <v>0.701656875206154</v>
      </c>
      <c r="Q20" s="17">
        <v>0.395806714179446</v>
      </c>
    </row>
    <row r="21">
      <c r="A21" s="17" t="s">
        <v>42</v>
      </c>
      <c r="B21" s="17" t="s">
        <v>679</v>
      </c>
      <c r="C21" s="17" t="s">
        <v>61</v>
      </c>
      <c r="D21" s="17" t="s">
        <v>697</v>
      </c>
      <c r="E21" s="18">
        <v>45631.0</v>
      </c>
      <c r="F21" s="17">
        <v>0.0</v>
      </c>
      <c r="G21" s="17">
        <v>1.0</v>
      </c>
      <c r="H21" s="17">
        <v>0.0</v>
      </c>
      <c r="I21" s="17">
        <v>0.0</v>
      </c>
      <c r="J21" s="17">
        <v>0.0</v>
      </c>
      <c r="K21" s="17">
        <v>0.5354582603212</v>
      </c>
      <c r="L21" s="17">
        <v>0.366666666626333</v>
      </c>
      <c r="M21" s="17">
        <v>0.332231404941059</v>
      </c>
      <c r="N21" s="17">
        <v>0.709481449338251</v>
      </c>
      <c r="O21" s="17">
        <v>0.864699641287323</v>
      </c>
      <c r="P21" s="17">
        <v>0.0699840999374707</v>
      </c>
      <c r="Q21" s="17">
        <v>0.352592865677421</v>
      </c>
    </row>
    <row r="22">
      <c r="A22" s="17" t="s">
        <v>63</v>
      </c>
      <c r="B22" s="17" t="s">
        <v>679</v>
      </c>
      <c r="C22" s="17" t="s">
        <v>64</v>
      </c>
      <c r="D22" s="17" t="s">
        <v>698</v>
      </c>
      <c r="E22" s="18">
        <v>45631.0</v>
      </c>
      <c r="F22" s="17">
        <v>0.5</v>
      </c>
      <c r="G22" s="17">
        <v>0.75</v>
      </c>
      <c r="H22" s="17">
        <v>1.0</v>
      </c>
      <c r="I22" s="17">
        <v>1.0</v>
      </c>
      <c r="J22" s="17">
        <v>0.0</v>
      </c>
      <c r="K22" s="17">
        <v>0.6979519808085</v>
      </c>
      <c r="L22" s="17">
        <v>0.636363636363636</v>
      </c>
      <c r="M22" s="17">
        <v>0.614209319798062</v>
      </c>
      <c r="N22" s="17">
        <v>0.817964851377739</v>
      </c>
      <c r="O22" s="17">
        <v>0.0753296620017177</v>
      </c>
      <c r="P22" s="17">
        <v>0.0687492549583438</v>
      </c>
      <c r="Q22" s="17">
        <v>0.560051700482545</v>
      </c>
    </row>
    <row r="23">
      <c r="A23" s="17" t="s">
        <v>63</v>
      </c>
      <c r="B23" s="17" t="s">
        <v>679</v>
      </c>
      <c r="C23" s="17" t="s">
        <v>66</v>
      </c>
      <c r="D23" s="17" t="s">
        <v>699</v>
      </c>
      <c r="E23" s="18">
        <v>45631.0</v>
      </c>
      <c r="F23" s="17">
        <v>0.0</v>
      </c>
      <c r="G23" s="17">
        <v>1.0</v>
      </c>
      <c r="H23" s="17">
        <v>1.0</v>
      </c>
      <c r="I23" s="17">
        <v>1.0</v>
      </c>
      <c r="J23" s="17">
        <v>0.0</v>
      </c>
      <c r="K23" s="17">
        <v>0.627636319457464</v>
      </c>
      <c r="L23" s="17">
        <v>0.203703703717962</v>
      </c>
      <c r="M23" s="17">
        <v>0.585664335561045</v>
      </c>
      <c r="N23" s="17">
        <v>0.909416359297027</v>
      </c>
      <c r="O23" s="17">
        <v>0.957813368362552</v>
      </c>
      <c r="P23" s="17">
        <v>0.374725814912571</v>
      </c>
      <c r="Q23" s="17">
        <v>0.605359991028056</v>
      </c>
    </row>
    <row r="24">
      <c r="A24" s="17" t="s">
        <v>63</v>
      </c>
      <c r="B24" s="17" t="s">
        <v>679</v>
      </c>
      <c r="C24" s="17" t="s">
        <v>68</v>
      </c>
      <c r="D24" s="17" t="s">
        <v>700</v>
      </c>
      <c r="E24" s="18">
        <v>45631.0</v>
      </c>
      <c r="F24" s="17">
        <v>0.0</v>
      </c>
      <c r="G24" s="17">
        <v>0.0</v>
      </c>
      <c r="H24" s="17">
        <v>0.0</v>
      </c>
      <c r="I24" s="17">
        <v>0.0</v>
      </c>
      <c r="J24" s="17">
        <v>0.0</v>
      </c>
      <c r="K24" s="17">
        <v>0.775233065546545</v>
      </c>
      <c r="L24" s="17">
        <v>0.3299999999967</v>
      </c>
      <c r="M24" s="17">
        <v>0.565135894927481</v>
      </c>
      <c r="N24" s="17">
        <v>0.981340854849208</v>
      </c>
      <c r="O24" s="17">
        <v>0.991310059111807</v>
      </c>
      <c r="P24" s="17">
        <v>0.419466288561127</v>
      </c>
      <c r="Q24" s="17">
        <v>0.369316923908442</v>
      </c>
    </row>
    <row r="25">
      <c r="A25" s="17" t="s">
        <v>63</v>
      </c>
      <c r="B25" s="17" t="s">
        <v>679</v>
      </c>
      <c r="C25" s="17" t="s">
        <v>70</v>
      </c>
      <c r="D25" s="17" t="s">
        <v>701</v>
      </c>
      <c r="E25" s="18">
        <v>45631.0</v>
      </c>
      <c r="F25" s="17">
        <v>0.0</v>
      </c>
      <c r="G25" s="17">
        <v>0.0</v>
      </c>
      <c r="H25" s="17">
        <v>0.0</v>
      </c>
      <c r="I25" s="17">
        <v>0.0</v>
      </c>
      <c r="J25" s="17">
        <v>0.0</v>
      </c>
      <c r="K25" s="17">
        <v>0.635162949353229</v>
      </c>
      <c r="L25" s="17">
        <v>0.509259259294907</v>
      </c>
      <c r="M25" s="17">
        <v>0.702797202795073</v>
      </c>
      <c r="N25" s="17">
        <v>0.913538728574528</v>
      </c>
      <c r="O25" s="17">
        <v>0.959733239023897</v>
      </c>
      <c r="P25" s="17">
        <v>0.393466164200549</v>
      </c>
      <c r="Q25" s="17">
        <v>0.373996140294744</v>
      </c>
    </row>
    <row r="26">
      <c r="A26" s="17" t="s">
        <v>63</v>
      </c>
      <c r="B26" s="17" t="s">
        <v>679</v>
      </c>
      <c r="C26" s="17" t="s">
        <v>72</v>
      </c>
      <c r="D26" s="17" t="s">
        <v>702</v>
      </c>
      <c r="E26" s="18">
        <v>45631.0</v>
      </c>
      <c r="F26" s="17">
        <v>0.0</v>
      </c>
      <c r="G26" s="17">
        <v>1.0</v>
      </c>
      <c r="H26" s="17">
        <v>0.0</v>
      </c>
      <c r="I26" s="17">
        <v>0.0</v>
      </c>
      <c r="J26" s="17">
        <v>0.0</v>
      </c>
      <c r="K26" s="17">
        <v>0.698460440419695</v>
      </c>
      <c r="L26" s="17">
        <v>0.458333333365416</v>
      </c>
      <c r="M26" s="17">
        <v>0.334665334649818</v>
      </c>
      <c r="N26" s="17">
        <v>0.990995877630722</v>
      </c>
      <c r="O26" s="17">
        <v>0.995806598292325</v>
      </c>
      <c r="P26" s="17">
        <v>0.365144600225971</v>
      </c>
      <c r="Q26" s="17">
        <v>0.440309653143995</v>
      </c>
    </row>
    <row r="27">
      <c r="A27" s="17" t="s">
        <v>63</v>
      </c>
      <c r="B27" s="17" t="s">
        <v>679</v>
      </c>
      <c r="C27" s="17" t="s">
        <v>74</v>
      </c>
      <c r="D27" s="17" t="s">
        <v>703</v>
      </c>
      <c r="E27" s="18">
        <v>45631.0</v>
      </c>
      <c r="F27" s="17">
        <v>0.0</v>
      </c>
      <c r="G27" s="17">
        <v>0.0</v>
      </c>
      <c r="H27" s="17">
        <v>1.0</v>
      </c>
      <c r="I27" s="17">
        <v>0.0</v>
      </c>
      <c r="J27" s="17">
        <v>0.0</v>
      </c>
      <c r="K27" s="17">
        <v>0.901565289328096</v>
      </c>
      <c r="L27" s="17">
        <v>0.141025641018589</v>
      </c>
      <c r="M27" s="17">
        <v>0.286150091469161</v>
      </c>
      <c r="N27" s="17">
        <v>0.977001518767628</v>
      </c>
      <c r="O27" s="17">
        <v>0.989289142626181</v>
      </c>
      <c r="P27" s="17">
        <v>0.321634652412541</v>
      </c>
      <c r="Q27" s="17">
        <v>0.419696939602018</v>
      </c>
    </row>
    <row r="28">
      <c r="A28" s="17" t="s">
        <v>63</v>
      </c>
      <c r="B28" s="17" t="s">
        <v>679</v>
      </c>
      <c r="C28" s="17" t="s">
        <v>76</v>
      </c>
      <c r="D28" s="17" t="s">
        <v>704</v>
      </c>
      <c r="E28" s="18">
        <v>45631.0</v>
      </c>
      <c r="F28" s="17">
        <v>1.0</v>
      </c>
      <c r="G28" s="17">
        <v>1.0</v>
      </c>
      <c r="H28" s="17">
        <v>0.0</v>
      </c>
      <c r="I28" s="17">
        <v>1.0</v>
      </c>
      <c r="J28" s="17">
        <v>0.0</v>
      </c>
      <c r="K28" s="17">
        <v>1.0</v>
      </c>
      <c r="L28" s="17">
        <v>0.0</v>
      </c>
      <c r="M28" s="17">
        <v>0.51231945615832</v>
      </c>
      <c r="N28" s="17">
        <v>0.97656758515947</v>
      </c>
      <c r="O28" s="17">
        <v>0.989087050977618</v>
      </c>
      <c r="P28" s="17">
        <v>0.44795668434187</v>
      </c>
      <c r="Q28" s="17">
        <v>0.629630070603389</v>
      </c>
    </row>
    <row r="29">
      <c r="A29" s="17" t="s">
        <v>63</v>
      </c>
      <c r="B29" s="17" t="s">
        <v>679</v>
      </c>
      <c r="C29" s="17" t="s">
        <v>78</v>
      </c>
      <c r="D29" s="17" t="s">
        <v>705</v>
      </c>
      <c r="E29" s="18">
        <v>45631.0</v>
      </c>
      <c r="F29" s="17">
        <v>0.0</v>
      </c>
      <c r="G29" s="17">
        <v>0.75</v>
      </c>
      <c r="H29" s="17">
        <v>1.0</v>
      </c>
      <c r="I29" s="17">
        <v>1.0</v>
      </c>
      <c r="J29" s="17">
        <v>0.0</v>
      </c>
      <c r="K29" s="17">
        <v>0.929397267153492</v>
      </c>
      <c r="L29" s="17">
        <v>0.637681159383623</v>
      </c>
      <c r="M29" s="17">
        <v>1.0</v>
      </c>
      <c r="N29" s="17">
        <v>0.885333044044261</v>
      </c>
      <c r="O29" s="17">
        <v>0.946597281867326</v>
      </c>
      <c r="P29" s="17">
        <v>0.198892818205134</v>
      </c>
      <c r="Q29" s="17">
        <v>0.667991051877621</v>
      </c>
    </row>
    <row r="30">
      <c r="A30" s="17" t="s">
        <v>63</v>
      </c>
      <c r="B30" s="17" t="s">
        <v>679</v>
      </c>
      <c r="C30" s="17" t="s">
        <v>80</v>
      </c>
      <c r="D30" s="17" t="s">
        <v>706</v>
      </c>
      <c r="E30" s="18">
        <v>45631.0</v>
      </c>
      <c r="F30" s="17">
        <v>0.0</v>
      </c>
      <c r="G30" s="17">
        <v>1.0</v>
      </c>
      <c r="H30" s="17">
        <v>0.0</v>
      </c>
      <c r="I30" s="17">
        <v>0.0</v>
      </c>
      <c r="J30" s="17">
        <v>0.0</v>
      </c>
      <c r="K30" s="17">
        <v>0.668246033099068</v>
      </c>
      <c r="L30" s="17">
        <v>0.499999999945</v>
      </c>
      <c r="M30" s="17">
        <v>0.708245243230693</v>
      </c>
      <c r="N30" s="17">
        <v>0.111846387502712</v>
      </c>
      <c r="O30" s="17">
        <v>0.404183297125246</v>
      </c>
      <c r="P30" s="17">
        <v>0.110733999633471</v>
      </c>
      <c r="Q30" s="17">
        <v>0.318477723685108</v>
      </c>
    </row>
    <row r="31">
      <c r="A31" s="17" t="s">
        <v>63</v>
      </c>
      <c r="B31" s="17" t="s">
        <v>679</v>
      </c>
      <c r="C31" s="17" t="s">
        <v>82</v>
      </c>
      <c r="D31" s="17" t="s">
        <v>707</v>
      </c>
      <c r="E31" s="18">
        <v>45631.0</v>
      </c>
      <c r="F31" s="17">
        <v>0.0</v>
      </c>
      <c r="G31" s="17">
        <v>1.0</v>
      </c>
      <c r="H31" s="17">
        <v>0.0</v>
      </c>
      <c r="I31" s="17">
        <v>1.0</v>
      </c>
      <c r="J31" s="17">
        <v>0.0</v>
      </c>
      <c r="K31" s="17">
        <v>0.728227706865803</v>
      </c>
      <c r="L31" s="17">
        <v>0.499999999945</v>
      </c>
      <c r="M31" s="17">
        <v>0.708245243230693</v>
      </c>
      <c r="N31" s="17">
        <v>0.111846387502712</v>
      </c>
      <c r="O31" s="17">
        <v>0.404183297125246</v>
      </c>
      <c r="P31" s="17">
        <v>0.0271621718200213</v>
      </c>
      <c r="Q31" s="17">
        <v>0.407242255135406</v>
      </c>
    </row>
    <row r="32">
      <c r="A32" s="17" t="s">
        <v>84</v>
      </c>
      <c r="B32" s="17" t="s">
        <v>679</v>
      </c>
      <c r="C32" s="17" t="s">
        <v>85</v>
      </c>
      <c r="D32" s="17" t="s">
        <v>135</v>
      </c>
      <c r="E32" s="18">
        <v>45631.0</v>
      </c>
      <c r="F32" s="17">
        <v>0.0</v>
      </c>
      <c r="G32" s="17">
        <v>1.0</v>
      </c>
      <c r="H32" s="17">
        <v>1.0</v>
      </c>
      <c r="I32" s="17">
        <v>1.0</v>
      </c>
      <c r="J32" s="17">
        <v>0.0</v>
      </c>
      <c r="K32" s="17">
        <v>0.816429790832406</v>
      </c>
      <c r="L32" s="17">
        <v>0.217105263207828</v>
      </c>
      <c r="M32" s="17">
        <v>0.0837238363058558</v>
      </c>
      <c r="N32" s="17">
        <v>1.0</v>
      </c>
      <c r="O32" s="17">
        <v>1.0</v>
      </c>
      <c r="P32" s="17">
        <v>0.4437146359223</v>
      </c>
      <c r="Q32" s="17">
        <v>0.596452138751671</v>
      </c>
    </row>
    <row r="33">
      <c r="A33" s="17" t="s">
        <v>84</v>
      </c>
      <c r="B33" s="17" t="s">
        <v>679</v>
      </c>
      <c r="C33" s="17" t="s">
        <v>87</v>
      </c>
      <c r="D33" s="17" t="s">
        <v>136</v>
      </c>
      <c r="E33" s="18">
        <v>45631.0</v>
      </c>
      <c r="F33" s="17">
        <v>1.0</v>
      </c>
      <c r="G33" s="17">
        <v>1.0</v>
      </c>
      <c r="H33" s="17">
        <v>0.0</v>
      </c>
      <c r="I33" s="17">
        <v>1.0</v>
      </c>
      <c r="J33" s="17">
        <v>0.0</v>
      </c>
      <c r="K33" s="17">
        <v>0.976269726833101</v>
      </c>
      <c r="L33" s="17">
        <v>0.564102564074358</v>
      </c>
      <c r="M33" s="17">
        <v>0.609090909007851</v>
      </c>
      <c r="N33" s="17">
        <v>0.0551095682360598</v>
      </c>
      <c r="O33" s="17">
        <v>0.559945435254888</v>
      </c>
      <c r="P33" s="17">
        <v>0.642285534307814</v>
      </c>
      <c r="Q33" s="17">
        <v>0.582436703428552</v>
      </c>
    </row>
    <row r="34">
      <c r="A34" s="17" t="s">
        <v>84</v>
      </c>
      <c r="B34" s="17" t="s">
        <v>679</v>
      </c>
      <c r="C34" s="17" t="s">
        <v>89</v>
      </c>
      <c r="D34" s="17" t="s">
        <v>137</v>
      </c>
      <c r="E34" s="18">
        <v>45631.0</v>
      </c>
      <c r="F34" s="17">
        <v>1.0</v>
      </c>
      <c r="G34" s="17">
        <v>0.0</v>
      </c>
      <c r="H34" s="17">
        <v>0.0</v>
      </c>
      <c r="I34" s="17">
        <v>0.0</v>
      </c>
      <c r="J34" s="17">
        <v>0.0</v>
      </c>
      <c r="K34" s="17">
        <v>0.659683323237429</v>
      </c>
      <c r="L34" s="17">
        <v>0.156028368758439</v>
      </c>
      <c r="M34" s="17">
        <v>0.0454545454473471</v>
      </c>
      <c r="N34" s="17">
        <v>0.979713603818615</v>
      </c>
      <c r="O34" s="17">
        <v>0.0</v>
      </c>
      <c r="P34" s="17">
        <v>0.404509127646161</v>
      </c>
      <c r="Q34" s="17">
        <v>0.295035360809817</v>
      </c>
    </row>
    <row r="35">
      <c r="A35" s="17" t="s">
        <v>84</v>
      </c>
      <c r="B35" s="17" t="s">
        <v>679</v>
      </c>
      <c r="C35" s="17" t="s">
        <v>91</v>
      </c>
      <c r="D35" s="17" t="s">
        <v>138</v>
      </c>
      <c r="E35" s="18">
        <v>45631.0</v>
      </c>
      <c r="F35" s="17">
        <v>0.0</v>
      </c>
      <c r="G35" s="17">
        <v>0.0</v>
      </c>
      <c r="H35" s="17">
        <v>0.0</v>
      </c>
      <c r="I35" s="17">
        <v>0.0</v>
      </c>
      <c r="J35" s="17">
        <v>0.0</v>
      </c>
      <c r="K35" s="17">
        <v>0.625706816471565</v>
      </c>
      <c r="L35" s="17">
        <v>0.150684931538493</v>
      </c>
      <c r="M35" s="17">
        <v>0.0857874519592108</v>
      </c>
      <c r="N35" s="17">
        <v>0.8854415274463</v>
      </c>
      <c r="O35" s="17">
        <v>0.946647804779467</v>
      </c>
      <c r="P35" s="17">
        <v>0.832746148080683</v>
      </c>
      <c r="Q35" s="17">
        <v>0.320637698206883</v>
      </c>
    </row>
    <row r="36">
      <c r="A36" s="17" t="s">
        <v>84</v>
      </c>
      <c r="B36" s="17" t="s">
        <v>679</v>
      </c>
      <c r="C36" s="17" t="s">
        <v>93</v>
      </c>
      <c r="D36" s="17" t="s">
        <v>139</v>
      </c>
      <c r="E36" s="18">
        <v>45631.0</v>
      </c>
      <c r="F36" s="17">
        <v>1.0</v>
      </c>
      <c r="G36" s="17">
        <v>0.0</v>
      </c>
      <c r="H36" s="17">
        <v>1.0</v>
      </c>
      <c r="I36" s="17">
        <v>0.0</v>
      </c>
      <c r="J36" s="17">
        <v>0.0</v>
      </c>
      <c r="K36" s="17">
        <v>0.662055373817363</v>
      </c>
      <c r="L36" s="17">
        <v>0.205607476687943</v>
      </c>
      <c r="M36" s="17">
        <v>0.12181818180157</v>
      </c>
      <c r="N36" s="17">
        <v>0.926556736819266</v>
      </c>
      <c r="O36" s="17">
        <v>0.965795988480776</v>
      </c>
      <c r="P36" s="17">
        <v>0.442520432492755</v>
      </c>
      <c r="Q36" s="17">
        <v>0.48403219909997</v>
      </c>
    </row>
    <row r="37">
      <c r="A37" s="17" t="s">
        <v>84</v>
      </c>
      <c r="B37" s="17" t="s">
        <v>679</v>
      </c>
      <c r="C37" s="17" t="s">
        <v>95</v>
      </c>
      <c r="D37" s="17" t="s">
        <v>140</v>
      </c>
      <c r="E37" s="18">
        <v>45631.0</v>
      </c>
      <c r="F37" s="17">
        <v>1.0</v>
      </c>
      <c r="G37" s="17">
        <v>0.0</v>
      </c>
      <c r="H37" s="17">
        <v>0.0</v>
      </c>
      <c r="I37" s="17">
        <v>0.0</v>
      </c>
      <c r="J37" s="17">
        <v>0.0</v>
      </c>
      <c r="K37" s="17">
        <v>0.817031246247037</v>
      </c>
      <c r="L37" s="17">
        <v>0.146666666628533</v>
      </c>
      <c r="M37" s="17">
        <v>0.257362355938541</v>
      </c>
      <c r="N37" s="17">
        <v>0.835430679106096</v>
      </c>
      <c r="O37" s="17">
        <v>0.923356742282625</v>
      </c>
      <c r="P37" s="17">
        <v>0.892406858521466</v>
      </c>
      <c r="Q37" s="17">
        <v>0.442932231702209</v>
      </c>
    </row>
    <row r="38">
      <c r="A38" s="17" t="s">
        <v>84</v>
      </c>
      <c r="B38" s="17" t="s">
        <v>679</v>
      </c>
      <c r="C38" s="17" t="s">
        <v>97</v>
      </c>
      <c r="D38" s="17" t="s">
        <v>141</v>
      </c>
      <c r="E38" s="18">
        <v>45631.0</v>
      </c>
      <c r="F38" s="17">
        <v>1.0</v>
      </c>
      <c r="G38" s="17">
        <v>0.0</v>
      </c>
      <c r="H38" s="17">
        <v>0.0</v>
      </c>
      <c r="I38" s="17">
        <v>0.0</v>
      </c>
      <c r="J38" s="17">
        <v>0.0</v>
      </c>
      <c r="K38" s="17">
        <v>0.471124414336572</v>
      </c>
      <c r="L38" s="17">
        <v>0.278481012697215</v>
      </c>
      <c r="M38" s="17">
        <v>0.0</v>
      </c>
      <c r="N38" s="17">
        <v>0.975157300932957</v>
      </c>
      <c r="O38" s="17">
        <v>0.988430253119789</v>
      </c>
      <c r="P38" s="17">
        <v>0.799025679177203</v>
      </c>
      <c r="Q38" s="17">
        <v>0.410201696387612</v>
      </c>
    </row>
    <row r="39">
      <c r="A39" s="17" t="s">
        <v>84</v>
      </c>
      <c r="B39" s="17" t="s">
        <v>679</v>
      </c>
      <c r="C39" s="17" t="s">
        <v>99</v>
      </c>
      <c r="D39" s="17" t="s">
        <v>142</v>
      </c>
      <c r="E39" s="18">
        <v>45631.0</v>
      </c>
      <c r="F39" s="17">
        <v>0.0</v>
      </c>
      <c r="G39" s="17">
        <v>0.0</v>
      </c>
      <c r="H39" s="17">
        <v>0.0</v>
      </c>
      <c r="I39" s="17">
        <v>0.0</v>
      </c>
      <c r="J39" s="17">
        <v>0.0</v>
      </c>
      <c r="K39" s="17">
        <v>0.627492704932317</v>
      </c>
      <c r="L39" s="17">
        <v>0.161764705848382</v>
      </c>
      <c r="M39" s="17">
        <v>0.0982404692066035</v>
      </c>
      <c r="N39" s="17">
        <v>0.929160338468214</v>
      </c>
      <c r="O39" s="17">
        <v>0.967008538372151</v>
      </c>
      <c r="P39" s="17">
        <v>1.0</v>
      </c>
      <c r="Q39" s="17">
        <v>0.343969705166151</v>
      </c>
    </row>
    <row r="40">
      <c r="A40" s="17" t="s">
        <v>84</v>
      </c>
      <c r="B40" s="17" t="s">
        <v>679</v>
      </c>
      <c r="C40" s="17" t="s">
        <v>101</v>
      </c>
      <c r="D40" s="17" t="s">
        <v>143</v>
      </c>
      <c r="E40" s="18">
        <v>45631.0</v>
      </c>
      <c r="F40" s="17">
        <v>1.0</v>
      </c>
      <c r="G40" s="17">
        <v>0.0</v>
      </c>
      <c r="H40" s="17">
        <v>0.0</v>
      </c>
      <c r="I40" s="17">
        <v>1.0</v>
      </c>
      <c r="J40" s="17">
        <v>0.0</v>
      </c>
      <c r="K40" s="17">
        <v>0.462280678143748</v>
      </c>
      <c r="L40" s="17">
        <v>0.314285714266857</v>
      </c>
      <c r="M40" s="17">
        <v>0.0</v>
      </c>
      <c r="N40" s="17">
        <v>0.619874159253634</v>
      </c>
      <c r="O40" s="17">
        <v>0.167584499570555</v>
      </c>
      <c r="P40" s="17">
        <v>0.78360068032216</v>
      </c>
      <c r="Q40" s="17">
        <v>0.395238702868814</v>
      </c>
    </row>
    <row r="41">
      <c r="A41" s="17" t="s">
        <v>84</v>
      </c>
      <c r="B41" s="17" t="s">
        <v>679</v>
      </c>
      <c r="C41" s="17" t="s">
        <v>103</v>
      </c>
      <c r="D41" s="17" t="s">
        <v>144</v>
      </c>
      <c r="E41" s="18">
        <v>45631.0</v>
      </c>
      <c r="F41" s="17">
        <v>0.5</v>
      </c>
      <c r="G41" s="17">
        <v>0.0</v>
      </c>
      <c r="H41" s="17">
        <v>0.0</v>
      </c>
      <c r="I41" s="17">
        <v>0.0</v>
      </c>
      <c r="J41" s="17">
        <v>0.0</v>
      </c>
      <c r="K41" s="17">
        <v>0.821204206959227</v>
      </c>
      <c r="L41" s="17">
        <v>0.289473684167105</v>
      </c>
      <c r="M41" s="17">
        <v>0.176548089589561</v>
      </c>
      <c r="N41" s="17">
        <v>0.91093512692558</v>
      </c>
      <c r="O41" s="17">
        <v>0.958520689132521</v>
      </c>
      <c r="P41" s="17">
        <v>0.787342276136181</v>
      </c>
      <c r="Q41" s="17">
        <v>0.404002188446379</v>
      </c>
    </row>
  </sheetData>
  <drawing r:id="rId1"/>
</worksheet>
</file>